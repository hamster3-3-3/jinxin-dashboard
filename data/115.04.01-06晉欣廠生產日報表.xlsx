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9540" tabRatio="881" firstSheet="6" activeTab="18"/>
  </bookViews>
  <sheets>
    <sheet name="0331" sheetId="101" r:id="rId1"/>
    <sheet name="晉欣18度C0331" sheetId="103" r:id="rId2"/>
    <sheet name="晉欣4度C0331" sheetId="102" r:id="rId3"/>
    <sheet name="0401" sheetId="104" r:id="rId4"/>
    <sheet name="晉欣18度C0401" sheetId="108" r:id="rId5"/>
    <sheet name="晉欣4度C0401" sheetId="112" r:id="rId6"/>
    <sheet name="0402" sheetId="105" r:id="rId7"/>
    <sheet name="晉欣18度C0402" sheetId="109" r:id="rId8"/>
    <sheet name="晉欣4度C0402" sheetId="113" r:id="rId9"/>
    <sheet name="0403" sheetId="106" r:id="rId10"/>
    <sheet name="晉欣18度C0403" sheetId="110" r:id="rId11"/>
    <sheet name="晉欣4度C0403" sheetId="114" r:id="rId12"/>
    <sheet name="0404" sheetId="107" r:id="rId13"/>
    <sheet name="晉欣18度C0404" sheetId="111" r:id="rId14"/>
    <sheet name="晉欣4度C0404" sheetId="115" r:id="rId15"/>
    <sheet name="0405" sheetId="116" r:id="rId16"/>
    <sheet name="晉欣18度C0405" sheetId="118" r:id="rId17"/>
    <sheet name="晉欣4度C0405" sheetId="120" r:id="rId18"/>
    <sheet name="0406" sheetId="117" r:id="rId19"/>
    <sheet name="晉欣18度C0406" sheetId="119" r:id="rId20"/>
    <sheet name="晉欣4度C0406" sheetId="121" r:id="rId21"/>
  </sheets>
  <externalReferences>
    <externalReference r:id="rId22"/>
  </externalReferences>
  <definedNames>
    <definedName name="_xlnm._FilterDatabase" localSheetId="0" hidden="1">'0331'!$B$10:$Q$25</definedName>
    <definedName name="_xlnm._FilterDatabase" localSheetId="3" hidden="1">'0401'!$B$10:$Q$25</definedName>
    <definedName name="_xlnm._FilterDatabase" localSheetId="6" hidden="1">'0402'!$B$10:$Q$25</definedName>
    <definedName name="_xlnm._FilterDatabase" localSheetId="9" hidden="1">'0403'!$B$10:$Q$25</definedName>
    <definedName name="_xlnm._FilterDatabase" localSheetId="12" hidden="1">'0404'!$B$10:$Q$25</definedName>
    <definedName name="_xlnm._FilterDatabase" localSheetId="15" hidden="1">'0405'!$B$10:$Q$25</definedName>
    <definedName name="_xlnm._FilterDatabase" localSheetId="18" hidden="1">'0406'!$B$10:$Q$25</definedName>
    <definedName name="_xlnm._FilterDatabase" localSheetId="1" hidden="1">晉欣18度C0331!$A$4:$R$124</definedName>
    <definedName name="_xlnm._FilterDatabase" localSheetId="4" hidden="1">晉欣18度C0401!$A$4:$R$124</definedName>
    <definedName name="_xlnm._FilterDatabase" localSheetId="7" hidden="1">晉欣18度C0402!$A$4:$R$124</definedName>
    <definedName name="_xlnm._FilterDatabase" localSheetId="10" hidden="1">晉欣18度C0403!$A$4:$R$124</definedName>
    <definedName name="_xlnm._FilterDatabase" localSheetId="13" hidden="1">晉欣18度C0404!$A$4:$R$124</definedName>
    <definedName name="_xlnm._FilterDatabase" localSheetId="16" hidden="1">晉欣18度C0405!$A$4:$R$124</definedName>
    <definedName name="_xlnm._FilterDatabase" localSheetId="19" hidden="1">晉欣18度C0406!$A$4:$R$124</definedName>
    <definedName name="_xlnm._FilterDatabase" localSheetId="2" hidden="1">晉欣4度C0331!$A$4:$AJ$173</definedName>
    <definedName name="_xlnm._FilterDatabase" localSheetId="5" hidden="1">晉欣4度C0401!$A$4:$AJ$173</definedName>
    <definedName name="_xlnm._FilterDatabase" localSheetId="8" hidden="1">晉欣4度C0402!$A$4:$AJ$173</definedName>
    <definedName name="_xlnm._FilterDatabase" localSheetId="11" hidden="1">晉欣4度C0403!$A$4:$AJ$173</definedName>
    <definedName name="_xlnm._FilterDatabase" localSheetId="14" hidden="1">晉欣4度C0404!$A$4:$AJ$173</definedName>
    <definedName name="_xlnm._FilterDatabase" localSheetId="17" hidden="1">晉欣4度C0405!$A$4:$AJ$173</definedName>
    <definedName name="_xlnm._FilterDatabase" localSheetId="20" hidden="1">晉欣4度C0406!$A$4:$AJ$173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121" l="1"/>
  <c r="AD173" i="121"/>
  <c r="AA173" i="121"/>
  <c r="Z173" i="121"/>
  <c r="M173" i="121"/>
  <c r="W172" i="121"/>
  <c r="H172" i="121"/>
  <c r="W171" i="121"/>
  <c r="H171" i="121"/>
  <c r="AG170" i="121"/>
  <c r="AF170" i="121"/>
  <c r="W170" i="121"/>
  <c r="H170" i="121"/>
  <c r="AG169" i="121"/>
  <c r="AF169" i="121"/>
  <c r="W169" i="121"/>
  <c r="H169" i="121"/>
  <c r="AG168" i="121"/>
  <c r="AF168" i="121"/>
  <c r="W168" i="121"/>
  <c r="H168" i="121"/>
  <c r="AG167" i="121"/>
  <c r="AF167" i="121"/>
  <c r="W167" i="121"/>
  <c r="H167" i="121"/>
  <c r="AG166" i="121"/>
  <c r="AF166" i="121"/>
  <c r="W166" i="121"/>
  <c r="H166" i="121"/>
  <c r="W165" i="121"/>
  <c r="N165" i="121" s="1"/>
  <c r="P165" i="121"/>
  <c r="H165" i="121"/>
  <c r="W164" i="121"/>
  <c r="N164" i="121"/>
  <c r="P164" i="121"/>
  <c r="H164" i="121"/>
  <c r="W163" i="121"/>
  <c r="P163" i="121"/>
  <c r="N163" i="121"/>
  <c r="O163" i="121" s="1"/>
  <c r="H163" i="121"/>
  <c r="W162" i="121"/>
  <c r="N162" i="121"/>
  <c r="P162" i="121"/>
  <c r="H162" i="121"/>
  <c r="W161" i="121"/>
  <c r="N161" i="121"/>
  <c r="AG161" i="121" s="1"/>
  <c r="P161" i="121"/>
  <c r="H161" i="121"/>
  <c r="AE160" i="121"/>
  <c r="AD160" i="121"/>
  <c r="AA160" i="121"/>
  <c r="Z160" i="121"/>
  <c r="M160" i="121"/>
  <c r="W159" i="121"/>
  <c r="H159" i="121"/>
  <c r="W158" i="121"/>
  <c r="H158" i="121"/>
  <c r="W157" i="121"/>
  <c r="H157" i="121"/>
  <c r="W156" i="121"/>
  <c r="H156" i="121"/>
  <c r="W155" i="121"/>
  <c r="H155" i="121"/>
  <c r="AG154" i="121"/>
  <c r="AF154" i="121"/>
  <c r="W154" i="121"/>
  <c r="H154" i="121"/>
  <c r="AG153" i="121"/>
  <c r="AF153" i="121"/>
  <c r="W153" i="121"/>
  <c r="H153" i="121"/>
  <c r="W152" i="121"/>
  <c r="P152" i="121"/>
  <c r="N152" i="121"/>
  <c r="O152" i="121" s="1"/>
  <c r="H152" i="121"/>
  <c r="W151" i="121"/>
  <c r="P151" i="121"/>
  <c r="N151" i="121"/>
  <c r="H151" i="121"/>
  <c r="W150" i="121"/>
  <c r="P150" i="121"/>
  <c r="N150" i="121"/>
  <c r="O150" i="121" s="1"/>
  <c r="H150" i="121"/>
  <c r="W149" i="121"/>
  <c r="P149" i="121"/>
  <c r="N149" i="121"/>
  <c r="H149" i="121"/>
  <c r="W148" i="121"/>
  <c r="P148" i="121"/>
  <c r="N148" i="121"/>
  <c r="H148" i="121"/>
  <c r="AE147" i="121"/>
  <c r="AD147" i="121"/>
  <c r="AA147" i="121"/>
  <c r="Z147" i="121"/>
  <c r="W147" i="121"/>
  <c r="M147" i="121"/>
  <c r="W146" i="121"/>
  <c r="H146" i="121"/>
  <c r="AG145" i="121"/>
  <c r="AF145" i="121"/>
  <c r="W145" i="121"/>
  <c r="H145" i="121"/>
  <c r="AG144" i="121"/>
  <c r="AF144" i="121"/>
  <c r="W144" i="121"/>
  <c r="H144" i="121"/>
  <c r="AG143" i="121"/>
  <c r="AF143" i="121"/>
  <c r="W143" i="121"/>
  <c r="H143" i="121"/>
  <c r="W142" i="121"/>
  <c r="N142" i="121" s="1"/>
  <c r="O142" i="121"/>
  <c r="H142" i="121"/>
  <c r="AG141" i="121"/>
  <c r="W141" i="121"/>
  <c r="N141" i="121" s="1"/>
  <c r="P141" i="121"/>
  <c r="H141" i="121"/>
  <c r="W140" i="121"/>
  <c r="N140" i="121" s="1"/>
  <c r="H140" i="121"/>
  <c r="W139" i="121"/>
  <c r="N139" i="121" s="1"/>
  <c r="P139" i="121"/>
  <c r="H139" i="121"/>
  <c r="W138" i="121"/>
  <c r="N138" i="121" s="1"/>
  <c r="O138" i="121"/>
  <c r="H138" i="121"/>
  <c r="AG137" i="121"/>
  <c r="W137" i="121"/>
  <c r="N137" i="121" s="1"/>
  <c r="P137" i="121"/>
  <c r="H137" i="121"/>
  <c r="W136" i="121"/>
  <c r="N136" i="121" s="1"/>
  <c r="H136" i="121"/>
  <c r="W135" i="121"/>
  <c r="N135" i="121" s="1"/>
  <c r="H135" i="121"/>
  <c r="AE134" i="121"/>
  <c r="AD134" i="121"/>
  <c r="AA134" i="121"/>
  <c r="Z134" i="121"/>
  <c r="M134" i="121"/>
  <c r="W133" i="121"/>
  <c r="H133" i="121"/>
  <c r="W132" i="121"/>
  <c r="H132" i="121"/>
  <c r="H131" i="121"/>
  <c r="W130" i="121"/>
  <c r="N130" i="121"/>
  <c r="O130" i="121" s="1"/>
  <c r="P130" i="121"/>
  <c r="H130" i="121"/>
  <c r="W129" i="121"/>
  <c r="P129" i="121"/>
  <c r="N129" i="121"/>
  <c r="O129" i="121" s="1"/>
  <c r="H129" i="121"/>
  <c r="W128" i="121"/>
  <c r="P128" i="121"/>
  <c r="N128" i="121"/>
  <c r="O128" i="121" s="1"/>
  <c r="H128" i="121"/>
  <c r="W127" i="121"/>
  <c r="N127" i="121"/>
  <c r="P127" i="121"/>
  <c r="H127" i="121"/>
  <c r="W126" i="121"/>
  <c r="P126" i="121"/>
  <c r="N126" i="121"/>
  <c r="O126" i="121" s="1"/>
  <c r="H126" i="121"/>
  <c r="W125" i="121"/>
  <c r="N125" i="121"/>
  <c r="P125" i="121"/>
  <c r="H125" i="121"/>
  <c r="W124" i="121"/>
  <c r="P124" i="121"/>
  <c r="N124" i="121"/>
  <c r="O124" i="121" s="1"/>
  <c r="H124" i="121"/>
  <c r="W123" i="121"/>
  <c r="N123" i="121"/>
  <c r="P123" i="121"/>
  <c r="H123" i="121"/>
  <c r="W122" i="121"/>
  <c r="N122" i="121" s="1"/>
  <c r="P134" i="121"/>
  <c r="H122" i="121"/>
  <c r="AE121" i="121"/>
  <c r="AD121" i="121"/>
  <c r="AA121" i="121"/>
  <c r="Z121" i="121"/>
  <c r="W121" i="121"/>
  <c r="M121" i="121"/>
  <c r="AG120" i="121"/>
  <c r="AF120" i="121"/>
  <c r="W120" i="121"/>
  <c r="H120" i="121"/>
  <c r="AG119" i="121"/>
  <c r="AF119" i="121"/>
  <c r="W119" i="121"/>
  <c r="H119" i="121"/>
  <c r="AG118" i="121"/>
  <c r="AF118" i="121"/>
  <c r="W118" i="121"/>
  <c r="H118" i="121"/>
  <c r="AG117" i="121"/>
  <c r="AF117" i="121"/>
  <c r="H117" i="121"/>
  <c r="W116" i="121"/>
  <c r="P116" i="121"/>
  <c r="N116" i="121"/>
  <c r="O116" i="121" s="1"/>
  <c r="AF116" i="121"/>
  <c r="H116" i="121"/>
  <c r="AF115" i="121"/>
  <c r="W115" i="121"/>
  <c r="O115" i="121"/>
  <c r="N115" i="121"/>
  <c r="P115" i="121"/>
  <c r="H115" i="121"/>
  <c r="AG114" i="121"/>
  <c r="W114" i="121"/>
  <c r="N114" i="121"/>
  <c r="AF114" i="121" s="1"/>
  <c r="P114" i="121"/>
  <c r="H114" i="121"/>
  <c r="W113" i="121"/>
  <c r="N113" i="121" s="1"/>
  <c r="O113" i="121"/>
  <c r="P113" i="121"/>
  <c r="H113" i="121"/>
  <c r="AG112" i="121"/>
  <c r="W112" i="121"/>
  <c r="Q112" i="121"/>
  <c r="P112" i="121"/>
  <c r="N112" i="121"/>
  <c r="O112" i="121" s="1"/>
  <c r="R112" i="121" s="1"/>
  <c r="AF112" i="121"/>
  <c r="H112" i="121"/>
  <c r="W111" i="121"/>
  <c r="N111" i="121" s="1"/>
  <c r="H111" i="121"/>
  <c r="AG110" i="121"/>
  <c r="W110" i="121"/>
  <c r="P110" i="121"/>
  <c r="N110" i="121"/>
  <c r="O110" i="121" s="1"/>
  <c r="AF110" i="121"/>
  <c r="H110" i="121"/>
  <c r="W109" i="121"/>
  <c r="N109" i="121" s="1"/>
  <c r="P109" i="121"/>
  <c r="H109" i="121"/>
  <c r="AE108" i="121"/>
  <c r="AD108" i="121"/>
  <c r="AA108" i="121"/>
  <c r="Z108" i="121"/>
  <c r="W108" i="121"/>
  <c r="M108" i="121"/>
  <c r="P108" i="121" s="1"/>
  <c r="W107" i="121"/>
  <c r="H107" i="121"/>
  <c r="W106" i="121"/>
  <c r="H106" i="121"/>
  <c r="AG105" i="121"/>
  <c r="AF105" i="121"/>
  <c r="W105" i="121"/>
  <c r="H105" i="121"/>
  <c r="AG104" i="121"/>
  <c r="AF104" i="121"/>
  <c r="W104" i="121"/>
  <c r="H104" i="121"/>
  <c r="AG103" i="121"/>
  <c r="AF103" i="121"/>
  <c r="H103" i="121"/>
  <c r="AG102" i="121"/>
  <c r="AF102" i="121"/>
  <c r="H102" i="121"/>
  <c r="W101" i="121"/>
  <c r="P101" i="121"/>
  <c r="N101" i="121"/>
  <c r="H101" i="121"/>
  <c r="W100" i="121"/>
  <c r="N100" i="121" s="1"/>
  <c r="P100" i="121"/>
  <c r="H100" i="121"/>
  <c r="W99" i="121"/>
  <c r="P99" i="121"/>
  <c r="N99" i="121"/>
  <c r="H99" i="121"/>
  <c r="W98" i="121"/>
  <c r="N98" i="121" s="1"/>
  <c r="P98" i="121"/>
  <c r="H98" i="121"/>
  <c r="W97" i="121"/>
  <c r="P97" i="121"/>
  <c r="N97" i="121"/>
  <c r="H97" i="121"/>
  <c r="W96" i="121"/>
  <c r="P96" i="121"/>
  <c r="N96" i="121"/>
  <c r="H96" i="121"/>
  <c r="AE95" i="121"/>
  <c r="AD95" i="121"/>
  <c r="AA95" i="121"/>
  <c r="Z95" i="121"/>
  <c r="M95" i="121"/>
  <c r="P95" i="121" s="1"/>
  <c r="AG94" i="121"/>
  <c r="AF94" i="121"/>
  <c r="W94" i="121"/>
  <c r="H94" i="121"/>
  <c r="AG93" i="121"/>
  <c r="AF93" i="121"/>
  <c r="W93" i="121"/>
  <c r="H93" i="121"/>
  <c r="AG92" i="121"/>
  <c r="AF92" i="121"/>
  <c r="H92" i="121"/>
  <c r="AG91" i="121"/>
  <c r="AF91" i="121"/>
  <c r="W91" i="121"/>
  <c r="H91" i="121"/>
  <c r="AG90" i="121"/>
  <c r="AF90" i="121"/>
  <c r="H90" i="121"/>
  <c r="AG89" i="121"/>
  <c r="AF89" i="121"/>
  <c r="H89" i="121"/>
  <c r="AG88" i="121"/>
  <c r="AF88" i="121"/>
  <c r="H88" i="121"/>
  <c r="W87" i="121"/>
  <c r="P87" i="121"/>
  <c r="N87" i="121"/>
  <c r="H87" i="121"/>
  <c r="W86" i="121"/>
  <c r="P86" i="121"/>
  <c r="N86" i="121"/>
  <c r="O86" i="121" s="1"/>
  <c r="H86" i="121"/>
  <c r="W85" i="121"/>
  <c r="P85" i="121"/>
  <c r="N85" i="121"/>
  <c r="H85" i="121"/>
  <c r="W84" i="121"/>
  <c r="P84" i="121"/>
  <c r="N84" i="121"/>
  <c r="O84" i="121" s="1"/>
  <c r="H84" i="121"/>
  <c r="W83" i="121"/>
  <c r="N83" i="121" s="1"/>
  <c r="P83" i="121"/>
  <c r="H83" i="121"/>
  <c r="AE82" i="121"/>
  <c r="AD82" i="121"/>
  <c r="AA82" i="121"/>
  <c r="Z82" i="121"/>
  <c r="M82" i="121"/>
  <c r="W81" i="121"/>
  <c r="AG80" i="121"/>
  <c r="AF80" i="121"/>
  <c r="W80" i="121"/>
  <c r="H80" i="121"/>
  <c r="AG79" i="121"/>
  <c r="AF79" i="121"/>
  <c r="W79" i="121"/>
  <c r="H79" i="121"/>
  <c r="AG78" i="121"/>
  <c r="AF78" i="121"/>
  <c r="W78" i="121"/>
  <c r="H78" i="121"/>
  <c r="AG77" i="121"/>
  <c r="AF77" i="121"/>
  <c r="H77" i="121"/>
  <c r="AG76" i="121"/>
  <c r="AF76" i="121"/>
  <c r="H76" i="121"/>
  <c r="W75" i="121"/>
  <c r="N75" i="121" s="1"/>
  <c r="O75" i="121"/>
  <c r="H75" i="121"/>
  <c r="AG74" i="121"/>
  <c r="W74" i="121"/>
  <c r="N74" i="121" s="1"/>
  <c r="AF74" i="121" s="1"/>
  <c r="O74" i="121"/>
  <c r="P74" i="121"/>
  <c r="H74" i="121"/>
  <c r="W73" i="121"/>
  <c r="N73" i="121"/>
  <c r="AF73" i="121" s="1"/>
  <c r="P73" i="121"/>
  <c r="H73" i="121"/>
  <c r="W72" i="121"/>
  <c r="N72" i="121" s="1"/>
  <c r="AG72" i="121" s="1"/>
  <c r="P72" i="121"/>
  <c r="H72" i="121"/>
  <c r="AG71" i="121"/>
  <c r="W71" i="121"/>
  <c r="O71" i="121"/>
  <c r="N71" i="121"/>
  <c r="AF71" i="121" s="1"/>
  <c r="H71" i="121"/>
  <c r="W70" i="121"/>
  <c r="N70" i="121"/>
  <c r="H70" i="121"/>
  <c r="AE69" i="121"/>
  <c r="AD69" i="121"/>
  <c r="AA69" i="121"/>
  <c r="Z69" i="121"/>
  <c r="Z2" i="121" s="1"/>
  <c r="W69" i="121"/>
  <c r="M69" i="121"/>
  <c r="W68" i="121"/>
  <c r="H68" i="121"/>
  <c r="AG67" i="121"/>
  <c r="AF67" i="121"/>
  <c r="W67" i="121"/>
  <c r="H67" i="121"/>
  <c r="AG66" i="121"/>
  <c r="AF66" i="121"/>
  <c r="W66" i="121"/>
  <c r="H66" i="121"/>
  <c r="AG65" i="121"/>
  <c r="AF65" i="121"/>
  <c r="W65" i="121"/>
  <c r="H65" i="121"/>
  <c r="AG64" i="121"/>
  <c r="AF64" i="121"/>
  <c r="W64" i="121"/>
  <c r="H64" i="121"/>
  <c r="AG63" i="121"/>
  <c r="AF63" i="121"/>
  <c r="W63" i="121"/>
  <c r="H63" i="121"/>
  <c r="AG62" i="121"/>
  <c r="AF62" i="121"/>
  <c r="W62" i="121"/>
  <c r="H62" i="121"/>
  <c r="W61" i="121"/>
  <c r="N61" i="121"/>
  <c r="O61" i="121" s="1"/>
  <c r="R61" i="121"/>
  <c r="P61" i="121"/>
  <c r="H61" i="121"/>
  <c r="W60" i="121"/>
  <c r="N60" i="121" s="1"/>
  <c r="P60" i="121"/>
  <c r="H60" i="121"/>
  <c r="AG59" i="121"/>
  <c r="W59" i="121"/>
  <c r="N59" i="121"/>
  <c r="AF59" i="121" s="1"/>
  <c r="P59" i="121"/>
  <c r="H59" i="121"/>
  <c r="W58" i="121"/>
  <c r="N58" i="121" s="1"/>
  <c r="O58" i="121"/>
  <c r="P58" i="121"/>
  <c r="H58" i="121"/>
  <c r="W57" i="121"/>
  <c r="N57" i="121" s="1"/>
  <c r="H57" i="121"/>
  <c r="AE56" i="121"/>
  <c r="AD56" i="121"/>
  <c r="AA56" i="121"/>
  <c r="Z56" i="121"/>
  <c r="W56" i="121"/>
  <c r="M56" i="121"/>
  <c r="W55" i="121"/>
  <c r="H55" i="121"/>
  <c r="AG54" i="121"/>
  <c r="AF54" i="121"/>
  <c r="W54" i="121"/>
  <c r="H54" i="121"/>
  <c r="AG53" i="121"/>
  <c r="AF53" i="121"/>
  <c r="W53" i="121"/>
  <c r="H53" i="121"/>
  <c r="AG52" i="121"/>
  <c r="AF52" i="121"/>
  <c r="W52" i="121"/>
  <c r="H52" i="121"/>
  <c r="AG51" i="121"/>
  <c r="AF51" i="121"/>
  <c r="AG50" i="121"/>
  <c r="AF50" i="121"/>
  <c r="H50" i="121"/>
  <c r="AG49" i="121"/>
  <c r="W49" i="121"/>
  <c r="N49" i="121"/>
  <c r="AF49" i="121" s="1"/>
  <c r="P49" i="121"/>
  <c r="H49" i="121"/>
  <c r="W48" i="121"/>
  <c r="N48" i="121" s="1"/>
  <c r="P48" i="121"/>
  <c r="H48" i="121"/>
  <c r="AG47" i="121"/>
  <c r="W47" i="121"/>
  <c r="N47" i="121"/>
  <c r="AF47" i="121" s="1"/>
  <c r="P47" i="121"/>
  <c r="H47" i="121"/>
  <c r="W46" i="121"/>
  <c r="N46" i="121" s="1"/>
  <c r="O46" i="121"/>
  <c r="P46" i="121"/>
  <c r="H46" i="121"/>
  <c r="AG45" i="121"/>
  <c r="W45" i="121"/>
  <c r="N45" i="121"/>
  <c r="AF45" i="121" s="1"/>
  <c r="P45" i="121"/>
  <c r="H45" i="121"/>
  <c r="AF44" i="121"/>
  <c r="W44" i="121"/>
  <c r="Q44" i="121"/>
  <c r="N44" i="121"/>
  <c r="O44" i="121" s="1"/>
  <c r="P44" i="121"/>
  <c r="H44" i="121"/>
  <c r="AE43" i="121"/>
  <c r="AD43" i="121"/>
  <c r="AA43" i="121"/>
  <c r="Z43" i="121"/>
  <c r="M43" i="121"/>
  <c r="W42" i="121"/>
  <c r="H42" i="121"/>
  <c r="W41" i="121"/>
  <c r="AG40" i="121"/>
  <c r="AF40" i="121"/>
  <c r="W40" i="121"/>
  <c r="H40" i="121"/>
  <c r="AG39" i="121"/>
  <c r="AF39" i="121"/>
  <c r="W39" i="121"/>
  <c r="H39" i="121"/>
  <c r="AG38" i="121"/>
  <c r="AF38" i="121"/>
  <c r="W38" i="121"/>
  <c r="H38" i="121"/>
  <c r="AG37" i="121"/>
  <c r="AF37" i="121"/>
  <c r="W37" i="121"/>
  <c r="H37" i="121"/>
  <c r="AG36" i="121"/>
  <c r="AF36" i="121"/>
  <c r="W36" i="121"/>
  <c r="H36" i="121"/>
  <c r="AG35" i="121"/>
  <c r="AF35" i="121"/>
  <c r="H35" i="121"/>
  <c r="W34" i="121"/>
  <c r="N34" i="121" s="1"/>
  <c r="P34" i="121"/>
  <c r="H34" i="121"/>
  <c r="W33" i="121"/>
  <c r="N33" i="121" s="1"/>
  <c r="P33" i="121"/>
  <c r="H33" i="121"/>
  <c r="AG32" i="121"/>
  <c r="W32" i="121"/>
  <c r="P32" i="121"/>
  <c r="N32" i="121"/>
  <c r="O32" i="121" s="1"/>
  <c r="AF32" i="121"/>
  <c r="H32" i="121"/>
  <c r="W31" i="121"/>
  <c r="N31" i="121" s="1"/>
  <c r="P31" i="121"/>
  <c r="H31" i="121"/>
  <c r="AE30" i="121"/>
  <c r="AD30" i="121"/>
  <c r="AA30" i="121"/>
  <c r="Z30" i="121"/>
  <c r="M30" i="121"/>
  <c r="AF29" i="121"/>
  <c r="W29" i="121"/>
  <c r="H29" i="121"/>
  <c r="AG28" i="121"/>
  <c r="AF28" i="121"/>
  <c r="W28" i="121"/>
  <c r="H28" i="121"/>
  <c r="AG27" i="121"/>
  <c r="AF27" i="121"/>
  <c r="W27" i="121"/>
  <c r="H27" i="121"/>
  <c r="AG26" i="121"/>
  <c r="AF26" i="121"/>
  <c r="W26" i="121"/>
  <c r="H26" i="121"/>
  <c r="AG25" i="121"/>
  <c r="AF25" i="121"/>
  <c r="W25" i="121"/>
  <c r="H25" i="121"/>
  <c r="AG24" i="121"/>
  <c r="AF24" i="121"/>
  <c r="H24" i="121"/>
  <c r="W23" i="121"/>
  <c r="N23" i="121" s="1"/>
  <c r="P23" i="121"/>
  <c r="H23" i="121"/>
  <c r="W22" i="121"/>
  <c r="N22" i="121" s="1"/>
  <c r="O22" i="121" s="1"/>
  <c r="H22" i="121"/>
  <c r="W21" i="121"/>
  <c r="N21" i="121" s="1"/>
  <c r="P21" i="121"/>
  <c r="H21" i="121"/>
  <c r="W20" i="121"/>
  <c r="N20" i="121" s="1"/>
  <c r="O20" i="121" s="1"/>
  <c r="H20" i="121"/>
  <c r="W19" i="121"/>
  <c r="N19" i="121" s="1"/>
  <c r="P19" i="121"/>
  <c r="H19" i="121"/>
  <c r="AF18" i="121"/>
  <c r="W18" i="121"/>
  <c r="N18" i="121" s="1"/>
  <c r="P18" i="121"/>
  <c r="H18" i="121"/>
  <c r="AE17" i="121"/>
  <c r="AD17" i="121"/>
  <c r="AD2" i="121" s="1"/>
  <c r="AA17" i="121"/>
  <c r="Z17" i="121"/>
  <c r="W17" i="121"/>
  <c r="M17" i="121"/>
  <c r="W16" i="121"/>
  <c r="H16" i="121"/>
  <c r="W15" i="121"/>
  <c r="H15" i="121"/>
  <c r="W14" i="121"/>
  <c r="H14" i="121"/>
  <c r="AG13" i="121"/>
  <c r="AF13" i="121"/>
  <c r="H13" i="121"/>
  <c r="AG12" i="121"/>
  <c r="AF12" i="121"/>
  <c r="H12" i="121"/>
  <c r="AG11" i="121"/>
  <c r="AF11" i="121"/>
  <c r="H11" i="121"/>
  <c r="W10" i="121"/>
  <c r="N10" i="121"/>
  <c r="H10" i="121"/>
  <c r="W9" i="121"/>
  <c r="N9" i="121" s="1"/>
  <c r="P9" i="121"/>
  <c r="H9" i="121"/>
  <c r="W8" i="121"/>
  <c r="N8" i="121" s="1"/>
  <c r="H8" i="121"/>
  <c r="AF7" i="121"/>
  <c r="W7" i="121"/>
  <c r="N7" i="121" s="1"/>
  <c r="O7" i="121" s="1"/>
  <c r="Q7" i="121"/>
  <c r="P7" i="121"/>
  <c r="H7" i="121"/>
  <c r="W6" i="121"/>
  <c r="N6" i="121"/>
  <c r="H6" i="121"/>
  <c r="W5" i="121"/>
  <c r="N5" i="121"/>
  <c r="P5" i="121"/>
  <c r="H5" i="121"/>
  <c r="AE2" i="121"/>
  <c r="AA2" i="121"/>
  <c r="I2" i="121"/>
  <c r="E1" i="121"/>
  <c r="AE173" i="120"/>
  <c r="AD173" i="120"/>
  <c r="AA173" i="120"/>
  <c r="Z173" i="120"/>
  <c r="M173" i="120"/>
  <c r="W172" i="120"/>
  <c r="H172" i="120"/>
  <c r="W171" i="120"/>
  <c r="H171" i="120"/>
  <c r="AG170" i="120"/>
  <c r="AF170" i="120"/>
  <c r="W170" i="120"/>
  <c r="H170" i="120"/>
  <c r="AG169" i="120"/>
  <c r="AF169" i="120"/>
  <c r="W169" i="120"/>
  <c r="H169" i="120"/>
  <c r="AG168" i="120"/>
  <c r="AF168" i="120"/>
  <c r="W168" i="120"/>
  <c r="H168" i="120"/>
  <c r="AG167" i="120"/>
  <c r="AF167" i="120"/>
  <c r="W167" i="120"/>
  <c r="H167" i="120"/>
  <c r="AG166" i="120"/>
  <c r="AF166" i="120"/>
  <c r="W166" i="120"/>
  <c r="H166" i="120"/>
  <c r="W165" i="120"/>
  <c r="P165" i="120"/>
  <c r="N165" i="120"/>
  <c r="O165" i="120" s="1"/>
  <c r="H165" i="120"/>
  <c r="W164" i="120"/>
  <c r="P164" i="120"/>
  <c r="N164" i="120"/>
  <c r="H164" i="120"/>
  <c r="W163" i="120"/>
  <c r="P163" i="120"/>
  <c r="N163" i="120"/>
  <c r="O163" i="120" s="1"/>
  <c r="H163" i="120"/>
  <c r="W162" i="120"/>
  <c r="P162" i="120"/>
  <c r="N162" i="120"/>
  <c r="H162" i="120"/>
  <c r="W161" i="120"/>
  <c r="P161" i="120"/>
  <c r="N161" i="120"/>
  <c r="H161" i="120"/>
  <c r="AE160" i="120"/>
  <c r="AD160" i="120"/>
  <c r="AA160" i="120"/>
  <c r="Z160" i="120"/>
  <c r="M160" i="120"/>
  <c r="W159" i="120"/>
  <c r="H159" i="120"/>
  <c r="W158" i="120"/>
  <c r="H158" i="120"/>
  <c r="W157" i="120"/>
  <c r="H157" i="120"/>
  <c r="W156" i="120"/>
  <c r="H156" i="120"/>
  <c r="W155" i="120"/>
  <c r="H155" i="120"/>
  <c r="AG154" i="120"/>
  <c r="AF154" i="120"/>
  <c r="W154" i="120"/>
  <c r="H154" i="120"/>
  <c r="W153" i="120"/>
  <c r="P153" i="120"/>
  <c r="N153" i="120"/>
  <c r="H153" i="120"/>
  <c r="W152" i="120"/>
  <c r="P152" i="120"/>
  <c r="N152" i="120"/>
  <c r="O152" i="120" s="1"/>
  <c r="H152" i="120"/>
  <c r="W151" i="120"/>
  <c r="P151" i="120"/>
  <c r="N151" i="120"/>
  <c r="H151" i="120"/>
  <c r="W150" i="120"/>
  <c r="P150" i="120"/>
  <c r="N150" i="120"/>
  <c r="O150" i="120" s="1"/>
  <c r="H150" i="120"/>
  <c r="W149" i="120"/>
  <c r="P149" i="120"/>
  <c r="N149" i="120"/>
  <c r="H149" i="120"/>
  <c r="W148" i="120"/>
  <c r="P148" i="120"/>
  <c r="N148" i="120"/>
  <c r="H148" i="120"/>
  <c r="AE147" i="120"/>
  <c r="AD147" i="120"/>
  <c r="AA147" i="120"/>
  <c r="Z147" i="120"/>
  <c r="W147" i="120"/>
  <c r="M147" i="120"/>
  <c r="W146" i="120"/>
  <c r="H146" i="120"/>
  <c r="AG145" i="120"/>
  <c r="AF145" i="120"/>
  <c r="W145" i="120"/>
  <c r="H145" i="120"/>
  <c r="AG144" i="120"/>
  <c r="AF144" i="120"/>
  <c r="W144" i="120"/>
  <c r="H144" i="120"/>
  <c r="AG143" i="120"/>
  <c r="AF143" i="120"/>
  <c r="W143" i="120"/>
  <c r="H143" i="120"/>
  <c r="W142" i="120"/>
  <c r="N142" i="120" s="1"/>
  <c r="O142" i="120" s="1"/>
  <c r="H142" i="120"/>
  <c r="AG141" i="120"/>
  <c r="W141" i="120"/>
  <c r="N141" i="120" s="1"/>
  <c r="P141" i="120"/>
  <c r="H141" i="120"/>
  <c r="W140" i="120"/>
  <c r="N140" i="120" s="1"/>
  <c r="O140" i="120" s="1"/>
  <c r="H140" i="120"/>
  <c r="AG139" i="120"/>
  <c r="W139" i="120"/>
  <c r="N139" i="120" s="1"/>
  <c r="P139" i="120"/>
  <c r="H139" i="120"/>
  <c r="W138" i="120"/>
  <c r="N138" i="120" s="1"/>
  <c r="O138" i="120" s="1"/>
  <c r="H138" i="120"/>
  <c r="AG137" i="120"/>
  <c r="W137" i="120"/>
  <c r="N137" i="120" s="1"/>
  <c r="P137" i="120"/>
  <c r="H137" i="120"/>
  <c r="W136" i="120"/>
  <c r="N136" i="120" s="1"/>
  <c r="O136" i="120" s="1"/>
  <c r="H136" i="120"/>
  <c r="W135" i="120"/>
  <c r="N135" i="120" s="1"/>
  <c r="O135" i="120"/>
  <c r="H135" i="120"/>
  <c r="AE134" i="120"/>
  <c r="AD134" i="120"/>
  <c r="AA134" i="120"/>
  <c r="Z134" i="120"/>
  <c r="M134" i="120"/>
  <c r="W133" i="120"/>
  <c r="H133" i="120"/>
  <c r="W132" i="120"/>
  <c r="H132" i="120"/>
  <c r="H131" i="120"/>
  <c r="H130" i="120"/>
  <c r="W129" i="120"/>
  <c r="N129" i="120" s="1"/>
  <c r="O129" i="120" s="1"/>
  <c r="Q129" i="120" s="1"/>
  <c r="P129" i="120"/>
  <c r="H129" i="120"/>
  <c r="W128" i="120"/>
  <c r="N128" i="120" s="1"/>
  <c r="O128" i="120"/>
  <c r="H128" i="120"/>
  <c r="W127" i="120"/>
  <c r="N127" i="120" s="1"/>
  <c r="P127" i="120"/>
  <c r="H127" i="120"/>
  <c r="W126" i="120"/>
  <c r="N126" i="120" s="1"/>
  <c r="O126" i="120"/>
  <c r="H126" i="120"/>
  <c r="W125" i="120"/>
  <c r="N125" i="120" s="1"/>
  <c r="AG125" i="120" s="1"/>
  <c r="P125" i="120"/>
  <c r="H125" i="120"/>
  <c r="W124" i="120"/>
  <c r="N124" i="120" s="1"/>
  <c r="O124" i="120"/>
  <c r="H124" i="120"/>
  <c r="W123" i="120"/>
  <c r="N123" i="120" s="1"/>
  <c r="P123" i="120"/>
  <c r="H123" i="120"/>
  <c r="AF122" i="120"/>
  <c r="W122" i="120"/>
  <c r="O122" i="120"/>
  <c r="N122" i="120"/>
  <c r="P122" i="120"/>
  <c r="H122" i="120"/>
  <c r="AE121" i="120"/>
  <c r="AD121" i="120"/>
  <c r="AA121" i="120"/>
  <c r="Z121" i="120"/>
  <c r="W121" i="120"/>
  <c r="M121" i="120"/>
  <c r="AG120" i="120"/>
  <c r="AF120" i="120"/>
  <c r="W120" i="120"/>
  <c r="H120" i="120"/>
  <c r="AG119" i="120"/>
  <c r="AF119" i="120"/>
  <c r="W119" i="120"/>
  <c r="H119" i="120"/>
  <c r="AG118" i="120"/>
  <c r="AF118" i="120"/>
  <c r="W118" i="120"/>
  <c r="H118" i="120"/>
  <c r="AG117" i="120"/>
  <c r="AF117" i="120"/>
  <c r="H117" i="120"/>
  <c r="W116" i="120"/>
  <c r="N116" i="120" s="1"/>
  <c r="O116" i="120" s="1"/>
  <c r="H116" i="120"/>
  <c r="AG115" i="120"/>
  <c r="W115" i="120"/>
  <c r="N115" i="120" s="1"/>
  <c r="P115" i="120"/>
  <c r="H115" i="120"/>
  <c r="W114" i="120"/>
  <c r="N114" i="120" s="1"/>
  <c r="O114" i="120" s="1"/>
  <c r="H114" i="120"/>
  <c r="AG113" i="120"/>
  <c r="W113" i="120"/>
  <c r="N113" i="120" s="1"/>
  <c r="P113" i="120"/>
  <c r="H113" i="120"/>
  <c r="W112" i="120"/>
  <c r="N112" i="120" s="1"/>
  <c r="O112" i="120" s="1"/>
  <c r="H112" i="120"/>
  <c r="AG111" i="120"/>
  <c r="W111" i="120"/>
  <c r="N111" i="120" s="1"/>
  <c r="P111" i="120"/>
  <c r="H111" i="120"/>
  <c r="W110" i="120"/>
  <c r="N110" i="120" s="1"/>
  <c r="O110" i="120" s="1"/>
  <c r="H110" i="120"/>
  <c r="W109" i="120"/>
  <c r="N109" i="120" s="1"/>
  <c r="O109" i="120"/>
  <c r="H109" i="120"/>
  <c r="AE108" i="120"/>
  <c r="AD108" i="120"/>
  <c r="AA108" i="120"/>
  <c r="Z108" i="120"/>
  <c r="W108" i="120"/>
  <c r="M108" i="120"/>
  <c r="W107" i="120"/>
  <c r="H107" i="120"/>
  <c r="W106" i="120"/>
  <c r="H106" i="120"/>
  <c r="AG105" i="120"/>
  <c r="AF105" i="120"/>
  <c r="W105" i="120"/>
  <c r="H105" i="120"/>
  <c r="AG104" i="120"/>
  <c r="AF104" i="120"/>
  <c r="W104" i="120"/>
  <c r="H104" i="120"/>
  <c r="AG103" i="120"/>
  <c r="AF103" i="120"/>
  <c r="H103" i="120"/>
  <c r="AG102" i="120"/>
  <c r="AF102" i="120"/>
  <c r="H102" i="120"/>
  <c r="W101" i="120"/>
  <c r="P101" i="120"/>
  <c r="N101" i="120"/>
  <c r="H101" i="120"/>
  <c r="W100" i="120"/>
  <c r="P100" i="120"/>
  <c r="N100" i="120"/>
  <c r="H100" i="120"/>
  <c r="W99" i="120"/>
  <c r="P99" i="120"/>
  <c r="N99" i="120"/>
  <c r="H99" i="120"/>
  <c r="W98" i="120"/>
  <c r="P98" i="120"/>
  <c r="N98" i="120"/>
  <c r="H98" i="120"/>
  <c r="W97" i="120"/>
  <c r="P97" i="120"/>
  <c r="N97" i="120"/>
  <c r="O97" i="120" s="1"/>
  <c r="R97" i="120" s="1"/>
  <c r="H97" i="120"/>
  <c r="W96" i="120"/>
  <c r="P96" i="120"/>
  <c r="N96" i="120"/>
  <c r="AG96" i="120" s="1"/>
  <c r="H96" i="120"/>
  <c r="AE95" i="120"/>
  <c r="AD95" i="120"/>
  <c r="AA95" i="120"/>
  <c r="Z95" i="120"/>
  <c r="M95" i="120"/>
  <c r="AG94" i="120"/>
  <c r="AF94" i="120"/>
  <c r="W94" i="120"/>
  <c r="H94" i="120"/>
  <c r="AG93" i="120"/>
  <c r="AF93" i="120"/>
  <c r="W93" i="120"/>
  <c r="H93" i="120"/>
  <c r="AG92" i="120"/>
  <c r="AF92" i="120"/>
  <c r="H92" i="120"/>
  <c r="AG91" i="120"/>
  <c r="AF91" i="120"/>
  <c r="W91" i="120"/>
  <c r="H91" i="120"/>
  <c r="AG90" i="120"/>
  <c r="AF90" i="120"/>
  <c r="H90" i="120"/>
  <c r="AG89" i="120"/>
  <c r="AF89" i="120"/>
  <c r="H89" i="120"/>
  <c r="AG88" i="120"/>
  <c r="AF88" i="120"/>
  <c r="H88" i="120"/>
  <c r="W87" i="120"/>
  <c r="P87" i="120"/>
  <c r="N87" i="120"/>
  <c r="O87" i="120" s="1"/>
  <c r="H87" i="120"/>
  <c r="W86" i="120"/>
  <c r="N86" i="120"/>
  <c r="AF86" i="120" s="1"/>
  <c r="P86" i="120"/>
  <c r="H86" i="120"/>
  <c r="W85" i="120"/>
  <c r="P85" i="120"/>
  <c r="N85" i="120"/>
  <c r="O85" i="120" s="1"/>
  <c r="H85" i="120"/>
  <c r="W84" i="120"/>
  <c r="N84" i="120"/>
  <c r="AF84" i="120" s="1"/>
  <c r="P84" i="120"/>
  <c r="H84" i="120"/>
  <c r="W83" i="120"/>
  <c r="N83" i="120"/>
  <c r="AG83" i="120" s="1"/>
  <c r="H83" i="120"/>
  <c r="AE82" i="120"/>
  <c r="AD82" i="120"/>
  <c r="AA82" i="120"/>
  <c r="Z82" i="120"/>
  <c r="M82" i="120"/>
  <c r="W81" i="120"/>
  <c r="AG80" i="120"/>
  <c r="AF80" i="120"/>
  <c r="W80" i="120"/>
  <c r="H80" i="120"/>
  <c r="AG79" i="120"/>
  <c r="AF79" i="120"/>
  <c r="W79" i="120"/>
  <c r="H79" i="120"/>
  <c r="AG78" i="120"/>
  <c r="AF78" i="120"/>
  <c r="W78" i="120"/>
  <c r="H78" i="120"/>
  <c r="AG77" i="120"/>
  <c r="AF77" i="120"/>
  <c r="H77" i="120"/>
  <c r="AG76" i="120"/>
  <c r="AF76" i="120"/>
  <c r="H76" i="120"/>
  <c r="W75" i="120"/>
  <c r="N75" i="120" s="1"/>
  <c r="P75" i="120"/>
  <c r="H75" i="120"/>
  <c r="AG74" i="120"/>
  <c r="W74" i="120"/>
  <c r="N74" i="120"/>
  <c r="O74" i="120" s="1"/>
  <c r="P74" i="120"/>
  <c r="H74" i="120"/>
  <c r="W73" i="120"/>
  <c r="N73" i="120" s="1"/>
  <c r="P73" i="120"/>
  <c r="H73" i="120"/>
  <c r="AG72" i="120"/>
  <c r="W72" i="120"/>
  <c r="N72" i="120"/>
  <c r="O72" i="120" s="1"/>
  <c r="P72" i="120"/>
  <c r="H72" i="120"/>
  <c r="W71" i="120"/>
  <c r="N71" i="120" s="1"/>
  <c r="P71" i="120"/>
  <c r="H71" i="120"/>
  <c r="W70" i="120"/>
  <c r="N70" i="120" s="1"/>
  <c r="P82" i="120"/>
  <c r="H70" i="120"/>
  <c r="AE69" i="120"/>
  <c r="AD69" i="120"/>
  <c r="AA69" i="120"/>
  <c r="Z69" i="120"/>
  <c r="W69" i="120"/>
  <c r="M69" i="120"/>
  <c r="W68" i="120"/>
  <c r="H68" i="120"/>
  <c r="AG67" i="120"/>
  <c r="AF67" i="120"/>
  <c r="W67" i="120"/>
  <c r="H67" i="120"/>
  <c r="AG66" i="120"/>
  <c r="AF66" i="120"/>
  <c r="W66" i="120"/>
  <c r="H66" i="120"/>
  <c r="AG65" i="120"/>
  <c r="AF65" i="120"/>
  <c r="W65" i="120"/>
  <c r="H65" i="120"/>
  <c r="AG64" i="120"/>
  <c r="AF64" i="120"/>
  <c r="W64" i="120"/>
  <c r="H64" i="120"/>
  <c r="AG63" i="120"/>
  <c r="AF63" i="120"/>
  <c r="W63" i="120"/>
  <c r="H63" i="120"/>
  <c r="AG62" i="120"/>
  <c r="AF62" i="120"/>
  <c r="W62" i="120"/>
  <c r="H62" i="120"/>
  <c r="W61" i="120"/>
  <c r="N61" i="120"/>
  <c r="AF61" i="120" s="1"/>
  <c r="P61" i="120"/>
  <c r="H61" i="120"/>
  <c r="W60" i="120"/>
  <c r="P60" i="120"/>
  <c r="N60" i="120"/>
  <c r="O60" i="120" s="1"/>
  <c r="AG60" i="120"/>
  <c r="H60" i="120"/>
  <c r="W59" i="120"/>
  <c r="N59" i="120"/>
  <c r="AF59" i="120" s="1"/>
  <c r="P59" i="120"/>
  <c r="H59" i="120"/>
  <c r="W58" i="120"/>
  <c r="P58" i="120"/>
  <c r="N58" i="120"/>
  <c r="O58" i="120" s="1"/>
  <c r="AG58" i="120"/>
  <c r="H58" i="120"/>
  <c r="W57" i="120"/>
  <c r="N57" i="120" s="1"/>
  <c r="P57" i="120"/>
  <c r="H57" i="120"/>
  <c r="AE56" i="120"/>
  <c r="AD56" i="120"/>
  <c r="AA56" i="120"/>
  <c r="Z56" i="120"/>
  <c r="W56" i="120"/>
  <c r="M56" i="120"/>
  <c r="W55" i="120"/>
  <c r="H55" i="120"/>
  <c r="AG54" i="120"/>
  <c r="AF54" i="120"/>
  <c r="W54" i="120"/>
  <c r="H54" i="120"/>
  <c r="AG53" i="120"/>
  <c r="AF53" i="120"/>
  <c r="W53" i="120"/>
  <c r="H53" i="120"/>
  <c r="AG52" i="120"/>
  <c r="AF52" i="120"/>
  <c r="W52" i="120"/>
  <c r="H52" i="120"/>
  <c r="AG51" i="120"/>
  <c r="AF51" i="120"/>
  <c r="AG50" i="120"/>
  <c r="AF50" i="120"/>
  <c r="H50" i="120"/>
  <c r="W49" i="120"/>
  <c r="N49" i="120"/>
  <c r="O49" i="120" s="1"/>
  <c r="H49" i="120"/>
  <c r="AG48" i="120"/>
  <c r="W48" i="120"/>
  <c r="N48" i="120" s="1"/>
  <c r="O48" i="120" s="1"/>
  <c r="P48" i="120"/>
  <c r="H48" i="120"/>
  <c r="W47" i="120"/>
  <c r="O47" i="120"/>
  <c r="N47" i="120"/>
  <c r="H47" i="120"/>
  <c r="AF46" i="120"/>
  <c r="W46" i="120"/>
  <c r="N46" i="120" s="1"/>
  <c r="O46" i="120" s="1"/>
  <c r="P46" i="120"/>
  <c r="H46" i="120"/>
  <c r="AG45" i="120"/>
  <c r="W45" i="120"/>
  <c r="O45" i="120"/>
  <c r="N45" i="120"/>
  <c r="AF45" i="120" s="1"/>
  <c r="P45" i="120"/>
  <c r="H45" i="120"/>
  <c r="W44" i="120"/>
  <c r="N44" i="120" s="1"/>
  <c r="P44" i="120"/>
  <c r="P56" i="120"/>
  <c r="H44" i="120"/>
  <c r="AE43" i="120"/>
  <c r="AD43" i="120"/>
  <c r="AA43" i="120"/>
  <c r="Z43" i="120"/>
  <c r="M43" i="120"/>
  <c r="W42" i="120"/>
  <c r="H42" i="120"/>
  <c r="W41" i="120"/>
  <c r="AG40" i="120"/>
  <c r="AF40" i="120"/>
  <c r="W40" i="120"/>
  <c r="H40" i="120"/>
  <c r="AG39" i="120"/>
  <c r="AF39" i="120"/>
  <c r="W39" i="120"/>
  <c r="H39" i="120"/>
  <c r="AG38" i="120"/>
  <c r="AF38" i="120"/>
  <c r="W38" i="120"/>
  <c r="H38" i="120"/>
  <c r="AG37" i="120"/>
  <c r="AF37" i="120"/>
  <c r="W37" i="120"/>
  <c r="H37" i="120"/>
  <c r="AG36" i="120"/>
  <c r="AF36" i="120"/>
  <c r="W36" i="120"/>
  <c r="H36" i="120"/>
  <c r="AG35" i="120"/>
  <c r="AF35" i="120"/>
  <c r="H35" i="120"/>
  <c r="W34" i="120"/>
  <c r="N34" i="120" s="1"/>
  <c r="P34" i="120"/>
  <c r="H34" i="120"/>
  <c r="W33" i="120"/>
  <c r="N33" i="120"/>
  <c r="AF33" i="120" s="1"/>
  <c r="P33" i="120"/>
  <c r="H33" i="120"/>
  <c r="W32" i="120"/>
  <c r="N32" i="120" s="1"/>
  <c r="P32" i="120"/>
  <c r="H32" i="120"/>
  <c r="W31" i="120"/>
  <c r="N31" i="120" s="1"/>
  <c r="P31" i="120"/>
  <c r="H31" i="120"/>
  <c r="AE30" i="120"/>
  <c r="AD30" i="120"/>
  <c r="AA30" i="120"/>
  <c r="Z30" i="120"/>
  <c r="M30" i="120"/>
  <c r="P30" i="120" s="1"/>
  <c r="AF29" i="120"/>
  <c r="W29" i="120"/>
  <c r="H29" i="120"/>
  <c r="AG28" i="120"/>
  <c r="AF28" i="120"/>
  <c r="W28" i="120"/>
  <c r="H28" i="120"/>
  <c r="AG27" i="120"/>
  <c r="AF27" i="120"/>
  <c r="W27" i="120"/>
  <c r="H27" i="120"/>
  <c r="AG26" i="120"/>
  <c r="AF26" i="120"/>
  <c r="W26" i="120"/>
  <c r="H26" i="120"/>
  <c r="AG25" i="120"/>
  <c r="AF25" i="120"/>
  <c r="W25" i="120"/>
  <c r="H25" i="120"/>
  <c r="AG24" i="120"/>
  <c r="AF24" i="120"/>
  <c r="H24" i="120"/>
  <c r="W23" i="120"/>
  <c r="N23" i="120" s="1"/>
  <c r="P23" i="120"/>
  <c r="H23" i="120"/>
  <c r="W22" i="120"/>
  <c r="N22" i="120"/>
  <c r="AF22" i="120" s="1"/>
  <c r="P22" i="120"/>
  <c r="H22" i="120"/>
  <c r="W21" i="120"/>
  <c r="N21" i="120" s="1"/>
  <c r="P21" i="120"/>
  <c r="H21" i="120"/>
  <c r="W20" i="120"/>
  <c r="N20" i="120"/>
  <c r="AF20" i="120" s="1"/>
  <c r="P20" i="120"/>
  <c r="H20" i="120"/>
  <c r="W19" i="120"/>
  <c r="N19" i="120" s="1"/>
  <c r="P19" i="120"/>
  <c r="H19" i="120"/>
  <c r="W18" i="120"/>
  <c r="N18" i="120" s="1"/>
  <c r="P18" i="120"/>
  <c r="H18" i="120"/>
  <c r="AE17" i="120"/>
  <c r="AD17" i="120"/>
  <c r="AA17" i="120"/>
  <c r="Z17" i="120"/>
  <c r="W17" i="120"/>
  <c r="M17" i="120"/>
  <c r="P17" i="120" s="1"/>
  <c r="W16" i="120"/>
  <c r="H16" i="120"/>
  <c r="W15" i="120"/>
  <c r="H15" i="120"/>
  <c r="W14" i="120"/>
  <c r="H14" i="120"/>
  <c r="AG13" i="120"/>
  <c r="AF13" i="120"/>
  <c r="H13" i="120"/>
  <c r="AG12" i="120"/>
  <c r="AF12" i="120"/>
  <c r="H12" i="120"/>
  <c r="AG11" i="120"/>
  <c r="AF11" i="120"/>
  <c r="H11" i="120"/>
  <c r="W10" i="120"/>
  <c r="N10" i="120"/>
  <c r="AF10" i="120" s="1"/>
  <c r="P10" i="120"/>
  <c r="H10" i="120"/>
  <c r="W9" i="120"/>
  <c r="N9" i="120" s="1"/>
  <c r="P9" i="120"/>
  <c r="H9" i="120"/>
  <c r="W8" i="120"/>
  <c r="N8" i="120"/>
  <c r="AF8" i="120" s="1"/>
  <c r="P8" i="120"/>
  <c r="H8" i="120"/>
  <c r="W7" i="120"/>
  <c r="N7" i="120" s="1"/>
  <c r="P7" i="120"/>
  <c r="H7" i="120"/>
  <c r="W6" i="120"/>
  <c r="N6" i="120"/>
  <c r="AF6" i="120" s="1"/>
  <c r="P6" i="120"/>
  <c r="H6" i="120"/>
  <c r="W5" i="120"/>
  <c r="N5" i="120"/>
  <c r="O5" i="120" s="1"/>
  <c r="P5" i="120"/>
  <c r="H5" i="120"/>
  <c r="AE2" i="120"/>
  <c r="AD2" i="120"/>
  <c r="AA2" i="120"/>
  <c r="Z2" i="120"/>
  <c r="I2" i="120"/>
  <c r="I1" i="120"/>
  <c r="E1" i="120"/>
  <c r="G1" i="120" l="1"/>
  <c r="G2" i="120" s="1"/>
  <c r="AF19" i="120"/>
  <c r="AG19" i="120"/>
  <c r="O19" i="120"/>
  <c r="AG32" i="120"/>
  <c r="AF32" i="120"/>
  <c r="O32" i="120"/>
  <c r="AG21" i="120"/>
  <c r="AF21" i="120"/>
  <c r="O21" i="120"/>
  <c r="Q49" i="120"/>
  <c r="AF9" i="120"/>
  <c r="AG9" i="120"/>
  <c r="O9" i="120"/>
  <c r="AG18" i="120"/>
  <c r="N30" i="120"/>
  <c r="AF18" i="120"/>
  <c r="O18" i="120"/>
  <c r="AG31" i="120"/>
  <c r="N43" i="120"/>
  <c r="AF31" i="120"/>
  <c r="O31" i="120"/>
  <c r="AG34" i="120"/>
  <c r="AF34" i="120"/>
  <c r="O34" i="120"/>
  <c r="P43" i="120"/>
  <c r="Q48" i="120"/>
  <c r="R5" i="120"/>
  <c r="O17" i="120"/>
  <c r="Q5" i="120"/>
  <c r="AF7" i="120"/>
  <c r="AG7" i="120"/>
  <c r="O7" i="120"/>
  <c r="AG23" i="120"/>
  <c r="AF23" i="120"/>
  <c r="O23" i="120"/>
  <c r="AG44" i="120"/>
  <c r="AF44" i="120"/>
  <c r="N56" i="120"/>
  <c r="O44" i="120"/>
  <c r="AF5" i="120"/>
  <c r="AG6" i="120"/>
  <c r="AG8" i="120"/>
  <c r="AG10" i="120"/>
  <c r="AG20" i="120"/>
  <c r="AG22" i="120"/>
  <c r="AG33" i="120"/>
  <c r="R46" i="120"/>
  <c r="AF47" i="120"/>
  <c r="AG47" i="120"/>
  <c r="AF48" i="120"/>
  <c r="P69" i="120"/>
  <c r="AG73" i="120"/>
  <c r="AF73" i="120"/>
  <c r="O73" i="120"/>
  <c r="P49" i="120"/>
  <c r="R49" i="120"/>
  <c r="R60" i="120"/>
  <c r="R72" i="120"/>
  <c r="Q72" i="120"/>
  <c r="AG75" i="120"/>
  <c r="AF75" i="120"/>
  <c r="O75" i="120"/>
  <c r="R110" i="120"/>
  <c r="Q110" i="120"/>
  <c r="R114" i="120"/>
  <c r="O8" i="120"/>
  <c r="O10" i="120"/>
  <c r="O20" i="120"/>
  <c r="O22" i="120"/>
  <c r="O33" i="120"/>
  <c r="Q45" i="120"/>
  <c r="AG46" i="120"/>
  <c r="P47" i="120"/>
  <c r="Q47" i="120"/>
  <c r="AG57" i="120"/>
  <c r="N69" i="120"/>
  <c r="AF57" i="120"/>
  <c r="O57" i="120"/>
  <c r="N82" i="120"/>
  <c r="AF70" i="120"/>
  <c r="O70" i="120"/>
  <c r="AG70" i="120"/>
  <c r="R74" i="120"/>
  <c r="Q74" i="120"/>
  <c r="R136" i="120"/>
  <c r="Q136" i="120"/>
  <c r="R140" i="120"/>
  <c r="Q140" i="120"/>
  <c r="AG5" i="120"/>
  <c r="N17" i="120"/>
  <c r="O6" i="120"/>
  <c r="Q46" i="120"/>
  <c r="R48" i="120"/>
  <c r="AF49" i="120"/>
  <c r="AG49" i="120"/>
  <c r="Q58" i="120"/>
  <c r="AG71" i="120"/>
  <c r="AF71" i="120"/>
  <c r="O71" i="120"/>
  <c r="R85" i="120"/>
  <c r="Q85" i="120"/>
  <c r="R87" i="120"/>
  <c r="AG59" i="120"/>
  <c r="AG61" i="120"/>
  <c r="AF72" i="120"/>
  <c r="AF74" i="120"/>
  <c r="P83" i="120"/>
  <c r="O84" i="120"/>
  <c r="AF85" i="120"/>
  <c r="O86" i="120"/>
  <c r="AF87" i="120"/>
  <c r="AF97" i="120"/>
  <c r="P121" i="120"/>
  <c r="P109" i="120"/>
  <c r="N121" i="120"/>
  <c r="AG109" i="120"/>
  <c r="AF109" i="120"/>
  <c r="P110" i="120"/>
  <c r="AF113" i="120"/>
  <c r="O113" i="120"/>
  <c r="Q114" i="120"/>
  <c r="P114" i="120"/>
  <c r="Q122" i="120"/>
  <c r="AG124" i="120"/>
  <c r="AF124" i="120"/>
  <c r="AG128" i="120"/>
  <c r="AF128" i="120"/>
  <c r="Q135" i="120"/>
  <c r="AF137" i="120"/>
  <c r="O137" i="120"/>
  <c r="R138" i="120"/>
  <c r="P138" i="120"/>
  <c r="AF141" i="120"/>
  <c r="O141" i="120"/>
  <c r="R142" i="120"/>
  <c r="P142" i="120"/>
  <c r="R150" i="120"/>
  <c r="Q150" i="120"/>
  <c r="R165" i="120"/>
  <c r="Q165" i="120"/>
  <c r="AG5" i="121"/>
  <c r="N17" i="121"/>
  <c r="AF5" i="121"/>
  <c r="O5" i="121"/>
  <c r="AF34" i="121"/>
  <c r="O34" i="121"/>
  <c r="AG34" i="121"/>
  <c r="Q46" i="121"/>
  <c r="O100" i="121"/>
  <c r="AG100" i="121"/>
  <c r="AF100" i="121"/>
  <c r="AG111" i="121"/>
  <c r="AF111" i="121"/>
  <c r="O111" i="121"/>
  <c r="R113" i="121"/>
  <c r="AF58" i="120"/>
  <c r="AF60" i="120"/>
  <c r="AG85" i="120"/>
  <c r="Q87" i="120"/>
  <c r="AG87" i="120"/>
  <c r="Q97" i="120"/>
  <c r="AG97" i="120"/>
  <c r="O99" i="120"/>
  <c r="AG99" i="120"/>
  <c r="AF99" i="120"/>
  <c r="O101" i="120"/>
  <c r="AG101" i="120"/>
  <c r="AF101" i="120"/>
  <c r="P108" i="120"/>
  <c r="AG112" i="120"/>
  <c r="AF112" i="120"/>
  <c r="AG116" i="120"/>
  <c r="AF116" i="120"/>
  <c r="AF123" i="120"/>
  <c r="O123" i="120"/>
  <c r="P124" i="120"/>
  <c r="R126" i="120"/>
  <c r="AF127" i="120"/>
  <c r="O127" i="120"/>
  <c r="P128" i="120"/>
  <c r="AG136" i="120"/>
  <c r="AF136" i="120"/>
  <c r="AG140" i="120"/>
  <c r="AF140" i="120"/>
  <c r="N160" i="120"/>
  <c r="AF148" i="120"/>
  <c r="O148" i="120"/>
  <c r="AG148" i="120"/>
  <c r="AG151" i="120"/>
  <c r="AF151" i="120"/>
  <c r="O151" i="120"/>
  <c r="AF152" i="120"/>
  <c r="AG162" i="120"/>
  <c r="AF162" i="120"/>
  <c r="O162" i="120"/>
  <c r="AF163" i="120"/>
  <c r="G1" i="121"/>
  <c r="G2" i="121" s="1"/>
  <c r="AG8" i="121"/>
  <c r="AF8" i="121"/>
  <c r="O8" i="121"/>
  <c r="AG10" i="121"/>
  <c r="AF10" i="121"/>
  <c r="O10" i="121"/>
  <c r="AG33" i="121"/>
  <c r="AF33" i="121"/>
  <c r="O33" i="121"/>
  <c r="R58" i="120"/>
  <c r="O59" i="120"/>
  <c r="Q60" i="120"/>
  <c r="O61" i="120"/>
  <c r="P70" i="120"/>
  <c r="AF83" i="120"/>
  <c r="P95" i="120"/>
  <c r="O96" i="120"/>
  <c r="N108" i="120"/>
  <c r="R109" i="120"/>
  <c r="Q109" i="120"/>
  <c r="AF111" i="120"/>
  <c r="O111" i="120"/>
  <c r="Q112" i="120"/>
  <c r="P112" i="120"/>
  <c r="AF115" i="120"/>
  <c r="O115" i="120"/>
  <c r="Q116" i="120"/>
  <c r="P116" i="120"/>
  <c r="N134" i="120"/>
  <c r="AG123" i="120"/>
  <c r="AG126" i="120"/>
  <c r="AF126" i="120"/>
  <c r="AG127" i="120"/>
  <c r="P147" i="120"/>
  <c r="P135" i="120"/>
  <c r="AG135" i="120"/>
  <c r="N147" i="120"/>
  <c r="AF135" i="120"/>
  <c r="P136" i="120"/>
  <c r="AF139" i="120"/>
  <c r="O139" i="120"/>
  <c r="P140" i="120"/>
  <c r="R152" i="120"/>
  <c r="Q152" i="120"/>
  <c r="R163" i="120"/>
  <c r="Q163" i="120"/>
  <c r="P6" i="121"/>
  <c r="N43" i="121"/>
  <c r="AG60" i="121"/>
  <c r="AF60" i="121"/>
  <c r="O60" i="121"/>
  <c r="R71" i="121"/>
  <c r="O83" i="120"/>
  <c r="AG84" i="120"/>
  <c r="AG86" i="120"/>
  <c r="N95" i="120"/>
  <c r="AF96" i="120"/>
  <c r="AG98" i="120"/>
  <c r="O98" i="120"/>
  <c r="AF98" i="120"/>
  <c r="AG100" i="120"/>
  <c r="O100" i="120"/>
  <c r="AF100" i="120"/>
  <c r="AG110" i="120"/>
  <c r="AF110" i="120"/>
  <c r="AG114" i="120"/>
  <c r="AF114" i="120"/>
  <c r="R124" i="120"/>
  <c r="Q124" i="120"/>
  <c r="AF125" i="120"/>
  <c r="O125" i="120"/>
  <c r="Q126" i="120"/>
  <c r="P126" i="120"/>
  <c r="R128" i="120"/>
  <c r="Q128" i="120"/>
  <c r="R129" i="120"/>
  <c r="AG138" i="120"/>
  <c r="AF138" i="120"/>
  <c r="AG142" i="120"/>
  <c r="AF142" i="120"/>
  <c r="AG149" i="120"/>
  <c r="AF149" i="120"/>
  <c r="O149" i="120"/>
  <c r="AF150" i="120"/>
  <c r="AG153" i="120"/>
  <c r="AF153" i="120"/>
  <c r="O153" i="120"/>
  <c r="P160" i="120"/>
  <c r="AF161" i="120"/>
  <c r="N173" i="120"/>
  <c r="O161" i="120"/>
  <c r="AG161" i="120"/>
  <c r="AG164" i="120"/>
  <c r="AF164" i="120"/>
  <c r="O164" i="120"/>
  <c r="AF165" i="120"/>
  <c r="P173" i="120"/>
  <c r="O9" i="121"/>
  <c r="AG9" i="121"/>
  <c r="AF9" i="121"/>
  <c r="R20" i="121"/>
  <c r="Q20" i="121"/>
  <c r="AG48" i="121"/>
  <c r="AF48" i="121"/>
  <c r="O48" i="121"/>
  <c r="R58" i="121"/>
  <c r="Q58" i="121"/>
  <c r="R122" i="120"/>
  <c r="AG122" i="120"/>
  <c r="AG150" i="120"/>
  <c r="AG152" i="120"/>
  <c r="AG163" i="120"/>
  <c r="AG165" i="120"/>
  <c r="R7" i="121"/>
  <c r="O18" i="121"/>
  <c r="AG18" i="121"/>
  <c r="N30" i="121"/>
  <c r="R32" i="121"/>
  <c r="AG46" i="121"/>
  <c r="AF46" i="121"/>
  <c r="P69" i="121"/>
  <c r="P57" i="121"/>
  <c r="N69" i="121"/>
  <c r="AG57" i="121"/>
  <c r="AF57" i="121"/>
  <c r="AG58" i="121"/>
  <c r="AF58" i="121"/>
  <c r="P71" i="121"/>
  <c r="Q71" i="121"/>
  <c r="P134" i="120"/>
  <c r="AG6" i="121"/>
  <c r="AF6" i="121"/>
  <c r="P10" i="121"/>
  <c r="AF19" i="121"/>
  <c r="O19" i="121"/>
  <c r="AG20" i="121"/>
  <c r="AF20" i="121"/>
  <c r="AF21" i="121"/>
  <c r="O21" i="121"/>
  <c r="AG22" i="121"/>
  <c r="AF22" i="121"/>
  <c r="AF23" i="121"/>
  <c r="O23" i="121"/>
  <c r="O31" i="121"/>
  <c r="AG31" i="121"/>
  <c r="P43" i="121"/>
  <c r="Q61" i="121"/>
  <c r="AG97" i="121"/>
  <c r="AF97" i="121"/>
  <c r="O97" i="121"/>
  <c r="O6" i="121"/>
  <c r="AG7" i="121"/>
  <c r="P8" i="121"/>
  <c r="P17" i="121"/>
  <c r="AG19" i="121"/>
  <c r="P20" i="121"/>
  <c r="AG21" i="121"/>
  <c r="R22" i="121"/>
  <c r="P22" i="121"/>
  <c r="AG23" i="121"/>
  <c r="P30" i="121"/>
  <c r="AF31" i="121"/>
  <c r="Q32" i="121"/>
  <c r="R44" i="121"/>
  <c r="R46" i="121"/>
  <c r="P56" i="121"/>
  <c r="I1" i="121"/>
  <c r="O57" i="121"/>
  <c r="N82" i="121"/>
  <c r="AG70" i="121"/>
  <c r="AF70" i="121"/>
  <c r="O70" i="121"/>
  <c r="R84" i="121"/>
  <c r="Q84" i="121"/>
  <c r="AG101" i="121"/>
  <c r="AF101" i="121"/>
  <c r="O101" i="121"/>
  <c r="AG44" i="121"/>
  <c r="N56" i="121"/>
  <c r="P70" i="121"/>
  <c r="R74" i="121"/>
  <c r="AG85" i="121"/>
  <c r="AF85" i="121"/>
  <c r="O85" i="121"/>
  <c r="AF86" i="121"/>
  <c r="N108" i="121"/>
  <c r="AF96" i="121"/>
  <c r="O96" i="121"/>
  <c r="AG96" i="121"/>
  <c r="R110" i="121"/>
  <c r="P111" i="121"/>
  <c r="P121" i="121"/>
  <c r="AG113" i="121"/>
  <c r="AF113" i="121"/>
  <c r="AF122" i="121"/>
  <c r="N134" i="121"/>
  <c r="AG122" i="121"/>
  <c r="O122" i="121"/>
  <c r="O45" i="121"/>
  <c r="O47" i="121"/>
  <c r="O49" i="121"/>
  <c r="O59" i="121"/>
  <c r="AF61" i="121"/>
  <c r="O72" i="121"/>
  <c r="AF72" i="121"/>
  <c r="Q74" i="121"/>
  <c r="AG75" i="121"/>
  <c r="AF75" i="121"/>
  <c r="P82" i="121"/>
  <c r="N95" i="121"/>
  <c r="O83" i="121"/>
  <c r="AG83" i="121"/>
  <c r="AF83" i="121"/>
  <c r="R86" i="121"/>
  <c r="Q86" i="121"/>
  <c r="O98" i="121"/>
  <c r="AG98" i="121"/>
  <c r="AG99" i="121"/>
  <c r="AF99" i="121"/>
  <c r="O99" i="121"/>
  <c r="N121" i="121"/>
  <c r="O109" i="121"/>
  <c r="AG109" i="121"/>
  <c r="AG61" i="121"/>
  <c r="O73" i="121"/>
  <c r="AG73" i="121"/>
  <c r="Q75" i="121"/>
  <c r="P75" i="121"/>
  <c r="AF84" i="121"/>
  <c r="AG87" i="121"/>
  <c r="AF87" i="121"/>
  <c r="O87" i="121"/>
  <c r="AF98" i="121"/>
  <c r="AF109" i="121"/>
  <c r="Q110" i="121"/>
  <c r="Q113" i="121"/>
  <c r="AG116" i="121"/>
  <c r="AG123" i="121"/>
  <c r="AF123" i="121"/>
  <c r="O123" i="121"/>
  <c r="AG125" i="121"/>
  <c r="AF125" i="121"/>
  <c r="O125" i="121"/>
  <c r="AG127" i="121"/>
  <c r="AF127" i="121"/>
  <c r="O127" i="121"/>
  <c r="R128" i="121"/>
  <c r="Q128" i="121"/>
  <c r="AG136" i="121"/>
  <c r="AF136" i="121"/>
  <c r="AG140" i="121"/>
  <c r="AF140" i="121"/>
  <c r="N160" i="121"/>
  <c r="AF148" i="121"/>
  <c r="O148" i="121"/>
  <c r="AG148" i="121"/>
  <c r="AG151" i="121"/>
  <c r="AF151" i="121"/>
  <c r="O151" i="121"/>
  <c r="AF152" i="121"/>
  <c r="AG162" i="121"/>
  <c r="AF162" i="121"/>
  <c r="O162" i="121"/>
  <c r="R163" i="121"/>
  <c r="Q163" i="121"/>
  <c r="AG84" i="121"/>
  <c r="AG86" i="121"/>
  <c r="R115" i="121"/>
  <c r="Q116" i="121"/>
  <c r="P122" i="121"/>
  <c r="Q129" i="121"/>
  <c r="P147" i="121"/>
  <c r="P135" i="121"/>
  <c r="AG135" i="121"/>
  <c r="N147" i="121"/>
  <c r="AF135" i="121"/>
  <c r="P136" i="121"/>
  <c r="Q138" i="121"/>
  <c r="AF139" i="121"/>
  <c r="O139" i="121"/>
  <c r="P140" i="121"/>
  <c r="R142" i="121"/>
  <c r="Q142" i="121"/>
  <c r="R152" i="121"/>
  <c r="Q152" i="121"/>
  <c r="AG164" i="121"/>
  <c r="AF164" i="121"/>
  <c r="O164" i="121"/>
  <c r="O165" i="121"/>
  <c r="AG165" i="121"/>
  <c r="O114" i="121"/>
  <c r="AG115" i="121"/>
  <c r="AF124" i="121"/>
  <c r="AF126" i="121"/>
  <c r="Q130" i="121"/>
  <c r="AG138" i="121"/>
  <c r="AF138" i="121"/>
  <c r="AG139" i="121"/>
  <c r="AG142" i="121"/>
  <c r="AF142" i="121"/>
  <c r="AG149" i="121"/>
  <c r="AF149" i="121"/>
  <c r="O149" i="121"/>
  <c r="AF150" i="121"/>
  <c r="AF165" i="121"/>
  <c r="P173" i="121"/>
  <c r="Q115" i="121"/>
  <c r="R124" i="121"/>
  <c r="Q124" i="121"/>
  <c r="R126" i="121"/>
  <c r="Q126" i="121"/>
  <c r="AF128" i="121"/>
  <c r="R129" i="121"/>
  <c r="R130" i="121"/>
  <c r="O135" i="121"/>
  <c r="O136" i="121"/>
  <c r="AF137" i="121"/>
  <c r="O137" i="121"/>
  <c r="R138" i="121"/>
  <c r="P138" i="121"/>
  <c r="O140" i="121"/>
  <c r="AF141" i="121"/>
  <c r="O141" i="121"/>
  <c r="P142" i="121"/>
  <c r="R150" i="121"/>
  <c r="Q150" i="121"/>
  <c r="P160" i="121"/>
  <c r="AF161" i="121"/>
  <c r="N173" i="121"/>
  <c r="O161" i="121"/>
  <c r="AF163" i="121"/>
  <c r="AG124" i="121"/>
  <c r="AG126" i="121"/>
  <c r="AG128" i="121"/>
  <c r="AG150" i="121"/>
  <c r="AG152" i="121"/>
  <c r="AG163" i="121"/>
  <c r="R72" i="121" l="1"/>
  <c r="Q72" i="121"/>
  <c r="R47" i="121"/>
  <c r="Q47" i="121"/>
  <c r="Q96" i="121"/>
  <c r="R96" i="121"/>
  <c r="O108" i="121"/>
  <c r="Q85" i="121"/>
  <c r="R85" i="121"/>
  <c r="R75" i="121"/>
  <c r="Q101" i="121"/>
  <c r="R101" i="121"/>
  <c r="Q6" i="121"/>
  <c r="R6" i="121"/>
  <c r="R21" i="121"/>
  <c r="Q21" i="121"/>
  <c r="Q149" i="121"/>
  <c r="R149" i="121"/>
  <c r="R165" i="121"/>
  <c r="Q165" i="121"/>
  <c r="AG160" i="121"/>
  <c r="AH148" i="121" s="1"/>
  <c r="AF160" i="121"/>
  <c r="R83" i="121"/>
  <c r="Q83" i="121"/>
  <c r="O95" i="121"/>
  <c r="R45" i="121"/>
  <c r="Q45" i="121"/>
  <c r="AF56" i="121"/>
  <c r="AG56" i="121"/>
  <c r="AH44" i="121" s="1"/>
  <c r="Q56" i="121"/>
  <c r="Q69" i="121"/>
  <c r="AG69" i="121"/>
  <c r="AH57" i="121" s="1"/>
  <c r="AF69" i="121"/>
  <c r="O30" i="121"/>
  <c r="R18" i="121"/>
  <c r="Q18" i="121"/>
  <c r="Q100" i="120"/>
  <c r="R100" i="120"/>
  <c r="R60" i="121"/>
  <c r="Q60" i="121"/>
  <c r="AF134" i="120"/>
  <c r="AG134" i="120"/>
  <c r="AH122" i="120" s="1"/>
  <c r="R115" i="120"/>
  <c r="Q115" i="120"/>
  <c r="R111" i="120"/>
  <c r="Q111" i="120"/>
  <c r="AF108" i="120"/>
  <c r="AG108" i="120"/>
  <c r="AH96" i="120" s="1"/>
  <c r="AG160" i="120"/>
  <c r="AH148" i="120" s="1"/>
  <c r="AF160" i="120"/>
  <c r="R116" i="121"/>
  <c r="R111" i="121"/>
  <c r="Q111" i="121"/>
  <c r="Q22" i="121"/>
  <c r="AG17" i="121"/>
  <c r="AH5" i="121" s="1"/>
  <c r="AF17" i="121"/>
  <c r="R135" i="120"/>
  <c r="Q71" i="120"/>
  <c r="R71" i="120"/>
  <c r="Q142" i="120"/>
  <c r="Q138" i="120"/>
  <c r="AG69" i="120"/>
  <c r="AH57" i="120" s="1"/>
  <c r="Q69" i="120"/>
  <c r="AF69" i="120"/>
  <c r="R33" i="120"/>
  <c r="Q33" i="120"/>
  <c r="R116" i="120"/>
  <c r="R112" i="120"/>
  <c r="Q75" i="120"/>
  <c r="R75" i="120"/>
  <c r="Q73" i="120"/>
  <c r="R73" i="120"/>
  <c r="AF43" i="120"/>
  <c r="Q43" i="120"/>
  <c r="AG43" i="120"/>
  <c r="AH31" i="120" s="1"/>
  <c r="AF30" i="120"/>
  <c r="AG30" i="120"/>
  <c r="AH18" i="120" s="1"/>
  <c r="Q127" i="121"/>
  <c r="R127" i="121"/>
  <c r="R98" i="121"/>
  <c r="Q98" i="121"/>
  <c r="R23" i="121"/>
  <c r="Q23" i="121"/>
  <c r="R19" i="121"/>
  <c r="Q19" i="121"/>
  <c r="Q161" i="121"/>
  <c r="O173" i="121"/>
  <c r="R161" i="121"/>
  <c r="R136" i="121"/>
  <c r="Q136" i="121"/>
  <c r="AG173" i="121"/>
  <c r="AH161" i="121" s="1"/>
  <c r="AF173" i="121"/>
  <c r="R141" i="121"/>
  <c r="Q141" i="121"/>
  <c r="O147" i="121"/>
  <c r="R135" i="121"/>
  <c r="Q135" i="121"/>
  <c r="Q164" i="121"/>
  <c r="R164" i="121"/>
  <c r="AG147" i="121"/>
  <c r="AH135" i="121" s="1"/>
  <c r="AF147" i="121"/>
  <c r="Q123" i="121"/>
  <c r="R123" i="121"/>
  <c r="R73" i="121"/>
  <c r="Q73" i="121"/>
  <c r="O121" i="121"/>
  <c r="R109" i="121"/>
  <c r="Q109" i="121"/>
  <c r="AG95" i="121"/>
  <c r="AH83" i="121" s="1"/>
  <c r="AF95" i="121"/>
  <c r="R59" i="121"/>
  <c r="Q59" i="121"/>
  <c r="O134" i="121"/>
  <c r="Q122" i="121"/>
  <c r="R122" i="121"/>
  <c r="AG108" i="121"/>
  <c r="AH96" i="121" s="1"/>
  <c r="AF108" i="121"/>
  <c r="AG82" i="121"/>
  <c r="AH70" i="121" s="1"/>
  <c r="AF82" i="121"/>
  <c r="Q82" i="121"/>
  <c r="Q83" i="120"/>
  <c r="R83" i="120"/>
  <c r="O95" i="120"/>
  <c r="O108" i="120"/>
  <c r="R96" i="120"/>
  <c r="Q96" i="120"/>
  <c r="R59" i="120"/>
  <c r="Q59" i="120"/>
  <c r="Q8" i="121"/>
  <c r="R8" i="121"/>
  <c r="R123" i="120"/>
  <c r="Q123" i="120"/>
  <c r="Q99" i="120"/>
  <c r="R99" i="120"/>
  <c r="R100" i="121"/>
  <c r="Q100" i="121"/>
  <c r="R141" i="120"/>
  <c r="Q141" i="120"/>
  <c r="R137" i="120"/>
  <c r="Q137" i="120"/>
  <c r="O147" i="120"/>
  <c r="R113" i="120"/>
  <c r="Q113" i="120"/>
  <c r="Q86" i="120"/>
  <c r="R86" i="120"/>
  <c r="R6" i="120"/>
  <c r="Q6" i="120"/>
  <c r="AF82" i="120"/>
  <c r="Q82" i="120"/>
  <c r="AG82" i="120"/>
  <c r="AH70" i="120" s="1"/>
  <c r="R10" i="120"/>
  <c r="Q10" i="120"/>
  <c r="O121" i="120"/>
  <c r="R19" i="120"/>
  <c r="Q19" i="120"/>
  <c r="R137" i="121"/>
  <c r="Q137" i="121"/>
  <c r="R114" i="121"/>
  <c r="Q114" i="121"/>
  <c r="R139" i="121"/>
  <c r="Q139" i="121"/>
  <c r="Q162" i="121"/>
  <c r="R162" i="121"/>
  <c r="Q151" i="121"/>
  <c r="R151" i="121"/>
  <c r="Q148" i="121"/>
  <c r="R148" i="121"/>
  <c r="O160" i="121"/>
  <c r="Q125" i="121"/>
  <c r="R125" i="121"/>
  <c r="Q87" i="121"/>
  <c r="R87" i="121"/>
  <c r="AG121" i="121"/>
  <c r="AH109" i="121" s="1"/>
  <c r="AF121" i="121"/>
  <c r="R49" i="121"/>
  <c r="Q49" i="121"/>
  <c r="O82" i="121"/>
  <c r="R70" i="121"/>
  <c r="Q70" i="121"/>
  <c r="R57" i="121"/>
  <c r="Q57" i="121"/>
  <c r="O69" i="121"/>
  <c r="R69" i="121" s="1"/>
  <c r="S57" i="121" s="1"/>
  <c r="Q97" i="121"/>
  <c r="R97" i="121"/>
  <c r="O43" i="121"/>
  <c r="R43" i="121" s="1"/>
  <c r="S31" i="121" s="1"/>
  <c r="R31" i="121"/>
  <c r="Q31" i="121"/>
  <c r="AG30" i="121"/>
  <c r="AH18" i="121" s="1"/>
  <c r="AF30" i="121"/>
  <c r="Q164" i="120"/>
  <c r="R164" i="120"/>
  <c r="O173" i="120"/>
  <c r="Q161" i="120"/>
  <c r="R161" i="120"/>
  <c r="Q153" i="120"/>
  <c r="R153" i="120"/>
  <c r="Q149" i="120"/>
  <c r="R149" i="120"/>
  <c r="R125" i="120"/>
  <c r="Q125" i="120"/>
  <c r="O134" i="120"/>
  <c r="AG95" i="120"/>
  <c r="AH83" i="120" s="1"/>
  <c r="AF95" i="120"/>
  <c r="R139" i="120"/>
  <c r="Q139" i="120"/>
  <c r="Q10" i="121"/>
  <c r="R10" i="121"/>
  <c r="Q162" i="120"/>
  <c r="R162" i="120"/>
  <c r="Q151" i="120"/>
  <c r="R151" i="120"/>
  <c r="Q148" i="120"/>
  <c r="R148" i="120"/>
  <c r="O160" i="120"/>
  <c r="Q101" i="120"/>
  <c r="R101" i="120"/>
  <c r="R34" i="121"/>
  <c r="Q34" i="121"/>
  <c r="O17" i="121"/>
  <c r="R5" i="121"/>
  <c r="Q5" i="121"/>
  <c r="AF17" i="120"/>
  <c r="AG17" i="120"/>
  <c r="AH5" i="120" s="1"/>
  <c r="O69" i="120"/>
  <c r="R69" i="120" s="1"/>
  <c r="S57" i="120" s="1"/>
  <c r="R57" i="120"/>
  <c r="Q57" i="120"/>
  <c r="R47" i="120"/>
  <c r="R22" i="120"/>
  <c r="Q22" i="120"/>
  <c r="R8" i="120"/>
  <c r="Q8" i="120"/>
  <c r="R44" i="120"/>
  <c r="O56" i="120"/>
  <c r="Q44" i="120"/>
  <c r="R45" i="120"/>
  <c r="R7" i="120"/>
  <c r="Q7" i="120"/>
  <c r="O43" i="120"/>
  <c r="R43" i="120" s="1"/>
  <c r="S31" i="120" s="1"/>
  <c r="R31" i="120"/>
  <c r="Q31" i="120"/>
  <c r="O30" i="120"/>
  <c r="R18" i="120"/>
  <c r="Q18" i="120"/>
  <c r="R9" i="120"/>
  <c r="Q9" i="120"/>
  <c r="R32" i="120"/>
  <c r="Q32" i="120"/>
  <c r="R140" i="121"/>
  <c r="Q140" i="121"/>
  <c r="Q99" i="121"/>
  <c r="R99" i="121"/>
  <c r="AF134" i="121"/>
  <c r="AG134" i="121"/>
  <c r="AH122" i="121" s="1"/>
  <c r="O56" i="121"/>
  <c r="R56" i="121" s="1"/>
  <c r="S44" i="121" s="1"/>
  <c r="R48" i="121"/>
  <c r="Q48" i="121"/>
  <c r="R9" i="121"/>
  <c r="Q9" i="121"/>
  <c r="AF173" i="120"/>
  <c r="AG173" i="120"/>
  <c r="AH161" i="120" s="1"/>
  <c r="Q98" i="120"/>
  <c r="R98" i="120"/>
  <c r="Q43" i="121"/>
  <c r="AG43" i="121"/>
  <c r="AH31" i="121" s="1"/>
  <c r="AF43" i="121"/>
  <c r="AG147" i="120"/>
  <c r="AH135" i="120" s="1"/>
  <c r="AF147" i="120"/>
  <c r="R61" i="120"/>
  <c r="Q61" i="120"/>
  <c r="R33" i="121"/>
  <c r="Q33" i="121"/>
  <c r="R127" i="120"/>
  <c r="Q127" i="120"/>
  <c r="AG121" i="120"/>
  <c r="AH109" i="120" s="1"/>
  <c r="AF121" i="120"/>
  <c r="Q84" i="120"/>
  <c r="R84" i="120"/>
  <c r="Q70" i="120"/>
  <c r="O82" i="120"/>
  <c r="R82" i="120" s="1"/>
  <c r="S70" i="120" s="1"/>
  <c r="R70" i="120"/>
  <c r="R20" i="120"/>
  <c r="Q20" i="120"/>
  <c r="AF56" i="120"/>
  <c r="AG56" i="120"/>
  <c r="AH44" i="120" s="1"/>
  <c r="Q56" i="120"/>
  <c r="R23" i="120"/>
  <c r="Q23" i="120"/>
  <c r="R17" i="120"/>
  <c r="S5" i="120" s="1"/>
  <c r="Q17" i="120"/>
  <c r="R34" i="120"/>
  <c r="Q34" i="120"/>
  <c r="R21" i="120"/>
  <c r="Q21" i="120"/>
  <c r="R30" i="120" l="1"/>
  <c r="S18" i="120" s="1"/>
  <c r="Q30" i="120"/>
  <c r="R56" i="120"/>
  <c r="S44" i="120" s="1"/>
  <c r="R134" i="120"/>
  <c r="S122" i="120" s="1"/>
  <c r="Q134" i="120"/>
  <c r="R82" i="121"/>
  <c r="S70" i="121" s="1"/>
  <c r="R95" i="120"/>
  <c r="S83" i="120" s="1"/>
  <c r="Q95" i="120"/>
  <c r="E2" i="120"/>
  <c r="Q173" i="120"/>
  <c r="R173" i="120"/>
  <c r="S161" i="120" s="1"/>
  <c r="R121" i="120"/>
  <c r="S109" i="120" s="1"/>
  <c r="Q121" i="120"/>
  <c r="R147" i="121"/>
  <c r="S135" i="121" s="1"/>
  <c r="Q147" i="121"/>
  <c r="R173" i="121"/>
  <c r="S161" i="121" s="1"/>
  <c r="Q173" i="121"/>
  <c r="R95" i="121"/>
  <c r="S83" i="121" s="1"/>
  <c r="Q95" i="121"/>
  <c r="R108" i="121"/>
  <c r="S96" i="121" s="1"/>
  <c r="Q108" i="121"/>
  <c r="Q17" i="121"/>
  <c r="E2" i="121"/>
  <c r="R17" i="121"/>
  <c r="S5" i="121" s="1"/>
  <c r="R160" i="121"/>
  <c r="S148" i="121" s="1"/>
  <c r="Q160" i="121"/>
  <c r="R147" i="120"/>
  <c r="S135" i="120" s="1"/>
  <c r="Q147" i="120"/>
  <c r="R121" i="121"/>
  <c r="S109" i="121" s="1"/>
  <c r="Q121" i="121"/>
  <c r="R160" i="120"/>
  <c r="S148" i="120" s="1"/>
  <c r="Q160" i="120"/>
  <c r="R108" i="120"/>
  <c r="S96" i="120" s="1"/>
  <c r="Q108" i="120"/>
  <c r="R134" i="121"/>
  <c r="S122" i="121" s="1"/>
  <c r="Q134" i="121"/>
  <c r="Q30" i="121"/>
  <c r="R30" i="121"/>
  <c r="S18" i="121" s="1"/>
  <c r="J124" i="119" l="1"/>
  <c r="H123" i="119"/>
  <c r="H119" i="119"/>
  <c r="H118" i="119"/>
  <c r="P117" i="119"/>
  <c r="K117" i="119" s="1"/>
  <c r="L117" i="119" s="1"/>
  <c r="H117" i="119"/>
  <c r="P116" i="119"/>
  <c r="K116" i="119"/>
  <c r="L116" i="119" s="1"/>
  <c r="H116" i="119"/>
  <c r="P115" i="119"/>
  <c r="K115" i="119" s="1"/>
  <c r="L115" i="119" s="1"/>
  <c r="H115" i="119"/>
  <c r="P114" i="119"/>
  <c r="K114" i="119"/>
  <c r="L114" i="119" s="1"/>
  <c r="H114" i="119"/>
  <c r="P113" i="119"/>
  <c r="K113" i="119" s="1"/>
  <c r="L113" i="119" s="1"/>
  <c r="H113" i="119"/>
  <c r="P112" i="119"/>
  <c r="K112" i="119"/>
  <c r="K124" i="119" s="1"/>
  <c r="H112" i="119"/>
  <c r="J111" i="119"/>
  <c r="H110" i="119"/>
  <c r="H109" i="119"/>
  <c r="H108" i="119"/>
  <c r="H107" i="119"/>
  <c r="H106" i="119"/>
  <c r="P105" i="119"/>
  <c r="K105" i="119" s="1"/>
  <c r="L105" i="119" s="1"/>
  <c r="H105" i="119"/>
  <c r="P104" i="119"/>
  <c r="K104" i="119"/>
  <c r="L104" i="119" s="1"/>
  <c r="H104" i="119"/>
  <c r="P103" i="119"/>
  <c r="K103" i="119" s="1"/>
  <c r="L103" i="119" s="1"/>
  <c r="H103" i="119"/>
  <c r="P102" i="119"/>
  <c r="K102" i="119"/>
  <c r="L102" i="119" s="1"/>
  <c r="H102" i="119"/>
  <c r="P101" i="119"/>
  <c r="K101" i="119" s="1"/>
  <c r="H101" i="119"/>
  <c r="J100" i="119"/>
  <c r="H99" i="119"/>
  <c r="H97" i="119"/>
  <c r="H96" i="119"/>
  <c r="P95" i="119"/>
  <c r="K95" i="119" s="1"/>
  <c r="L95" i="119" s="1"/>
  <c r="H95" i="119"/>
  <c r="P94" i="119"/>
  <c r="K94" i="119"/>
  <c r="L94" i="119" s="1"/>
  <c r="H94" i="119"/>
  <c r="P93" i="119"/>
  <c r="K93" i="119" s="1"/>
  <c r="L93" i="119" s="1"/>
  <c r="H93" i="119"/>
  <c r="P92" i="119"/>
  <c r="K92" i="119"/>
  <c r="K100" i="119" s="1"/>
  <c r="H92" i="119"/>
  <c r="H90" i="119"/>
  <c r="H89" i="119"/>
  <c r="H88" i="119"/>
  <c r="H87" i="119"/>
  <c r="H86" i="119"/>
  <c r="H85" i="119"/>
  <c r="H84" i="119"/>
  <c r="H83" i="119"/>
  <c r="H82" i="119"/>
  <c r="L81" i="119"/>
  <c r="K81" i="119"/>
  <c r="J81" i="119"/>
  <c r="H80" i="119"/>
  <c r="H79" i="119"/>
  <c r="H78" i="119"/>
  <c r="H77" i="119"/>
  <c r="H76" i="119"/>
  <c r="J75" i="119"/>
  <c r="H74" i="119"/>
  <c r="H73" i="119"/>
  <c r="H72" i="119"/>
  <c r="H71" i="119"/>
  <c r="H70" i="119"/>
  <c r="P69" i="119"/>
  <c r="K69" i="119" s="1"/>
  <c r="L69" i="119" s="1"/>
  <c r="H69" i="119"/>
  <c r="P68" i="119"/>
  <c r="K68" i="119"/>
  <c r="L68" i="119" s="1"/>
  <c r="H68" i="119"/>
  <c r="P67" i="119"/>
  <c r="K67" i="119" s="1"/>
  <c r="L67" i="119" s="1"/>
  <c r="H67" i="119"/>
  <c r="P66" i="119"/>
  <c r="K66" i="119"/>
  <c r="L66" i="119" s="1"/>
  <c r="H66" i="119"/>
  <c r="P65" i="119"/>
  <c r="K65" i="119" s="1"/>
  <c r="H65" i="119"/>
  <c r="J64" i="119"/>
  <c r="H63" i="119"/>
  <c r="H62" i="119"/>
  <c r="H61" i="119"/>
  <c r="H60" i="119"/>
  <c r="H59" i="119"/>
  <c r="H58" i="119"/>
  <c r="H57" i="119"/>
  <c r="P56" i="119"/>
  <c r="L56" i="119"/>
  <c r="K56" i="119"/>
  <c r="H56" i="119"/>
  <c r="P55" i="119"/>
  <c r="K55" i="119" s="1"/>
  <c r="L55" i="119" s="1"/>
  <c r="H55" i="119"/>
  <c r="P54" i="119"/>
  <c r="L54" i="119"/>
  <c r="K54" i="119"/>
  <c r="H54" i="119"/>
  <c r="P53" i="119"/>
  <c r="K53" i="119" s="1"/>
  <c r="L53" i="119" s="1"/>
  <c r="H53" i="119"/>
  <c r="P52" i="119"/>
  <c r="L52" i="119"/>
  <c r="K52" i="119"/>
  <c r="H52" i="119"/>
  <c r="H50" i="119"/>
  <c r="H49" i="119"/>
  <c r="H47" i="119"/>
  <c r="H46" i="119"/>
  <c r="H45" i="119"/>
  <c r="H44" i="119"/>
  <c r="H43" i="119"/>
  <c r="H42" i="119"/>
  <c r="H41" i="119"/>
  <c r="H40" i="119"/>
  <c r="H39" i="119"/>
  <c r="J38" i="119"/>
  <c r="H37" i="119"/>
  <c r="H36" i="119"/>
  <c r="H35" i="119"/>
  <c r="H34" i="119"/>
  <c r="H33" i="119"/>
  <c r="H32" i="119"/>
  <c r="P27" i="119"/>
  <c r="L27" i="119"/>
  <c r="K27" i="119"/>
  <c r="H27" i="119"/>
  <c r="P26" i="119"/>
  <c r="K26" i="119" s="1"/>
  <c r="L26" i="119" s="1"/>
  <c r="H26" i="119"/>
  <c r="P25" i="119"/>
  <c r="L25" i="119"/>
  <c r="K25" i="119"/>
  <c r="H25" i="119"/>
  <c r="J24" i="119"/>
  <c r="H23" i="119"/>
  <c r="H22" i="119"/>
  <c r="H21" i="119"/>
  <c r="H20" i="119"/>
  <c r="H19" i="119"/>
  <c r="P18" i="119"/>
  <c r="K18" i="119" s="1"/>
  <c r="L18" i="119" s="1"/>
  <c r="H18" i="119"/>
  <c r="P17" i="119"/>
  <c r="K17" i="119"/>
  <c r="K24" i="119" s="1"/>
  <c r="H17" i="119"/>
  <c r="J16" i="119"/>
  <c r="H15" i="119"/>
  <c r="P14" i="119"/>
  <c r="K14" i="119" s="1"/>
  <c r="L14" i="119" s="1"/>
  <c r="H14" i="119"/>
  <c r="P13" i="119"/>
  <c r="K13" i="119"/>
  <c r="L13" i="119" s="1"/>
  <c r="H13" i="119"/>
  <c r="P12" i="119"/>
  <c r="K12" i="119" s="1"/>
  <c r="L12" i="119" s="1"/>
  <c r="H12" i="119"/>
  <c r="P11" i="119"/>
  <c r="K11" i="119"/>
  <c r="L11" i="119" s="1"/>
  <c r="H11" i="119"/>
  <c r="P10" i="119"/>
  <c r="K10" i="119" s="1"/>
  <c r="L10" i="119" s="1"/>
  <c r="H10" i="119"/>
  <c r="P9" i="119"/>
  <c r="K9" i="119"/>
  <c r="L9" i="119" s="1"/>
  <c r="H9" i="119"/>
  <c r="P8" i="119"/>
  <c r="L8" i="119"/>
  <c r="K8" i="119"/>
  <c r="H8" i="119"/>
  <c r="P7" i="119"/>
  <c r="K7" i="119"/>
  <c r="L7" i="119" s="1"/>
  <c r="H7" i="119"/>
  <c r="P6" i="119"/>
  <c r="L6" i="119"/>
  <c r="K6" i="119"/>
  <c r="H6" i="119"/>
  <c r="P5" i="119"/>
  <c r="K5" i="119"/>
  <c r="K16" i="119" s="1"/>
  <c r="H5" i="119"/>
  <c r="I2" i="119"/>
  <c r="I1" i="119"/>
  <c r="E1" i="119"/>
  <c r="J124" i="118"/>
  <c r="H123" i="118"/>
  <c r="H119" i="118"/>
  <c r="H118" i="118"/>
  <c r="P117" i="118"/>
  <c r="K117" i="118" s="1"/>
  <c r="L117" i="118" s="1"/>
  <c r="H117" i="118"/>
  <c r="P116" i="118"/>
  <c r="K116" i="118"/>
  <c r="L116" i="118" s="1"/>
  <c r="H116" i="118"/>
  <c r="P115" i="118"/>
  <c r="K115" i="118" s="1"/>
  <c r="L115" i="118" s="1"/>
  <c r="H115" i="118"/>
  <c r="P114" i="118"/>
  <c r="K114" i="118"/>
  <c r="L114" i="118" s="1"/>
  <c r="H114" i="118"/>
  <c r="P113" i="118"/>
  <c r="K113" i="118" s="1"/>
  <c r="L113" i="118" s="1"/>
  <c r="H113" i="118"/>
  <c r="P112" i="118"/>
  <c r="K112" i="118"/>
  <c r="K124" i="118" s="1"/>
  <c r="H112" i="118"/>
  <c r="J111" i="118"/>
  <c r="H110" i="118"/>
  <c r="H109" i="118"/>
  <c r="H108" i="118"/>
  <c r="H107" i="118"/>
  <c r="H106" i="118"/>
  <c r="P105" i="118"/>
  <c r="K105" i="118" s="1"/>
  <c r="L105" i="118" s="1"/>
  <c r="H105" i="118"/>
  <c r="P104" i="118"/>
  <c r="K104" i="118"/>
  <c r="L104" i="118" s="1"/>
  <c r="H104" i="118"/>
  <c r="P103" i="118"/>
  <c r="K103" i="118" s="1"/>
  <c r="L103" i="118" s="1"/>
  <c r="H103" i="118"/>
  <c r="P102" i="118"/>
  <c r="K102" i="118"/>
  <c r="L102" i="118" s="1"/>
  <c r="H102" i="118"/>
  <c r="P101" i="118"/>
  <c r="K101" i="118" s="1"/>
  <c r="H101" i="118"/>
  <c r="J100" i="118"/>
  <c r="H99" i="118"/>
  <c r="H97" i="118"/>
  <c r="H96" i="118"/>
  <c r="H95" i="118"/>
  <c r="P94" i="118"/>
  <c r="K94" i="118"/>
  <c r="L94" i="118" s="1"/>
  <c r="H94" i="118"/>
  <c r="P93" i="118"/>
  <c r="K93" i="118" s="1"/>
  <c r="L93" i="118" s="1"/>
  <c r="H93" i="118"/>
  <c r="P92" i="118"/>
  <c r="K92" i="118"/>
  <c r="K100" i="118" s="1"/>
  <c r="H92" i="118"/>
  <c r="J91" i="118"/>
  <c r="H90" i="118"/>
  <c r="H89" i="118"/>
  <c r="H88" i="118"/>
  <c r="H87" i="118"/>
  <c r="H86" i="118"/>
  <c r="H85" i="118"/>
  <c r="H84" i="118"/>
  <c r="H83" i="118"/>
  <c r="P82" i="118"/>
  <c r="K82" i="118" s="1"/>
  <c r="H82" i="118"/>
  <c r="L81" i="118"/>
  <c r="K81" i="118"/>
  <c r="J81" i="118"/>
  <c r="H80" i="118"/>
  <c r="H79" i="118"/>
  <c r="H78" i="118"/>
  <c r="H77" i="118"/>
  <c r="H76" i="118"/>
  <c r="J75" i="118"/>
  <c r="H74" i="118"/>
  <c r="H73" i="118"/>
  <c r="H72" i="118"/>
  <c r="H71" i="118"/>
  <c r="H70" i="118"/>
  <c r="P69" i="118"/>
  <c r="K69" i="118" s="1"/>
  <c r="L69" i="118"/>
  <c r="H69" i="118"/>
  <c r="P68" i="118"/>
  <c r="K68" i="118"/>
  <c r="L68" i="118" s="1"/>
  <c r="H68" i="118"/>
  <c r="P67" i="118"/>
  <c r="K67" i="118" s="1"/>
  <c r="L67" i="118"/>
  <c r="H67" i="118"/>
  <c r="P66" i="118"/>
  <c r="K66" i="118"/>
  <c r="L66" i="118" s="1"/>
  <c r="H66" i="118"/>
  <c r="P65" i="118"/>
  <c r="K65" i="118" s="1"/>
  <c r="K75" i="118" s="1"/>
  <c r="L65" i="118"/>
  <c r="L75" i="118" s="1"/>
  <c r="H65" i="118"/>
  <c r="J64" i="118"/>
  <c r="H63" i="118"/>
  <c r="H62" i="118"/>
  <c r="H61" i="118"/>
  <c r="H60" i="118"/>
  <c r="H59" i="118"/>
  <c r="H58" i="118"/>
  <c r="H57" i="118"/>
  <c r="P56" i="118"/>
  <c r="L56" i="118"/>
  <c r="K56" i="118"/>
  <c r="H56" i="118"/>
  <c r="P55" i="118"/>
  <c r="K55" i="118" s="1"/>
  <c r="L55" i="118" s="1"/>
  <c r="H55" i="118"/>
  <c r="P54" i="118"/>
  <c r="K54" i="118"/>
  <c r="L54" i="118" s="1"/>
  <c r="H54" i="118"/>
  <c r="P53" i="118"/>
  <c r="K53" i="118" s="1"/>
  <c r="L53" i="118" s="1"/>
  <c r="H53" i="118"/>
  <c r="P52" i="118"/>
  <c r="K52" i="118"/>
  <c r="K64" i="118" s="1"/>
  <c r="H52" i="118"/>
  <c r="H50" i="118"/>
  <c r="H49" i="118"/>
  <c r="H47" i="118"/>
  <c r="H46" i="118"/>
  <c r="H45" i="118"/>
  <c r="H44" i="118"/>
  <c r="H43" i="118"/>
  <c r="H42" i="118"/>
  <c r="H41" i="118"/>
  <c r="H40" i="118"/>
  <c r="H39" i="118"/>
  <c r="J38" i="118"/>
  <c r="H37" i="118"/>
  <c r="H36" i="118"/>
  <c r="H35" i="118"/>
  <c r="H34" i="118"/>
  <c r="H33" i="118"/>
  <c r="H32" i="118"/>
  <c r="P27" i="118"/>
  <c r="K27" i="118"/>
  <c r="L27" i="118" s="1"/>
  <c r="H27" i="118"/>
  <c r="P26" i="118"/>
  <c r="K26" i="118" s="1"/>
  <c r="L26" i="118" s="1"/>
  <c r="H26" i="118"/>
  <c r="P25" i="118"/>
  <c r="K25" i="118"/>
  <c r="K38" i="118" s="1"/>
  <c r="H25" i="118"/>
  <c r="J24" i="118"/>
  <c r="H23" i="118"/>
  <c r="H22" i="118"/>
  <c r="H21" i="118"/>
  <c r="H20" i="118"/>
  <c r="H19" i="118"/>
  <c r="P18" i="118"/>
  <c r="K18" i="118" s="1"/>
  <c r="L18" i="118" s="1"/>
  <c r="H18" i="118"/>
  <c r="P17" i="118"/>
  <c r="K17" i="118"/>
  <c r="H17" i="118"/>
  <c r="J16" i="118"/>
  <c r="H15" i="118"/>
  <c r="P14" i="118"/>
  <c r="K14" i="118"/>
  <c r="L14" i="118" s="1"/>
  <c r="H14" i="118"/>
  <c r="P13" i="118"/>
  <c r="K13" i="118" s="1"/>
  <c r="L13" i="118" s="1"/>
  <c r="H13" i="118"/>
  <c r="P12" i="118"/>
  <c r="K12" i="118"/>
  <c r="L12" i="118" s="1"/>
  <c r="H12" i="118"/>
  <c r="P11" i="118"/>
  <c r="K11" i="118" s="1"/>
  <c r="L11" i="118" s="1"/>
  <c r="H11" i="118"/>
  <c r="P10" i="118"/>
  <c r="K10" i="118"/>
  <c r="L10" i="118" s="1"/>
  <c r="H10" i="118"/>
  <c r="P9" i="118"/>
  <c r="K9" i="118" s="1"/>
  <c r="L9" i="118" s="1"/>
  <c r="H9" i="118"/>
  <c r="P8" i="118"/>
  <c r="K8" i="118"/>
  <c r="L8" i="118" s="1"/>
  <c r="H8" i="118"/>
  <c r="P7" i="118"/>
  <c r="K7" i="118" s="1"/>
  <c r="L7" i="118" s="1"/>
  <c r="H7" i="118"/>
  <c r="P6" i="118"/>
  <c r="K6" i="118"/>
  <c r="L6" i="118" s="1"/>
  <c r="H6" i="118"/>
  <c r="P5" i="118"/>
  <c r="K5" i="118" s="1"/>
  <c r="H5" i="118"/>
  <c r="I2" i="118"/>
  <c r="I1" i="118"/>
  <c r="E1" i="118"/>
  <c r="M32" i="117"/>
  <c r="L32" i="117"/>
  <c r="L8" i="117" s="1"/>
  <c r="K32" i="117"/>
  <c r="J32" i="117"/>
  <c r="I32" i="117"/>
  <c r="H32" i="117"/>
  <c r="G32" i="117"/>
  <c r="F32" i="117"/>
  <c r="E32" i="117"/>
  <c r="D32" i="117"/>
  <c r="Q15" i="117"/>
  <c r="P15" i="117"/>
  <c r="O15" i="117"/>
  <c r="N15" i="117"/>
  <c r="M15" i="117"/>
  <c r="L15" i="117"/>
  <c r="K15" i="117"/>
  <c r="J15" i="117"/>
  <c r="I15" i="117"/>
  <c r="H15" i="117"/>
  <c r="G15" i="117"/>
  <c r="F15" i="117"/>
  <c r="E15" i="117"/>
  <c r="D15" i="117"/>
  <c r="L7" i="117"/>
  <c r="J7" i="117"/>
  <c r="H7" i="117"/>
  <c r="F7" i="117"/>
  <c r="L6" i="117"/>
  <c r="J6" i="117"/>
  <c r="H6" i="117"/>
  <c r="F6" i="117"/>
  <c r="M32" i="116"/>
  <c r="L32" i="116"/>
  <c r="K32" i="116"/>
  <c r="J32" i="116"/>
  <c r="I32" i="116"/>
  <c r="H32" i="116"/>
  <c r="G32" i="116"/>
  <c r="F32" i="116"/>
  <c r="E32" i="116"/>
  <c r="J8" i="116" s="1"/>
  <c r="D32" i="116"/>
  <c r="Q15" i="116"/>
  <c r="P15" i="116"/>
  <c r="O15" i="116"/>
  <c r="N15" i="116"/>
  <c r="M15" i="116"/>
  <c r="L15" i="116"/>
  <c r="K15" i="116"/>
  <c r="J15" i="116"/>
  <c r="I15" i="116"/>
  <c r="H15" i="116"/>
  <c r="G15" i="116"/>
  <c r="H8" i="116" s="1"/>
  <c r="F15" i="116"/>
  <c r="E15" i="116"/>
  <c r="D15" i="116"/>
  <c r="L8" i="116"/>
  <c r="L7" i="116"/>
  <c r="J7" i="116"/>
  <c r="H7" i="116"/>
  <c r="F7" i="116"/>
  <c r="L6" i="116"/>
  <c r="J6" i="116"/>
  <c r="H6" i="116"/>
  <c r="F6" i="116"/>
  <c r="J8" i="117" l="1"/>
  <c r="H8" i="117"/>
  <c r="F8" i="116"/>
  <c r="G1" i="118"/>
  <c r="G2" i="118" s="1"/>
  <c r="K16" i="118"/>
  <c r="L5" i="118"/>
  <c r="L16" i="118" s="1"/>
  <c r="K24" i="118"/>
  <c r="L17" i="118"/>
  <c r="L24" i="118" s="1"/>
  <c r="L38" i="119"/>
  <c r="L64" i="119"/>
  <c r="K111" i="119"/>
  <c r="L101" i="119"/>
  <c r="L111" i="119" s="1"/>
  <c r="K91" i="118"/>
  <c r="L82" i="118"/>
  <c r="L91" i="118" s="1"/>
  <c r="L52" i="118"/>
  <c r="L64" i="118" s="1"/>
  <c r="K111" i="118"/>
  <c r="L101" i="118"/>
  <c r="L111" i="118" s="1"/>
  <c r="L65" i="119"/>
  <c r="L75" i="119" s="1"/>
  <c r="K75" i="119"/>
  <c r="L25" i="118"/>
  <c r="L38" i="118" s="1"/>
  <c r="G1" i="119"/>
  <c r="G2" i="119" s="1"/>
  <c r="K38" i="119"/>
  <c r="K64" i="119"/>
  <c r="L92" i="118"/>
  <c r="L100" i="118" s="1"/>
  <c r="L112" i="118"/>
  <c r="L124" i="118" s="1"/>
  <c r="L17" i="119"/>
  <c r="L24" i="119" s="1"/>
  <c r="L112" i="119"/>
  <c r="L124" i="119" s="1"/>
  <c r="L5" i="119"/>
  <c r="L16" i="119" s="1"/>
  <c r="L92" i="119"/>
  <c r="L100" i="119" s="1"/>
  <c r="F8" i="117"/>
  <c r="AE173" i="115"/>
  <c r="AD173" i="115"/>
  <c r="AA173" i="115"/>
  <c r="Z173" i="115"/>
  <c r="M173" i="115"/>
  <c r="W172" i="115"/>
  <c r="H172" i="115"/>
  <c r="W171" i="115"/>
  <c r="H171" i="115"/>
  <c r="AG170" i="115"/>
  <c r="AF170" i="115"/>
  <c r="W170" i="115"/>
  <c r="H170" i="115"/>
  <c r="AG169" i="115"/>
  <c r="AF169" i="115"/>
  <c r="W169" i="115"/>
  <c r="H169" i="115"/>
  <c r="AG168" i="115"/>
  <c r="AF168" i="115"/>
  <c r="W168" i="115"/>
  <c r="H168" i="115"/>
  <c r="AG167" i="115"/>
  <c r="AF167" i="115"/>
  <c r="W167" i="115"/>
  <c r="H167" i="115"/>
  <c r="AG166" i="115"/>
  <c r="AF166" i="115"/>
  <c r="W166" i="115"/>
  <c r="H166" i="115"/>
  <c r="W165" i="115"/>
  <c r="N165" i="115" s="1"/>
  <c r="P165" i="115"/>
  <c r="H165" i="115"/>
  <c r="W164" i="115"/>
  <c r="N164" i="115"/>
  <c r="AG164" i="115" s="1"/>
  <c r="P164" i="115"/>
  <c r="H164" i="115"/>
  <c r="W163" i="115"/>
  <c r="P163" i="115"/>
  <c r="N163" i="115"/>
  <c r="O163" i="115" s="1"/>
  <c r="H163" i="115"/>
  <c r="W162" i="115"/>
  <c r="N162" i="115"/>
  <c r="AG162" i="115" s="1"/>
  <c r="P162" i="115"/>
  <c r="H162" i="115"/>
  <c r="W161" i="115"/>
  <c r="N161" i="115"/>
  <c r="AF161" i="115" s="1"/>
  <c r="P161" i="115"/>
  <c r="H161" i="115"/>
  <c r="AE160" i="115"/>
  <c r="AD160" i="115"/>
  <c r="AA160" i="115"/>
  <c r="Z160" i="115"/>
  <c r="M160" i="115"/>
  <c r="W159" i="115"/>
  <c r="H159" i="115"/>
  <c r="W158" i="115"/>
  <c r="H158" i="115"/>
  <c r="W157" i="115"/>
  <c r="H157" i="115"/>
  <c r="W156" i="115"/>
  <c r="H156" i="115"/>
  <c r="W155" i="115"/>
  <c r="H155" i="115"/>
  <c r="AG154" i="115"/>
  <c r="AF154" i="115"/>
  <c r="W154" i="115"/>
  <c r="H154" i="115"/>
  <c r="W153" i="115"/>
  <c r="P153" i="115"/>
  <c r="N153" i="115"/>
  <c r="AG153" i="115" s="1"/>
  <c r="H153" i="115"/>
  <c r="W152" i="115"/>
  <c r="N152" i="115"/>
  <c r="O152" i="115" s="1"/>
  <c r="P152" i="115"/>
  <c r="H152" i="115"/>
  <c r="W151" i="115"/>
  <c r="P151" i="115"/>
  <c r="N151" i="115"/>
  <c r="AG151" i="115" s="1"/>
  <c r="H151" i="115"/>
  <c r="W150" i="115"/>
  <c r="N150" i="115"/>
  <c r="O150" i="115" s="1"/>
  <c r="P150" i="115"/>
  <c r="H150" i="115"/>
  <c r="W149" i="115"/>
  <c r="P149" i="115"/>
  <c r="N149" i="115"/>
  <c r="AG149" i="115" s="1"/>
  <c r="H149" i="115"/>
  <c r="W148" i="115"/>
  <c r="N148" i="115" s="1"/>
  <c r="P148" i="115"/>
  <c r="H148" i="115"/>
  <c r="AE147" i="115"/>
  <c r="AD147" i="115"/>
  <c r="AA147" i="115"/>
  <c r="Z147" i="115"/>
  <c r="W147" i="115"/>
  <c r="M147" i="115"/>
  <c r="W146" i="115"/>
  <c r="H146" i="115"/>
  <c r="AG145" i="115"/>
  <c r="AF145" i="115"/>
  <c r="W145" i="115"/>
  <c r="H145" i="115"/>
  <c r="AG144" i="115"/>
  <c r="AF144" i="115"/>
  <c r="W144" i="115"/>
  <c r="H144" i="115"/>
  <c r="AG143" i="115"/>
  <c r="AF143" i="115"/>
  <c r="W143" i="115"/>
  <c r="H143" i="115"/>
  <c r="AG142" i="115"/>
  <c r="W142" i="115"/>
  <c r="P142" i="115"/>
  <c r="N142" i="115"/>
  <c r="O142" i="115" s="1"/>
  <c r="AF142" i="115"/>
  <c r="H142" i="115"/>
  <c r="W141" i="115"/>
  <c r="N141" i="115" s="1"/>
  <c r="P141" i="115"/>
  <c r="H141" i="115"/>
  <c r="AG140" i="115"/>
  <c r="W140" i="115"/>
  <c r="P140" i="115"/>
  <c r="N140" i="115"/>
  <c r="O140" i="115" s="1"/>
  <c r="AF140" i="115"/>
  <c r="H140" i="115"/>
  <c r="W139" i="115"/>
  <c r="N139" i="115" s="1"/>
  <c r="P139" i="115"/>
  <c r="H139" i="115"/>
  <c r="AG138" i="115"/>
  <c r="W138" i="115"/>
  <c r="P138" i="115"/>
  <c r="N138" i="115"/>
  <c r="AF138" i="115" s="1"/>
  <c r="H138" i="115"/>
  <c r="W137" i="115"/>
  <c r="N137" i="115" s="1"/>
  <c r="P137" i="115"/>
  <c r="H137" i="115"/>
  <c r="AG136" i="115"/>
  <c r="W136" i="115"/>
  <c r="P136" i="115"/>
  <c r="N136" i="115"/>
  <c r="AF136" i="115" s="1"/>
  <c r="H136" i="115"/>
  <c r="W135" i="115"/>
  <c r="N135" i="115" s="1"/>
  <c r="P135" i="115"/>
  <c r="H135" i="115"/>
  <c r="AE134" i="115"/>
  <c r="AD134" i="115"/>
  <c r="AA134" i="115"/>
  <c r="Z134" i="115"/>
  <c r="M134" i="115"/>
  <c r="W133" i="115"/>
  <c r="H133" i="115"/>
  <c r="W132" i="115"/>
  <c r="H132" i="115"/>
  <c r="H131" i="115"/>
  <c r="H130" i="115"/>
  <c r="W129" i="115"/>
  <c r="N129" i="115" s="1"/>
  <c r="O129" i="115" s="1"/>
  <c r="P129" i="115"/>
  <c r="H129" i="115"/>
  <c r="AG128" i="115"/>
  <c r="W128" i="115"/>
  <c r="P128" i="115"/>
  <c r="N128" i="115"/>
  <c r="O128" i="115" s="1"/>
  <c r="AF128" i="115"/>
  <c r="H128" i="115"/>
  <c r="W127" i="115"/>
  <c r="N127" i="115" s="1"/>
  <c r="P127" i="115"/>
  <c r="H127" i="115"/>
  <c r="AG126" i="115"/>
  <c r="W126" i="115"/>
  <c r="P126" i="115"/>
  <c r="N126" i="115"/>
  <c r="O126" i="115" s="1"/>
  <c r="AF126" i="115"/>
  <c r="H126" i="115"/>
  <c r="W125" i="115"/>
  <c r="N125" i="115" s="1"/>
  <c r="P125" i="115"/>
  <c r="H125" i="115"/>
  <c r="AG124" i="115"/>
  <c r="W124" i="115"/>
  <c r="P124" i="115"/>
  <c r="N124" i="115"/>
  <c r="O124" i="115" s="1"/>
  <c r="AF124" i="115"/>
  <c r="H124" i="115"/>
  <c r="W123" i="115"/>
  <c r="N123" i="115" s="1"/>
  <c r="P123" i="115"/>
  <c r="H123" i="115"/>
  <c r="W122" i="115"/>
  <c r="O122" i="115"/>
  <c r="N122" i="115"/>
  <c r="N134" i="115" s="1"/>
  <c r="H122" i="115"/>
  <c r="AE121" i="115"/>
  <c r="AD121" i="115"/>
  <c r="AA121" i="115"/>
  <c r="Z121" i="115"/>
  <c r="W121" i="115"/>
  <c r="M121" i="115"/>
  <c r="AG120" i="115"/>
  <c r="AF120" i="115"/>
  <c r="W120" i="115"/>
  <c r="H120" i="115"/>
  <c r="AG119" i="115"/>
  <c r="AF119" i="115"/>
  <c r="W119" i="115"/>
  <c r="H119" i="115"/>
  <c r="AG118" i="115"/>
  <c r="AF118" i="115"/>
  <c r="W118" i="115"/>
  <c r="H118" i="115"/>
  <c r="AG117" i="115"/>
  <c r="AF117" i="115"/>
  <c r="H117" i="115"/>
  <c r="AG116" i="115"/>
  <c r="W116" i="115"/>
  <c r="P116" i="115"/>
  <c r="N116" i="115"/>
  <c r="O116" i="115" s="1"/>
  <c r="Q116" i="115"/>
  <c r="AF116" i="115"/>
  <c r="H116" i="115"/>
  <c r="W115" i="115"/>
  <c r="N115" i="115"/>
  <c r="P115" i="115"/>
  <c r="H115" i="115"/>
  <c r="AG114" i="115"/>
  <c r="W114" i="115"/>
  <c r="P114" i="115"/>
  <c r="N114" i="115"/>
  <c r="O114" i="115" s="1"/>
  <c r="AF114" i="115"/>
  <c r="H114" i="115"/>
  <c r="W113" i="115"/>
  <c r="N113" i="115"/>
  <c r="P113" i="115"/>
  <c r="H113" i="115"/>
  <c r="AG112" i="115"/>
  <c r="AF112" i="115"/>
  <c r="W112" i="115"/>
  <c r="P112" i="115"/>
  <c r="N112" i="115"/>
  <c r="O112" i="115" s="1"/>
  <c r="H112" i="115"/>
  <c r="W111" i="115"/>
  <c r="N111" i="115"/>
  <c r="P111" i="115"/>
  <c r="H111" i="115"/>
  <c r="W110" i="115"/>
  <c r="P110" i="115"/>
  <c r="N110" i="115"/>
  <c r="O110" i="115" s="1"/>
  <c r="H110" i="115"/>
  <c r="W109" i="115"/>
  <c r="N109" i="115" s="1"/>
  <c r="P109" i="115"/>
  <c r="H109" i="115"/>
  <c r="AE108" i="115"/>
  <c r="AD108" i="115"/>
  <c r="AA108" i="115"/>
  <c r="Z108" i="115"/>
  <c r="W108" i="115"/>
  <c r="M108" i="115"/>
  <c r="W107" i="115"/>
  <c r="H107" i="115"/>
  <c r="W106" i="115"/>
  <c r="H106" i="115"/>
  <c r="AG105" i="115"/>
  <c r="AF105" i="115"/>
  <c r="W105" i="115"/>
  <c r="H105" i="115"/>
  <c r="AG104" i="115"/>
  <c r="AF104" i="115"/>
  <c r="W104" i="115"/>
  <c r="H104" i="115"/>
  <c r="AG103" i="115"/>
  <c r="AF103" i="115"/>
  <c r="H103" i="115"/>
  <c r="AG102" i="115"/>
  <c r="AF102" i="115"/>
  <c r="H102" i="115"/>
  <c r="AG101" i="115"/>
  <c r="W101" i="115"/>
  <c r="P101" i="115"/>
  <c r="N101" i="115"/>
  <c r="AF101" i="115" s="1"/>
  <c r="H101" i="115"/>
  <c r="W100" i="115"/>
  <c r="N100" i="115" s="1"/>
  <c r="P100" i="115"/>
  <c r="H100" i="115"/>
  <c r="AG99" i="115"/>
  <c r="W99" i="115"/>
  <c r="P99" i="115"/>
  <c r="N99" i="115"/>
  <c r="AF99" i="115" s="1"/>
  <c r="H99" i="115"/>
  <c r="W98" i="115"/>
  <c r="N98" i="115" s="1"/>
  <c r="P98" i="115"/>
  <c r="H98" i="115"/>
  <c r="AG97" i="115"/>
  <c r="W97" i="115"/>
  <c r="P97" i="115"/>
  <c r="N97" i="115"/>
  <c r="AF97" i="115" s="1"/>
  <c r="H97" i="115"/>
  <c r="W96" i="115"/>
  <c r="N96" i="115" s="1"/>
  <c r="P96" i="115"/>
  <c r="H96" i="115"/>
  <c r="AE95" i="115"/>
  <c r="AD95" i="115"/>
  <c r="AA95" i="115"/>
  <c r="Z95" i="115"/>
  <c r="M95" i="115"/>
  <c r="AG94" i="115"/>
  <c r="AF94" i="115"/>
  <c r="W94" i="115"/>
  <c r="H94" i="115"/>
  <c r="AG93" i="115"/>
  <c r="AF93" i="115"/>
  <c r="W93" i="115"/>
  <c r="H93" i="115"/>
  <c r="AG92" i="115"/>
  <c r="AF92" i="115"/>
  <c r="H92" i="115"/>
  <c r="AG91" i="115"/>
  <c r="AF91" i="115"/>
  <c r="W91" i="115"/>
  <c r="H91" i="115"/>
  <c r="AG90" i="115"/>
  <c r="AF90" i="115"/>
  <c r="H90" i="115"/>
  <c r="AG89" i="115"/>
  <c r="AF89" i="115"/>
  <c r="H89" i="115"/>
  <c r="AG88" i="115"/>
  <c r="AF88" i="115"/>
  <c r="H88" i="115"/>
  <c r="AG87" i="115"/>
  <c r="W87" i="115"/>
  <c r="P87" i="115"/>
  <c r="N87" i="115"/>
  <c r="O87" i="115" s="1"/>
  <c r="AF87" i="115"/>
  <c r="H87" i="115"/>
  <c r="W86" i="115"/>
  <c r="N86" i="115" s="1"/>
  <c r="P86" i="115"/>
  <c r="H86" i="115"/>
  <c r="AG85" i="115"/>
  <c r="W85" i="115"/>
  <c r="P85" i="115"/>
  <c r="N85" i="115"/>
  <c r="O85" i="115" s="1"/>
  <c r="AF85" i="115"/>
  <c r="H85" i="115"/>
  <c r="W84" i="115"/>
  <c r="N84" i="115" s="1"/>
  <c r="P84" i="115"/>
  <c r="H84" i="115"/>
  <c r="W83" i="115"/>
  <c r="O83" i="115"/>
  <c r="R83" i="115" s="1"/>
  <c r="N83" i="115"/>
  <c r="AG83" i="115" s="1"/>
  <c r="P83" i="115"/>
  <c r="H83" i="115"/>
  <c r="AE82" i="115"/>
  <c r="AD82" i="115"/>
  <c r="AA82" i="115"/>
  <c r="Z82" i="115"/>
  <c r="M82" i="115"/>
  <c r="W81" i="115"/>
  <c r="AG80" i="115"/>
  <c r="AF80" i="115"/>
  <c r="W80" i="115"/>
  <c r="H80" i="115"/>
  <c r="AG79" i="115"/>
  <c r="AF79" i="115"/>
  <c r="W79" i="115"/>
  <c r="H79" i="115"/>
  <c r="AG78" i="115"/>
  <c r="AF78" i="115"/>
  <c r="W78" i="115"/>
  <c r="H78" i="115"/>
  <c r="AG77" i="115"/>
  <c r="AF77" i="115"/>
  <c r="H77" i="115"/>
  <c r="AG76" i="115"/>
  <c r="AF76" i="115"/>
  <c r="H76" i="115"/>
  <c r="W75" i="115"/>
  <c r="N75" i="115"/>
  <c r="AG75" i="115" s="1"/>
  <c r="P75" i="115"/>
  <c r="H75" i="115"/>
  <c r="W74" i="115"/>
  <c r="N74" i="115" s="1"/>
  <c r="P74" i="115"/>
  <c r="H74" i="115"/>
  <c r="W73" i="115"/>
  <c r="N73" i="115"/>
  <c r="AG73" i="115" s="1"/>
  <c r="P73" i="115"/>
  <c r="H73" i="115"/>
  <c r="W72" i="115"/>
  <c r="N72" i="115" s="1"/>
  <c r="P72" i="115"/>
  <c r="H72" i="115"/>
  <c r="W71" i="115"/>
  <c r="N71" i="115"/>
  <c r="AG71" i="115" s="1"/>
  <c r="P71" i="115"/>
  <c r="H71" i="115"/>
  <c r="W70" i="115"/>
  <c r="N70" i="115"/>
  <c r="AF70" i="115" s="1"/>
  <c r="P82" i="115"/>
  <c r="H70" i="115"/>
  <c r="AE69" i="115"/>
  <c r="AD69" i="115"/>
  <c r="AA69" i="115"/>
  <c r="Z69" i="115"/>
  <c r="W69" i="115"/>
  <c r="M69" i="115"/>
  <c r="W68" i="115"/>
  <c r="H68" i="115"/>
  <c r="AG67" i="115"/>
  <c r="AF67" i="115"/>
  <c r="W67" i="115"/>
  <c r="H67" i="115"/>
  <c r="AG66" i="115"/>
  <c r="AF66" i="115"/>
  <c r="W66" i="115"/>
  <c r="H66" i="115"/>
  <c r="AG65" i="115"/>
  <c r="AF65" i="115"/>
  <c r="W65" i="115"/>
  <c r="H65" i="115"/>
  <c r="AG64" i="115"/>
  <c r="AF64" i="115"/>
  <c r="W64" i="115"/>
  <c r="H64" i="115"/>
  <c r="AG63" i="115"/>
  <c r="AF63" i="115"/>
  <c r="W63" i="115"/>
  <c r="H63" i="115"/>
  <c r="AG62" i="115"/>
  <c r="AF62" i="115"/>
  <c r="W62" i="115"/>
  <c r="H62" i="115"/>
  <c r="W61" i="115"/>
  <c r="P61" i="115"/>
  <c r="N61" i="115"/>
  <c r="O61" i="115" s="1"/>
  <c r="AF61" i="115"/>
  <c r="H61" i="115"/>
  <c r="W60" i="115"/>
  <c r="N60" i="115"/>
  <c r="AG60" i="115" s="1"/>
  <c r="P60" i="115"/>
  <c r="H60" i="115"/>
  <c r="W59" i="115"/>
  <c r="P59" i="115"/>
  <c r="N59" i="115"/>
  <c r="O59" i="115" s="1"/>
  <c r="AF59" i="115"/>
  <c r="H59" i="115"/>
  <c r="W58" i="115"/>
  <c r="N58" i="115"/>
  <c r="AG58" i="115" s="1"/>
  <c r="P58" i="115"/>
  <c r="H58" i="115"/>
  <c r="W57" i="115"/>
  <c r="N57" i="115"/>
  <c r="AG57" i="115" s="1"/>
  <c r="P69" i="115"/>
  <c r="H57" i="115"/>
  <c r="AE56" i="115"/>
  <c r="AD56" i="115"/>
  <c r="AA56" i="115"/>
  <c r="Z56" i="115"/>
  <c r="W56" i="115"/>
  <c r="M56" i="115"/>
  <c r="W55" i="115"/>
  <c r="H55" i="115"/>
  <c r="AG54" i="115"/>
  <c r="AF54" i="115"/>
  <c r="W54" i="115"/>
  <c r="H54" i="115"/>
  <c r="AG53" i="115"/>
  <c r="AF53" i="115"/>
  <c r="W53" i="115"/>
  <c r="H53" i="115"/>
  <c r="AG52" i="115"/>
  <c r="AF52" i="115"/>
  <c r="W52" i="115"/>
  <c r="H52" i="115"/>
  <c r="AG51" i="115"/>
  <c r="AF51" i="115"/>
  <c r="AG50" i="115"/>
  <c r="AF50" i="115"/>
  <c r="H50" i="115"/>
  <c r="AG49" i="115"/>
  <c r="W49" i="115"/>
  <c r="P49" i="115"/>
  <c r="N49" i="115"/>
  <c r="H49" i="115"/>
  <c r="W48" i="115"/>
  <c r="O48" i="115"/>
  <c r="N48" i="115"/>
  <c r="P48" i="115"/>
  <c r="H48" i="115"/>
  <c r="W47" i="115"/>
  <c r="P47" i="115"/>
  <c r="N47" i="115"/>
  <c r="O47" i="115" s="1"/>
  <c r="Q47" i="115"/>
  <c r="AG47" i="115"/>
  <c r="H47" i="115"/>
  <c r="W46" i="115"/>
  <c r="N46" i="115"/>
  <c r="AG46" i="115" s="1"/>
  <c r="P46" i="115"/>
  <c r="H46" i="115"/>
  <c r="W45" i="115"/>
  <c r="N45" i="115" s="1"/>
  <c r="P45" i="115"/>
  <c r="H45" i="115"/>
  <c r="W44" i="115"/>
  <c r="N44" i="115" s="1"/>
  <c r="H44" i="115"/>
  <c r="AE43" i="115"/>
  <c r="AD43" i="115"/>
  <c r="AA43" i="115"/>
  <c r="Z43" i="115"/>
  <c r="M43" i="115"/>
  <c r="W42" i="115"/>
  <c r="H42" i="115"/>
  <c r="W41" i="115"/>
  <c r="AG40" i="115"/>
  <c r="AF40" i="115"/>
  <c r="W40" i="115"/>
  <c r="H40" i="115"/>
  <c r="AG39" i="115"/>
  <c r="AF39" i="115"/>
  <c r="W39" i="115"/>
  <c r="H39" i="115"/>
  <c r="AG38" i="115"/>
  <c r="AF38" i="115"/>
  <c r="W38" i="115"/>
  <c r="H38" i="115"/>
  <c r="AG37" i="115"/>
  <c r="AF37" i="115"/>
  <c r="W37" i="115"/>
  <c r="H37" i="115"/>
  <c r="AG36" i="115"/>
  <c r="AF36" i="115"/>
  <c r="W36" i="115"/>
  <c r="H36" i="115"/>
  <c r="AG35" i="115"/>
  <c r="AF35" i="115"/>
  <c r="H35" i="115"/>
  <c r="W34" i="115"/>
  <c r="N34" i="115" s="1"/>
  <c r="P34" i="115"/>
  <c r="H34" i="115"/>
  <c r="W33" i="115"/>
  <c r="N33" i="115"/>
  <c r="AG33" i="115" s="1"/>
  <c r="P33" i="115"/>
  <c r="H33" i="115"/>
  <c r="W32" i="115"/>
  <c r="N32" i="115" s="1"/>
  <c r="P32" i="115"/>
  <c r="H32" i="115"/>
  <c r="W31" i="115"/>
  <c r="N31" i="115" s="1"/>
  <c r="P31" i="115"/>
  <c r="H31" i="115"/>
  <c r="AE30" i="115"/>
  <c r="AD30" i="115"/>
  <c r="AA30" i="115"/>
  <c r="Z30" i="115"/>
  <c r="M30" i="115"/>
  <c r="AF29" i="115"/>
  <c r="W29" i="115"/>
  <c r="H29" i="115"/>
  <c r="AG28" i="115"/>
  <c r="AF28" i="115"/>
  <c r="W28" i="115"/>
  <c r="H28" i="115"/>
  <c r="AG27" i="115"/>
  <c r="AF27" i="115"/>
  <c r="W27" i="115"/>
  <c r="H27" i="115"/>
  <c r="AG26" i="115"/>
  <c r="AF26" i="115"/>
  <c r="W26" i="115"/>
  <c r="H26" i="115"/>
  <c r="AG25" i="115"/>
  <c r="AF25" i="115"/>
  <c r="W25" i="115"/>
  <c r="H25" i="115"/>
  <c r="AG24" i="115"/>
  <c r="AF24" i="115"/>
  <c r="H24" i="115"/>
  <c r="W23" i="115"/>
  <c r="N23" i="115" s="1"/>
  <c r="P23" i="115"/>
  <c r="H23" i="115"/>
  <c r="W22" i="115"/>
  <c r="N22" i="115"/>
  <c r="AG22" i="115" s="1"/>
  <c r="P22" i="115"/>
  <c r="H22" i="115"/>
  <c r="W21" i="115"/>
  <c r="N21" i="115" s="1"/>
  <c r="P21" i="115"/>
  <c r="H21" i="115"/>
  <c r="W20" i="115"/>
  <c r="N20" i="115"/>
  <c r="P20" i="115"/>
  <c r="H20" i="115"/>
  <c r="W19" i="115"/>
  <c r="N19" i="115" s="1"/>
  <c r="AF19" i="115" s="1"/>
  <c r="P19" i="115"/>
  <c r="H19" i="115"/>
  <c r="W18" i="115"/>
  <c r="N18" i="115" s="1"/>
  <c r="P18" i="115"/>
  <c r="H18" i="115"/>
  <c r="AE17" i="115"/>
  <c r="AD17" i="115"/>
  <c r="AA17" i="115"/>
  <c r="Z17" i="115"/>
  <c r="W17" i="115"/>
  <c r="M17" i="115"/>
  <c r="P17" i="115" s="1"/>
  <c r="W16" i="115"/>
  <c r="H16" i="115"/>
  <c r="W15" i="115"/>
  <c r="H15" i="115"/>
  <c r="W14" i="115"/>
  <c r="H14" i="115"/>
  <c r="AG13" i="115"/>
  <c r="AF13" i="115"/>
  <c r="H13" i="115"/>
  <c r="AG12" i="115"/>
  <c r="AF12" i="115"/>
  <c r="H12" i="115"/>
  <c r="AG11" i="115"/>
  <c r="AF11" i="115"/>
  <c r="H11" i="115"/>
  <c r="W10" i="115"/>
  <c r="N10" i="115"/>
  <c r="P10" i="115"/>
  <c r="H10" i="115"/>
  <c r="W9" i="115"/>
  <c r="N9" i="115" s="1"/>
  <c r="P9" i="115"/>
  <c r="H9" i="115"/>
  <c r="W8" i="115"/>
  <c r="N8" i="115"/>
  <c r="P8" i="115"/>
  <c r="H8" i="115"/>
  <c r="W7" i="115"/>
  <c r="N7" i="115" s="1"/>
  <c r="P7" i="115"/>
  <c r="H7" i="115"/>
  <c r="W6" i="115"/>
  <c r="N6" i="115"/>
  <c r="P6" i="115"/>
  <c r="H6" i="115"/>
  <c r="W5" i="115"/>
  <c r="N5" i="115"/>
  <c r="O5" i="115" s="1"/>
  <c r="P5" i="115"/>
  <c r="H5" i="115"/>
  <c r="AE2" i="115"/>
  <c r="AD2" i="115"/>
  <c r="AA2" i="115"/>
  <c r="Z2" i="115"/>
  <c r="I2" i="115"/>
  <c r="E1" i="115"/>
  <c r="AE173" i="114"/>
  <c r="AD173" i="114"/>
  <c r="AA173" i="114"/>
  <c r="Z173" i="114"/>
  <c r="M173" i="114"/>
  <c r="W172" i="114"/>
  <c r="H172" i="114"/>
  <c r="W171" i="114"/>
  <c r="H171" i="114"/>
  <c r="AG170" i="114"/>
  <c r="AF170" i="114"/>
  <c r="W170" i="114"/>
  <c r="H170" i="114"/>
  <c r="AG169" i="114"/>
  <c r="AF169" i="114"/>
  <c r="W169" i="114"/>
  <c r="H169" i="114"/>
  <c r="AG168" i="114"/>
  <c r="AF168" i="114"/>
  <c r="W168" i="114"/>
  <c r="H168" i="114"/>
  <c r="AG167" i="114"/>
  <c r="AF167" i="114"/>
  <c r="W167" i="114"/>
  <c r="H167" i="114"/>
  <c r="AG166" i="114"/>
  <c r="AF166" i="114"/>
  <c r="W166" i="114"/>
  <c r="H166" i="114"/>
  <c r="W165" i="114"/>
  <c r="N165" i="114" s="1"/>
  <c r="AG165" i="114" s="1"/>
  <c r="P165" i="114"/>
  <c r="H165" i="114"/>
  <c r="W164" i="114"/>
  <c r="N164" i="114"/>
  <c r="P164" i="114"/>
  <c r="H164" i="114"/>
  <c r="W163" i="114"/>
  <c r="N163" i="114" s="1"/>
  <c r="P163" i="114"/>
  <c r="O163" i="114"/>
  <c r="H163" i="114"/>
  <c r="W162" i="114"/>
  <c r="N162" i="114"/>
  <c r="P162" i="114"/>
  <c r="H162" i="114"/>
  <c r="AG161" i="114"/>
  <c r="W161" i="114"/>
  <c r="N161" i="114"/>
  <c r="P161" i="114"/>
  <c r="H161" i="114"/>
  <c r="AE160" i="114"/>
  <c r="AD160" i="114"/>
  <c r="AA160" i="114"/>
  <c r="Z160" i="114"/>
  <c r="M160" i="114"/>
  <c r="W159" i="114"/>
  <c r="H159" i="114"/>
  <c r="W158" i="114"/>
  <c r="H158" i="114"/>
  <c r="W157" i="114"/>
  <c r="H157" i="114"/>
  <c r="W156" i="114"/>
  <c r="H156" i="114"/>
  <c r="W155" i="114"/>
  <c r="H155" i="114"/>
  <c r="AG154" i="114"/>
  <c r="AF154" i="114"/>
  <c r="W154" i="114"/>
  <c r="H154" i="114"/>
  <c r="W153" i="114"/>
  <c r="N153" i="114" s="1"/>
  <c r="P153" i="114"/>
  <c r="H153" i="114"/>
  <c r="W152" i="114"/>
  <c r="N152" i="114"/>
  <c r="AG152" i="114" s="1"/>
  <c r="P152" i="114"/>
  <c r="H152" i="114"/>
  <c r="W151" i="114"/>
  <c r="N151" i="114" s="1"/>
  <c r="P151" i="114"/>
  <c r="H151" i="114"/>
  <c r="W150" i="114"/>
  <c r="N150" i="114"/>
  <c r="AG150" i="114" s="1"/>
  <c r="P150" i="114"/>
  <c r="H150" i="114"/>
  <c r="W149" i="114"/>
  <c r="N149" i="114" s="1"/>
  <c r="P149" i="114"/>
  <c r="H149" i="114"/>
  <c r="W148" i="114"/>
  <c r="N148" i="114" s="1"/>
  <c r="P148" i="114"/>
  <c r="P160" i="114"/>
  <c r="H148" i="114"/>
  <c r="AE147" i="114"/>
  <c r="AD147" i="114"/>
  <c r="AA147" i="114"/>
  <c r="Z147" i="114"/>
  <c r="W147" i="114"/>
  <c r="M147" i="114"/>
  <c r="P147" i="114" s="1"/>
  <c r="W146" i="114"/>
  <c r="H146" i="114"/>
  <c r="AG145" i="114"/>
  <c r="AF145" i="114"/>
  <c r="W145" i="114"/>
  <c r="H145" i="114"/>
  <c r="AG144" i="114"/>
  <c r="AF144" i="114"/>
  <c r="W144" i="114"/>
  <c r="H144" i="114"/>
  <c r="AG143" i="114"/>
  <c r="AF143" i="114"/>
  <c r="W143" i="114"/>
  <c r="H143" i="114"/>
  <c r="W142" i="114"/>
  <c r="P142" i="114"/>
  <c r="N142" i="114"/>
  <c r="O142" i="114" s="1"/>
  <c r="AF142" i="114"/>
  <c r="H142" i="114"/>
  <c r="W141" i="114"/>
  <c r="N141" i="114"/>
  <c r="AG141" i="114" s="1"/>
  <c r="P141" i="114"/>
  <c r="H141" i="114"/>
  <c r="W140" i="114"/>
  <c r="P140" i="114"/>
  <c r="N140" i="114"/>
  <c r="O140" i="114" s="1"/>
  <c r="AF140" i="114"/>
  <c r="H140" i="114"/>
  <c r="W139" i="114"/>
  <c r="N139" i="114"/>
  <c r="AG139" i="114" s="1"/>
  <c r="P139" i="114"/>
  <c r="H139" i="114"/>
  <c r="W138" i="114"/>
  <c r="P138" i="114"/>
  <c r="N138" i="114"/>
  <c r="O138" i="114" s="1"/>
  <c r="AF138" i="114"/>
  <c r="H138" i="114"/>
  <c r="W137" i="114"/>
  <c r="N137" i="114"/>
  <c r="AG137" i="114" s="1"/>
  <c r="P137" i="114"/>
  <c r="H137" i="114"/>
  <c r="W136" i="114"/>
  <c r="P136" i="114"/>
  <c r="N136" i="114"/>
  <c r="O136" i="114" s="1"/>
  <c r="AF136" i="114"/>
  <c r="H136" i="114"/>
  <c r="W135" i="114"/>
  <c r="N135" i="114" s="1"/>
  <c r="P135" i="114"/>
  <c r="H135" i="114"/>
  <c r="AE134" i="114"/>
  <c r="AD134" i="114"/>
  <c r="AA134" i="114"/>
  <c r="Z134" i="114"/>
  <c r="M134" i="114"/>
  <c r="W133" i="114"/>
  <c r="H133" i="114"/>
  <c r="W132" i="114"/>
  <c r="H132" i="114"/>
  <c r="H131" i="114"/>
  <c r="H130" i="114"/>
  <c r="W129" i="114"/>
  <c r="N129" i="114"/>
  <c r="O129" i="114" s="1"/>
  <c r="P129" i="114"/>
  <c r="H129" i="114"/>
  <c r="W128" i="114"/>
  <c r="P128" i="114"/>
  <c r="N128" i="114"/>
  <c r="O128" i="114" s="1"/>
  <c r="AF128" i="114"/>
  <c r="H128" i="114"/>
  <c r="W127" i="114"/>
  <c r="N127" i="114"/>
  <c r="AG127" i="114" s="1"/>
  <c r="P127" i="114"/>
  <c r="H127" i="114"/>
  <c r="W126" i="114"/>
  <c r="P126" i="114"/>
  <c r="N126" i="114"/>
  <c r="O126" i="114" s="1"/>
  <c r="AF126" i="114"/>
  <c r="H126" i="114"/>
  <c r="W125" i="114"/>
  <c r="N125" i="114"/>
  <c r="AG125" i="114" s="1"/>
  <c r="P125" i="114"/>
  <c r="H125" i="114"/>
  <c r="W124" i="114"/>
  <c r="P124" i="114"/>
  <c r="N124" i="114"/>
  <c r="O124" i="114" s="1"/>
  <c r="AF124" i="114"/>
  <c r="H124" i="114"/>
  <c r="W123" i="114"/>
  <c r="N123" i="114"/>
  <c r="AG123" i="114" s="1"/>
  <c r="P123" i="114"/>
  <c r="H123" i="114"/>
  <c r="W122" i="114"/>
  <c r="N122" i="114"/>
  <c r="AG122" i="114" s="1"/>
  <c r="P122" i="114"/>
  <c r="H122" i="114"/>
  <c r="AE121" i="114"/>
  <c r="AD121" i="114"/>
  <c r="AA121" i="114"/>
  <c r="Z121" i="114"/>
  <c r="W121" i="114"/>
  <c r="M121" i="114"/>
  <c r="AG120" i="114"/>
  <c r="AF120" i="114"/>
  <c r="W120" i="114"/>
  <c r="H120" i="114"/>
  <c r="AG119" i="114"/>
  <c r="AF119" i="114"/>
  <c r="W119" i="114"/>
  <c r="H119" i="114"/>
  <c r="AG118" i="114"/>
  <c r="AF118" i="114"/>
  <c r="W118" i="114"/>
  <c r="H118" i="114"/>
  <c r="AG117" i="114"/>
  <c r="AF117" i="114"/>
  <c r="H117" i="114"/>
  <c r="W116" i="114"/>
  <c r="P116" i="114"/>
  <c r="N116" i="114"/>
  <c r="O116" i="114" s="1"/>
  <c r="AF116" i="114"/>
  <c r="H116" i="114"/>
  <c r="W115" i="114"/>
  <c r="N115" i="114"/>
  <c r="AG115" i="114" s="1"/>
  <c r="P115" i="114"/>
  <c r="H115" i="114"/>
  <c r="W114" i="114"/>
  <c r="P114" i="114"/>
  <c r="N114" i="114"/>
  <c r="O114" i="114" s="1"/>
  <c r="AF114" i="114"/>
  <c r="H114" i="114"/>
  <c r="W113" i="114"/>
  <c r="N113" i="114"/>
  <c r="AG113" i="114" s="1"/>
  <c r="P113" i="114"/>
  <c r="H113" i="114"/>
  <c r="W112" i="114"/>
  <c r="P112" i="114"/>
  <c r="N112" i="114"/>
  <c r="O112" i="114" s="1"/>
  <c r="AF112" i="114"/>
  <c r="H112" i="114"/>
  <c r="W111" i="114"/>
  <c r="N111" i="114"/>
  <c r="AG111" i="114" s="1"/>
  <c r="P111" i="114"/>
  <c r="H111" i="114"/>
  <c r="W110" i="114"/>
  <c r="P110" i="114"/>
  <c r="N110" i="114"/>
  <c r="O110" i="114" s="1"/>
  <c r="AF110" i="114"/>
  <c r="H110" i="114"/>
  <c r="W109" i="114"/>
  <c r="N109" i="114" s="1"/>
  <c r="P109" i="114"/>
  <c r="P121" i="114"/>
  <c r="H109" i="114"/>
  <c r="AE108" i="114"/>
  <c r="AD108" i="114"/>
  <c r="AA108" i="114"/>
  <c r="Z108" i="114"/>
  <c r="W108" i="114"/>
  <c r="M108" i="114"/>
  <c r="W107" i="114"/>
  <c r="H107" i="114"/>
  <c r="W106" i="114"/>
  <c r="H106" i="114"/>
  <c r="AG105" i="114"/>
  <c r="AF105" i="114"/>
  <c r="W105" i="114"/>
  <c r="H105" i="114"/>
  <c r="AG104" i="114"/>
  <c r="AF104" i="114"/>
  <c r="W104" i="114"/>
  <c r="H104" i="114"/>
  <c r="AG103" i="114"/>
  <c r="AF103" i="114"/>
  <c r="H103" i="114"/>
  <c r="AG102" i="114"/>
  <c r="AF102" i="114"/>
  <c r="W102" i="114"/>
  <c r="N102" i="114" s="1"/>
  <c r="O102" i="114" s="1"/>
  <c r="Q102" i="114" s="1"/>
  <c r="P102" i="114"/>
  <c r="H102" i="114"/>
  <c r="W101" i="114"/>
  <c r="N101" i="114"/>
  <c r="H101" i="114"/>
  <c r="W100" i="114"/>
  <c r="N100" i="114" s="1"/>
  <c r="O100" i="114" s="1"/>
  <c r="P100" i="114"/>
  <c r="H100" i="114"/>
  <c r="W99" i="114"/>
  <c r="N99" i="114" s="1"/>
  <c r="H99" i="114"/>
  <c r="W98" i="114"/>
  <c r="N98" i="114" s="1"/>
  <c r="O98" i="114" s="1"/>
  <c r="P98" i="114"/>
  <c r="H98" i="114"/>
  <c r="W97" i="114"/>
  <c r="N97" i="114" s="1"/>
  <c r="H97" i="114"/>
  <c r="W96" i="114"/>
  <c r="O96" i="114"/>
  <c r="N96" i="114"/>
  <c r="N108" i="114" s="1"/>
  <c r="P96" i="114"/>
  <c r="H96" i="114"/>
  <c r="AE95" i="114"/>
  <c r="AD95" i="114"/>
  <c r="AA95" i="114"/>
  <c r="Z95" i="114"/>
  <c r="M95" i="114"/>
  <c r="AG94" i="114"/>
  <c r="AF94" i="114"/>
  <c r="W94" i="114"/>
  <c r="H94" i="114"/>
  <c r="AG93" i="114"/>
  <c r="AF93" i="114"/>
  <c r="W93" i="114"/>
  <c r="H93" i="114"/>
  <c r="AG92" i="114"/>
  <c r="AF92" i="114"/>
  <c r="H92" i="114"/>
  <c r="AG91" i="114"/>
  <c r="AF91" i="114"/>
  <c r="W91" i="114"/>
  <c r="H91" i="114"/>
  <c r="AG90" i="114"/>
  <c r="AF90" i="114"/>
  <c r="H90" i="114"/>
  <c r="AG89" i="114"/>
  <c r="AF89" i="114"/>
  <c r="H89" i="114"/>
  <c r="W88" i="114"/>
  <c r="N88" i="114"/>
  <c r="AG88" i="114" s="1"/>
  <c r="P88" i="114"/>
  <c r="H88" i="114"/>
  <c r="W87" i="114"/>
  <c r="N87" i="114" s="1"/>
  <c r="P87" i="114"/>
  <c r="H87" i="114"/>
  <c r="W86" i="114"/>
  <c r="N86" i="114"/>
  <c r="AG86" i="114" s="1"/>
  <c r="P86" i="114"/>
  <c r="H86" i="114"/>
  <c r="W85" i="114"/>
  <c r="N85" i="114" s="1"/>
  <c r="P85" i="114"/>
  <c r="H85" i="114"/>
  <c r="W84" i="114"/>
  <c r="N84" i="114"/>
  <c r="AG84" i="114" s="1"/>
  <c r="P84" i="114"/>
  <c r="H84" i="114"/>
  <c r="AF83" i="114"/>
  <c r="W83" i="114"/>
  <c r="N83" i="114"/>
  <c r="AG83" i="114" s="1"/>
  <c r="P95" i="114"/>
  <c r="H83" i="114"/>
  <c r="AE82" i="114"/>
  <c r="AD82" i="114"/>
  <c r="AA82" i="114"/>
  <c r="Z82" i="114"/>
  <c r="M82" i="114"/>
  <c r="W81" i="114"/>
  <c r="AG80" i="114"/>
  <c r="AF80" i="114"/>
  <c r="W80" i="114"/>
  <c r="H80" i="114"/>
  <c r="AG79" i="114"/>
  <c r="AF79" i="114"/>
  <c r="W79" i="114"/>
  <c r="H79" i="114"/>
  <c r="AG78" i="114"/>
  <c r="AF78" i="114"/>
  <c r="W78" i="114"/>
  <c r="H78" i="114"/>
  <c r="AG77" i="114"/>
  <c r="AF77" i="114"/>
  <c r="H77" i="114"/>
  <c r="AG76" i="114"/>
  <c r="AF76" i="114"/>
  <c r="H76" i="114"/>
  <c r="W75" i="114"/>
  <c r="N75" i="114" s="1"/>
  <c r="P75" i="114"/>
  <c r="H75" i="114"/>
  <c r="W74" i="114"/>
  <c r="N74" i="114"/>
  <c r="O74" i="114" s="1"/>
  <c r="P74" i="114"/>
  <c r="H74" i="114"/>
  <c r="W73" i="114"/>
  <c r="N73" i="114" s="1"/>
  <c r="P73" i="114"/>
  <c r="H73" i="114"/>
  <c r="W72" i="114"/>
  <c r="N72" i="114"/>
  <c r="O72" i="114" s="1"/>
  <c r="P72" i="114"/>
  <c r="H72" i="114"/>
  <c r="W71" i="114"/>
  <c r="N71" i="114" s="1"/>
  <c r="P71" i="114"/>
  <c r="H71" i="114"/>
  <c r="W70" i="114"/>
  <c r="N70" i="114" s="1"/>
  <c r="P70" i="114"/>
  <c r="H70" i="114"/>
  <c r="AE69" i="114"/>
  <c r="AD69" i="114"/>
  <c r="AA69" i="114"/>
  <c r="Z69" i="114"/>
  <c r="W69" i="114"/>
  <c r="M69" i="114"/>
  <c r="W68" i="114"/>
  <c r="H68" i="114"/>
  <c r="AG67" i="114"/>
  <c r="AF67" i="114"/>
  <c r="W67" i="114"/>
  <c r="H67" i="114"/>
  <c r="AG66" i="114"/>
  <c r="AF66" i="114"/>
  <c r="W66" i="114"/>
  <c r="H66" i="114"/>
  <c r="AG65" i="114"/>
  <c r="AF65" i="114"/>
  <c r="W65" i="114"/>
  <c r="H65" i="114"/>
  <c r="AG64" i="114"/>
  <c r="AF64" i="114"/>
  <c r="W64" i="114"/>
  <c r="H64" i="114"/>
  <c r="AG63" i="114"/>
  <c r="AF63" i="114"/>
  <c r="W63" i="114"/>
  <c r="H63" i="114"/>
  <c r="AG62" i="114"/>
  <c r="AF62" i="114"/>
  <c r="W62" i="114"/>
  <c r="H62" i="114"/>
  <c r="W61" i="114"/>
  <c r="N61" i="114"/>
  <c r="AF61" i="114" s="1"/>
  <c r="P61" i="114"/>
  <c r="H61" i="114"/>
  <c r="W60" i="114"/>
  <c r="P60" i="114"/>
  <c r="N60" i="114"/>
  <c r="O60" i="114" s="1"/>
  <c r="AG60" i="114"/>
  <c r="H60" i="114"/>
  <c r="W59" i="114"/>
  <c r="N59" i="114"/>
  <c r="AF59" i="114" s="1"/>
  <c r="P59" i="114"/>
  <c r="H59" i="114"/>
  <c r="W58" i="114"/>
  <c r="P58" i="114"/>
  <c r="N58" i="114"/>
  <c r="O58" i="114" s="1"/>
  <c r="AG58" i="114"/>
  <c r="H58" i="114"/>
  <c r="W57" i="114"/>
  <c r="N57" i="114" s="1"/>
  <c r="P57" i="114"/>
  <c r="H57" i="114"/>
  <c r="AE56" i="114"/>
  <c r="AD56" i="114"/>
  <c r="AA56" i="114"/>
  <c r="Z56" i="114"/>
  <c r="W56" i="114"/>
  <c r="M56" i="114"/>
  <c r="W55" i="114"/>
  <c r="H55" i="114"/>
  <c r="AG54" i="114"/>
  <c r="AF54" i="114"/>
  <c r="W54" i="114"/>
  <c r="H54" i="114"/>
  <c r="AG53" i="114"/>
  <c r="AF53" i="114"/>
  <c r="W53" i="114"/>
  <c r="H53" i="114"/>
  <c r="AG52" i="114"/>
  <c r="AF52" i="114"/>
  <c r="W52" i="114"/>
  <c r="H52" i="114"/>
  <c r="AG51" i="114"/>
  <c r="AF51" i="114"/>
  <c r="AG50" i="114"/>
  <c r="AF50" i="114"/>
  <c r="H50" i="114"/>
  <c r="W49" i="114"/>
  <c r="N49" i="114"/>
  <c r="AF49" i="114" s="1"/>
  <c r="P49" i="114"/>
  <c r="H49" i="114"/>
  <c r="W48" i="114"/>
  <c r="P48" i="114"/>
  <c r="N48" i="114"/>
  <c r="O48" i="114" s="1"/>
  <c r="AG48" i="114"/>
  <c r="H48" i="114"/>
  <c r="W47" i="114"/>
  <c r="N47" i="114"/>
  <c r="AF47" i="114" s="1"/>
  <c r="P47" i="114"/>
  <c r="H47" i="114"/>
  <c r="W46" i="114"/>
  <c r="P46" i="114"/>
  <c r="N46" i="114"/>
  <c r="O46" i="114" s="1"/>
  <c r="AG46" i="114"/>
  <c r="H46" i="114"/>
  <c r="W45" i="114"/>
  <c r="N45" i="114"/>
  <c r="AF45" i="114" s="1"/>
  <c r="P45" i="114"/>
  <c r="H45" i="114"/>
  <c r="W44" i="114"/>
  <c r="N44" i="114"/>
  <c r="O44" i="114" s="1"/>
  <c r="P44" i="114"/>
  <c r="H44" i="114"/>
  <c r="AE43" i="114"/>
  <c r="AD43" i="114"/>
  <c r="AA43" i="114"/>
  <c r="Z43" i="114"/>
  <c r="M43" i="114"/>
  <c r="W42" i="114"/>
  <c r="H42" i="114"/>
  <c r="W41" i="114"/>
  <c r="AG40" i="114"/>
  <c r="AF40" i="114"/>
  <c r="W40" i="114"/>
  <c r="H40" i="114"/>
  <c r="AG39" i="114"/>
  <c r="AF39" i="114"/>
  <c r="W39" i="114"/>
  <c r="H39" i="114"/>
  <c r="AG38" i="114"/>
  <c r="AF38" i="114"/>
  <c r="W38" i="114"/>
  <c r="H38" i="114"/>
  <c r="AG37" i="114"/>
  <c r="AF37" i="114"/>
  <c r="W37" i="114"/>
  <c r="H37" i="114"/>
  <c r="AG36" i="114"/>
  <c r="AF36" i="114"/>
  <c r="W36" i="114"/>
  <c r="H36" i="114"/>
  <c r="AG35" i="114"/>
  <c r="AF35" i="114"/>
  <c r="W35" i="114"/>
  <c r="H35" i="114"/>
  <c r="W34" i="114"/>
  <c r="N34" i="114" s="1"/>
  <c r="P34" i="114"/>
  <c r="H34" i="114"/>
  <c r="W33" i="114"/>
  <c r="N33" i="114"/>
  <c r="O33" i="114" s="1"/>
  <c r="H33" i="114"/>
  <c r="W32" i="114"/>
  <c r="N32" i="114" s="1"/>
  <c r="P32" i="114"/>
  <c r="H32" i="114"/>
  <c r="W31" i="114"/>
  <c r="N31" i="114" s="1"/>
  <c r="P31" i="114"/>
  <c r="P43" i="114"/>
  <c r="H31" i="114"/>
  <c r="AE30" i="114"/>
  <c r="AD30" i="114"/>
  <c r="AA30" i="114"/>
  <c r="Z30" i="114"/>
  <c r="M30" i="114"/>
  <c r="AF29" i="114"/>
  <c r="W29" i="114"/>
  <c r="H29" i="114"/>
  <c r="AG28" i="114"/>
  <c r="AF28" i="114"/>
  <c r="W28" i="114"/>
  <c r="H28" i="114"/>
  <c r="AG27" i="114"/>
  <c r="AF27" i="114"/>
  <c r="W27" i="114"/>
  <c r="H27" i="114"/>
  <c r="AG26" i="114"/>
  <c r="AF26" i="114"/>
  <c r="W26" i="114"/>
  <c r="H26" i="114"/>
  <c r="AG25" i="114"/>
  <c r="AF25" i="114"/>
  <c r="W25" i="114"/>
  <c r="H25" i="114"/>
  <c r="W24" i="114"/>
  <c r="N24" i="114" s="1"/>
  <c r="P24" i="114"/>
  <c r="H24" i="114"/>
  <c r="AG23" i="114"/>
  <c r="W23" i="114"/>
  <c r="P23" i="114"/>
  <c r="N23" i="114"/>
  <c r="AF23" i="114" s="1"/>
  <c r="H23" i="114"/>
  <c r="W22" i="114"/>
  <c r="N22" i="114" s="1"/>
  <c r="P22" i="114"/>
  <c r="H22" i="114"/>
  <c r="AG21" i="114"/>
  <c r="W21" i="114"/>
  <c r="P21" i="114"/>
  <c r="N21" i="114"/>
  <c r="AF21" i="114" s="1"/>
  <c r="H21" i="114"/>
  <c r="W20" i="114"/>
  <c r="N20" i="114" s="1"/>
  <c r="H20" i="114"/>
  <c r="AG19" i="114"/>
  <c r="W19" i="114"/>
  <c r="P19" i="114"/>
  <c r="N19" i="114"/>
  <c r="AF19" i="114" s="1"/>
  <c r="H19" i="114"/>
  <c r="AF18" i="114"/>
  <c r="W18" i="114"/>
  <c r="P18" i="114"/>
  <c r="N18" i="114"/>
  <c r="H18" i="114"/>
  <c r="AE17" i="114"/>
  <c r="AD17" i="114"/>
  <c r="AA17" i="114"/>
  <c r="Z17" i="114"/>
  <c r="W17" i="114"/>
  <c r="M17" i="114"/>
  <c r="W16" i="114"/>
  <c r="H16" i="114"/>
  <c r="W15" i="114"/>
  <c r="H15" i="114"/>
  <c r="W14" i="114"/>
  <c r="H14" i="114"/>
  <c r="AG13" i="114"/>
  <c r="AF13" i="114"/>
  <c r="H13" i="114"/>
  <c r="AG12" i="114"/>
  <c r="AF12" i="114"/>
  <c r="H12" i="114"/>
  <c r="AG11" i="114"/>
  <c r="AF11" i="114"/>
  <c r="H11" i="114"/>
  <c r="W10" i="114"/>
  <c r="N10" i="114" s="1"/>
  <c r="P10" i="114"/>
  <c r="H10" i="114"/>
  <c r="AG9" i="114"/>
  <c r="W9" i="114"/>
  <c r="P9" i="114"/>
  <c r="N9" i="114"/>
  <c r="AF9" i="114" s="1"/>
  <c r="H9" i="114"/>
  <c r="W8" i="114"/>
  <c r="N8" i="114" s="1"/>
  <c r="P8" i="114"/>
  <c r="H8" i="114"/>
  <c r="AG7" i="114"/>
  <c r="W7" i="114"/>
  <c r="P7" i="114"/>
  <c r="N7" i="114"/>
  <c r="AF7" i="114" s="1"/>
  <c r="H7" i="114"/>
  <c r="G1" i="114" s="1"/>
  <c r="G2" i="114" s="1"/>
  <c r="W6" i="114"/>
  <c r="N6" i="114" s="1"/>
  <c r="P6" i="114"/>
  <c r="H6" i="114"/>
  <c r="W5" i="114"/>
  <c r="N5" i="114" s="1"/>
  <c r="P5" i="114"/>
  <c r="H5" i="114"/>
  <c r="AE2" i="114"/>
  <c r="AD2" i="114"/>
  <c r="AA2" i="114"/>
  <c r="Z2" i="114"/>
  <c r="I2" i="114"/>
  <c r="I1" i="114"/>
  <c r="E1" i="114"/>
  <c r="AE173" i="113"/>
  <c r="AD173" i="113"/>
  <c r="AA173" i="113"/>
  <c r="Z173" i="113"/>
  <c r="M173" i="113"/>
  <c r="W172" i="113"/>
  <c r="H172" i="113"/>
  <c r="W171" i="113"/>
  <c r="H171" i="113"/>
  <c r="AG170" i="113"/>
  <c r="AF170" i="113"/>
  <c r="W170" i="113"/>
  <c r="H170" i="113"/>
  <c r="AG169" i="113"/>
  <c r="AF169" i="113"/>
  <c r="W169" i="113"/>
  <c r="H169" i="113"/>
  <c r="AG168" i="113"/>
  <c r="AF168" i="113"/>
  <c r="W168" i="113"/>
  <c r="H168" i="113"/>
  <c r="AG167" i="113"/>
  <c r="AF167" i="113"/>
  <c r="W167" i="113"/>
  <c r="H167" i="113"/>
  <c r="AG166" i="113"/>
  <c r="AF166" i="113"/>
  <c r="W166" i="113"/>
  <c r="H166" i="113"/>
  <c r="AG165" i="113"/>
  <c r="W165" i="113"/>
  <c r="P165" i="113"/>
  <c r="N165" i="113"/>
  <c r="O165" i="113" s="1"/>
  <c r="AF165" i="113"/>
  <c r="H165" i="113"/>
  <c r="W164" i="113"/>
  <c r="N164" i="113" s="1"/>
  <c r="P164" i="113"/>
  <c r="H164" i="113"/>
  <c r="AG163" i="113"/>
  <c r="W163" i="113"/>
  <c r="P163" i="113"/>
  <c r="N163" i="113"/>
  <c r="O163" i="113" s="1"/>
  <c r="AF163" i="113"/>
  <c r="H163" i="113"/>
  <c r="W162" i="113"/>
  <c r="N162" i="113" s="1"/>
  <c r="P162" i="113"/>
  <c r="H162" i="113"/>
  <c r="W161" i="113"/>
  <c r="O161" i="113"/>
  <c r="N161" i="113"/>
  <c r="P161" i="113"/>
  <c r="H161" i="113"/>
  <c r="AE160" i="113"/>
  <c r="AD160" i="113"/>
  <c r="AA160" i="113"/>
  <c r="Z160" i="113"/>
  <c r="M160" i="113"/>
  <c r="W159" i="113"/>
  <c r="H159" i="113"/>
  <c r="W158" i="113"/>
  <c r="H158" i="113"/>
  <c r="W157" i="113"/>
  <c r="H157" i="113"/>
  <c r="W156" i="113"/>
  <c r="H156" i="113"/>
  <c r="W155" i="113"/>
  <c r="H155" i="113"/>
  <c r="AG154" i="113"/>
  <c r="AF154" i="113"/>
  <c r="W154" i="113"/>
  <c r="H154" i="113"/>
  <c r="W153" i="113"/>
  <c r="N153" i="113" s="1"/>
  <c r="AG153" i="113" s="1"/>
  <c r="P153" i="113"/>
  <c r="H153" i="113"/>
  <c r="AG152" i="113"/>
  <c r="W152" i="113"/>
  <c r="P152" i="113"/>
  <c r="N152" i="113"/>
  <c r="H152" i="113"/>
  <c r="W151" i="113"/>
  <c r="N151" i="113" s="1"/>
  <c r="P151" i="113"/>
  <c r="O151" i="113"/>
  <c r="H151" i="113"/>
  <c r="W150" i="113"/>
  <c r="P150" i="113"/>
  <c r="N150" i="113"/>
  <c r="H150" i="113"/>
  <c r="W149" i="113"/>
  <c r="N149" i="113" s="1"/>
  <c r="AG149" i="113" s="1"/>
  <c r="P149" i="113"/>
  <c r="O149" i="113"/>
  <c r="H149" i="113"/>
  <c r="W148" i="113"/>
  <c r="N148" i="113" s="1"/>
  <c r="O148" i="113" s="1"/>
  <c r="P160" i="113"/>
  <c r="H148" i="113"/>
  <c r="AE147" i="113"/>
  <c r="AD147" i="113"/>
  <c r="AA147" i="113"/>
  <c r="Z147" i="113"/>
  <c r="W147" i="113"/>
  <c r="M147" i="113"/>
  <c r="W146" i="113"/>
  <c r="H146" i="113"/>
  <c r="AG145" i="113"/>
  <c r="AF145" i="113"/>
  <c r="W145" i="113"/>
  <c r="H145" i="113"/>
  <c r="AG144" i="113"/>
  <c r="AF144" i="113"/>
  <c r="W144" i="113"/>
  <c r="H144" i="113"/>
  <c r="AG143" i="113"/>
  <c r="AF143" i="113"/>
  <c r="W143" i="113"/>
  <c r="H143" i="113"/>
  <c r="W142" i="113"/>
  <c r="N142" i="113" s="1"/>
  <c r="O142" i="113"/>
  <c r="AG142" i="113"/>
  <c r="P142" i="113"/>
  <c r="H142" i="113"/>
  <c r="W141" i="113"/>
  <c r="N141" i="113"/>
  <c r="AG141" i="113" s="1"/>
  <c r="P141" i="113"/>
  <c r="H141" i="113"/>
  <c r="W140" i="113"/>
  <c r="N140" i="113" s="1"/>
  <c r="P140" i="113"/>
  <c r="H140" i="113"/>
  <c r="W139" i="113"/>
  <c r="N139" i="113"/>
  <c r="AG139" i="113" s="1"/>
  <c r="P139" i="113"/>
  <c r="H139" i="113"/>
  <c r="W138" i="113"/>
  <c r="N138" i="113" s="1"/>
  <c r="P138" i="113"/>
  <c r="H138" i="113"/>
  <c r="W137" i="113"/>
  <c r="P137" i="113"/>
  <c r="N137" i="113"/>
  <c r="AG137" i="113" s="1"/>
  <c r="H137" i="113"/>
  <c r="W136" i="113"/>
  <c r="N136" i="113" s="1"/>
  <c r="P136" i="113"/>
  <c r="H136" i="113"/>
  <c r="W135" i="113"/>
  <c r="N135" i="113" s="1"/>
  <c r="P135" i="113"/>
  <c r="H135" i="113"/>
  <c r="AE134" i="113"/>
  <c r="AD134" i="113"/>
  <c r="AA134" i="113"/>
  <c r="Z134" i="113"/>
  <c r="M134" i="113"/>
  <c r="W133" i="113"/>
  <c r="H133" i="113"/>
  <c r="W132" i="113"/>
  <c r="H132" i="113"/>
  <c r="H131" i="113"/>
  <c r="H130" i="113"/>
  <c r="W129" i="113"/>
  <c r="N129" i="113"/>
  <c r="O129" i="113" s="1"/>
  <c r="P129" i="113"/>
  <c r="H129" i="113"/>
  <c r="W128" i="113"/>
  <c r="N128" i="113" s="1"/>
  <c r="P128" i="113"/>
  <c r="H128" i="113"/>
  <c r="W127" i="113"/>
  <c r="N127" i="113"/>
  <c r="AG127" i="113" s="1"/>
  <c r="P127" i="113"/>
  <c r="H127" i="113"/>
  <c r="W126" i="113"/>
  <c r="N126" i="113" s="1"/>
  <c r="P126" i="113"/>
  <c r="H126" i="113"/>
  <c r="W125" i="113"/>
  <c r="N125" i="113"/>
  <c r="AG125" i="113" s="1"/>
  <c r="P125" i="113"/>
  <c r="H125" i="113"/>
  <c r="W124" i="113"/>
  <c r="N124" i="113" s="1"/>
  <c r="P124" i="113"/>
  <c r="H124" i="113"/>
  <c r="W123" i="113"/>
  <c r="N123" i="113"/>
  <c r="AG123" i="113" s="1"/>
  <c r="P123" i="113"/>
  <c r="H123" i="113"/>
  <c r="W122" i="113"/>
  <c r="N122" i="113"/>
  <c r="AG122" i="113" s="1"/>
  <c r="P122" i="113"/>
  <c r="H122" i="113"/>
  <c r="AE121" i="113"/>
  <c r="AD121" i="113"/>
  <c r="AA121" i="113"/>
  <c r="Z121" i="113"/>
  <c r="W121" i="113"/>
  <c r="M121" i="113"/>
  <c r="AG120" i="113"/>
  <c r="AF120" i="113"/>
  <c r="W120" i="113"/>
  <c r="H120" i="113"/>
  <c r="AG119" i="113"/>
  <c r="AF119" i="113"/>
  <c r="W119" i="113"/>
  <c r="H119" i="113"/>
  <c r="AG118" i="113"/>
  <c r="AF118" i="113"/>
  <c r="W118" i="113"/>
  <c r="H118" i="113"/>
  <c r="AG117" i="113"/>
  <c r="AF117" i="113"/>
  <c r="H117" i="113"/>
  <c r="W116" i="113"/>
  <c r="N116" i="113" s="1"/>
  <c r="P116" i="113"/>
  <c r="H116" i="113"/>
  <c r="W115" i="113"/>
  <c r="N115" i="113"/>
  <c r="AG115" i="113" s="1"/>
  <c r="P115" i="113"/>
  <c r="H115" i="113"/>
  <c r="W114" i="113"/>
  <c r="N114" i="113" s="1"/>
  <c r="P114" i="113"/>
  <c r="H114" i="113"/>
  <c r="W113" i="113"/>
  <c r="N113" i="113"/>
  <c r="AG113" i="113" s="1"/>
  <c r="P113" i="113"/>
  <c r="H113" i="113"/>
  <c r="W112" i="113"/>
  <c r="N112" i="113" s="1"/>
  <c r="P112" i="113"/>
  <c r="H112" i="113"/>
  <c r="W111" i="113"/>
  <c r="N111" i="113"/>
  <c r="AG111" i="113" s="1"/>
  <c r="P111" i="113"/>
  <c r="H111" i="113"/>
  <c r="W110" i="113"/>
  <c r="N110" i="113" s="1"/>
  <c r="P110" i="113"/>
  <c r="H110" i="113"/>
  <c r="W109" i="113"/>
  <c r="N109" i="113" s="1"/>
  <c r="P109" i="113"/>
  <c r="P121" i="113"/>
  <c r="H109" i="113"/>
  <c r="AE108" i="113"/>
  <c r="AD108" i="113"/>
  <c r="AA108" i="113"/>
  <c r="Z108" i="113"/>
  <c r="W108" i="113"/>
  <c r="M108" i="113"/>
  <c r="P108" i="113" s="1"/>
  <c r="W107" i="113"/>
  <c r="H107" i="113"/>
  <c r="W106" i="113"/>
  <c r="H106" i="113"/>
  <c r="AG105" i="113"/>
  <c r="AF105" i="113"/>
  <c r="W105" i="113"/>
  <c r="H105" i="113"/>
  <c r="AG104" i="113"/>
  <c r="AF104" i="113"/>
  <c r="W104" i="113"/>
  <c r="H104" i="113"/>
  <c r="AG103" i="113"/>
  <c r="AF103" i="113"/>
  <c r="H103" i="113"/>
  <c r="AG102" i="113"/>
  <c r="AF102" i="113"/>
  <c r="H102" i="113"/>
  <c r="AG101" i="113"/>
  <c r="AF101" i="113"/>
  <c r="H101" i="113"/>
  <c r="W100" i="113"/>
  <c r="N100" i="113"/>
  <c r="AG100" i="113" s="1"/>
  <c r="P100" i="113"/>
  <c r="H100" i="113"/>
  <c r="W99" i="113"/>
  <c r="N99" i="113" s="1"/>
  <c r="P99" i="113"/>
  <c r="H99" i="113"/>
  <c r="W98" i="113"/>
  <c r="N98" i="113"/>
  <c r="AG98" i="113" s="1"/>
  <c r="P98" i="113"/>
  <c r="H98" i="113"/>
  <c r="W97" i="113"/>
  <c r="N97" i="113" s="1"/>
  <c r="P97" i="113"/>
  <c r="H97" i="113"/>
  <c r="W96" i="113"/>
  <c r="N96" i="113" s="1"/>
  <c r="P96" i="113"/>
  <c r="H96" i="113"/>
  <c r="AE95" i="113"/>
  <c r="AD95" i="113"/>
  <c r="AA95" i="113"/>
  <c r="Z95" i="113"/>
  <c r="M95" i="113"/>
  <c r="P95" i="113" s="1"/>
  <c r="AG94" i="113"/>
  <c r="AF94" i="113"/>
  <c r="W94" i="113"/>
  <c r="H94" i="113"/>
  <c r="AG93" i="113"/>
  <c r="AF93" i="113"/>
  <c r="W93" i="113"/>
  <c r="H93" i="113"/>
  <c r="AG92" i="113"/>
  <c r="AF92" i="113"/>
  <c r="H92" i="113"/>
  <c r="AG91" i="113"/>
  <c r="AF91" i="113"/>
  <c r="W91" i="113"/>
  <c r="H91" i="113"/>
  <c r="AG90" i="113"/>
  <c r="AF90" i="113"/>
  <c r="H90" i="113"/>
  <c r="AG89" i="113"/>
  <c r="AF89" i="113"/>
  <c r="H89" i="113"/>
  <c r="W88" i="113"/>
  <c r="N88" i="113" s="1"/>
  <c r="P88" i="113"/>
  <c r="H88" i="113"/>
  <c r="AG87" i="113"/>
  <c r="W87" i="113"/>
  <c r="P87" i="113"/>
  <c r="N87" i="113"/>
  <c r="AF87" i="113" s="1"/>
  <c r="H87" i="113"/>
  <c r="W86" i="113"/>
  <c r="N86" i="113" s="1"/>
  <c r="P86" i="113"/>
  <c r="H86" i="113"/>
  <c r="AG85" i="113"/>
  <c r="W85" i="113"/>
  <c r="P85" i="113"/>
  <c r="N85" i="113"/>
  <c r="AF85" i="113" s="1"/>
  <c r="H85" i="113"/>
  <c r="W84" i="113"/>
  <c r="N84" i="113" s="1"/>
  <c r="P84" i="113"/>
  <c r="H84" i="113"/>
  <c r="W83" i="113"/>
  <c r="N83" i="113" s="1"/>
  <c r="H83" i="113"/>
  <c r="AE82" i="113"/>
  <c r="AD82" i="113"/>
  <c r="AA82" i="113"/>
  <c r="Z82" i="113"/>
  <c r="M82" i="113"/>
  <c r="W81" i="113"/>
  <c r="AG80" i="113"/>
  <c r="AF80" i="113"/>
  <c r="W80" i="113"/>
  <c r="H80" i="113"/>
  <c r="AG79" i="113"/>
  <c r="AF79" i="113"/>
  <c r="W79" i="113"/>
  <c r="H79" i="113"/>
  <c r="AG78" i="113"/>
  <c r="AF78" i="113"/>
  <c r="W78" i="113"/>
  <c r="H78" i="113"/>
  <c r="AG77" i="113"/>
  <c r="AF77" i="113"/>
  <c r="H77" i="113"/>
  <c r="AG76" i="113"/>
  <c r="AF76" i="113"/>
  <c r="H76" i="113"/>
  <c r="W75" i="113"/>
  <c r="N75" i="113"/>
  <c r="AG75" i="113" s="1"/>
  <c r="H75" i="113"/>
  <c r="W74" i="113"/>
  <c r="N74" i="113" s="1"/>
  <c r="P74" i="113"/>
  <c r="H74" i="113"/>
  <c r="W73" i="113"/>
  <c r="N73" i="113"/>
  <c r="AG73" i="113" s="1"/>
  <c r="H73" i="113"/>
  <c r="W72" i="113"/>
  <c r="N72" i="113" s="1"/>
  <c r="P72" i="113"/>
  <c r="H72" i="113"/>
  <c r="W71" i="113"/>
  <c r="N71" i="113"/>
  <c r="AG71" i="113" s="1"/>
  <c r="H71" i="113"/>
  <c r="W70" i="113"/>
  <c r="N70" i="113"/>
  <c r="AG70" i="113" s="1"/>
  <c r="H70" i="113"/>
  <c r="AE69" i="113"/>
  <c r="AD69" i="113"/>
  <c r="AA69" i="113"/>
  <c r="Z69" i="113"/>
  <c r="W69" i="113"/>
  <c r="M69" i="113"/>
  <c r="W68" i="113"/>
  <c r="H68" i="113"/>
  <c r="AG67" i="113"/>
  <c r="AF67" i="113"/>
  <c r="W67" i="113"/>
  <c r="H67" i="113"/>
  <c r="AG66" i="113"/>
  <c r="AF66" i="113"/>
  <c r="W66" i="113"/>
  <c r="H66" i="113"/>
  <c r="AG65" i="113"/>
  <c r="AF65" i="113"/>
  <c r="W65" i="113"/>
  <c r="H65" i="113"/>
  <c r="AG64" i="113"/>
  <c r="AF64" i="113"/>
  <c r="W64" i="113"/>
  <c r="H64" i="113"/>
  <c r="AG63" i="113"/>
  <c r="AF63" i="113"/>
  <c r="W63" i="113"/>
  <c r="H63" i="113"/>
  <c r="AG62" i="113"/>
  <c r="AF62" i="113"/>
  <c r="W62" i="113"/>
  <c r="H62" i="113"/>
  <c r="AG61" i="113"/>
  <c r="W61" i="113"/>
  <c r="P61" i="113"/>
  <c r="N61" i="113"/>
  <c r="AF61" i="113" s="1"/>
  <c r="H61" i="113"/>
  <c r="W60" i="113"/>
  <c r="N60" i="113" s="1"/>
  <c r="P60" i="113"/>
  <c r="H60" i="113"/>
  <c r="AG59" i="113"/>
  <c r="W59" i="113"/>
  <c r="P59" i="113"/>
  <c r="N59" i="113"/>
  <c r="AF59" i="113" s="1"/>
  <c r="H59" i="113"/>
  <c r="W58" i="113"/>
  <c r="N58" i="113" s="1"/>
  <c r="O58" i="113"/>
  <c r="P58" i="113"/>
  <c r="H58" i="113"/>
  <c r="W57" i="113"/>
  <c r="N57" i="113" s="1"/>
  <c r="O57" i="113"/>
  <c r="H57" i="113"/>
  <c r="AE56" i="113"/>
  <c r="AD56" i="113"/>
  <c r="AA56" i="113"/>
  <c r="Z56" i="113"/>
  <c r="W56" i="113"/>
  <c r="M56" i="113"/>
  <c r="W55" i="113"/>
  <c r="H55" i="113"/>
  <c r="AG54" i="113"/>
  <c r="AF54" i="113"/>
  <c r="W54" i="113"/>
  <c r="H54" i="113"/>
  <c r="AG53" i="113"/>
  <c r="AF53" i="113"/>
  <c r="W53" i="113"/>
  <c r="H53" i="113"/>
  <c r="AG52" i="113"/>
  <c r="AF52" i="113"/>
  <c r="W52" i="113"/>
  <c r="H52" i="113"/>
  <c r="AG51" i="113"/>
  <c r="AF51" i="113"/>
  <c r="AG50" i="113"/>
  <c r="AF50" i="113"/>
  <c r="H50" i="113"/>
  <c r="W49" i="113"/>
  <c r="N49" i="113"/>
  <c r="P49" i="113"/>
  <c r="H49" i="113"/>
  <c r="W48" i="113"/>
  <c r="N48" i="113" s="1"/>
  <c r="AG48" i="113" s="1"/>
  <c r="P48" i="113"/>
  <c r="O48" i="113"/>
  <c r="H48" i="113"/>
  <c r="W47" i="113"/>
  <c r="N47" i="113"/>
  <c r="P47" i="113"/>
  <c r="H47" i="113"/>
  <c r="W46" i="113"/>
  <c r="N46" i="113" s="1"/>
  <c r="P46" i="113"/>
  <c r="O46" i="113"/>
  <c r="H46" i="113"/>
  <c r="W45" i="113"/>
  <c r="P45" i="113"/>
  <c r="N45" i="113"/>
  <c r="AG45" i="113" s="1"/>
  <c r="H45" i="113"/>
  <c r="W44" i="113"/>
  <c r="P44" i="113"/>
  <c r="N44" i="113"/>
  <c r="O44" i="113" s="1"/>
  <c r="Q44" i="113" s="1"/>
  <c r="H44" i="113"/>
  <c r="AE43" i="113"/>
  <c r="AD43" i="113"/>
  <c r="AA43" i="113"/>
  <c r="Z43" i="113"/>
  <c r="M43" i="113"/>
  <c r="W42" i="113"/>
  <c r="H42" i="113"/>
  <c r="W41" i="113"/>
  <c r="AG40" i="113"/>
  <c r="AF40" i="113"/>
  <c r="W40" i="113"/>
  <c r="H40" i="113"/>
  <c r="AG39" i="113"/>
  <c r="AF39" i="113"/>
  <c r="W39" i="113"/>
  <c r="H39" i="113"/>
  <c r="AG38" i="113"/>
  <c r="AF38" i="113"/>
  <c r="W38" i="113"/>
  <c r="H38" i="113"/>
  <c r="AG37" i="113"/>
  <c r="AF37" i="113"/>
  <c r="W37" i="113"/>
  <c r="H37" i="113"/>
  <c r="AG36" i="113"/>
  <c r="AF36" i="113"/>
  <c r="W36" i="113"/>
  <c r="H36" i="113"/>
  <c r="W35" i="113"/>
  <c r="P35" i="113"/>
  <c r="N35" i="113"/>
  <c r="AG35" i="113" s="1"/>
  <c r="H35" i="113"/>
  <c r="W34" i="113"/>
  <c r="P34" i="113"/>
  <c r="N34" i="113"/>
  <c r="AG34" i="113" s="1"/>
  <c r="H34" i="113"/>
  <c r="W33" i="113"/>
  <c r="P33" i="113"/>
  <c r="N33" i="113"/>
  <c r="AF33" i="113" s="1"/>
  <c r="H33" i="113"/>
  <c r="W32" i="113"/>
  <c r="P32" i="113"/>
  <c r="N32" i="113"/>
  <c r="AG32" i="113" s="1"/>
  <c r="H32" i="113"/>
  <c r="W31" i="113"/>
  <c r="N31" i="113" s="1"/>
  <c r="P31" i="113"/>
  <c r="H31" i="113"/>
  <c r="AE30" i="113"/>
  <c r="AD30" i="113"/>
  <c r="AA30" i="113"/>
  <c r="Z30" i="113"/>
  <c r="M30" i="113"/>
  <c r="AF29" i="113"/>
  <c r="W29" i="113"/>
  <c r="H29" i="113"/>
  <c r="AG28" i="113"/>
  <c r="AF28" i="113"/>
  <c r="W28" i="113"/>
  <c r="H28" i="113"/>
  <c r="AG27" i="113"/>
  <c r="AF27" i="113"/>
  <c r="W27" i="113"/>
  <c r="H27" i="113"/>
  <c r="AG26" i="113"/>
  <c r="AF26" i="113"/>
  <c r="W26" i="113"/>
  <c r="H26" i="113"/>
  <c r="AG25" i="113"/>
  <c r="AF25" i="113"/>
  <c r="W25" i="113"/>
  <c r="H25" i="113"/>
  <c r="W24" i="113"/>
  <c r="N24" i="113" s="1"/>
  <c r="H24" i="113"/>
  <c r="W23" i="113"/>
  <c r="N23" i="113" s="1"/>
  <c r="P23" i="113"/>
  <c r="H23" i="113"/>
  <c r="W22" i="113"/>
  <c r="N22" i="113" s="1"/>
  <c r="H22" i="113"/>
  <c r="W21" i="113"/>
  <c r="N21" i="113" s="1"/>
  <c r="P21" i="113"/>
  <c r="H21" i="113"/>
  <c r="W20" i="113"/>
  <c r="N20" i="113" s="1"/>
  <c r="H20" i="113"/>
  <c r="W19" i="113"/>
  <c r="N19" i="113" s="1"/>
  <c r="P19" i="113"/>
  <c r="H19" i="113"/>
  <c r="AF18" i="113"/>
  <c r="W18" i="113"/>
  <c r="O18" i="113"/>
  <c r="N18" i="113"/>
  <c r="N30" i="113" s="1"/>
  <c r="Q18" i="113"/>
  <c r="H18" i="113"/>
  <c r="AE17" i="113"/>
  <c r="AD17" i="113"/>
  <c r="AA17" i="113"/>
  <c r="Z17" i="113"/>
  <c r="W17" i="113"/>
  <c r="M17" i="113"/>
  <c r="W16" i="113"/>
  <c r="H16" i="113"/>
  <c r="W15" i="113"/>
  <c r="H15" i="113"/>
  <c r="W14" i="113"/>
  <c r="H14" i="113"/>
  <c r="AG13" i="113"/>
  <c r="AF13" i="113"/>
  <c r="H13" i="113"/>
  <c r="AG12" i="113"/>
  <c r="AF12" i="113"/>
  <c r="H12" i="113"/>
  <c r="AG11" i="113"/>
  <c r="AF11" i="113"/>
  <c r="H11" i="113"/>
  <c r="W10" i="113"/>
  <c r="N10" i="113" s="1"/>
  <c r="H10" i="113"/>
  <c r="W9" i="113"/>
  <c r="N9" i="113" s="1"/>
  <c r="P9" i="113"/>
  <c r="H9" i="113"/>
  <c r="W8" i="113"/>
  <c r="N8" i="113" s="1"/>
  <c r="H8" i="113"/>
  <c r="W7" i="113"/>
  <c r="N7" i="113" s="1"/>
  <c r="P7" i="113"/>
  <c r="H7" i="113"/>
  <c r="W6" i="113"/>
  <c r="N6" i="113" s="1"/>
  <c r="H6" i="113"/>
  <c r="W5" i="113"/>
  <c r="N5" i="113" s="1"/>
  <c r="H5" i="113"/>
  <c r="G1" i="113" s="1"/>
  <c r="G2" i="113" s="1"/>
  <c r="AE2" i="113"/>
  <c r="AD2" i="113"/>
  <c r="AA2" i="113"/>
  <c r="Z2" i="113"/>
  <c r="I2" i="113"/>
  <c r="I1" i="113"/>
  <c r="E1" i="113"/>
  <c r="AE173" i="112"/>
  <c r="AD173" i="112"/>
  <c r="AA173" i="112"/>
  <c r="Z173" i="112"/>
  <c r="M173" i="112"/>
  <c r="W172" i="112"/>
  <c r="H172" i="112"/>
  <c r="W171" i="112"/>
  <c r="H171" i="112"/>
  <c r="AG170" i="112"/>
  <c r="AF170" i="112"/>
  <c r="W170" i="112"/>
  <c r="H170" i="112"/>
  <c r="AG169" i="112"/>
  <c r="AF169" i="112"/>
  <c r="W169" i="112"/>
  <c r="H169" i="112"/>
  <c r="AG168" i="112"/>
  <c r="AF168" i="112"/>
  <c r="W168" i="112"/>
  <c r="H168" i="112"/>
  <c r="AG167" i="112"/>
  <c r="AF167" i="112"/>
  <c r="W167" i="112"/>
  <c r="H167" i="112"/>
  <c r="AG166" i="112"/>
  <c r="AF166" i="112"/>
  <c r="W166" i="112"/>
  <c r="H166" i="112"/>
  <c r="W165" i="112"/>
  <c r="N165" i="112" s="1"/>
  <c r="H165" i="112"/>
  <c r="W164" i="112"/>
  <c r="N164" i="112" s="1"/>
  <c r="H164" i="112"/>
  <c r="W163" i="112"/>
  <c r="N163" i="112" s="1"/>
  <c r="H163" i="112"/>
  <c r="W162" i="112"/>
  <c r="N162" i="112" s="1"/>
  <c r="H162" i="112"/>
  <c r="W161" i="112"/>
  <c r="N161" i="112" s="1"/>
  <c r="H161" i="112"/>
  <c r="AE160" i="112"/>
  <c r="AD160" i="112"/>
  <c r="AA160" i="112"/>
  <c r="Z160" i="112"/>
  <c r="M160" i="112"/>
  <c r="W159" i="112"/>
  <c r="H159" i="112"/>
  <c r="W158" i="112"/>
  <c r="H158" i="112"/>
  <c r="W157" i="112"/>
  <c r="H157" i="112"/>
  <c r="W156" i="112"/>
  <c r="H156" i="112"/>
  <c r="W155" i="112"/>
  <c r="H155" i="112"/>
  <c r="AG154" i="112"/>
  <c r="AF154" i="112"/>
  <c r="W154" i="112"/>
  <c r="H154" i="112"/>
  <c r="W153" i="112"/>
  <c r="N153" i="112" s="1"/>
  <c r="P153" i="112"/>
  <c r="H153" i="112"/>
  <c r="W152" i="112"/>
  <c r="N152" i="112"/>
  <c r="O152" i="112" s="1"/>
  <c r="H152" i="112"/>
  <c r="W151" i="112"/>
  <c r="N151" i="112" s="1"/>
  <c r="P151" i="112"/>
  <c r="H151" i="112"/>
  <c r="W150" i="112"/>
  <c r="N150" i="112"/>
  <c r="O150" i="112" s="1"/>
  <c r="H150" i="112"/>
  <c r="W149" i="112"/>
  <c r="N149" i="112" s="1"/>
  <c r="P149" i="112"/>
  <c r="H149" i="112"/>
  <c r="W148" i="112"/>
  <c r="N148" i="112" s="1"/>
  <c r="P148" i="112"/>
  <c r="P160" i="112"/>
  <c r="H148" i="112"/>
  <c r="AE147" i="112"/>
  <c r="AD147" i="112"/>
  <c r="AA147" i="112"/>
  <c r="Z147" i="112"/>
  <c r="W147" i="112"/>
  <c r="M147" i="112"/>
  <c r="W146" i="112"/>
  <c r="H146" i="112"/>
  <c r="AG145" i="112"/>
  <c r="AF145" i="112"/>
  <c r="W145" i="112"/>
  <c r="H145" i="112"/>
  <c r="AG144" i="112"/>
  <c r="AF144" i="112"/>
  <c r="W144" i="112"/>
  <c r="H144" i="112"/>
  <c r="AG143" i="112"/>
  <c r="AF143" i="112"/>
  <c r="W143" i="112"/>
  <c r="H143" i="112"/>
  <c r="W142" i="112"/>
  <c r="P142" i="112"/>
  <c r="N142" i="112"/>
  <c r="O142" i="112" s="1"/>
  <c r="AG142" i="112"/>
  <c r="H142" i="112"/>
  <c r="W141" i="112"/>
  <c r="N141" i="112"/>
  <c r="AF141" i="112" s="1"/>
  <c r="P141" i="112"/>
  <c r="H141" i="112"/>
  <c r="W140" i="112"/>
  <c r="P140" i="112"/>
  <c r="N140" i="112"/>
  <c r="O140" i="112" s="1"/>
  <c r="AG140" i="112"/>
  <c r="H140" i="112"/>
  <c r="W139" i="112"/>
  <c r="N139" i="112"/>
  <c r="AF139" i="112" s="1"/>
  <c r="P139" i="112"/>
  <c r="H139" i="112"/>
  <c r="W138" i="112"/>
  <c r="P138" i="112"/>
  <c r="N138" i="112"/>
  <c r="AG138" i="112" s="1"/>
  <c r="H138" i="112"/>
  <c r="W137" i="112"/>
  <c r="N137" i="112"/>
  <c r="AF137" i="112" s="1"/>
  <c r="P137" i="112"/>
  <c r="H137" i="112"/>
  <c r="W136" i="112"/>
  <c r="P136" i="112"/>
  <c r="N136" i="112"/>
  <c r="AG136" i="112" s="1"/>
  <c r="H136" i="112"/>
  <c r="W135" i="112"/>
  <c r="N135" i="112" s="1"/>
  <c r="P135" i="112"/>
  <c r="H135" i="112"/>
  <c r="AE134" i="112"/>
  <c r="AD134" i="112"/>
  <c r="AA134" i="112"/>
  <c r="Z134" i="112"/>
  <c r="M134" i="112"/>
  <c r="W133" i="112"/>
  <c r="H133" i="112"/>
  <c r="W132" i="112"/>
  <c r="H132" i="112"/>
  <c r="H131" i="112"/>
  <c r="H130" i="112"/>
  <c r="W129" i="112"/>
  <c r="N129" i="112"/>
  <c r="O129" i="112" s="1"/>
  <c r="P129" i="112"/>
  <c r="H129" i="112"/>
  <c r="W128" i="112"/>
  <c r="P128" i="112"/>
  <c r="N128" i="112"/>
  <c r="O128" i="112" s="1"/>
  <c r="AG128" i="112"/>
  <c r="H128" i="112"/>
  <c r="W127" i="112"/>
  <c r="N127" i="112"/>
  <c r="AF127" i="112" s="1"/>
  <c r="P127" i="112"/>
  <c r="H127" i="112"/>
  <c r="W126" i="112"/>
  <c r="P126" i="112"/>
  <c r="N126" i="112"/>
  <c r="O126" i="112" s="1"/>
  <c r="AG126" i="112"/>
  <c r="H126" i="112"/>
  <c r="W125" i="112"/>
  <c r="N125" i="112"/>
  <c r="AF125" i="112" s="1"/>
  <c r="P125" i="112"/>
  <c r="H125" i="112"/>
  <c r="W124" i="112"/>
  <c r="P124" i="112"/>
  <c r="N124" i="112"/>
  <c r="O124" i="112" s="1"/>
  <c r="AG124" i="112"/>
  <c r="H124" i="112"/>
  <c r="W123" i="112"/>
  <c r="N123" i="112"/>
  <c r="AF123" i="112" s="1"/>
  <c r="P123" i="112"/>
  <c r="H123" i="112"/>
  <c r="W122" i="112"/>
  <c r="N122" i="112"/>
  <c r="N134" i="112" s="1"/>
  <c r="P122" i="112"/>
  <c r="H122" i="112"/>
  <c r="AE121" i="112"/>
  <c r="AD121" i="112"/>
  <c r="AA121" i="112"/>
  <c r="Z121" i="112"/>
  <c r="W121" i="112"/>
  <c r="M121" i="112"/>
  <c r="AG120" i="112"/>
  <c r="AF120" i="112"/>
  <c r="W120" i="112"/>
  <c r="H120" i="112"/>
  <c r="AG119" i="112"/>
  <c r="AF119" i="112"/>
  <c r="W119" i="112"/>
  <c r="H119" i="112"/>
  <c r="AG118" i="112"/>
  <c r="AF118" i="112"/>
  <c r="W118" i="112"/>
  <c r="H118" i="112"/>
  <c r="W117" i="112"/>
  <c r="N117" i="112" s="1"/>
  <c r="P117" i="112"/>
  <c r="H117" i="112"/>
  <c r="W116" i="112"/>
  <c r="N116" i="112"/>
  <c r="O116" i="112" s="1"/>
  <c r="P116" i="112"/>
  <c r="H116" i="112"/>
  <c r="W115" i="112"/>
  <c r="N115" i="112" s="1"/>
  <c r="P115" i="112"/>
  <c r="H115" i="112"/>
  <c r="W114" i="112"/>
  <c r="N114" i="112"/>
  <c r="O114" i="112" s="1"/>
  <c r="P114" i="112"/>
  <c r="H114" i="112"/>
  <c r="W113" i="112"/>
  <c r="N113" i="112" s="1"/>
  <c r="P113" i="112"/>
  <c r="H113" i="112"/>
  <c r="W112" i="112"/>
  <c r="N112" i="112"/>
  <c r="O112" i="112" s="1"/>
  <c r="P112" i="112"/>
  <c r="H112" i="112"/>
  <c r="W111" i="112"/>
  <c r="N111" i="112" s="1"/>
  <c r="P111" i="112"/>
  <c r="H111" i="112"/>
  <c r="W110" i="112"/>
  <c r="N110" i="112"/>
  <c r="O110" i="112" s="1"/>
  <c r="H110" i="112"/>
  <c r="W109" i="112"/>
  <c r="N109" i="112"/>
  <c r="N121" i="112" s="1"/>
  <c r="P121" i="112"/>
  <c r="H109" i="112"/>
  <c r="AE108" i="112"/>
  <c r="AD108" i="112"/>
  <c r="AA108" i="112"/>
  <c r="Z108" i="112"/>
  <c r="W108" i="112"/>
  <c r="M108" i="112"/>
  <c r="W107" i="112"/>
  <c r="H107" i="112"/>
  <c r="W106" i="112"/>
  <c r="H106" i="112"/>
  <c r="AG105" i="112"/>
  <c r="AF105" i="112"/>
  <c r="W105" i="112"/>
  <c r="H105" i="112"/>
  <c r="AG104" i="112"/>
  <c r="AF104" i="112"/>
  <c r="W104" i="112"/>
  <c r="H104" i="112"/>
  <c r="AG103" i="112"/>
  <c r="AF103" i="112"/>
  <c r="H103" i="112"/>
  <c r="AG102" i="112"/>
  <c r="AF102" i="112"/>
  <c r="H102" i="112"/>
  <c r="AG101" i="112"/>
  <c r="AF101" i="112"/>
  <c r="H101" i="112"/>
  <c r="W100" i="112"/>
  <c r="N100" i="112" s="1"/>
  <c r="P100" i="112"/>
  <c r="H100" i="112"/>
  <c r="W99" i="112"/>
  <c r="N99" i="112"/>
  <c r="O99" i="112" s="1"/>
  <c r="H99" i="112"/>
  <c r="W98" i="112"/>
  <c r="N98" i="112" s="1"/>
  <c r="P98" i="112"/>
  <c r="H98" i="112"/>
  <c r="W97" i="112"/>
  <c r="N97" i="112"/>
  <c r="O97" i="112" s="1"/>
  <c r="H97" i="112"/>
  <c r="W96" i="112"/>
  <c r="N96" i="112"/>
  <c r="O96" i="112" s="1"/>
  <c r="H96" i="112"/>
  <c r="AE95" i="112"/>
  <c r="AD95" i="112"/>
  <c r="AA95" i="112"/>
  <c r="Z95" i="112"/>
  <c r="M95" i="112"/>
  <c r="AG94" i="112"/>
  <c r="AF94" i="112"/>
  <c r="W94" i="112"/>
  <c r="H94" i="112"/>
  <c r="AG93" i="112"/>
  <c r="AF93" i="112"/>
  <c r="W93" i="112"/>
  <c r="H93" i="112"/>
  <c r="AG92" i="112"/>
  <c r="AF92" i="112"/>
  <c r="H92" i="112"/>
  <c r="AG91" i="112"/>
  <c r="AF91" i="112"/>
  <c r="W91" i="112"/>
  <c r="H91" i="112"/>
  <c r="AG90" i="112"/>
  <c r="AF90" i="112"/>
  <c r="H90" i="112"/>
  <c r="AG89" i="112"/>
  <c r="AF89" i="112"/>
  <c r="H89" i="112"/>
  <c r="AG88" i="112"/>
  <c r="AF88" i="112"/>
  <c r="H88" i="112"/>
  <c r="AG87" i="112"/>
  <c r="W87" i="112"/>
  <c r="N87" i="112"/>
  <c r="O87" i="112" s="1"/>
  <c r="H87" i="112"/>
  <c r="W86" i="112"/>
  <c r="N86" i="112" s="1"/>
  <c r="O86" i="112" s="1"/>
  <c r="H86" i="112"/>
  <c r="W85" i="112"/>
  <c r="N85" i="112" s="1"/>
  <c r="P85" i="112"/>
  <c r="H85" i="112"/>
  <c r="W84" i="112"/>
  <c r="N84" i="112" s="1"/>
  <c r="AF84" i="112" s="1"/>
  <c r="P84" i="112"/>
  <c r="H84" i="112"/>
  <c r="W83" i="112"/>
  <c r="N83" i="112" s="1"/>
  <c r="O83" i="112"/>
  <c r="P95" i="112"/>
  <c r="H83" i="112"/>
  <c r="AE82" i="112"/>
  <c r="AD82" i="112"/>
  <c r="AA82" i="112"/>
  <c r="Z82" i="112"/>
  <c r="M82" i="112"/>
  <c r="W81" i="112"/>
  <c r="AG80" i="112"/>
  <c r="AF80" i="112"/>
  <c r="W80" i="112"/>
  <c r="H80" i="112"/>
  <c r="AG79" i="112"/>
  <c r="AF79" i="112"/>
  <c r="W79" i="112"/>
  <c r="H79" i="112"/>
  <c r="AG78" i="112"/>
  <c r="AF78" i="112"/>
  <c r="W78" i="112"/>
  <c r="H78" i="112"/>
  <c r="AG77" i="112"/>
  <c r="AF77" i="112"/>
  <c r="H77" i="112"/>
  <c r="AG76" i="112"/>
  <c r="AF76" i="112"/>
  <c r="H76" i="112"/>
  <c r="AG75" i="112"/>
  <c r="AF75" i="112"/>
  <c r="H75" i="112"/>
  <c r="W74" i="112"/>
  <c r="N74" i="112" s="1"/>
  <c r="AF74" i="112" s="1"/>
  <c r="P74" i="112"/>
  <c r="H74" i="112"/>
  <c r="W73" i="112"/>
  <c r="N73" i="112"/>
  <c r="AF73" i="112" s="1"/>
  <c r="P73" i="112"/>
  <c r="H73" i="112"/>
  <c r="W72" i="112"/>
  <c r="N72" i="112" s="1"/>
  <c r="AG72" i="112" s="1"/>
  <c r="P72" i="112"/>
  <c r="H72" i="112"/>
  <c r="AG71" i="112"/>
  <c r="W71" i="112"/>
  <c r="O71" i="112"/>
  <c r="N71" i="112"/>
  <c r="AF71" i="112" s="1"/>
  <c r="P71" i="112"/>
  <c r="H71" i="112"/>
  <c r="W70" i="112"/>
  <c r="N70" i="112" s="1"/>
  <c r="H70" i="112"/>
  <c r="AE69" i="112"/>
  <c r="AD69" i="112"/>
  <c r="AA69" i="112"/>
  <c r="Z69" i="112"/>
  <c r="W69" i="112"/>
  <c r="M69" i="112"/>
  <c r="W68" i="112"/>
  <c r="H68" i="112"/>
  <c r="AG67" i="112"/>
  <c r="AF67" i="112"/>
  <c r="W67" i="112"/>
  <c r="H67" i="112"/>
  <c r="AG66" i="112"/>
  <c r="AF66" i="112"/>
  <c r="W66" i="112"/>
  <c r="H66" i="112"/>
  <c r="AG65" i="112"/>
  <c r="AF65" i="112"/>
  <c r="W65" i="112"/>
  <c r="H65" i="112"/>
  <c r="AG64" i="112"/>
  <c r="AF64" i="112"/>
  <c r="W64" i="112"/>
  <c r="H64" i="112"/>
  <c r="AG63" i="112"/>
  <c r="AF63" i="112"/>
  <c r="W63" i="112"/>
  <c r="H63" i="112"/>
  <c r="AG62" i="112"/>
  <c r="AF62" i="112"/>
  <c r="W62" i="112"/>
  <c r="H62" i="112"/>
  <c r="W61" i="112"/>
  <c r="N61" i="112"/>
  <c r="O61" i="112" s="1"/>
  <c r="P61" i="112"/>
  <c r="H61" i="112"/>
  <c r="W60" i="112"/>
  <c r="P60" i="112"/>
  <c r="N60" i="112"/>
  <c r="AG60" i="112" s="1"/>
  <c r="H60" i="112"/>
  <c r="W59" i="112"/>
  <c r="N59" i="112"/>
  <c r="O59" i="112" s="1"/>
  <c r="P59" i="112"/>
  <c r="H59" i="112"/>
  <c r="W58" i="112"/>
  <c r="P58" i="112"/>
  <c r="N58" i="112"/>
  <c r="AG58" i="112" s="1"/>
  <c r="H58" i="112"/>
  <c r="W57" i="112"/>
  <c r="N57" i="112" s="1"/>
  <c r="P57" i="112"/>
  <c r="H57" i="112"/>
  <c r="AE56" i="112"/>
  <c r="AD56" i="112"/>
  <c r="AA56" i="112"/>
  <c r="Z56" i="112"/>
  <c r="W56" i="112"/>
  <c r="M56" i="112"/>
  <c r="P56" i="112" s="1"/>
  <c r="W55" i="112"/>
  <c r="H55" i="112"/>
  <c r="AG54" i="112"/>
  <c r="AF54" i="112"/>
  <c r="W54" i="112"/>
  <c r="H54" i="112"/>
  <c r="AG53" i="112"/>
  <c r="AF53" i="112"/>
  <c r="W53" i="112"/>
  <c r="H53" i="112"/>
  <c r="AG52" i="112"/>
  <c r="AF52" i="112"/>
  <c r="W52" i="112"/>
  <c r="H52" i="112"/>
  <c r="AG51" i="112"/>
  <c r="AF51" i="112"/>
  <c r="AG50" i="112"/>
  <c r="AF50" i="112"/>
  <c r="H50" i="112"/>
  <c r="W49" i="112"/>
  <c r="N49" i="112"/>
  <c r="O49" i="112" s="1"/>
  <c r="P49" i="112"/>
  <c r="H49" i="112"/>
  <c r="W48" i="112"/>
  <c r="N48" i="112" s="1"/>
  <c r="P48" i="112"/>
  <c r="H48" i="112"/>
  <c r="W47" i="112"/>
  <c r="N47" i="112"/>
  <c r="O47" i="112" s="1"/>
  <c r="H47" i="112"/>
  <c r="W46" i="112"/>
  <c r="P46" i="112"/>
  <c r="N46" i="112"/>
  <c r="O46" i="112" s="1"/>
  <c r="AG46" i="112"/>
  <c r="H46" i="112"/>
  <c r="W45" i="112"/>
  <c r="N45" i="112"/>
  <c r="O45" i="112" s="1"/>
  <c r="P45" i="112"/>
  <c r="H45" i="112"/>
  <c r="W44" i="112"/>
  <c r="N44" i="112"/>
  <c r="O44" i="112" s="1"/>
  <c r="H44" i="112"/>
  <c r="AE43" i="112"/>
  <c r="AD43" i="112"/>
  <c r="AA43" i="112"/>
  <c r="Z43" i="112"/>
  <c r="M43" i="112"/>
  <c r="W42" i="112"/>
  <c r="H42" i="112"/>
  <c r="W41" i="112"/>
  <c r="AG40" i="112"/>
  <c r="AF40" i="112"/>
  <c r="W40" i="112"/>
  <c r="H40" i="112"/>
  <c r="AG39" i="112"/>
  <c r="AF39" i="112"/>
  <c r="W39" i="112"/>
  <c r="H39" i="112"/>
  <c r="AG38" i="112"/>
  <c r="AF38" i="112"/>
  <c r="W38" i="112"/>
  <c r="H38" i="112"/>
  <c r="AG37" i="112"/>
  <c r="AF37" i="112"/>
  <c r="W37" i="112"/>
  <c r="H37" i="112"/>
  <c r="AG36" i="112"/>
  <c r="AF36" i="112"/>
  <c r="W36" i="112"/>
  <c r="H36" i="112"/>
  <c r="W35" i="112"/>
  <c r="N35" i="112" s="1"/>
  <c r="H35" i="112"/>
  <c r="W34" i="112"/>
  <c r="N34" i="112" s="1"/>
  <c r="P34" i="112"/>
  <c r="H34" i="112"/>
  <c r="W33" i="112"/>
  <c r="N33" i="112" s="1"/>
  <c r="H33" i="112"/>
  <c r="AG32" i="112"/>
  <c r="W32" i="112"/>
  <c r="N32" i="112"/>
  <c r="AF32" i="112" s="1"/>
  <c r="P32" i="112"/>
  <c r="H32" i="112"/>
  <c r="W31" i="112"/>
  <c r="N31" i="112" s="1"/>
  <c r="P31" i="112"/>
  <c r="H31" i="112"/>
  <c r="AE30" i="112"/>
  <c r="AD30" i="112"/>
  <c r="AA30" i="112"/>
  <c r="Z30" i="112"/>
  <c r="M30" i="112"/>
  <c r="P30" i="112" s="1"/>
  <c r="AF29" i="112"/>
  <c r="W29" i="112"/>
  <c r="H29" i="112"/>
  <c r="AG28" i="112"/>
  <c r="AF28" i="112"/>
  <c r="W28" i="112"/>
  <c r="H28" i="112"/>
  <c r="AG27" i="112"/>
  <c r="AF27" i="112"/>
  <c r="W27" i="112"/>
  <c r="H27" i="112"/>
  <c r="AG26" i="112"/>
  <c r="AF26" i="112"/>
  <c r="W26" i="112"/>
  <c r="H26" i="112"/>
  <c r="AG25" i="112"/>
  <c r="AF25" i="112"/>
  <c r="W25" i="112"/>
  <c r="H25" i="112"/>
  <c r="W24" i="112"/>
  <c r="N24" i="112" s="1"/>
  <c r="P24" i="112"/>
  <c r="H24" i="112"/>
  <c r="W23" i="112"/>
  <c r="N23" i="112"/>
  <c r="AG23" i="112" s="1"/>
  <c r="P23" i="112"/>
  <c r="H23" i="112"/>
  <c r="W22" i="112"/>
  <c r="N22" i="112" s="1"/>
  <c r="P22" i="112"/>
  <c r="H22" i="112"/>
  <c r="W21" i="112"/>
  <c r="N21" i="112"/>
  <c r="AG21" i="112" s="1"/>
  <c r="P21" i="112"/>
  <c r="H21" i="112"/>
  <c r="W20" i="112"/>
  <c r="N20" i="112" s="1"/>
  <c r="P20" i="112"/>
  <c r="H20" i="112"/>
  <c r="W19" i="112"/>
  <c r="N19" i="112"/>
  <c r="AG19" i="112" s="1"/>
  <c r="P19" i="112"/>
  <c r="H19" i="112"/>
  <c r="AF18" i="112"/>
  <c r="W18" i="112"/>
  <c r="P18" i="112"/>
  <c r="N18" i="112"/>
  <c r="O18" i="112" s="1"/>
  <c r="H18" i="112"/>
  <c r="AE17" i="112"/>
  <c r="AD17" i="112"/>
  <c r="AA17" i="112"/>
  <c r="Z17" i="112"/>
  <c r="W17" i="112"/>
  <c r="M17" i="112"/>
  <c r="W16" i="112"/>
  <c r="H16" i="112"/>
  <c r="W15" i="112"/>
  <c r="H15" i="112"/>
  <c r="W14" i="112"/>
  <c r="H14" i="112"/>
  <c r="AG13" i="112"/>
  <c r="AF13" i="112"/>
  <c r="H13" i="112"/>
  <c r="AG12" i="112"/>
  <c r="AF12" i="112"/>
  <c r="H12" i="112"/>
  <c r="AG11" i="112"/>
  <c r="AF11" i="112"/>
  <c r="H11" i="112"/>
  <c r="W10" i="112"/>
  <c r="N10" i="112" s="1"/>
  <c r="H10" i="112"/>
  <c r="W9" i="112"/>
  <c r="N9" i="112" s="1"/>
  <c r="H9" i="112"/>
  <c r="W8" i="112"/>
  <c r="N8" i="112" s="1"/>
  <c r="H8" i="112"/>
  <c r="AG7" i="112"/>
  <c r="W7" i="112"/>
  <c r="N7" i="112"/>
  <c r="AF7" i="112" s="1"/>
  <c r="P7" i="112"/>
  <c r="H7" i="112"/>
  <c r="W6" i="112"/>
  <c r="N6" i="112" s="1"/>
  <c r="P6" i="112"/>
  <c r="H6" i="112"/>
  <c r="W5" i="112"/>
  <c r="N5" i="112" s="1"/>
  <c r="P17" i="112"/>
  <c r="H5" i="112"/>
  <c r="AE2" i="112"/>
  <c r="AD2" i="112"/>
  <c r="AA2" i="112"/>
  <c r="Z2" i="112"/>
  <c r="I2" i="112"/>
  <c r="I1" i="112"/>
  <c r="E1" i="112"/>
  <c r="J124" i="111"/>
  <c r="H123" i="111"/>
  <c r="H119" i="111"/>
  <c r="H118" i="111"/>
  <c r="P117" i="111"/>
  <c r="K117" i="111" s="1"/>
  <c r="L117" i="111" s="1"/>
  <c r="H117" i="111"/>
  <c r="P116" i="111"/>
  <c r="K116" i="111"/>
  <c r="L116" i="111" s="1"/>
  <c r="H116" i="111"/>
  <c r="P115" i="111"/>
  <c r="K115" i="111" s="1"/>
  <c r="L115" i="111" s="1"/>
  <c r="H115" i="111"/>
  <c r="P114" i="111"/>
  <c r="K114" i="111"/>
  <c r="L114" i="111" s="1"/>
  <c r="H114" i="111"/>
  <c r="P113" i="111"/>
  <c r="K113" i="111" s="1"/>
  <c r="L113" i="111" s="1"/>
  <c r="H113" i="111"/>
  <c r="P112" i="111"/>
  <c r="K112" i="111"/>
  <c r="K124" i="111" s="1"/>
  <c r="H112" i="111"/>
  <c r="J111" i="111"/>
  <c r="H110" i="111"/>
  <c r="H109" i="111"/>
  <c r="H108" i="111"/>
  <c r="H107" i="111"/>
  <c r="H106" i="111"/>
  <c r="P105" i="111"/>
  <c r="K105" i="111" s="1"/>
  <c r="L105" i="111" s="1"/>
  <c r="H105" i="111"/>
  <c r="P104" i="111"/>
  <c r="K104" i="111"/>
  <c r="L104" i="111" s="1"/>
  <c r="H104" i="111"/>
  <c r="P103" i="111"/>
  <c r="K103" i="111" s="1"/>
  <c r="L103" i="111" s="1"/>
  <c r="H103" i="111"/>
  <c r="P102" i="111"/>
  <c r="K102" i="111"/>
  <c r="L102" i="111" s="1"/>
  <c r="H102" i="111"/>
  <c r="P101" i="111"/>
  <c r="K101" i="111" s="1"/>
  <c r="H101" i="111"/>
  <c r="J100" i="111"/>
  <c r="H99" i="111"/>
  <c r="H97" i="111"/>
  <c r="H96" i="111"/>
  <c r="H95" i="111"/>
  <c r="P94" i="111"/>
  <c r="K94" i="111"/>
  <c r="L94" i="111" s="1"/>
  <c r="H94" i="111"/>
  <c r="P93" i="111"/>
  <c r="K93" i="111" s="1"/>
  <c r="L93" i="111" s="1"/>
  <c r="H93" i="111"/>
  <c r="P92" i="111"/>
  <c r="K92" i="111"/>
  <c r="K100" i="111" s="1"/>
  <c r="H92" i="111"/>
  <c r="J91" i="111"/>
  <c r="H90" i="111"/>
  <c r="H89" i="111"/>
  <c r="H88" i="111"/>
  <c r="H87" i="111"/>
  <c r="H86" i="111"/>
  <c r="H85" i="111"/>
  <c r="H84" i="111"/>
  <c r="H83" i="111"/>
  <c r="P82" i="111"/>
  <c r="K82" i="111" s="1"/>
  <c r="H82" i="111"/>
  <c r="L81" i="111"/>
  <c r="K81" i="111"/>
  <c r="J81" i="111"/>
  <c r="H80" i="111"/>
  <c r="H79" i="111"/>
  <c r="H78" i="111"/>
  <c r="H77" i="111"/>
  <c r="H76" i="111"/>
  <c r="J75" i="111"/>
  <c r="H74" i="111"/>
  <c r="H73" i="111"/>
  <c r="H72" i="111"/>
  <c r="H71" i="111"/>
  <c r="H70" i="111"/>
  <c r="P69" i="111"/>
  <c r="K69" i="111" s="1"/>
  <c r="L69" i="111" s="1"/>
  <c r="H69" i="111"/>
  <c r="P68" i="111"/>
  <c r="K68" i="111"/>
  <c r="L68" i="111" s="1"/>
  <c r="H68" i="111"/>
  <c r="P67" i="111"/>
  <c r="K67" i="111" s="1"/>
  <c r="L67" i="111" s="1"/>
  <c r="H67" i="111"/>
  <c r="P66" i="111"/>
  <c r="K66" i="111"/>
  <c r="L66" i="111" s="1"/>
  <c r="H66" i="111"/>
  <c r="P65" i="111"/>
  <c r="K65" i="111" s="1"/>
  <c r="H65" i="111"/>
  <c r="J64" i="111"/>
  <c r="H63" i="111"/>
  <c r="H62" i="111"/>
  <c r="H61" i="111"/>
  <c r="H60" i="111"/>
  <c r="H59" i="111"/>
  <c r="H58" i="111"/>
  <c r="H57" i="111"/>
  <c r="P56" i="111"/>
  <c r="K56" i="111"/>
  <c r="L56" i="111" s="1"/>
  <c r="H56" i="111"/>
  <c r="P55" i="111"/>
  <c r="K55" i="111" s="1"/>
  <c r="L55" i="111" s="1"/>
  <c r="H55" i="111"/>
  <c r="P54" i="111"/>
  <c r="K54" i="111"/>
  <c r="L54" i="111" s="1"/>
  <c r="H54" i="111"/>
  <c r="P53" i="111"/>
  <c r="K53" i="111" s="1"/>
  <c r="L53" i="111" s="1"/>
  <c r="H53" i="111"/>
  <c r="P52" i="111"/>
  <c r="K52" i="111"/>
  <c r="K64" i="111" s="1"/>
  <c r="H52" i="111"/>
  <c r="H50" i="111"/>
  <c r="H49" i="111"/>
  <c r="H47" i="111"/>
  <c r="H46" i="111"/>
  <c r="H45" i="111"/>
  <c r="H44" i="111"/>
  <c r="H43" i="111"/>
  <c r="H42" i="111"/>
  <c r="H41" i="111"/>
  <c r="H40" i="111"/>
  <c r="H39" i="111"/>
  <c r="J38" i="111"/>
  <c r="H37" i="111"/>
  <c r="H36" i="111"/>
  <c r="H35" i="111"/>
  <c r="H34" i="111"/>
  <c r="H33" i="111"/>
  <c r="H32" i="111"/>
  <c r="P27" i="111"/>
  <c r="K27" i="111"/>
  <c r="L27" i="111" s="1"/>
  <c r="H27" i="111"/>
  <c r="P26" i="111"/>
  <c r="K26" i="111" s="1"/>
  <c r="L26" i="111" s="1"/>
  <c r="H26" i="111"/>
  <c r="P25" i="111"/>
  <c r="K25" i="111"/>
  <c r="K38" i="111" s="1"/>
  <c r="H25" i="111"/>
  <c r="J24" i="111"/>
  <c r="H23" i="111"/>
  <c r="H22" i="111"/>
  <c r="H21" i="111"/>
  <c r="H20" i="111"/>
  <c r="H19" i="111"/>
  <c r="P18" i="111"/>
  <c r="K18" i="111" s="1"/>
  <c r="L18" i="111" s="1"/>
  <c r="H18" i="111"/>
  <c r="P17" i="111"/>
  <c r="K17" i="111"/>
  <c r="K24" i="111" s="1"/>
  <c r="H17" i="111"/>
  <c r="J16" i="111"/>
  <c r="H15" i="111"/>
  <c r="P14" i="111"/>
  <c r="L14" i="111"/>
  <c r="K14" i="111"/>
  <c r="H14" i="111"/>
  <c r="P13" i="111"/>
  <c r="K13" i="111" s="1"/>
  <c r="L13" i="111" s="1"/>
  <c r="H13" i="111"/>
  <c r="P12" i="111"/>
  <c r="L12" i="111"/>
  <c r="K12" i="111"/>
  <c r="H12" i="111"/>
  <c r="P11" i="111"/>
  <c r="K11" i="111" s="1"/>
  <c r="L11" i="111" s="1"/>
  <c r="H11" i="111"/>
  <c r="P10" i="111"/>
  <c r="L10" i="111"/>
  <c r="K10" i="111"/>
  <c r="H10" i="111"/>
  <c r="P9" i="111"/>
  <c r="K9" i="111" s="1"/>
  <c r="L9" i="111" s="1"/>
  <c r="H9" i="111"/>
  <c r="P8" i="111"/>
  <c r="K8" i="111"/>
  <c r="L8" i="111" s="1"/>
  <c r="H8" i="111"/>
  <c r="P7" i="111"/>
  <c r="K7" i="111" s="1"/>
  <c r="L7" i="111" s="1"/>
  <c r="H7" i="111"/>
  <c r="P6" i="111"/>
  <c r="K6" i="111"/>
  <c r="L6" i="111" s="1"/>
  <c r="H6" i="111"/>
  <c r="P5" i="111"/>
  <c r="K5" i="111" s="1"/>
  <c r="H5" i="111"/>
  <c r="I2" i="111"/>
  <c r="I1" i="111"/>
  <c r="E1" i="111"/>
  <c r="J124" i="110"/>
  <c r="H123" i="110"/>
  <c r="H119" i="110"/>
  <c r="H118" i="110"/>
  <c r="P117" i="110"/>
  <c r="K117" i="110" s="1"/>
  <c r="L117" i="110"/>
  <c r="H117" i="110"/>
  <c r="P116" i="110"/>
  <c r="K116" i="110"/>
  <c r="L116" i="110" s="1"/>
  <c r="H116" i="110"/>
  <c r="P115" i="110"/>
  <c r="K115" i="110" s="1"/>
  <c r="L115" i="110" s="1"/>
  <c r="H115" i="110"/>
  <c r="P114" i="110"/>
  <c r="K114" i="110"/>
  <c r="L114" i="110" s="1"/>
  <c r="H114" i="110"/>
  <c r="P113" i="110"/>
  <c r="K113" i="110" s="1"/>
  <c r="L113" i="110"/>
  <c r="H113" i="110"/>
  <c r="P112" i="110"/>
  <c r="K112" i="110"/>
  <c r="H112" i="110"/>
  <c r="J111" i="110"/>
  <c r="H110" i="110"/>
  <c r="H109" i="110"/>
  <c r="H108" i="110"/>
  <c r="H107" i="110"/>
  <c r="H106" i="110"/>
  <c r="P105" i="110"/>
  <c r="L105" i="110"/>
  <c r="K105" i="110"/>
  <c r="H105" i="110"/>
  <c r="P104" i="110"/>
  <c r="K104" i="110" s="1"/>
  <c r="L104" i="110" s="1"/>
  <c r="H104" i="110"/>
  <c r="P103" i="110"/>
  <c r="L103" i="110"/>
  <c r="K103" i="110"/>
  <c r="H103" i="110"/>
  <c r="P102" i="110"/>
  <c r="K102" i="110" s="1"/>
  <c r="L102" i="110" s="1"/>
  <c r="H102" i="110"/>
  <c r="P101" i="110"/>
  <c r="K101" i="110" s="1"/>
  <c r="H101" i="110"/>
  <c r="J100" i="110"/>
  <c r="H99" i="110"/>
  <c r="H97" i="110"/>
  <c r="H96" i="110"/>
  <c r="H95" i="110"/>
  <c r="P94" i="110"/>
  <c r="K94" i="110"/>
  <c r="L94" i="110" s="1"/>
  <c r="H94" i="110"/>
  <c r="P93" i="110"/>
  <c r="K93" i="110" s="1"/>
  <c r="L93" i="110" s="1"/>
  <c r="H93" i="110"/>
  <c r="P92" i="110"/>
  <c r="L92" i="110"/>
  <c r="K92" i="110"/>
  <c r="H92" i="110"/>
  <c r="J91" i="110"/>
  <c r="H90" i="110"/>
  <c r="H89" i="110"/>
  <c r="H88" i="110"/>
  <c r="H87" i="110"/>
  <c r="H86" i="110"/>
  <c r="H85" i="110"/>
  <c r="H84" i="110"/>
  <c r="H83" i="110"/>
  <c r="P82" i="110"/>
  <c r="K82" i="110"/>
  <c r="K91" i="110" s="1"/>
  <c r="H82" i="110"/>
  <c r="L81" i="110"/>
  <c r="K81" i="110"/>
  <c r="J81" i="110"/>
  <c r="H80" i="110"/>
  <c r="H79" i="110"/>
  <c r="H78" i="110"/>
  <c r="H77" i="110"/>
  <c r="H76" i="110"/>
  <c r="J75" i="110"/>
  <c r="H74" i="110"/>
  <c r="H73" i="110"/>
  <c r="H72" i="110"/>
  <c r="H71" i="110"/>
  <c r="H70" i="110"/>
  <c r="P69" i="110"/>
  <c r="L69" i="110"/>
  <c r="K69" i="110"/>
  <c r="H69" i="110"/>
  <c r="P68" i="110"/>
  <c r="K68" i="110" s="1"/>
  <c r="L68" i="110" s="1"/>
  <c r="H68" i="110"/>
  <c r="P67" i="110"/>
  <c r="K67" i="110" s="1"/>
  <c r="L67" i="110" s="1"/>
  <c r="H67" i="110"/>
  <c r="P66" i="110"/>
  <c r="K66" i="110" s="1"/>
  <c r="H66" i="110"/>
  <c r="P65" i="110"/>
  <c r="L65" i="110"/>
  <c r="K65" i="110"/>
  <c r="H65" i="110"/>
  <c r="J64" i="110"/>
  <c r="H63" i="110"/>
  <c r="H62" i="110"/>
  <c r="H61" i="110"/>
  <c r="H60" i="110"/>
  <c r="H59" i="110"/>
  <c r="H58" i="110"/>
  <c r="H57" i="110"/>
  <c r="P56" i="110"/>
  <c r="K56" i="110"/>
  <c r="L56" i="110" s="1"/>
  <c r="H56" i="110"/>
  <c r="P55" i="110"/>
  <c r="K55" i="110" s="1"/>
  <c r="L55" i="110" s="1"/>
  <c r="H55" i="110"/>
  <c r="P54" i="110"/>
  <c r="K54" i="110"/>
  <c r="L54" i="110" s="1"/>
  <c r="H54" i="110"/>
  <c r="P53" i="110"/>
  <c r="K53" i="110" s="1"/>
  <c r="L53" i="110" s="1"/>
  <c r="H53" i="110"/>
  <c r="P52" i="110"/>
  <c r="K52" i="110"/>
  <c r="H52" i="110"/>
  <c r="H50" i="110"/>
  <c r="H49" i="110"/>
  <c r="H47" i="110"/>
  <c r="H46" i="110"/>
  <c r="H45" i="110"/>
  <c r="H44" i="110"/>
  <c r="H43" i="110"/>
  <c r="H42" i="110"/>
  <c r="H41" i="110"/>
  <c r="H40" i="110"/>
  <c r="H39" i="110"/>
  <c r="J38" i="110"/>
  <c r="H37" i="110"/>
  <c r="H36" i="110"/>
  <c r="H35" i="110"/>
  <c r="H34" i="110"/>
  <c r="H33" i="110"/>
  <c r="H32" i="110"/>
  <c r="P27" i="110"/>
  <c r="K27" i="110"/>
  <c r="L27" i="110" s="1"/>
  <c r="H27" i="110"/>
  <c r="P26" i="110"/>
  <c r="K26" i="110" s="1"/>
  <c r="L26" i="110" s="1"/>
  <c r="H26" i="110"/>
  <c r="P25" i="110"/>
  <c r="K25" i="110"/>
  <c r="L25" i="110" s="1"/>
  <c r="L38" i="110" s="1"/>
  <c r="H25" i="110"/>
  <c r="J24" i="110"/>
  <c r="I1" i="110" s="1"/>
  <c r="H23" i="110"/>
  <c r="H22" i="110"/>
  <c r="H21" i="110"/>
  <c r="H20" i="110"/>
  <c r="H19" i="110"/>
  <c r="P18" i="110"/>
  <c r="K18" i="110" s="1"/>
  <c r="L18" i="110" s="1"/>
  <c r="L24" i="110" s="1"/>
  <c r="H18" i="110"/>
  <c r="P17" i="110"/>
  <c r="L17" i="110"/>
  <c r="K17" i="110"/>
  <c r="K24" i="110" s="1"/>
  <c r="H17" i="110"/>
  <c r="J16" i="110"/>
  <c r="H15" i="110"/>
  <c r="P14" i="110"/>
  <c r="K14" i="110"/>
  <c r="L14" i="110" s="1"/>
  <c r="H14" i="110"/>
  <c r="P13" i="110"/>
  <c r="K13" i="110" s="1"/>
  <c r="L13" i="110" s="1"/>
  <c r="H13" i="110"/>
  <c r="P12" i="110"/>
  <c r="K12" i="110"/>
  <c r="L12" i="110" s="1"/>
  <c r="H12" i="110"/>
  <c r="P11" i="110"/>
  <c r="K11" i="110" s="1"/>
  <c r="L11" i="110" s="1"/>
  <c r="H11" i="110"/>
  <c r="P10" i="110"/>
  <c r="K10" i="110"/>
  <c r="L10" i="110" s="1"/>
  <c r="H10" i="110"/>
  <c r="P9" i="110"/>
  <c r="K9" i="110" s="1"/>
  <c r="L9" i="110" s="1"/>
  <c r="H9" i="110"/>
  <c r="P8" i="110"/>
  <c r="K8" i="110"/>
  <c r="L8" i="110" s="1"/>
  <c r="H8" i="110"/>
  <c r="P7" i="110"/>
  <c r="K7" i="110" s="1"/>
  <c r="L7" i="110" s="1"/>
  <c r="H7" i="110"/>
  <c r="P6" i="110"/>
  <c r="K6" i="110"/>
  <c r="L6" i="110" s="1"/>
  <c r="H6" i="110"/>
  <c r="P5" i="110"/>
  <c r="K5" i="110" s="1"/>
  <c r="H5" i="110"/>
  <c r="I2" i="110"/>
  <c r="E1" i="110"/>
  <c r="J124" i="109"/>
  <c r="H123" i="109"/>
  <c r="H119" i="109"/>
  <c r="H118" i="109"/>
  <c r="P117" i="109"/>
  <c r="K117" i="109" s="1"/>
  <c r="L117" i="109" s="1"/>
  <c r="H117" i="109"/>
  <c r="P116" i="109"/>
  <c r="L116" i="109"/>
  <c r="K116" i="109"/>
  <c r="H116" i="109"/>
  <c r="P115" i="109"/>
  <c r="K115" i="109" s="1"/>
  <c r="L115" i="109" s="1"/>
  <c r="H115" i="109"/>
  <c r="P114" i="109"/>
  <c r="L114" i="109"/>
  <c r="K114" i="109"/>
  <c r="H114" i="109"/>
  <c r="P113" i="109"/>
  <c r="K113" i="109" s="1"/>
  <c r="L113" i="109" s="1"/>
  <c r="L124" i="109" s="1"/>
  <c r="H113" i="109"/>
  <c r="P112" i="109"/>
  <c r="L112" i="109"/>
  <c r="K112" i="109"/>
  <c r="H112" i="109"/>
  <c r="J111" i="109"/>
  <c r="H110" i="109"/>
  <c r="H109" i="109"/>
  <c r="H108" i="109"/>
  <c r="H107" i="109"/>
  <c r="H106" i="109"/>
  <c r="P105" i="109"/>
  <c r="K105" i="109" s="1"/>
  <c r="L105" i="109" s="1"/>
  <c r="H105" i="109"/>
  <c r="P104" i="109"/>
  <c r="K104" i="109"/>
  <c r="L104" i="109" s="1"/>
  <c r="H104" i="109"/>
  <c r="P103" i="109"/>
  <c r="K103" i="109" s="1"/>
  <c r="L103" i="109" s="1"/>
  <c r="H103" i="109"/>
  <c r="P102" i="109"/>
  <c r="K102" i="109"/>
  <c r="L102" i="109" s="1"/>
  <c r="H102" i="109"/>
  <c r="P101" i="109"/>
  <c r="K101" i="109" s="1"/>
  <c r="H101" i="109"/>
  <c r="J100" i="109"/>
  <c r="H99" i="109"/>
  <c r="H97" i="109"/>
  <c r="H96" i="109"/>
  <c r="H95" i="109"/>
  <c r="P94" i="109"/>
  <c r="L94" i="109"/>
  <c r="K94" i="109"/>
  <c r="H94" i="109"/>
  <c r="P93" i="109"/>
  <c r="K93" i="109" s="1"/>
  <c r="L93" i="109" s="1"/>
  <c r="H93" i="109"/>
  <c r="P92" i="109"/>
  <c r="L92" i="109"/>
  <c r="L100" i="109" s="1"/>
  <c r="K92" i="109"/>
  <c r="K100" i="109" s="1"/>
  <c r="H92" i="109"/>
  <c r="J91" i="109"/>
  <c r="H90" i="109"/>
  <c r="H89" i="109"/>
  <c r="H88" i="109"/>
  <c r="H87" i="109"/>
  <c r="H86" i="109"/>
  <c r="H85" i="109"/>
  <c r="H84" i="109"/>
  <c r="H83" i="109"/>
  <c r="P82" i="109"/>
  <c r="K82" i="109" s="1"/>
  <c r="H82" i="109"/>
  <c r="L81" i="109"/>
  <c r="K81" i="109"/>
  <c r="J81" i="109"/>
  <c r="H80" i="109"/>
  <c r="H79" i="109"/>
  <c r="H78" i="109"/>
  <c r="H77" i="109"/>
  <c r="H76" i="109"/>
  <c r="J75" i="109"/>
  <c r="H74" i="109"/>
  <c r="H73" i="109"/>
  <c r="H72" i="109"/>
  <c r="H71" i="109"/>
  <c r="H70" i="109"/>
  <c r="P69" i="109"/>
  <c r="K69" i="109" s="1"/>
  <c r="L69" i="109" s="1"/>
  <c r="H69" i="109"/>
  <c r="P68" i="109"/>
  <c r="K68" i="109"/>
  <c r="L68" i="109" s="1"/>
  <c r="H68" i="109"/>
  <c r="P67" i="109"/>
  <c r="K67" i="109" s="1"/>
  <c r="L67" i="109" s="1"/>
  <c r="H67" i="109"/>
  <c r="P66" i="109"/>
  <c r="K66" i="109"/>
  <c r="L66" i="109" s="1"/>
  <c r="H66" i="109"/>
  <c r="P65" i="109"/>
  <c r="K65" i="109" s="1"/>
  <c r="H65" i="109"/>
  <c r="J64" i="109"/>
  <c r="H63" i="109"/>
  <c r="H62" i="109"/>
  <c r="H61" i="109"/>
  <c r="H60" i="109"/>
  <c r="H59" i="109"/>
  <c r="H58" i="109"/>
  <c r="H57" i="109"/>
  <c r="P56" i="109"/>
  <c r="K56" i="109"/>
  <c r="L56" i="109" s="1"/>
  <c r="H56" i="109"/>
  <c r="P55" i="109"/>
  <c r="K55" i="109" s="1"/>
  <c r="L55" i="109" s="1"/>
  <c r="H55" i="109"/>
  <c r="P54" i="109"/>
  <c r="L54" i="109"/>
  <c r="K54" i="109"/>
  <c r="H54" i="109"/>
  <c r="P53" i="109"/>
  <c r="K53" i="109" s="1"/>
  <c r="L53" i="109" s="1"/>
  <c r="H53" i="109"/>
  <c r="P52" i="109"/>
  <c r="K52" i="109"/>
  <c r="K64" i="109" s="1"/>
  <c r="H52" i="109"/>
  <c r="H50" i="109"/>
  <c r="H49" i="109"/>
  <c r="H47" i="109"/>
  <c r="H46" i="109"/>
  <c r="H45" i="109"/>
  <c r="H44" i="109"/>
  <c r="H43" i="109"/>
  <c r="H42" i="109"/>
  <c r="H41" i="109"/>
  <c r="H40" i="109"/>
  <c r="H39" i="109"/>
  <c r="J38" i="109"/>
  <c r="H37" i="109"/>
  <c r="H36" i="109"/>
  <c r="H35" i="109"/>
  <c r="H34" i="109"/>
  <c r="H33" i="109"/>
  <c r="H32" i="109"/>
  <c r="P27" i="109"/>
  <c r="K27" i="109"/>
  <c r="L27" i="109" s="1"/>
  <c r="H27" i="109"/>
  <c r="P26" i="109"/>
  <c r="K26" i="109" s="1"/>
  <c r="L26" i="109" s="1"/>
  <c r="H26" i="109"/>
  <c r="P25" i="109"/>
  <c r="L25" i="109"/>
  <c r="L38" i="109" s="1"/>
  <c r="K25" i="109"/>
  <c r="H25" i="109"/>
  <c r="J24" i="109"/>
  <c r="H23" i="109"/>
  <c r="H22" i="109"/>
  <c r="H21" i="109"/>
  <c r="H20" i="109"/>
  <c r="H19" i="109"/>
  <c r="P18" i="109"/>
  <c r="K18" i="109" s="1"/>
  <c r="L18" i="109"/>
  <c r="H18" i="109"/>
  <c r="P17" i="109"/>
  <c r="K17" i="109"/>
  <c r="H17" i="109"/>
  <c r="J16" i="109"/>
  <c r="H15" i="109"/>
  <c r="P14" i="109"/>
  <c r="L14" i="109"/>
  <c r="K14" i="109"/>
  <c r="H14" i="109"/>
  <c r="P13" i="109"/>
  <c r="K13" i="109" s="1"/>
  <c r="L13" i="109" s="1"/>
  <c r="H13" i="109"/>
  <c r="P12" i="109"/>
  <c r="K12" i="109"/>
  <c r="L12" i="109" s="1"/>
  <c r="H12" i="109"/>
  <c r="P11" i="109"/>
  <c r="K11" i="109" s="1"/>
  <c r="L11" i="109" s="1"/>
  <c r="H11" i="109"/>
  <c r="P10" i="109"/>
  <c r="L10" i="109"/>
  <c r="K10" i="109"/>
  <c r="H10" i="109"/>
  <c r="P9" i="109"/>
  <c r="K9" i="109" s="1"/>
  <c r="L9" i="109" s="1"/>
  <c r="H9" i="109"/>
  <c r="P8" i="109"/>
  <c r="K8" i="109"/>
  <c r="L8" i="109" s="1"/>
  <c r="H8" i="109"/>
  <c r="P7" i="109"/>
  <c r="K7" i="109" s="1"/>
  <c r="K16" i="109" s="1"/>
  <c r="L7" i="109"/>
  <c r="L16" i="109" s="1"/>
  <c r="H7" i="109"/>
  <c r="P6" i="109"/>
  <c r="L6" i="109"/>
  <c r="K6" i="109"/>
  <c r="H6" i="109"/>
  <c r="P5" i="109"/>
  <c r="K5" i="109" s="1"/>
  <c r="L5" i="109"/>
  <c r="H5" i="109"/>
  <c r="I2" i="109"/>
  <c r="I1" i="109"/>
  <c r="E1" i="109"/>
  <c r="J124" i="108"/>
  <c r="H123" i="108"/>
  <c r="H119" i="108"/>
  <c r="H118" i="108"/>
  <c r="P117" i="108"/>
  <c r="K117" i="108" s="1"/>
  <c r="L117" i="108" s="1"/>
  <c r="H117" i="108"/>
  <c r="P116" i="108"/>
  <c r="K116" i="108" s="1"/>
  <c r="L116" i="108" s="1"/>
  <c r="H116" i="108"/>
  <c r="P115" i="108"/>
  <c r="K115" i="108"/>
  <c r="L115" i="108" s="1"/>
  <c r="H115" i="108"/>
  <c r="P114" i="108"/>
  <c r="K114" i="108"/>
  <c r="L114" i="108" s="1"/>
  <c r="H114" i="108"/>
  <c r="P113" i="108"/>
  <c r="K113" i="108" s="1"/>
  <c r="L113" i="108" s="1"/>
  <c r="H113" i="108"/>
  <c r="P112" i="108"/>
  <c r="K112" i="108" s="1"/>
  <c r="H112" i="108"/>
  <c r="P111" i="108"/>
  <c r="J111" i="108"/>
  <c r="P110" i="108"/>
  <c r="H110" i="108"/>
  <c r="P109" i="108"/>
  <c r="H109" i="108"/>
  <c r="P108" i="108"/>
  <c r="H108" i="108"/>
  <c r="P107" i="108"/>
  <c r="H107" i="108"/>
  <c r="P106" i="108"/>
  <c r="H106" i="108"/>
  <c r="P105" i="108"/>
  <c r="K105" i="108"/>
  <c r="L105" i="108" s="1"/>
  <c r="H105" i="108"/>
  <c r="P104" i="108"/>
  <c r="K104" i="108" s="1"/>
  <c r="L104" i="108" s="1"/>
  <c r="H104" i="108"/>
  <c r="P103" i="108"/>
  <c r="K103" i="108"/>
  <c r="L103" i="108" s="1"/>
  <c r="H103" i="108"/>
  <c r="P102" i="108"/>
  <c r="K102" i="108" s="1"/>
  <c r="L102" i="108" s="1"/>
  <c r="H102" i="108"/>
  <c r="P101" i="108"/>
  <c r="K101" i="108"/>
  <c r="K111" i="108" s="1"/>
  <c r="H101" i="108"/>
  <c r="J100" i="108"/>
  <c r="H99" i="108"/>
  <c r="H97" i="108"/>
  <c r="H96" i="108"/>
  <c r="H95" i="108"/>
  <c r="P94" i="108"/>
  <c r="K94" i="108"/>
  <c r="L94" i="108" s="1"/>
  <c r="H94" i="108"/>
  <c r="P93" i="108"/>
  <c r="K93" i="108" s="1"/>
  <c r="L93" i="108" s="1"/>
  <c r="H93" i="108"/>
  <c r="P92" i="108"/>
  <c r="K92" i="108"/>
  <c r="K100" i="108" s="1"/>
  <c r="H92" i="108"/>
  <c r="J91" i="108"/>
  <c r="H90" i="108"/>
  <c r="H89" i="108"/>
  <c r="H88" i="108"/>
  <c r="H87" i="108"/>
  <c r="H86" i="108"/>
  <c r="H85" i="108"/>
  <c r="H84" i="108"/>
  <c r="H83" i="108"/>
  <c r="P82" i="108"/>
  <c r="K82" i="108"/>
  <c r="L82" i="108" s="1"/>
  <c r="L91" i="108" s="1"/>
  <c r="H82" i="108"/>
  <c r="L81" i="108"/>
  <c r="K81" i="108"/>
  <c r="J81" i="108"/>
  <c r="H80" i="108"/>
  <c r="H79" i="108"/>
  <c r="H78" i="108"/>
  <c r="H77" i="108"/>
  <c r="H76" i="108"/>
  <c r="J75" i="108"/>
  <c r="H74" i="108"/>
  <c r="H73" i="108"/>
  <c r="H72" i="108"/>
  <c r="H71" i="108"/>
  <c r="H70" i="108"/>
  <c r="P69" i="108"/>
  <c r="L69" i="108"/>
  <c r="K69" i="108"/>
  <c r="H69" i="108"/>
  <c r="P68" i="108"/>
  <c r="K68" i="108" s="1"/>
  <c r="L68" i="108" s="1"/>
  <c r="H68" i="108"/>
  <c r="P67" i="108"/>
  <c r="L67" i="108"/>
  <c r="K67" i="108"/>
  <c r="H67" i="108"/>
  <c r="P66" i="108"/>
  <c r="K66" i="108" s="1"/>
  <c r="L66" i="108" s="1"/>
  <c r="H66" i="108"/>
  <c r="P65" i="108"/>
  <c r="L65" i="108"/>
  <c r="K65" i="108"/>
  <c r="H65" i="108"/>
  <c r="J64" i="108"/>
  <c r="H63" i="108"/>
  <c r="H62" i="108"/>
  <c r="H61" i="108"/>
  <c r="H60" i="108"/>
  <c r="H59" i="108"/>
  <c r="H58" i="108"/>
  <c r="H57" i="108"/>
  <c r="P56" i="108"/>
  <c r="K56" i="108"/>
  <c r="L56" i="108" s="1"/>
  <c r="H56" i="108"/>
  <c r="P55" i="108"/>
  <c r="K55" i="108" s="1"/>
  <c r="L55" i="108" s="1"/>
  <c r="H55" i="108"/>
  <c r="P54" i="108"/>
  <c r="K54" i="108"/>
  <c r="L54" i="108" s="1"/>
  <c r="H54" i="108"/>
  <c r="P53" i="108"/>
  <c r="K53" i="108" s="1"/>
  <c r="L53" i="108" s="1"/>
  <c r="H53" i="108"/>
  <c r="P52" i="108"/>
  <c r="K52" i="108"/>
  <c r="K64" i="108" s="1"/>
  <c r="H52" i="108"/>
  <c r="H50" i="108"/>
  <c r="H49" i="108"/>
  <c r="H47" i="108"/>
  <c r="H46" i="108"/>
  <c r="H45" i="108"/>
  <c r="H44" i="108"/>
  <c r="H43" i="108"/>
  <c r="H42" i="108"/>
  <c r="H41" i="108"/>
  <c r="H40" i="108"/>
  <c r="H39" i="108"/>
  <c r="J38" i="108"/>
  <c r="H37" i="108"/>
  <c r="H36" i="108"/>
  <c r="H35" i="108"/>
  <c r="H34" i="108"/>
  <c r="H33" i="108"/>
  <c r="H32" i="108"/>
  <c r="P27" i="108"/>
  <c r="K27" i="108"/>
  <c r="L27" i="108" s="1"/>
  <c r="H27" i="108"/>
  <c r="P26" i="108"/>
  <c r="K26" i="108" s="1"/>
  <c r="L26" i="108" s="1"/>
  <c r="H26" i="108"/>
  <c r="P25" i="108"/>
  <c r="K25" i="108"/>
  <c r="K38" i="108" s="1"/>
  <c r="H25" i="108"/>
  <c r="J24" i="108"/>
  <c r="H23" i="108"/>
  <c r="H22" i="108"/>
  <c r="H21" i="108"/>
  <c r="H20" i="108"/>
  <c r="H19" i="108"/>
  <c r="P18" i="108"/>
  <c r="K18" i="108" s="1"/>
  <c r="L18" i="108" s="1"/>
  <c r="H18" i="108"/>
  <c r="P17" i="108"/>
  <c r="K17" i="108"/>
  <c r="K24" i="108" s="1"/>
  <c r="H17" i="108"/>
  <c r="J16" i="108"/>
  <c r="H15" i="108"/>
  <c r="P14" i="108"/>
  <c r="K14" i="108"/>
  <c r="L14" i="108" s="1"/>
  <c r="H14" i="108"/>
  <c r="P13" i="108"/>
  <c r="K13" i="108" s="1"/>
  <c r="L13" i="108" s="1"/>
  <c r="H13" i="108"/>
  <c r="P12" i="108"/>
  <c r="K12" i="108"/>
  <c r="L12" i="108" s="1"/>
  <c r="H12" i="108"/>
  <c r="P11" i="108"/>
  <c r="K11" i="108" s="1"/>
  <c r="L11" i="108" s="1"/>
  <c r="H11" i="108"/>
  <c r="P10" i="108"/>
  <c r="K10" i="108"/>
  <c r="L10" i="108" s="1"/>
  <c r="H10" i="108"/>
  <c r="P9" i="108"/>
  <c r="K9" i="108" s="1"/>
  <c r="L9" i="108" s="1"/>
  <c r="H9" i="108"/>
  <c r="P8" i="108"/>
  <c r="K8" i="108"/>
  <c r="L8" i="108" s="1"/>
  <c r="H8" i="108"/>
  <c r="P7" i="108"/>
  <c r="K7" i="108" s="1"/>
  <c r="L7" i="108" s="1"/>
  <c r="H7" i="108"/>
  <c r="P6" i="108"/>
  <c r="K6" i="108"/>
  <c r="L6" i="108" s="1"/>
  <c r="H6" i="108"/>
  <c r="P5" i="108"/>
  <c r="K5" i="108" s="1"/>
  <c r="H5" i="108"/>
  <c r="I2" i="108"/>
  <c r="I1" i="108"/>
  <c r="E1" i="108"/>
  <c r="M32" i="107"/>
  <c r="L32" i="107"/>
  <c r="K32" i="107"/>
  <c r="L8" i="107" s="1"/>
  <c r="J32" i="107"/>
  <c r="I32" i="107"/>
  <c r="H32" i="107"/>
  <c r="G32" i="107"/>
  <c r="J8" i="107" s="1"/>
  <c r="F32" i="107"/>
  <c r="E32" i="107"/>
  <c r="D32" i="107"/>
  <c r="Q15" i="107"/>
  <c r="P15" i="107"/>
  <c r="O15" i="107"/>
  <c r="N15" i="107"/>
  <c r="M15" i="107"/>
  <c r="L15" i="107"/>
  <c r="K15" i="107"/>
  <c r="J15" i="107"/>
  <c r="I15" i="107"/>
  <c r="H15" i="107"/>
  <c r="G15" i="107"/>
  <c r="F15" i="107"/>
  <c r="E15" i="107"/>
  <c r="F8" i="107" s="1"/>
  <c r="D15" i="107"/>
  <c r="H8" i="107"/>
  <c r="L7" i="107"/>
  <c r="J7" i="107"/>
  <c r="H7" i="107"/>
  <c r="F7" i="107"/>
  <c r="L6" i="107"/>
  <c r="J6" i="107"/>
  <c r="H6" i="107"/>
  <c r="F6" i="107"/>
  <c r="M32" i="106"/>
  <c r="L32" i="106"/>
  <c r="K32" i="106"/>
  <c r="L8" i="106" s="1"/>
  <c r="J32" i="106"/>
  <c r="I32" i="106"/>
  <c r="H32" i="106"/>
  <c r="G32" i="106"/>
  <c r="J8" i="106" s="1"/>
  <c r="F32" i="106"/>
  <c r="E32" i="106"/>
  <c r="D32" i="106"/>
  <c r="Q15" i="106"/>
  <c r="P15" i="106"/>
  <c r="O15" i="106"/>
  <c r="N15" i="106"/>
  <c r="M15" i="106"/>
  <c r="L15" i="106"/>
  <c r="K15" i="106"/>
  <c r="J15" i="106"/>
  <c r="I15" i="106"/>
  <c r="H15" i="106"/>
  <c r="G15" i="106"/>
  <c r="F15" i="106"/>
  <c r="H8" i="106" s="1"/>
  <c r="E15" i="106"/>
  <c r="F8" i="106" s="1"/>
  <c r="D15" i="106"/>
  <c r="L7" i="106"/>
  <c r="J7" i="106"/>
  <c r="H7" i="106"/>
  <c r="F7" i="106"/>
  <c r="L6" i="106"/>
  <c r="J6" i="106"/>
  <c r="H6" i="106"/>
  <c r="F6" i="106"/>
  <c r="M32" i="105"/>
  <c r="L32" i="105"/>
  <c r="K32" i="105"/>
  <c r="J32" i="105"/>
  <c r="L8" i="105" s="1"/>
  <c r="I32" i="105"/>
  <c r="H32" i="105"/>
  <c r="G32" i="105"/>
  <c r="F32" i="105"/>
  <c r="E32" i="105"/>
  <c r="J8" i="105" s="1"/>
  <c r="D32" i="105"/>
  <c r="Q15" i="105"/>
  <c r="P15" i="105"/>
  <c r="O15" i="105"/>
  <c r="N15" i="105"/>
  <c r="M15" i="105"/>
  <c r="L15" i="105"/>
  <c r="K15" i="105"/>
  <c r="J15" i="105"/>
  <c r="I15" i="105"/>
  <c r="H15" i="105"/>
  <c r="G15" i="105"/>
  <c r="F15" i="105"/>
  <c r="E15" i="105"/>
  <c r="D15" i="105"/>
  <c r="H8" i="105" s="1"/>
  <c r="F8" i="105"/>
  <c r="L7" i="105"/>
  <c r="J7" i="105"/>
  <c r="H7" i="105"/>
  <c r="F7" i="105"/>
  <c r="L6" i="105"/>
  <c r="J6" i="105"/>
  <c r="H6" i="105"/>
  <c r="F6" i="105"/>
  <c r="M32" i="104"/>
  <c r="L32" i="104"/>
  <c r="K32" i="104"/>
  <c r="L8" i="104" s="1"/>
  <c r="J32" i="104"/>
  <c r="I32" i="104"/>
  <c r="H32" i="104"/>
  <c r="G32" i="104"/>
  <c r="J8" i="104" s="1"/>
  <c r="F32" i="104"/>
  <c r="E32" i="104"/>
  <c r="D32" i="104"/>
  <c r="Q15" i="104"/>
  <c r="P15" i="104"/>
  <c r="O15" i="104"/>
  <c r="N15" i="104"/>
  <c r="M15" i="104"/>
  <c r="L15" i="104"/>
  <c r="K15" i="104"/>
  <c r="J15" i="104"/>
  <c r="I15" i="104"/>
  <c r="H15" i="104"/>
  <c r="G15" i="104"/>
  <c r="F15" i="104"/>
  <c r="E15" i="104"/>
  <c r="F8" i="104" s="1"/>
  <c r="D15" i="104"/>
  <c r="H8" i="104"/>
  <c r="L7" i="104"/>
  <c r="J7" i="104"/>
  <c r="H7" i="104"/>
  <c r="F7" i="104"/>
  <c r="L6" i="104"/>
  <c r="J6" i="104"/>
  <c r="H6" i="104"/>
  <c r="F6" i="104"/>
  <c r="E2" i="119" l="1"/>
  <c r="E2" i="118"/>
  <c r="G1" i="115"/>
  <c r="G2" i="115" s="1"/>
  <c r="O8" i="112"/>
  <c r="AG8" i="112"/>
  <c r="AF8" i="112"/>
  <c r="Q18" i="112"/>
  <c r="R18" i="112"/>
  <c r="AF34" i="112"/>
  <c r="O34" i="112"/>
  <c r="AG34" i="112"/>
  <c r="R45" i="112"/>
  <c r="Q45" i="112"/>
  <c r="P82" i="112"/>
  <c r="O5" i="112"/>
  <c r="N17" i="112"/>
  <c r="AG5" i="112"/>
  <c r="AF5" i="112"/>
  <c r="AG9" i="112"/>
  <c r="AF9" i="112"/>
  <c r="O9" i="112"/>
  <c r="O31" i="112"/>
  <c r="N43" i="112"/>
  <c r="AG31" i="112"/>
  <c r="AF31" i="112"/>
  <c r="AG35" i="112"/>
  <c r="AF35" i="112"/>
  <c r="O35" i="112"/>
  <c r="Q44" i="112"/>
  <c r="AG48" i="112"/>
  <c r="AF48" i="112"/>
  <c r="O48" i="112"/>
  <c r="O56" i="112" s="1"/>
  <c r="R56" i="112" s="1"/>
  <c r="S44" i="112" s="1"/>
  <c r="N69" i="112"/>
  <c r="AF57" i="112"/>
  <c r="O57" i="112"/>
  <c r="AG57" i="112"/>
  <c r="P69" i="112"/>
  <c r="O10" i="112"/>
  <c r="AG10" i="112"/>
  <c r="AF10" i="112"/>
  <c r="AG33" i="112"/>
  <c r="AF33" i="112"/>
  <c r="O33" i="112"/>
  <c r="R47" i="112"/>
  <c r="Q47" i="112"/>
  <c r="R61" i="112"/>
  <c r="Q61" i="112"/>
  <c r="G1" i="112"/>
  <c r="G2" i="112" s="1"/>
  <c r="O6" i="112"/>
  <c r="AG6" i="112"/>
  <c r="AF6" i="112"/>
  <c r="O20" i="112"/>
  <c r="AG20" i="112"/>
  <c r="AF20" i="112"/>
  <c r="O22" i="112"/>
  <c r="AG22" i="112"/>
  <c r="AF22" i="112"/>
  <c r="O24" i="112"/>
  <c r="AG24" i="112"/>
  <c r="AF24" i="112"/>
  <c r="R49" i="112"/>
  <c r="Q49" i="112"/>
  <c r="R59" i="112"/>
  <c r="Q59" i="112"/>
  <c r="N82" i="112"/>
  <c r="O70" i="112"/>
  <c r="AG70" i="112"/>
  <c r="AF70" i="112"/>
  <c r="P5" i="112"/>
  <c r="P8" i="112"/>
  <c r="P10" i="112"/>
  <c r="AG18" i="112"/>
  <c r="N30" i="112"/>
  <c r="P44" i="112"/>
  <c r="AF45" i="112"/>
  <c r="P47" i="112"/>
  <c r="AF47" i="112"/>
  <c r="AF49" i="112"/>
  <c r="AF59" i="112"/>
  <c r="AF61" i="112"/>
  <c r="Q71" i="112"/>
  <c r="R71" i="112"/>
  <c r="O72" i="112"/>
  <c r="AF72" i="112"/>
  <c r="AG74" i="112"/>
  <c r="R83" i="112"/>
  <c r="N95" i="112"/>
  <c r="AG83" i="112"/>
  <c r="O84" i="112"/>
  <c r="R96" i="112"/>
  <c r="Q96" i="112"/>
  <c r="R99" i="112"/>
  <c r="Q99" i="112"/>
  <c r="AG121" i="112"/>
  <c r="AH109" i="112" s="1"/>
  <c r="AF121" i="112"/>
  <c r="AG113" i="112"/>
  <c r="AF113" i="112"/>
  <c r="O113" i="112"/>
  <c r="AG117" i="112"/>
  <c r="AF117" i="112"/>
  <c r="O117" i="112"/>
  <c r="O163" i="112"/>
  <c r="AG163" i="112"/>
  <c r="AF163" i="112"/>
  <c r="AG6" i="113"/>
  <c r="AF6" i="113"/>
  <c r="O6" i="113"/>
  <c r="O23" i="113"/>
  <c r="AG23" i="113"/>
  <c r="AF23" i="113"/>
  <c r="O7" i="112"/>
  <c r="O19" i="112"/>
  <c r="O21" i="112"/>
  <c r="O23" i="112"/>
  <c r="P33" i="112"/>
  <c r="P35" i="112"/>
  <c r="P43" i="112"/>
  <c r="AF44" i="112"/>
  <c r="AG45" i="112"/>
  <c r="AG47" i="112"/>
  <c r="AG49" i="112"/>
  <c r="O58" i="112"/>
  <c r="AG59" i="112"/>
  <c r="O60" i="112"/>
  <c r="AG61" i="112"/>
  <c r="O73" i="112"/>
  <c r="AG73" i="112"/>
  <c r="P83" i="112"/>
  <c r="AF83" i="112"/>
  <c r="AG86" i="112"/>
  <c r="AF86" i="112"/>
  <c r="R112" i="112"/>
  <c r="Q112" i="112"/>
  <c r="R116" i="112"/>
  <c r="Q116" i="112"/>
  <c r="R150" i="112"/>
  <c r="Q150" i="112"/>
  <c r="R152" i="112"/>
  <c r="Q152" i="112"/>
  <c r="AG164" i="112"/>
  <c r="AF164" i="112"/>
  <c r="O164" i="112"/>
  <c r="O9" i="113"/>
  <c r="AG9" i="113"/>
  <c r="AF9" i="113"/>
  <c r="AF30" i="113"/>
  <c r="AG30" i="113"/>
  <c r="AH18" i="113" s="1"/>
  <c r="O21" i="113"/>
  <c r="AG21" i="113"/>
  <c r="AF21" i="113"/>
  <c r="AG24" i="113"/>
  <c r="AF24" i="113"/>
  <c r="O24" i="113"/>
  <c r="P9" i="112"/>
  <c r="AF19" i="112"/>
  <c r="AF21" i="112"/>
  <c r="AF23" i="112"/>
  <c r="O32" i="112"/>
  <c r="AG44" i="112"/>
  <c r="AF46" i="112"/>
  <c r="N56" i="112"/>
  <c r="AF58" i="112"/>
  <c r="AF60" i="112"/>
  <c r="O85" i="112"/>
  <c r="AF85" i="112"/>
  <c r="R86" i="112"/>
  <c r="P86" i="112"/>
  <c r="R87" i="112"/>
  <c r="Q87" i="112"/>
  <c r="AG98" i="112"/>
  <c r="AF98" i="112"/>
  <c r="O98" i="112"/>
  <c r="O108" i="112" s="1"/>
  <c r="AG111" i="112"/>
  <c r="AF111" i="112"/>
  <c r="O111" i="112"/>
  <c r="AG115" i="112"/>
  <c r="AF115" i="112"/>
  <c r="O115" i="112"/>
  <c r="AF134" i="112"/>
  <c r="AG134" i="112"/>
  <c r="AH122" i="112" s="1"/>
  <c r="N160" i="112"/>
  <c r="AF148" i="112"/>
  <c r="O148" i="112"/>
  <c r="AG148" i="112"/>
  <c r="AF161" i="112"/>
  <c r="N173" i="112"/>
  <c r="O161" i="112"/>
  <c r="AG161" i="112"/>
  <c r="O165" i="112"/>
  <c r="AG165" i="112"/>
  <c r="AF165" i="112"/>
  <c r="O7" i="113"/>
  <c r="AG7" i="113"/>
  <c r="AF7" i="113"/>
  <c r="AG10" i="113"/>
  <c r="AF10" i="113"/>
  <c r="O10" i="113"/>
  <c r="O19" i="113"/>
  <c r="O30" i="113" s="1"/>
  <c r="AG19" i="113"/>
  <c r="AF19" i="113"/>
  <c r="AG22" i="113"/>
  <c r="AF22" i="113"/>
  <c r="O22" i="113"/>
  <c r="N43" i="113"/>
  <c r="AG31" i="113"/>
  <c r="AF31" i="113"/>
  <c r="O31" i="113"/>
  <c r="R46" i="112"/>
  <c r="P70" i="112"/>
  <c r="O74" i="112"/>
  <c r="AG84" i="112"/>
  <c r="AG85" i="112"/>
  <c r="R97" i="112"/>
  <c r="Q97" i="112"/>
  <c r="AG100" i="112"/>
  <c r="AF100" i="112"/>
  <c r="O100" i="112"/>
  <c r="R110" i="112"/>
  <c r="Q110" i="112"/>
  <c r="R114" i="112"/>
  <c r="Q114" i="112"/>
  <c r="Q124" i="112"/>
  <c r="R129" i="112"/>
  <c r="Q129" i="112"/>
  <c r="AG135" i="112"/>
  <c r="N147" i="112"/>
  <c r="AF135" i="112"/>
  <c r="O135" i="112"/>
  <c r="AG149" i="112"/>
  <c r="AF149" i="112"/>
  <c r="O149" i="112"/>
  <c r="AG151" i="112"/>
  <c r="AF151" i="112"/>
  <c r="O151" i="112"/>
  <c r="AG153" i="112"/>
  <c r="AF153" i="112"/>
  <c r="O153" i="112"/>
  <c r="AG162" i="112"/>
  <c r="AF162" i="112"/>
  <c r="O162" i="112"/>
  <c r="AF5" i="113"/>
  <c r="O5" i="113"/>
  <c r="N17" i="113"/>
  <c r="AG5" i="113"/>
  <c r="AG8" i="113"/>
  <c r="AF8" i="113"/>
  <c r="O8" i="113"/>
  <c r="AG20" i="113"/>
  <c r="AF20" i="113"/>
  <c r="O20" i="113"/>
  <c r="P30" i="113"/>
  <c r="P87" i="112"/>
  <c r="AF87" i="112"/>
  <c r="P96" i="112"/>
  <c r="P97" i="112"/>
  <c r="AF97" i="112"/>
  <c r="P99" i="112"/>
  <c r="AF99" i="112"/>
  <c r="P108" i="112"/>
  <c r="N108" i="112"/>
  <c r="P109" i="112"/>
  <c r="P110" i="112"/>
  <c r="AF110" i="112"/>
  <c r="AF112" i="112"/>
  <c r="AF114" i="112"/>
  <c r="AF116" i="112"/>
  <c r="AF122" i="112"/>
  <c r="AG123" i="112"/>
  <c r="AG125" i="112"/>
  <c r="AG127" i="112"/>
  <c r="O136" i="112"/>
  <c r="AG137" i="112"/>
  <c r="O138" i="112"/>
  <c r="AG139" i="112"/>
  <c r="AG141" i="112"/>
  <c r="P150" i="112"/>
  <c r="AF150" i="112"/>
  <c r="P152" i="112"/>
  <c r="AF152" i="112"/>
  <c r="P163" i="112"/>
  <c r="P165" i="112"/>
  <c r="P17" i="113"/>
  <c r="P18" i="113"/>
  <c r="O32" i="113"/>
  <c r="AG33" i="113"/>
  <c r="O34" i="113"/>
  <c r="AG44" i="113"/>
  <c r="AG46" i="113"/>
  <c r="AF47" i="113"/>
  <c r="O47" i="113"/>
  <c r="AG47" i="113"/>
  <c r="R48" i="113"/>
  <c r="AF48" i="113"/>
  <c r="N56" i="113"/>
  <c r="P69" i="113"/>
  <c r="P57" i="113"/>
  <c r="AG57" i="113"/>
  <c r="N69" i="113"/>
  <c r="AF57" i="113"/>
  <c r="AG58" i="113"/>
  <c r="AF58" i="113"/>
  <c r="AF72" i="113"/>
  <c r="O72" i="113"/>
  <c r="AG72" i="113"/>
  <c r="O86" i="113"/>
  <c r="AG86" i="113"/>
  <c r="AF86" i="113"/>
  <c r="N108" i="113"/>
  <c r="O96" i="113"/>
  <c r="AG96" i="113"/>
  <c r="AF96" i="113"/>
  <c r="AF99" i="113"/>
  <c r="O99" i="113"/>
  <c r="AG99" i="113"/>
  <c r="AF96" i="112"/>
  <c r="AG97" i="112"/>
  <c r="AG99" i="112"/>
  <c r="AF109" i="112"/>
  <c r="AG110" i="112"/>
  <c r="AG112" i="112"/>
  <c r="AG114" i="112"/>
  <c r="AG116" i="112"/>
  <c r="AG122" i="112"/>
  <c r="AF124" i="112"/>
  <c r="AF126" i="112"/>
  <c r="AF128" i="112"/>
  <c r="AF136" i="112"/>
  <c r="AF138" i="112"/>
  <c r="AF140" i="112"/>
  <c r="AF142" i="112"/>
  <c r="AG150" i="112"/>
  <c r="AG152" i="112"/>
  <c r="P173" i="112"/>
  <c r="AF32" i="113"/>
  <c r="AF34" i="113"/>
  <c r="R44" i="113"/>
  <c r="AF46" i="113"/>
  <c r="AF74" i="113"/>
  <c r="O74" i="113"/>
  <c r="AG74" i="113"/>
  <c r="O84" i="113"/>
  <c r="AG84" i="113"/>
  <c r="AF84" i="113"/>
  <c r="O109" i="113"/>
  <c r="N121" i="113"/>
  <c r="AG109" i="113"/>
  <c r="AF109" i="113"/>
  <c r="AF112" i="113"/>
  <c r="O112" i="113"/>
  <c r="AG112" i="113"/>
  <c r="AF116" i="113"/>
  <c r="O116" i="113"/>
  <c r="AG116" i="113"/>
  <c r="AF126" i="113"/>
  <c r="O126" i="113"/>
  <c r="AG126" i="113"/>
  <c r="AF140" i="113"/>
  <c r="O140" i="113"/>
  <c r="AG140" i="113"/>
  <c r="AG96" i="112"/>
  <c r="AG109" i="112"/>
  <c r="O122" i="112"/>
  <c r="O123" i="112"/>
  <c r="R124" i="112"/>
  <c r="O125" i="112"/>
  <c r="Q126" i="112"/>
  <c r="O127" i="112"/>
  <c r="R128" i="112"/>
  <c r="P134" i="112"/>
  <c r="O137" i="112"/>
  <c r="O139" i="112"/>
  <c r="R140" i="112"/>
  <c r="O141" i="112"/>
  <c r="R142" i="112"/>
  <c r="P147" i="112"/>
  <c r="P161" i="112"/>
  <c r="P162" i="112"/>
  <c r="P164" i="112"/>
  <c r="P5" i="113"/>
  <c r="P6" i="113"/>
  <c r="P8" i="113"/>
  <c r="P10" i="113"/>
  <c r="R18" i="113"/>
  <c r="AG18" i="113"/>
  <c r="P20" i="113"/>
  <c r="P22" i="113"/>
  <c r="P24" i="113"/>
  <c r="O33" i="113"/>
  <c r="O35" i="113"/>
  <c r="AF35" i="113"/>
  <c r="P43" i="113"/>
  <c r="R46" i="113"/>
  <c r="Q46" i="113"/>
  <c r="Q57" i="113"/>
  <c r="AF97" i="113"/>
  <c r="O97" i="113"/>
  <c r="AG97" i="113"/>
  <c r="R129" i="113"/>
  <c r="Q129" i="113"/>
  <c r="AF136" i="113"/>
  <c r="O136" i="113"/>
  <c r="AG136" i="113"/>
  <c r="AF138" i="113"/>
  <c r="O138" i="113"/>
  <c r="AG138" i="113"/>
  <c r="O109" i="112"/>
  <c r="AF44" i="113"/>
  <c r="AF45" i="113"/>
  <c r="O45" i="113"/>
  <c r="AF49" i="113"/>
  <c r="O49" i="113"/>
  <c r="AG49" i="113"/>
  <c r="P56" i="113"/>
  <c r="R58" i="113"/>
  <c r="Q58" i="113"/>
  <c r="O60" i="113"/>
  <c r="AG60" i="113"/>
  <c r="AF60" i="113"/>
  <c r="O83" i="113"/>
  <c r="AG83" i="113"/>
  <c r="AF83" i="113"/>
  <c r="N95" i="113"/>
  <c r="O88" i="113"/>
  <c r="AG88" i="113"/>
  <c r="AF88" i="113"/>
  <c r="AF110" i="113"/>
  <c r="O110" i="113"/>
  <c r="AG110" i="113"/>
  <c r="AF114" i="113"/>
  <c r="O114" i="113"/>
  <c r="AG114" i="113"/>
  <c r="AF124" i="113"/>
  <c r="O124" i="113"/>
  <c r="AG124" i="113"/>
  <c r="AF128" i="113"/>
  <c r="O128" i="113"/>
  <c r="AG128" i="113"/>
  <c r="N147" i="113"/>
  <c r="O135" i="113"/>
  <c r="AG135" i="113"/>
  <c r="AF135" i="113"/>
  <c r="O70" i="113"/>
  <c r="O71" i="113"/>
  <c r="O73" i="113"/>
  <c r="O75" i="113"/>
  <c r="P83" i="113"/>
  <c r="O98" i="113"/>
  <c r="O100" i="113"/>
  <c r="O111" i="113"/>
  <c r="O113" i="113"/>
  <c r="O115" i="113"/>
  <c r="O122" i="113"/>
  <c r="O123" i="113"/>
  <c r="O125" i="113"/>
  <c r="O127" i="113"/>
  <c r="P134" i="113"/>
  <c r="N134" i="113"/>
  <c r="O137" i="113"/>
  <c r="O139" i="113"/>
  <c r="O141" i="113"/>
  <c r="Q142" i="113"/>
  <c r="AF150" i="113"/>
  <c r="O150" i="113"/>
  <c r="O153" i="113"/>
  <c r="AF164" i="113"/>
  <c r="O164" i="113"/>
  <c r="AG164" i="113"/>
  <c r="AF6" i="114"/>
  <c r="O6" i="114"/>
  <c r="AG6" i="114"/>
  <c r="N30" i="114"/>
  <c r="AF24" i="114"/>
  <c r="O24" i="114"/>
  <c r="AG24" i="114"/>
  <c r="P30" i="114"/>
  <c r="AG32" i="114"/>
  <c r="AF32" i="114"/>
  <c r="O32" i="114"/>
  <c r="AG34" i="114"/>
  <c r="AF34" i="114"/>
  <c r="O34" i="114"/>
  <c r="AF70" i="114"/>
  <c r="N82" i="114"/>
  <c r="O70" i="114"/>
  <c r="AG70" i="114"/>
  <c r="P82" i="114"/>
  <c r="AF85" i="114"/>
  <c r="O85" i="114"/>
  <c r="AG85" i="114"/>
  <c r="Q100" i="114"/>
  <c r="O59" i="113"/>
  <c r="O69" i="113" s="1"/>
  <c r="R69" i="113" s="1"/>
  <c r="S57" i="113" s="1"/>
  <c r="O61" i="113"/>
  <c r="P70" i="113"/>
  <c r="P71" i="113"/>
  <c r="AF71" i="113"/>
  <c r="P73" i="113"/>
  <c r="AF73" i="113"/>
  <c r="P75" i="113"/>
  <c r="AF75" i="113"/>
  <c r="P82" i="113"/>
  <c r="N82" i="113"/>
  <c r="O85" i="113"/>
  <c r="O87" i="113"/>
  <c r="AF98" i="113"/>
  <c r="AF100" i="113"/>
  <c r="AF111" i="113"/>
  <c r="AF113" i="113"/>
  <c r="AF115" i="113"/>
  <c r="AF123" i="113"/>
  <c r="AF125" i="113"/>
  <c r="AF127" i="113"/>
  <c r="AF137" i="113"/>
  <c r="AF139" i="113"/>
  <c r="AF141" i="113"/>
  <c r="R142" i="113"/>
  <c r="AF142" i="113"/>
  <c r="P147" i="113"/>
  <c r="P148" i="113"/>
  <c r="Q149" i="113"/>
  <c r="AF149" i="113"/>
  <c r="AG150" i="113"/>
  <c r="AG151" i="113"/>
  <c r="AF152" i="113"/>
  <c r="O152" i="113"/>
  <c r="N173" i="113"/>
  <c r="AF162" i="113"/>
  <c r="O162" i="113"/>
  <c r="AG162" i="113"/>
  <c r="AF22" i="114"/>
  <c r="O22" i="114"/>
  <c r="AG22" i="114"/>
  <c r="P69" i="114"/>
  <c r="AG71" i="114"/>
  <c r="AF71" i="114"/>
  <c r="O71" i="114"/>
  <c r="AG73" i="114"/>
  <c r="AF73" i="114"/>
  <c r="O73" i="114"/>
  <c r="AG75" i="114"/>
  <c r="AF75" i="114"/>
  <c r="O75" i="114"/>
  <c r="AF87" i="114"/>
  <c r="O87" i="114"/>
  <c r="AG87" i="114"/>
  <c r="AF70" i="113"/>
  <c r="AF122" i="113"/>
  <c r="R149" i="113"/>
  <c r="AF151" i="113"/>
  <c r="R165" i="113"/>
  <c r="Q165" i="113"/>
  <c r="O5" i="114"/>
  <c r="N17" i="114"/>
  <c r="AG5" i="114"/>
  <c r="AF5" i="114"/>
  <c r="AF10" i="114"/>
  <c r="O10" i="114"/>
  <c r="AG10" i="114"/>
  <c r="AF20" i="114"/>
  <c r="O20" i="114"/>
  <c r="AG20" i="114"/>
  <c r="AF31" i="114"/>
  <c r="O31" i="114"/>
  <c r="N43" i="114"/>
  <c r="AG31" i="114"/>
  <c r="R33" i="114"/>
  <c r="Q33" i="114"/>
  <c r="AG108" i="114"/>
  <c r="AH96" i="114" s="1"/>
  <c r="AF108" i="114"/>
  <c r="AG97" i="114"/>
  <c r="AF97" i="114"/>
  <c r="O97" i="114"/>
  <c r="O108" i="114" s="1"/>
  <c r="AG99" i="114"/>
  <c r="AF99" i="114"/>
  <c r="O99" i="114"/>
  <c r="AG148" i="113"/>
  <c r="N160" i="113"/>
  <c r="AF148" i="113"/>
  <c r="R151" i="113"/>
  <c r="Q151" i="113"/>
  <c r="AF153" i="113"/>
  <c r="R163" i="113"/>
  <c r="Q163" i="113"/>
  <c r="AF8" i="114"/>
  <c r="O8" i="114"/>
  <c r="AG8" i="114"/>
  <c r="AG57" i="114"/>
  <c r="N69" i="114"/>
  <c r="AF57" i="114"/>
  <c r="O57" i="114"/>
  <c r="R72" i="114"/>
  <c r="Q72" i="114"/>
  <c r="R74" i="114"/>
  <c r="Q74" i="114"/>
  <c r="R96" i="114"/>
  <c r="Q161" i="113"/>
  <c r="AF161" i="113"/>
  <c r="O7" i="114"/>
  <c r="O9" i="114"/>
  <c r="O18" i="114"/>
  <c r="O19" i="114"/>
  <c r="O21" i="114"/>
  <c r="O23" i="114"/>
  <c r="P33" i="114"/>
  <c r="AF33" i="114"/>
  <c r="Q44" i="114"/>
  <c r="AF44" i="114"/>
  <c r="AG45" i="114"/>
  <c r="AG47" i="114"/>
  <c r="AG49" i="114"/>
  <c r="AG59" i="114"/>
  <c r="AG61" i="114"/>
  <c r="AF72" i="114"/>
  <c r="AF74" i="114"/>
  <c r="O83" i="114"/>
  <c r="O84" i="114"/>
  <c r="O86" i="114"/>
  <c r="O88" i="114"/>
  <c r="AF96" i="114"/>
  <c r="Q98" i="114"/>
  <c r="AF98" i="114"/>
  <c r="AG100" i="114"/>
  <c r="P101" i="114"/>
  <c r="Q114" i="114"/>
  <c r="Q128" i="114"/>
  <c r="R129" i="114"/>
  <c r="Q129" i="114"/>
  <c r="O135" i="114"/>
  <c r="AG135" i="114"/>
  <c r="N147" i="114"/>
  <c r="AF135" i="114"/>
  <c r="O151" i="114"/>
  <c r="AG151" i="114"/>
  <c r="AF151" i="114"/>
  <c r="R161" i="113"/>
  <c r="AG161" i="113"/>
  <c r="P17" i="114"/>
  <c r="AG33" i="114"/>
  <c r="AG44" i="114"/>
  <c r="AF46" i="114"/>
  <c r="AF48" i="114"/>
  <c r="P56" i="114"/>
  <c r="N56" i="114"/>
  <c r="AF58" i="114"/>
  <c r="AF60" i="114"/>
  <c r="AG72" i="114"/>
  <c r="AG74" i="114"/>
  <c r="P83" i="114"/>
  <c r="AF84" i="114"/>
  <c r="AF86" i="114"/>
  <c r="AF88" i="114"/>
  <c r="N95" i="114"/>
  <c r="Q96" i="114"/>
  <c r="AG96" i="114"/>
  <c r="AG98" i="114"/>
  <c r="P99" i="114"/>
  <c r="R102" i="114"/>
  <c r="P108" i="114"/>
  <c r="R136" i="114"/>
  <c r="O153" i="114"/>
  <c r="AG153" i="114"/>
  <c r="AF153" i="114"/>
  <c r="P173" i="113"/>
  <c r="O45" i="114"/>
  <c r="Q46" i="114"/>
  <c r="O47" i="114"/>
  <c r="Q48" i="114"/>
  <c r="O49" i="114"/>
  <c r="R58" i="114"/>
  <c r="O59" i="114"/>
  <c r="Q60" i="114"/>
  <c r="O61" i="114"/>
  <c r="P97" i="114"/>
  <c r="R100" i="114"/>
  <c r="AG101" i="114"/>
  <c r="AF101" i="114"/>
  <c r="Q112" i="114"/>
  <c r="R126" i="114"/>
  <c r="O148" i="114"/>
  <c r="AG148" i="114"/>
  <c r="AF148" i="114"/>
  <c r="N160" i="114"/>
  <c r="AG18" i="114"/>
  <c r="P20" i="114"/>
  <c r="AF100" i="114"/>
  <c r="O101" i="114"/>
  <c r="O109" i="114"/>
  <c r="N121" i="114"/>
  <c r="AG109" i="114"/>
  <c r="AF109" i="114"/>
  <c r="O149" i="114"/>
  <c r="AG149" i="114"/>
  <c r="AF149" i="114"/>
  <c r="R110" i="114"/>
  <c r="AG110" i="114"/>
  <c r="O111" i="114"/>
  <c r="R112" i="114"/>
  <c r="AG112" i="114"/>
  <c r="O113" i="114"/>
  <c r="R114" i="114"/>
  <c r="AG114" i="114"/>
  <c r="O115" i="114"/>
  <c r="R116" i="114"/>
  <c r="AG116" i="114"/>
  <c r="O122" i="114"/>
  <c r="O123" i="114"/>
  <c r="AG124" i="114"/>
  <c r="O125" i="114"/>
  <c r="Q126" i="114"/>
  <c r="AG126" i="114"/>
  <c r="O127" i="114"/>
  <c r="R128" i="114"/>
  <c r="AG128" i="114"/>
  <c r="P134" i="114"/>
  <c r="N134" i="114"/>
  <c r="Q136" i="114"/>
  <c r="AG136" i="114"/>
  <c r="O137" i="114"/>
  <c r="Q138" i="114"/>
  <c r="AG138" i="114"/>
  <c r="O139" i="114"/>
  <c r="Q140" i="114"/>
  <c r="AG140" i="114"/>
  <c r="O141" i="114"/>
  <c r="R142" i="114"/>
  <c r="AG142" i="114"/>
  <c r="AF5" i="115"/>
  <c r="AG6" i="115"/>
  <c r="AF6" i="115"/>
  <c r="O6" i="115"/>
  <c r="O7" i="115"/>
  <c r="AG7" i="115"/>
  <c r="AG8" i="115"/>
  <c r="AF8" i="115"/>
  <c r="O8" i="115"/>
  <c r="O9" i="115"/>
  <c r="AG9" i="115"/>
  <c r="AG10" i="115"/>
  <c r="AF10" i="115"/>
  <c r="O10" i="115"/>
  <c r="O31" i="115"/>
  <c r="AG31" i="115"/>
  <c r="N43" i="115"/>
  <c r="AF31" i="115"/>
  <c r="O34" i="115"/>
  <c r="AG34" i="115"/>
  <c r="AF34" i="115"/>
  <c r="AF111" i="114"/>
  <c r="AF113" i="114"/>
  <c r="AF115" i="114"/>
  <c r="AF123" i="114"/>
  <c r="AF125" i="114"/>
  <c r="AF127" i="114"/>
  <c r="AF137" i="114"/>
  <c r="AF139" i="114"/>
  <c r="AF141" i="114"/>
  <c r="O150" i="114"/>
  <c r="O152" i="114"/>
  <c r="AG163" i="114"/>
  <c r="AF164" i="114"/>
  <c r="O164" i="114"/>
  <c r="AG164" i="114"/>
  <c r="AF165" i="114"/>
  <c r="Q5" i="115"/>
  <c r="AG5" i="115"/>
  <c r="AF7" i="115"/>
  <c r="AF9" i="115"/>
  <c r="N17" i="115"/>
  <c r="O18" i="115"/>
  <c r="AG18" i="115"/>
  <c r="N30" i="115"/>
  <c r="AF18" i="115"/>
  <c r="O23" i="115"/>
  <c r="AG23" i="115"/>
  <c r="AF23" i="115"/>
  <c r="P43" i="115"/>
  <c r="O45" i="115"/>
  <c r="AG45" i="115"/>
  <c r="AF45" i="115"/>
  <c r="AF122" i="114"/>
  <c r="AF150" i="114"/>
  <c r="AF152" i="114"/>
  <c r="N173" i="114"/>
  <c r="O161" i="114"/>
  <c r="AF161" i="114"/>
  <c r="AF162" i="114"/>
  <c r="O162" i="114"/>
  <c r="AG162" i="114"/>
  <c r="AF163" i="114"/>
  <c r="O165" i="114"/>
  <c r="R5" i="115"/>
  <c r="P30" i="115"/>
  <c r="O32" i="115"/>
  <c r="AG32" i="115"/>
  <c r="AF32" i="115"/>
  <c r="R163" i="114"/>
  <c r="Q163" i="114"/>
  <c r="O19" i="115"/>
  <c r="AG19" i="115"/>
  <c r="AG20" i="115"/>
  <c r="AF20" i="115"/>
  <c r="O20" i="115"/>
  <c r="O21" i="115"/>
  <c r="AG21" i="115"/>
  <c r="AF21" i="115"/>
  <c r="N56" i="115"/>
  <c r="O44" i="115"/>
  <c r="AG44" i="115"/>
  <c r="AF44" i="115"/>
  <c r="P44" i="115"/>
  <c r="R47" i="115"/>
  <c r="R48" i="115"/>
  <c r="R85" i="115"/>
  <c r="Q85" i="115"/>
  <c r="AG100" i="115"/>
  <c r="AF100" i="115"/>
  <c r="O100" i="115"/>
  <c r="P173" i="114"/>
  <c r="O22" i="115"/>
  <c r="O33" i="115"/>
  <c r="O46" i="115"/>
  <c r="AG48" i="115"/>
  <c r="AF49" i="115"/>
  <c r="O49" i="115"/>
  <c r="AG86" i="115"/>
  <c r="AF86" i="115"/>
  <c r="O86" i="115"/>
  <c r="AG98" i="115"/>
  <c r="AF98" i="115"/>
  <c r="O98" i="115"/>
  <c r="N121" i="115"/>
  <c r="O109" i="115"/>
  <c r="AG109" i="115"/>
  <c r="AF109" i="115"/>
  <c r="R110" i="115"/>
  <c r="Q110" i="115"/>
  <c r="I1" i="115"/>
  <c r="AF22" i="115"/>
  <c r="AF33" i="115"/>
  <c r="AF46" i="115"/>
  <c r="AF47" i="115"/>
  <c r="Q48" i="115"/>
  <c r="AF48" i="115"/>
  <c r="P56" i="115"/>
  <c r="O72" i="115"/>
  <c r="AG72" i="115"/>
  <c r="AF72" i="115"/>
  <c r="AG84" i="115"/>
  <c r="AF84" i="115"/>
  <c r="O84" i="115"/>
  <c r="O95" i="115" s="1"/>
  <c r="O96" i="115"/>
  <c r="AG96" i="115"/>
  <c r="N108" i="115"/>
  <c r="AF96" i="115"/>
  <c r="O74" i="115"/>
  <c r="AG74" i="115"/>
  <c r="AF74" i="115"/>
  <c r="R87" i="115"/>
  <c r="Q87" i="115"/>
  <c r="O57" i="115"/>
  <c r="O58" i="115"/>
  <c r="Q59" i="115"/>
  <c r="AG59" i="115"/>
  <c r="O60" i="115"/>
  <c r="R61" i="115"/>
  <c r="AG61" i="115"/>
  <c r="AG70" i="115"/>
  <c r="P95" i="115"/>
  <c r="N95" i="115"/>
  <c r="P108" i="115"/>
  <c r="AG110" i="115"/>
  <c r="AF113" i="115"/>
  <c r="AG113" i="115"/>
  <c r="AF115" i="115"/>
  <c r="AG115" i="115"/>
  <c r="P122" i="115"/>
  <c r="P134" i="115"/>
  <c r="AF123" i="115"/>
  <c r="O123" i="115"/>
  <c r="AG123" i="115"/>
  <c r="R128" i="115"/>
  <c r="Q128" i="115"/>
  <c r="AF137" i="115"/>
  <c r="O137" i="115"/>
  <c r="AG137" i="115"/>
  <c r="R142" i="115"/>
  <c r="Q142" i="115"/>
  <c r="N160" i="115"/>
  <c r="AF148" i="115"/>
  <c r="O148" i="115"/>
  <c r="AG148" i="115"/>
  <c r="R152" i="115"/>
  <c r="Q152" i="115"/>
  <c r="P160" i="115"/>
  <c r="R163" i="115"/>
  <c r="Q163" i="115"/>
  <c r="P57" i="115"/>
  <c r="AF58" i="115"/>
  <c r="AF60" i="115"/>
  <c r="O70" i="115"/>
  <c r="O71" i="115"/>
  <c r="O73" i="115"/>
  <c r="O75" i="115"/>
  <c r="R112" i="115"/>
  <c r="O113" i="115"/>
  <c r="R114" i="115"/>
  <c r="O115" i="115"/>
  <c r="R116" i="115"/>
  <c r="R126" i="115"/>
  <c r="Q126" i="115"/>
  <c r="R129" i="115"/>
  <c r="Q129" i="115"/>
  <c r="AG135" i="115"/>
  <c r="N147" i="115"/>
  <c r="AF135" i="115"/>
  <c r="O135" i="115"/>
  <c r="R140" i="115"/>
  <c r="Q140" i="115"/>
  <c r="P147" i="115"/>
  <c r="AF57" i="115"/>
  <c r="N69" i="115"/>
  <c r="P70" i="115"/>
  <c r="AF71" i="115"/>
  <c r="AF73" i="115"/>
  <c r="AF75" i="115"/>
  <c r="N82" i="115"/>
  <c r="Q83" i="115"/>
  <c r="AF83" i="115"/>
  <c r="O97" i="115"/>
  <c r="O99" i="115"/>
  <c r="O101" i="115"/>
  <c r="AG111" i="115"/>
  <c r="AF134" i="115"/>
  <c r="AG134" i="115"/>
  <c r="AH122" i="115" s="1"/>
  <c r="R124" i="115"/>
  <c r="Q124" i="115"/>
  <c r="AF127" i="115"/>
  <c r="O127" i="115"/>
  <c r="AG127" i="115"/>
  <c r="AF141" i="115"/>
  <c r="O141" i="115"/>
  <c r="AG141" i="115"/>
  <c r="R150" i="115"/>
  <c r="Q150" i="115"/>
  <c r="P121" i="115"/>
  <c r="AF110" i="115"/>
  <c r="O111" i="115"/>
  <c r="AF111" i="115"/>
  <c r="Q112" i="115"/>
  <c r="Q114" i="115"/>
  <c r="AF125" i="115"/>
  <c r="O125" i="115"/>
  <c r="AG125" i="115"/>
  <c r="AF139" i="115"/>
  <c r="O139" i="115"/>
  <c r="AG139" i="115"/>
  <c r="O165" i="115"/>
  <c r="AG165" i="115"/>
  <c r="AF165" i="115"/>
  <c r="AF122" i="115"/>
  <c r="O136" i="115"/>
  <c r="O138" i="115"/>
  <c r="AF150" i="115"/>
  <c r="AF152" i="115"/>
  <c r="AG161" i="115"/>
  <c r="AF163" i="115"/>
  <c r="AG122" i="115"/>
  <c r="O149" i="115"/>
  <c r="AG150" i="115"/>
  <c r="O151" i="115"/>
  <c r="AG152" i="115"/>
  <c r="O153" i="115"/>
  <c r="O161" i="115"/>
  <c r="O162" i="115"/>
  <c r="AG163" i="115"/>
  <c r="O164" i="115"/>
  <c r="P173" i="115"/>
  <c r="N173" i="115"/>
  <c r="AF149" i="115"/>
  <c r="AF151" i="115"/>
  <c r="AF153" i="115"/>
  <c r="AF162" i="115"/>
  <c r="AF164" i="115"/>
  <c r="G1" i="108"/>
  <c r="G2" i="108" s="1"/>
  <c r="L75" i="108"/>
  <c r="L5" i="108"/>
  <c r="L16" i="108" s="1"/>
  <c r="K16" i="108"/>
  <c r="L112" i="108"/>
  <c r="L124" i="108" s="1"/>
  <c r="K124" i="108"/>
  <c r="K75" i="108"/>
  <c r="L25" i="108"/>
  <c r="L38" i="108" s="1"/>
  <c r="L52" i="108"/>
  <c r="L64" i="108" s="1"/>
  <c r="L92" i="108"/>
  <c r="L100" i="108" s="1"/>
  <c r="K38" i="109"/>
  <c r="L100" i="110"/>
  <c r="L17" i="108"/>
  <c r="L24" i="108" s="1"/>
  <c r="L65" i="109"/>
  <c r="L75" i="109" s="1"/>
  <c r="K75" i="109"/>
  <c r="G1" i="110"/>
  <c r="G2" i="110" s="1"/>
  <c r="K91" i="108"/>
  <c r="G1" i="109"/>
  <c r="G2" i="109" s="1"/>
  <c r="K24" i="109"/>
  <c r="L17" i="109"/>
  <c r="L24" i="109" s="1"/>
  <c r="L82" i="109"/>
  <c r="L91" i="109" s="1"/>
  <c r="E2" i="109" s="1"/>
  <c r="K91" i="109"/>
  <c r="K16" i="110"/>
  <c r="L5" i="110"/>
  <c r="L16" i="110" s="1"/>
  <c r="L75" i="110"/>
  <c r="L101" i="108"/>
  <c r="L111" i="108" s="1"/>
  <c r="L52" i="109"/>
  <c r="L64" i="109" s="1"/>
  <c r="L101" i="109"/>
  <c r="L111" i="109" s="1"/>
  <c r="K111" i="109"/>
  <c r="K124" i="109"/>
  <c r="L66" i="110"/>
  <c r="K75" i="110"/>
  <c r="L101" i="110"/>
  <c r="L111" i="110" s="1"/>
  <c r="K111" i="110"/>
  <c r="K38" i="110"/>
  <c r="L82" i="110"/>
  <c r="L91" i="110" s="1"/>
  <c r="K64" i="110"/>
  <c r="K124" i="110"/>
  <c r="L112" i="110"/>
  <c r="L124" i="110" s="1"/>
  <c r="G1" i="111"/>
  <c r="G2" i="111" s="1"/>
  <c r="K75" i="111"/>
  <c r="L65" i="111"/>
  <c r="L75" i="111" s="1"/>
  <c r="K111" i="111"/>
  <c r="L101" i="111"/>
  <c r="L111" i="111" s="1"/>
  <c r="L52" i="110"/>
  <c r="L64" i="110" s="1"/>
  <c r="K100" i="110"/>
  <c r="L5" i="111"/>
  <c r="L16" i="111" s="1"/>
  <c r="K16" i="111"/>
  <c r="K91" i="111"/>
  <c r="L82" i="111"/>
  <c r="L91" i="111" s="1"/>
  <c r="L25" i="111"/>
  <c r="L38" i="111" s="1"/>
  <c r="L52" i="111"/>
  <c r="L64" i="111" s="1"/>
  <c r="L92" i="111"/>
  <c r="L100" i="111" s="1"/>
  <c r="L112" i="111"/>
  <c r="L124" i="111" s="1"/>
  <c r="L17" i="111"/>
  <c r="L24" i="111" s="1"/>
  <c r="E1" i="103"/>
  <c r="I2" i="103"/>
  <c r="H5" i="103"/>
  <c r="P5" i="103"/>
  <c r="K5" i="103" s="1"/>
  <c r="H6" i="103"/>
  <c r="P6" i="103"/>
  <c r="K6" i="103" s="1"/>
  <c r="L6" i="103" s="1"/>
  <c r="H7" i="103"/>
  <c r="P7" i="103"/>
  <c r="K7" i="103" s="1"/>
  <c r="L7" i="103" s="1"/>
  <c r="H8" i="103"/>
  <c r="K8" i="103"/>
  <c r="L8" i="103" s="1"/>
  <c r="P8" i="103"/>
  <c r="H9" i="103"/>
  <c r="P9" i="103"/>
  <c r="K9" i="103" s="1"/>
  <c r="L9" i="103" s="1"/>
  <c r="H10" i="103"/>
  <c r="P10" i="103"/>
  <c r="K10" i="103" s="1"/>
  <c r="L10" i="103" s="1"/>
  <c r="H11" i="103"/>
  <c r="P11" i="103"/>
  <c r="K11" i="103" s="1"/>
  <c r="L11" i="103" s="1"/>
  <c r="H12" i="103"/>
  <c r="P12" i="103"/>
  <c r="K12" i="103" s="1"/>
  <c r="L12" i="103" s="1"/>
  <c r="H13" i="103"/>
  <c r="P13" i="103"/>
  <c r="K13" i="103" s="1"/>
  <c r="L13" i="103" s="1"/>
  <c r="H14" i="103"/>
  <c r="K14" i="103"/>
  <c r="L14" i="103" s="1"/>
  <c r="P14" i="103"/>
  <c r="H15" i="103"/>
  <c r="J16" i="103"/>
  <c r="H17" i="103"/>
  <c r="P17" i="103"/>
  <c r="K17" i="103" s="1"/>
  <c r="H18" i="103"/>
  <c r="K18" i="103"/>
  <c r="L18" i="103" s="1"/>
  <c r="P18" i="103"/>
  <c r="H19" i="103"/>
  <c r="H20" i="103"/>
  <c r="H21" i="103"/>
  <c r="H22" i="103"/>
  <c r="H23" i="103"/>
  <c r="J24" i="103"/>
  <c r="H25" i="103"/>
  <c r="P25" i="103"/>
  <c r="K25" i="103" s="1"/>
  <c r="H26" i="103"/>
  <c r="P26" i="103"/>
  <c r="K26" i="103" s="1"/>
  <c r="L26" i="103" s="1"/>
  <c r="H27" i="103"/>
  <c r="P27" i="103"/>
  <c r="K27" i="103" s="1"/>
  <c r="L27" i="103" s="1"/>
  <c r="H32" i="103"/>
  <c r="H33" i="103"/>
  <c r="H34" i="103"/>
  <c r="H35" i="103"/>
  <c r="H36" i="103"/>
  <c r="H37" i="103"/>
  <c r="J38" i="103"/>
  <c r="H39" i="103"/>
  <c r="H40" i="103"/>
  <c r="H41" i="103"/>
  <c r="H42" i="103"/>
  <c r="H43" i="103"/>
  <c r="H44" i="103"/>
  <c r="H45" i="103"/>
  <c r="H46" i="103"/>
  <c r="H47" i="103"/>
  <c r="H49" i="103"/>
  <c r="H50" i="103"/>
  <c r="H52" i="103"/>
  <c r="P52" i="103"/>
  <c r="K52" i="103" s="1"/>
  <c r="H53" i="103"/>
  <c r="K53" i="103"/>
  <c r="L53" i="103" s="1"/>
  <c r="P53" i="103"/>
  <c r="H54" i="103"/>
  <c r="P54" i="103"/>
  <c r="K54" i="103" s="1"/>
  <c r="L54" i="103" s="1"/>
  <c r="H55" i="103"/>
  <c r="P55" i="103"/>
  <c r="K55" i="103" s="1"/>
  <c r="L55" i="103" s="1"/>
  <c r="H56" i="103"/>
  <c r="P56" i="103"/>
  <c r="K56" i="103" s="1"/>
  <c r="L56" i="103" s="1"/>
  <c r="H57" i="103"/>
  <c r="H58" i="103"/>
  <c r="H59" i="103"/>
  <c r="H60" i="103"/>
  <c r="H61" i="103"/>
  <c r="H62" i="103"/>
  <c r="H63" i="103"/>
  <c r="J64" i="103"/>
  <c r="H65" i="103"/>
  <c r="P65" i="103"/>
  <c r="K65" i="103" s="1"/>
  <c r="H66" i="103"/>
  <c r="P66" i="103"/>
  <c r="K66" i="103" s="1"/>
  <c r="L66" i="103" s="1"/>
  <c r="H67" i="103"/>
  <c r="P67" i="103"/>
  <c r="K67" i="103" s="1"/>
  <c r="L67" i="103" s="1"/>
  <c r="H68" i="103"/>
  <c r="K68" i="103"/>
  <c r="L68" i="103" s="1"/>
  <c r="P68" i="103"/>
  <c r="H69" i="103"/>
  <c r="P69" i="103"/>
  <c r="K69" i="103" s="1"/>
  <c r="L69" i="103" s="1"/>
  <c r="H70" i="103"/>
  <c r="H71" i="103"/>
  <c r="H72" i="103"/>
  <c r="H73" i="103"/>
  <c r="H74" i="103"/>
  <c r="J75" i="103"/>
  <c r="H76" i="103"/>
  <c r="H77" i="103"/>
  <c r="H78" i="103"/>
  <c r="H79" i="103"/>
  <c r="H80" i="103"/>
  <c r="J81" i="103"/>
  <c r="K81" i="103"/>
  <c r="L81" i="103"/>
  <c r="H82" i="103"/>
  <c r="P82" i="103"/>
  <c r="K82" i="103" s="1"/>
  <c r="H83" i="103"/>
  <c r="H84" i="103"/>
  <c r="H85" i="103"/>
  <c r="H86" i="103"/>
  <c r="H87" i="103"/>
  <c r="H88" i="103"/>
  <c r="H89" i="103"/>
  <c r="H90" i="103"/>
  <c r="J91" i="103"/>
  <c r="H92" i="103"/>
  <c r="K92" i="103"/>
  <c r="L92" i="103"/>
  <c r="P92" i="103"/>
  <c r="H93" i="103"/>
  <c r="P93" i="103"/>
  <c r="K93" i="103" s="1"/>
  <c r="L93" i="103" s="1"/>
  <c r="H94" i="103"/>
  <c r="K94" i="103"/>
  <c r="L94" i="103" s="1"/>
  <c r="P94" i="103"/>
  <c r="H95" i="103"/>
  <c r="H96" i="103"/>
  <c r="H97" i="103"/>
  <c r="H99" i="103"/>
  <c r="J100" i="103"/>
  <c r="H101" i="103"/>
  <c r="P101" i="103"/>
  <c r="K101" i="103" s="1"/>
  <c r="H102" i="103"/>
  <c r="P102" i="103"/>
  <c r="K102" i="103" s="1"/>
  <c r="L102" i="103" s="1"/>
  <c r="H103" i="103"/>
  <c r="P103" i="103"/>
  <c r="K103" i="103" s="1"/>
  <c r="L103" i="103" s="1"/>
  <c r="H104" i="103"/>
  <c r="P104" i="103"/>
  <c r="K104" i="103" s="1"/>
  <c r="L104" i="103" s="1"/>
  <c r="H105" i="103"/>
  <c r="P105" i="103"/>
  <c r="K105" i="103" s="1"/>
  <c r="L105" i="103" s="1"/>
  <c r="H106" i="103"/>
  <c r="H107" i="103"/>
  <c r="H108" i="103"/>
  <c r="H109" i="103"/>
  <c r="H110" i="103"/>
  <c r="J111" i="103"/>
  <c r="H112" i="103"/>
  <c r="K112" i="103"/>
  <c r="L112" i="103"/>
  <c r="P112" i="103"/>
  <c r="H113" i="103"/>
  <c r="P113" i="103"/>
  <c r="K113" i="103" s="1"/>
  <c r="L113" i="103" s="1"/>
  <c r="H114" i="103"/>
  <c r="K114" i="103"/>
  <c r="L114" i="103"/>
  <c r="P114" i="103"/>
  <c r="H115" i="103"/>
  <c r="P115" i="103"/>
  <c r="K115" i="103" s="1"/>
  <c r="L115" i="103" s="1"/>
  <c r="H116" i="103"/>
  <c r="K116" i="103"/>
  <c r="L116" i="103"/>
  <c r="P116" i="103"/>
  <c r="H117" i="103"/>
  <c r="P117" i="103"/>
  <c r="K117" i="103" s="1"/>
  <c r="L117" i="103" s="1"/>
  <c r="H118" i="103"/>
  <c r="H119" i="103"/>
  <c r="H123" i="103"/>
  <c r="J124" i="103"/>
  <c r="Q95" i="115" l="1"/>
  <c r="R95" i="115"/>
  <c r="S83" i="115" s="1"/>
  <c r="R30" i="113"/>
  <c r="S18" i="113" s="1"/>
  <c r="Q30" i="113"/>
  <c r="Q108" i="112"/>
  <c r="R108" i="112"/>
  <c r="S96" i="112" s="1"/>
  <c r="Q161" i="115"/>
  <c r="O173" i="115"/>
  <c r="R161" i="115"/>
  <c r="R138" i="115"/>
  <c r="Q138" i="115"/>
  <c r="R122" i="115"/>
  <c r="R101" i="115"/>
  <c r="Q101" i="115"/>
  <c r="Q73" i="115"/>
  <c r="R73" i="115"/>
  <c r="R123" i="115"/>
  <c r="Q123" i="115"/>
  <c r="AF121" i="115"/>
  <c r="AG121" i="115"/>
  <c r="AH109" i="115" s="1"/>
  <c r="R86" i="115"/>
  <c r="Q86" i="115"/>
  <c r="Q49" i="115"/>
  <c r="R49" i="115"/>
  <c r="R59" i="115"/>
  <c r="Q162" i="114"/>
  <c r="R162" i="114"/>
  <c r="AF173" i="114"/>
  <c r="AG173" i="114"/>
  <c r="AH161" i="114" s="1"/>
  <c r="AG30" i="115"/>
  <c r="AH18" i="115" s="1"/>
  <c r="AF30" i="115"/>
  <c r="Q6" i="115"/>
  <c r="R6" i="115"/>
  <c r="O17" i="115"/>
  <c r="R125" i="114"/>
  <c r="Q125" i="114"/>
  <c r="R122" i="114"/>
  <c r="Q122" i="114"/>
  <c r="O134" i="114"/>
  <c r="R149" i="114"/>
  <c r="Q149" i="114"/>
  <c r="R138" i="114"/>
  <c r="O121" i="114"/>
  <c r="R109" i="114"/>
  <c r="Q109" i="114"/>
  <c r="AG160" i="114"/>
  <c r="AH148" i="114" s="1"/>
  <c r="AF160" i="114"/>
  <c r="Q116" i="114"/>
  <c r="R47" i="114"/>
  <c r="Q47" i="114"/>
  <c r="R140" i="114"/>
  <c r="Q124" i="114"/>
  <c r="Q110" i="114"/>
  <c r="R83" i="114"/>
  <c r="O95" i="114"/>
  <c r="Q83" i="114"/>
  <c r="R23" i="114"/>
  <c r="Q23" i="114"/>
  <c r="R9" i="114"/>
  <c r="Q9" i="114"/>
  <c r="R48" i="114"/>
  <c r="R60" i="114"/>
  <c r="Q43" i="114"/>
  <c r="AG43" i="114"/>
  <c r="AH31" i="114" s="1"/>
  <c r="AF43" i="114"/>
  <c r="R20" i="114"/>
  <c r="Q20" i="114"/>
  <c r="O17" i="114"/>
  <c r="R5" i="114"/>
  <c r="Q5" i="114"/>
  <c r="Q73" i="114"/>
  <c r="R73" i="114"/>
  <c r="R46" i="114"/>
  <c r="AF173" i="113"/>
  <c r="AG173" i="113"/>
  <c r="AH161" i="113" s="1"/>
  <c r="AF82" i="114"/>
  <c r="Q82" i="114"/>
  <c r="AG82" i="114"/>
  <c r="AH70" i="114" s="1"/>
  <c r="R24" i="114"/>
  <c r="Q24" i="114"/>
  <c r="R6" i="114"/>
  <c r="Q6" i="114"/>
  <c r="R125" i="113"/>
  <c r="Q125" i="113"/>
  <c r="R113" i="113"/>
  <c r="Q113" i="113"/>
  <c r="R98" i="113"/>
  <c r="Q98" i="113"/>
  <c r="R73" i="113"/>
  <c r="Q73" i="113"/>
  <c r="R128" i="113"/>
  <c r="Q128" i="113"/>
  <c r="R60" i="113"/>
  <c r="Q60" i="113"/>
  <c r="R138" i="113"/>
  <c r="Q138" i="113"/>
  <c r="R97" i="113"/>
  <c r="Q97" i="113"/>
  <c r="R139" i="112"/>
  <c r="Q139" i="112"/>
  <c r="R112" i="113"/>
  <c r="Q112" i="113"/>
  <c r="AF121" i="113"/>
  <c r="AG121" i="113"/>
  <c r="AH109" i="113" s="1"/>
  <c r="R84" i="113"/>
  <c r="Q84" i="113"/>
  <c r="Q48" i="113"/>
  <c r="R32" i="113"/>
  <c r="Q32" i="113"/>
  <c r="Q8" i="113"/>
  <c r="R8" i="113"/>
  <c r="AG17" i="113"/>
  <c r="AH5" i="113" s="1"/>
  <c r="AF17" i="113"/>
  <c r="Q149" i="112"/>
  <c r="R149" i="112"/>
  <c r="Q142" i="112"/>
  <c r="AG147" i="112"/>
  <c r="AH135" i="112" s="1"/>
  <c r="AF147" i="112"/>
  <c r="Q128" i="112"/>
  <c r="Q100" i="112"/>
  <c r="R100" i="112"/>
  <c r="Q83" i="112"/>
  <c r="Q161" i="112"/>
  <c r="O173" i="112"/>
  <c r="R161" i="112"/>
  <c r="Q148" i="112"/>
  <c r="O160" i="112"/>
  <c r="R148" i="112"/>
  <c r="Q111" i="112"/>
  <c r="R111" i="112"/>
  <c r="R9" i="113"/>
  <c r="Q9" i="113"/>
  <c r="Q140" i="112"/>
  <c r="R126" i="112"/>
  <c r="Q60" i="112"/>
  <c r="R60" i="112"/>
  <c r="Q21" i="112"/>
  <c r="R21" i="112"/>
  <c r="R163" i="112"/>
  <c r="Q163" i="112"/>
  <c r="Q113" i="112"/>
  <c r="R113" i="112"/>
  <c r="Q46" i="112"/>
  <c r="Q86" i="112"/>
  <c r="Q57" i="112"/>
  <c r="O69" i="112"/>
  <c r="R69" i="112" s="1"/>
  <c r="S57" i="112" s="1"/>
  <c r="R57" i="112"/>
  <c r="Q9" i="112"/>
  <c r="R9" i="112"/>
  <c r="Q164" i="115"/>
  <c r="R164" i="115"/>
  <c r="Q153" i="115"/>
  <c r="R153" i="115"/>
  <c r="Q149" i="115"/>
  <c r="R149" i="115"/>
  <c r="R136" i="115"/>
  <c r="Q136" i="115"/>
  <c r="R139" i="115"/>
  <c r="Q139" i="115"/>
  <c r="R125" i="115"/>
  <c r="Q125" i="115"/>
  <c r="O134" i="115"/>
  <c r="R141" i="115"/>
  <c r="Q141" i="115"/>
  <c r="R127" i="115"/>
  <c r="Q127" i="115"/>
  <c r="R99" i="115"/>
  <c r="Q99" i="115"/>
  <c r="AF82" i="115"/>
  <c r="Q82" i="115"/>
  <c r="AG82" i="115"/>
  <c r="AH70" i="115" s="1"/>
  <c r="O147" i="115"/>
  <c r="R135" i="115"/>
  <c r="Q135" i="115"/>
  <c r="Q113" i="115"/>
  <c r="R113" i="115"/>
  <c r="Q148" i="115"/>
  <c r="O160" i="115"/>
  <c r="R148" i="115"/>
  <c r="R74" i="115"/>
  <c r="Q74" i="115"/>
  <c r="O108" i="115"/>
  <c r="R96" i="115"/>
  <c r="Q96" i="115"/>
  <c r="Q61" i="115"/>
  <c r="R98" i="115"/>
  <c r="Q98" i="115"/>
  <c r="Q33" i="115"/>
  <c r="R33" i="115"/>
  <c r="R100" i="115"/>
  <c r="Q100" i="115"/>
  <c r="R165" i="114"/>
  <c r="Q165" i="114"/>
  <c r="R34" i="115"/>
  <c r="Q34" i="115"/>
  <c r="O43" i="115"/>
  <c r="R43" i="115" s="1"/>
  <c r="S31" i="115" s="1"/>
  <c r="R31" i="115"/>
  <c r="Q31" i="115"/>
  <c r="R137" i="114"/>
  <c r="Q137" i="114"/>
  <c r="AG134" i="114"/>
  <c r="AH122" i="114" s="1"/>
  <c r="AF134" i="114"/>
  <c r="R127" i="114"/>
  <c r="Q127" i="114"/>
  <c r="R111" i="114"/>
  <c r="Q111" i="114"/>
  <c r="Q142" i="114"/>
  <c r="Q101" i="114"/>
  <c r="R101" i="114"/>
  <c r="R61" i="114"/>
  <c r="Q61" i="114"/>
  <c r="Q108" i="114"/>
  <c r="AG147" i="114"/>
  <c r="AH135" i="114" s="1"/>
  <c r="AF147" i="114"/>
  <c r="R124" i="114"/>
  <c r="R88" i="114"/>
  <c r="Q88" i="114"/>
  <c r="R21" i="114"/>
  <c r="Q21" i="114"/>
  <c r="R7" i="114"/>
  <c r="Q7" i="114"/>
  <c r="AG69" i="114"/>
  <c r="AH57" i="114" s="1"/>
  <c r="Q69" i="114"/>
  <c r="AF69" i="114"/>
  <c r="Q31" i="114"/>
  <c r="O43" i="114"/>
  <c r="R43" i="114" s="1"/>
  <c r="S31" i="114" s="1"/>
  <c r="R31" i="114"/>
  <c r="Q75" i="114"/>
  <c r="R75" i="114"/>
  <c r="Q152" i="113"/>
  <c r="R152" i="113"/>
  <c r="AG82" i="113"/>
  <c r="AH70" i="113" s="1"/>
  <c r="AF82" i="113"/>
  <c r="Q82" i="113"/>
  <c r="R44" i="114"/>
  <c r="R153" i="113"/>
  <c r="Q153" i="113"/>
  <c r="R141" i="113"/>
  <c r="Q141" i="113"/>
  <c r="AG134" i="113"/>
  <c r="AH122" i="113" s="1"/>
  <c r="AF134" i="113"/>
  <c r="R123" i="113"/>
  <c r="Q123" i="113"/>
  <c r="R111" i="113"/>
  <c r="Q111" i="113"/>
  <c r="R71" i="113"/>
  <c r="Q71" i="113"/>
  <c r="O147" i="113"/>
  <c r="R135" i="113"/>
  <c r="Q135" i="113"/>
  <c r="R110" i="113"/>
  <c r="Q110" i="113"/>
  <c r="R88" i="113"/>
  <c r="Q88" i="113"/>
  <c r="R83" i="113"/>
  <c r="O95" i="113"/>
  <c r="Q83" i="113"/>
  <c r="R49" i="113"/>
  <c r="Q49" i="113"/>
  <c r="R137" i="112"/>
  <c r="Q137" i="112"/>
  <c r="R127" i="112"/>
  <c r="Q127" i="112"/>
  <c r="R123" i="112"/>
  <c r="Q123" i="112"/>
  <c r="R116" i="113"/>
  <c r="Q116" i="113"/>
  <c r="O121" i="113"/>
  <c r="R109" i="113"/>
  <c r="Q109" i="113"/>
  <c r="Q148" i="113"/>
  <c r="R99" i="113"/>
  <c r="Q99" i="113"/>
  <c r="R96" i="113"/>
  <c r="O108" i="113"/>
  <c r="Q96" i="113"/>
  <c r="R86" i="113"/>
  <c r="Q86" i="113"/>
  <c r="AF69" i="113"/>
  <c r="AG69" i="113"/>
  <c r="AH57" i="113" s="1"/>
  <c r="Q69" i="113"/>
  <c r="AF56" i="113"/>
  <c r="Q56" i="113"/>
  <c r="AG56" i="113"/>
  <c r="AH44" i="113" s="1"/>
  <c r="R47" i="113"/>
  <c r="Q47" i="113"/>
  <c r="R138" i="112"/>
  <c r="Q138" i="112"/>
  <c r="Q20" i="113"/>
  <c r="R20" i="113"/>
  <c r="Q5" i="113"/>
  <c r="O17" i="113"/>
  <c r="R5" i="113"/>
  <c r="Q151" i="112"/>
  <c r="R151" i="112"/>
  <c r="R74" i="112"/>
  <c r="Q74" i="112"/>
  <c r="AG43" i="113"/>
  <c r="AH31" i="113" s="1"/>
  <c r="AF43" i="113"/>
  <c r="Q43" i="113"/>
  <c r="AG173" i="112"/>
  <c r="AH161" i="112" s="1"/>
  <c r="AF173" i="112"/>
  <c r="Q115" i="112"/>
  <c r="R115" i="112"/>
  <c r="R32" i="112"/>
  <c r="Q32" i="112"/>
  <c r="Q164" i="112"/>
  <c r="R164" i="112"/>
  <c r="Q19" i="112"/>
  <c r="R19" i="112"/>
  <c r="Q117" i="112"/>
  <c r="R117" i="112"/>
  <c r="AG95" i="112"/>
  <c r="AH83" i="112" s="1"/>
  <c r="AF95" i="112"/>
  <c r="O82" i="112"/>
  <c r="R82" i="112" s="1"/>
  <c r="S70" i="112" s="1"/>
  <c r="R70" i="112"/>
  <c r="Q70" i="112"/>
  <c r="R20" i="112"/>
  <c r="Q20" i="112"/>
  <c r="R6" i="112"/>
  <c r="Q6" i="112"/>
  <c r="R33" i="112"/>
  <c r="Q33" i="112"/>
  <c r="R35" i="112"/>
  <c r="Q35" i="112"/>
  <c r="AG17" i="112"/>
  <c r="AH5" i="112" s="1"/>
  <c r="AF17" i="112"/>
  <c r="R97" i="115"/>
  <c r="Q97" i="115"/>
  <c r="AG69" i="115"/>
  <c r="AH57" i="115" s="1"/>
  <c r="Q69" i="115"/>
  <c r="AF69" i="115"/>
  <c r="Q71" i="115"/>
  <c r="R71" i="115"/>
  <c r="AG95" i="115"/>
  <c r="AH83" i="115" s="1"/>
  <c r="AF95" i="115"/>
  <c r="R58" i="115"/>
  <c r="Q58" i="115"/>
  <c r="R84" i="115"/>
  <c r="Q84" i="115"/>
  <c r="O56" i="115"/>
  <c r="R56" i="115" s="1"/>
  <c r="S44" i="115" s="1"/>
  <c r="R44" i="115"/>
  <c r="Q44" i="115"/>
  <c r="R21" i="115"/>
  <c r="Q21" i="115"/>
  <c r="R32" i="115"/>
  <c r="Q32" i="115"/>
  <c r="R45" i="115"/>
  <c r="Q45" i="115"/>
  <c r="R23" i="115"/>
  <c r="Q23" i="115"/>
  <c r="O30" i="115"/>
  <c r="R18" i="115"/>
  <c r="Q18" i="115"/>
  <c r="Q152" i="114"/>
  <c r="R152" i="114"/>
  <c r="Q10" i="115"/>
  <c r="R10" i="115"/>
  <c r="R9" i="115"/>
  <c r="Q9" i="115"/>
  <c r="R139" i="114"/>
  <c r="Q139" i="114"/>
  <c r="R113" i="114"/>
  <c r="Q113" i="114"/>
  <c r="R49" i="114"/>
  <c r="Q49" i="114"/>
  <c r="R45" i="114"/>
  <c r="Q45" i="114"/>
  <c r="R153" i="114"/>
  <c r="Q153" i="114"/>
  <c r="AG95" i="114"/>
  <c r="AH83" i="114" s="1"/>
  <c r="AF95" i="114"/>
  <c r="R86" i="114"/>
  <c r="Q86" i="114"/>
  <c r="R19" i="114"/>
  <c r="Q19" i="114"/>
  <c r="R8" i="114"/>
  <c r="Q8" i="114"/>
  <c r="Q97" i="114"/>
  <c r="R97" i="114"/>
  <c r="R87" i="114"/>
  <c r="Q87" i="114"/>
  <c r="R22" i="114"/>
  <c r="Q22" i="114"/>
  <c r="R162" i="113"/>
  <c r="Q162" i="113"/>
  <c r="Q87" i="113"/>
  <c r="R87" i="113"/>
  <c r="Q61" i="113"/>
  <c r="R61" i="113"/>
  <c r="Q58" i="114"/>
  <c r="O56" i="114"/>
  <c r="R56" i="114" s="1"/>
  <c r="S44" i="114" s="1"/>
  <c r="Q32" i="114"/>
  <c r="R32" i="114"/>
  <c r="AG30" i="114"/>
  <c r="AH18" i="114" s="1"/>
  <c r="AF30" i="114"/>
  <c r="R150" i="113"/>
  <c r="Q150" i="113"/>
  <c r="R139" i="113"/>
  <c r="Q139" i="113"/>
  <c r="R122" i="113"/>
  <c r="Q122" i="113"/>
  <c r="O134" i="113"/>
  <c r="R70" i="113"/>
  <c r="O82" i="113"/>
  <c r="R82" i="113" s="1"/>
  <c r="S70" i="113" s="1"/>
  <c r="Q70" i="113"/>
  <c r="AF147" i="113"/>
  <c r="AG147" i="113"/>
  <c r="AH135" i="113" s="1"/>
  <c r="R114" i="113"/>
  <c r="Q114" i="113"/>
  <c r="AG95" i="113"/>
  <c r="AH83" i="113" s="1"/>
  <c r="AF95" i="113"/>
  <c r="R109" i="112"/>
  <c r="Q109" i="112"/>
  <c r="O121" i="112"/>
  <c r="R35" i="113"/>
  <c r="Q35" i="113"/>
  <c r="R141" i="112"/>
  <c r="Q141" i="112"/>
  <c r="O134" i="112"/>
  <c r="R122" i="112"/>
  <c r="Q122" i="112"/>
  <c r="R140" i="113"/>
  <c r="Q140" i="113"/>
  <c r="R126" i="113"/>
  <c r="Q126" i="113"/>
  <c r="R74" i="113"/>
  <c r="Q74" i="113"/>
  <c r="R148" i="113"/>
  <c r="AG108" i="113"/>
  <c r="AH96" i="113" s="1"/>
  <c r="AF108" i="113"/>
  <c r="R34" i="113"/>
  <c r="Q34" i="113"/>
  <c r="Q153" i="112"/>
  <c r="R153" i="112"/>
  <c r="O147" i="112"/>
  <c r="R135" i="112"/>
  <c r="Q135" i="112"/>
  <c r="R31" i="113"/>
  <c r="Q31" i="113"/>
  <c r="O43" i="113"/>
  <c r="R43" i="113" s="1"/>
  <c r="S31" i="113" s="1"/>
  <c r="Q22" i="113"/>
  <c r="R22" i="113"/>
  <c r="Q10" i="113"/>
  <c r="R10" i="113"/>
  <c r="R165" i="112"/>
  <c r="Q165" i="112"/>
  <c r="AG160" i="112"/>
  <c r="AH148" i="112" s="1"/>
  <c r="AF160" i="112"/>
  <c r="AG56" i="112"/>
  <c r="AH44" i="112" s="1"/>
  <c r="Q56" i="112"/>
  <c r="AF56" i="112"/>
  <c r="Q24" i="113"/>
  <c r="R24" i="113"/>
  <c r="R73" i="112"/>
  <c r="Q73" i="112"/>
  <c r="Q58" i="112"/>
  <c r="R58" i="112"/>
  <c r="Q7" i="112"/>
  <c r="R7" i="112"/>
  <c r="R23" i="113"/>
  <c r="Q23" i="113"/>
  <c r="R72" i="112"/>
  <c r="Q72" i="112"/>
  <c r="AG30" i="112"/>
  <c r="AH18" i="112" s="1"/>
  <c r="AF30" i="112"/>
  <c r="AF82" i="112"/>
  <c r="AG82" i="112"/>
  <c r="AH70" i="112" s="1"/>
  <c r="Q82" i="112"/>
  <c r="R22" i="112"/>
  <c r="Q22" i="112"/>
  <c r="R10" i="112"/>
  <c r="Q10" i="112"/>
  <c r="AG69" i="112"/>
  <c r="AH57" i="112" s="1"/>
  <c r="Q69" i="112"/>
  <c r="AF69" i="112"/>
  <c r="AG43" i="112"/>
  <c r="AH31" i="112" s="1"/>
  <c r="AF43" i="112"/>
  <c r="Q43" i="112"/>
  <c r="O17" i="112"/>
  <c r="R5" i="112"/>
  <c r="Q5" i="112"/>
  <c r="AG173" i="115"/>
  <c r="AH161" i="115" s="1"/>
  <c r="AF173" i="115"/>
  <c r="Q162" i="115"/>
  <c r="R162" i="115"/>
  <c r="Q151" i="115"/>
  <c r="R151" i="115"/>
  <c r="R165" i="115"/>
  <c r="Q165" i="115"/>
  <c r="Q122" i="115"/>
  <c r="Q111" i="115"/>
  <c r="R111" i="115"/>
  <c r="AG147" i="115"/>
  <c r="AH135" i="115" s="1"/>
  <c r="AF147" i="115"/>
  <c r="Q115" i="115"/>
  <c r="R115" i="115"/>
  <c r="Q75" i="115"/>
  <c r="R75" i="115"/>
  <c r="O82" i="115"/>
  <c r="R82" i="115" s="1"/>
  <c r="S70" i="115" s="1"/>
  <c r="Q70" i="115"/>
  <c r="R70" i="115"/>
  <c r="AG160" i="115"/>
  <c r="AH148" i="115" s="1"/>
  <c r="AF160" i="115"/>
  <c r="R137" i="115"/>
  <c r="Q137" i="115"/>
  <c r="R60" i="115"/>
  <c r="Q60" i="115"/>
  <c r="O69" i="115"/>
  <c r="R69" i="115" s="1"/>
  <c r="S57" i="115" s="1"/>
  <c r="R57" i="115"/>
  <c r="Q57" i="115"/>
  <c r="AG108" i="115"/>
  <c r="AH96" i="115" s="1"/>
  <c r="AF108" i="115"/>
  <c r="R72" i="115"/>
  <c r="Q72" i="115"/>
  <c r="O121" i="115"/>
  <c r="R109" i="115"/>
  <c r="Q109" i="115"/>
  <c r="Q46" i="115"/>
  <c r="R46" i="115"/>
  <c r="Q22" i="115"/>
  <c r="R22" i="115"/>
  <c r="AF56" i="115"/>
  <c r="AG56" i="115"/>
  <c r="AH44" i="115" s="1"/>
  <c r="Q56" i="115"/>
  <c r="Q20" i="115"/>
  <c r="R20" i="115"/>
  <c r="R19" i="115"/>
  <c r="Q19" i="115"/>
  <c r="O173" i="114"/>
  <c r="Q161" i="114"/>
  <c r="R161" i="114"/>
  <c r="AG17" i="115"/>
  <c r="AH5" i="115" s="1"/>
  <c r="AF17" i="115"/>
  <c r="R164" i="114"/>
  <c r="Q164" i="114"/>
  <c r="Q150" i="114"/>
  <c r="R150" i="114"/>
  <c r="AG43" i="115"/>
  <c r="AH31" i="115" s="1"/>
  <c r="AF43" i="115"/>
  <c r="Q43" i="115"/>
  <c r="Q8" i="115"/>
  <c r="R8" i="115"/>
  <c r="R7" i="115"/>
  <c r="Q7" i="115"/>
  <c r="R141" i="114"/>
  <c r="Q141" i="114"/>
  <c r="R123" i="114"/>
  <c r="Q123" i="114"/>
  <c r="R115" i="114"/>
  <c r="Q115" i="114"/>
  <c r="AF121" i="114"/>
  <c r="AG121" i="114"/>
  <c r="AH109" i="114" s="1"/>
  <c r="R98" i="114"/>
  <c r="R148" i="114"/>
  <c r="O160" i="114"/>
  <c r="Q148" i="114"/>
  <c r="R59" i="114"/>
  <c r="Q59" i="114"/>
  <c r="AF56" i="114"/>
  <c r="AG56" i="114"/>
  <c r="AH44" i="114" s="1"/>
  <c r="Q56" i="114"/>
  <c r="R151" i="114"/>
  <c r="Q151" i="114"/>
  <c r="O147" i="114"/>
  <c r="R135" i="114"/>
  <c r="Q135" i="114"/>
  <c r="R84" i="114"/>
  <c r="Q84" i="114"/>
  <c r="R18" i="114"/>
  <c r="Q18" i="114"/>
  <c r="O30" i="114"/>
  <c r="O69" i="114"/>
  <c r="R57" i="114"/>
  <c r="Q57" i="114"/>
  <c r="AG160" i="113"/>
  <c r="AH148" i="113" s="1"/>
  <c r="AF160" i="113"/>
  <c r="Q99" i="114"/>
  <c r="R99" i="114"/>
  <c r="R10" i="114"/>
  <c r="Q10" i="114"/>
  <c r="AF17" i="114"/>
  <c r="AG17" i="114"/>
  <c r="AH5" i="114" s="1"/>
  <c r="O173" i="113"/>
  <c r="Q71" i="114"/>
  <c r="R71" i="114"/>
  <c r="Q85" i="113"/>
  <c r="R85" i="113"/>
  <c r="Q59" i="113"/>
  <c r="R59" i="113"/>
  <c r="R85" i="114"/>
  <c r="Q85" i="114"/>
  <c r="O82" i="114"/>
  <c r="R82" i="114" s="1"/>
  <c r="S70" i="114" s="1"/>
  <c r="Q70" i="114"/>
  <c r="R70" i="114"/>
  <c r="Q34" i="114"/>
  <c r="R34" i="114"/>
  <c r="R164" i="113"/>
  <c r="Q164" i="113"/>
  <c r="R137" i="113"/>
  <c r="Q137" i="113"/>
  <c r="R127" i="113"/>
  <c r="Q127" i="113"/>
  <c r="R115" i="113"/>
  <c r="Q115" i="113"/>
  <c r="R100" i="113"/>
  <c r="Q100" i="113"/>
  <c r="R75" i="113"/>
  <c r="Q75" i="113"/>
  <c r="R124" i="113"/>
  <c r="Q124" i="113"/>
  <c r="R45" i="113"/>
  <c r="Q45" i="113"/>
  <c r="R136" i="113"/>
  <c r="Q136" i="113"/>
  <c r="R57" i="113"/>
  <c r="O56" i="113"/>
  <c r="R56" i="113" s="1"/>
  <c r="S44" i="113" s="1"/>
  <c r="R33" i="113"/>
  <c r="Q33" i="113"/>
  <c r="R125" i="112"/>
  <c r="Q125" i="112"/>
  <c r="O160" i="113"/>
  <c r="R72" i="113"/>
  <c r="Q72" i="113"/>
  <c r="R136" i="112"/>
  <c r="Q136" i="112"/>
  <c r="AG108" i="112"/>
  <c r="AH96" i="112" s="1"/>
  <c r="AF108" i="112"/>
  <c r="Q162" i="112"/>
  <c r="R162" i="112"/>
  <c r="R19" i="113"/>
  <c r="Q19" i="113"/>
  <c r="R7" i="113"/>
  <c r="Q7" i="113"/>
  <c r="Q98" i="112"/>
  <c r="R98" i="112"/>
  <c r="R85" i="112"/>
  <c r="Q85" i="112"/>
  <c r="R21" i="113"/>
  <c r="Q21" i="113"/>
  <c r="Q23" i="112"/>
  <c r="R23" i="112"/>
  <c r="Q6" i="113"/>
  <c r="R6" i="113"/>
  <c r="R84" i="112"/>
  <c r="Q84" i="112"/>
  <c r="O95" i="112"/>
  <c r="R24" i="112"/>
  <c r="Q24" i="112"/>
  <c r="Q48" i="112"/>
  <c r="R48" i="112"/>
  <c r="R44" i="112"/>
  <c r="O43" i="112"/>
  <c r="R43" i="112" s="1"/>
  <c r="S31" i="112" s="1"/>
  <c r="R31" i="112"/>
  <c r="Q31" i="112"/>
  <c r="R34" i="112"/>
  <c r="Q34" i="112"/>
  <c r="O30" i="112"/>
  <c r="R8" i="112"/>
  <c r="Q8" i="112"/>
  <c r="E2" i="110"/>
  <c r="E2" i="111"/>
  <c r="E2" i="108"/>
  <c r="I1" i="103"/>
  <c r="G1" i="103"/>
  <c r="G2" i="103" s="1"/>
  <c r="K124" i="103"/>
  <c r="L100" i="103"/>
  <c r="K111" i="103"/>
  <c r="L101" i="103"/>
  <c r="L111" i="103" s="1"/>
  <c r="K75" i="103"/>
  <c r="L65" i="103"/>
  <c r="L75" i="103" s="1"/>
  <c r="L124" i="103"/>
  <c r="K100" i="103"/>
  <c r="K91" i="103"/>
  <c r="L82" i="103"/>
  <c r="L91" i="103" s="1"/>
  <c r="L52" i="103"/>
  <c r="L64" i="103" s="1"/>
  <c r="K64" i="103"/>
  <c r="L25" i="103"/>
  <c r="L38" i="103" s="1"/>
  <c r="K38" i="103"/>
  <c r="L17" i="103"/>
  <c r="L24" i="103" s="1"/>
  <c r="K24" i="103"/>
  <c r="L5" i="103"/>
  <c r="L16" i="103" s="1"/>
  <c r="K16" i="103"/>
  <c r="R30" i="114" l="1"/>
  <c r="S18" i="114" s="1"/>
  <c r="Q30" i="114"/>
  <c r="Q30" i="112"/>
  <c r="R30" i="112"/>
  <c r="S18" i="112" s="1"/>
  <c r="R173" i="114"/>
  <c r="S161" i="114" s="1"/>
  <c r="Q173" i="114"/>
  <c r="R108" i="113"/>
  <c r="S96" i="113" s="1"/>
  <c r="Q108" i="113"/>
  <c r="Q108" i="115"/>
  <c r="R108" i="115"/>
  <c r="S96" i="115" s="1"/>
  <c r="R160" i="115"/>
  <c r="S148" i="115" s="1"/>
  <c r="Q160" i="115"/>
  <c r="R134" i="115"/>
  <c r="S122" i="115" s="1"/>
  <c r="Q134" i="115"/>
  <c r="Q134" i="114"/>
  <c r="R134" i="114"/>
  <c r="S122" i="114" s="1"/>
  <c r="R108" i="114"/>
  <c r="S96" i="114" s="1"/>
  <c r="R95" i="112"/>
  <c r="S83" i="112" s="1"/>
  <c r="Q95" i="112"/>
  <c r="R121" i="112"/>
  <c r="S109" i="112" s="1"/>
  <c r="Q121" i="112"/>
  <c r="Q160" i="113"/>
  <c r="R160" i="113"/>
  <c r="S148" i="113" s="1"/>
  <c r="R69" i="114"/>
  <c r="S57" i="114" s="1"/>
  <c r="Q147" i="114"/>
  <c r="R147" i="114"/>
  <c r="S135" i="114" s="1"/>
  <c r="R173" i="113"/>
  <c r="S161" i="113" s="1"/>
  <c r="Q173" i="113"/>
  <c r="Q160" i="114"/>
  <c r="R160" i="114"/>
  <c r="S148" i="114" s="1"/>
  <c r="R17" i="112"/>
  <c r="S5" i="112" s="1"/>
  <c r="Q17" i="112"/>
  <c r="E2" i="112"/>
  <c r="R147" i="112"/>
  <c r="S135" i="112" s="1"/>
  <c r="Q147" i="112"/>
  <c r="R134" i="112"/>
  <c r="S122" i="112" s="1"/>
  <c r="Q134" i="112"/>
  <c r="R30" i="115"/>
  <c r="S18" i="115" s="1"/>
  <c r="Q30" i="115"/>
  <c r="R147" i="115"/>
  <c r="S135" i="115" s="1"/>
  <c r="Q147" i="115"/>
  <c r="R173" i="112"/>
  <c r="S161" i="112" s="1"/>
  <c r="Q173" i="112"/>
  <c r="R17" i="114"/>
  <c r="S5" i="114" s="1"/>
  <c r="Q17" i="114"/>
  <c r="E2" i="114"/>
  <c r="Q17" i="115"/>
  <c r="E2" i="115"/>
  <c r="R17" i="115"/>
  <c r="S5" i="115" s="1"/>
  <c r="R173" i="115"/>
  <c r="S161" i="115" s="1"/>
  <c r="Q173" i="115"/>
  <c r="R121" i="115"/>
  <c r="S109" i="115" s="1"/>
  <c r="Q121" i="115"/>
  <c r="Q134" i="113"/>
  <c r="R134" i="113"/>
  <c r="S122" i="113" s="1"/>
  <c r="Q17" i="113"/>
  <c r="E2" i="113"/>
  <c r="R17" i="113"/>
  <c r="S5" i="113" s="1"/>
  <c r="R121" i="113"/>
  <c r="S109" i="113" s="1"/>
  <c r="Q121" i="113"/>
  <c r="Q95" i="113"/>
  <c r="R95" i="113"/>
  <c r="S83" i="113" s="1"/>
  <c r="Q147" i="113"/>
  <c r="R147" i="113"/>
  <c r="S135" i="113" s="1"/>
  <c r="R160" i="112"/>
  <c r="S148" i="112" s="1"/>
  <c r="Q160" i="112"/>
  <c r="R95" i="114"/>
  <c r="S83" i="114" s="1"/>
  <c r="Q95" i="114"/>
  <c r="R121" i="114"/>
  <c r="S109" i="114" s="1"/>
  <c r="Q121" i="114"/>
  <c r="E2" i="103"/>
  <c r="AE173" i="102" l="1"/>
  <c r="AD173" i="102"/>
  <c r="AA173" i="102"/>
  <c r="Z173" i="102"/>
  <c r="M173" i="102"/>
  <c r="W172" i="102"/>
  <c r="H172" i="102"/>
  <c r="W171" i="102"/>
  <c r="H171" i="102"/>
  <c r="AG170" i="102"/>
  <c r="AF170" i="102"/>
  <c r="W170" i="102"/>
  <c r="H170" i="102"/>
  <c r="AG169" i="102"/>
  <c r="AF169" i="102"/>
  <c r="W169" i="102"/>
  <c r="H169" i="102"/>
  <c r="AG168" i="102"/>
  <c r="AF168" i="102"/>
  <c r="W168" i="102"/>
  <c r="H168" i="102"/>
  <c r="AG167" i="102"/>
  <c r="AF167" i="102"/>
  <c r="W167" i="102"/>
  <c r="H167" i="102"/>
  <c r="AG166" i="102"/>
  <c r="AF166" i="102"/>
  <c r="W166" i="102"/>
  <c r="H166" i="102"/>
  <c r="W165" i="102"/>
  <c r="N165" i="102" s="1"/>
  <c r="O165" i="102" s="1"/>
  <c r="P165" i="102"/>
  <c r="H165" i="102"/>
  <c r="W164" i="102"/>
  <c r="N164" i="102" s="1"/>
  <c r="AG164" i="102" s="1"/>
  <c r="P164" i="102"/>
  <c r="H164" i="102"/>
  <c r="W163" i="102"/>
  <c r="N163" i="102" s="1"/>
  <c r="O163" i="102" s="1"/>
  <c r="P163" i="102"/>
  <c r="H163" i="102"/>
  <c r="W162" i="102"/>
  <c r="P162" i="102"/>
  <c r="N162" i="102"/>
  <c r="AG162" i="102" s="1"/>
  <c r="H162" i="102"/>
  <c r="W161" i="102"/>
  <c r="N161" i="102" s="1"/>
  <c r="AF161" i="102" s="1"/>
  <c r="P161" i="102"/>
  <c r="H161" i="102"/>
  <c r="AE160" i="102"/>
  <c r="AD160" i="102"/>
  <c r="AA160" i="102"/>
  <c r="Z160" i="102"/>
  <c r="M160" i="102"/>
  <c r="W159" i="102"/>
  <c r="H159" i="102"/>
  <c r="W158" i="102"/>
  <c r="H158" i="102"/>
  <c r="W157" i="102"/>
  <c r="H157" i="102"/>
  <c r="W156" i="102"/>
  <c r="H156" i="102"/>
  <c r="W155" i="102"/>
  <c r="H155" i="102"/>
  <c r="AG154" i="102"/>
  <c r="AF154" i="102"/>
  <c r="W154" i="102"/>
  <c r="H154" i="102"/>
  <c r="AG153" i="102"/>
  <c r="AF153" i="102"/>
  <c r="W153" i="102"/>
  <c r="H153" i="102"/>
  <c r="W152" i="102"/>
  <c r="N152" i="102"/>
  <c r="O152" i="102" s="1"/>
  <c r="P152" i="102"/>
  <c r="H152" i="102"/>
  <c r="W151" i="102"/>
  <c r="N151" i="102" s="1"/>
  <c r="AG151" i="102" s="1"/>
  <c r="P151" i="102"/>
  <c r="H151" i="102"/>
  <c r="W150" i="102"/>
  <c r="N150" i="102" s="1"/>
  <c r="O150" i="102" s="1"/>
  <c r="P150" i="102"/>
  <c r="H150" i="102"/>
  <c r="W149" i="102"/>
  <c r="N149" i="102" s="1"/>
  <c r="AG149" i="102" s="1"/>
  <c r="P149" i="102"/>
  <c r="H149" i="102"/>
  <c r="W148" i="102"/>
  <c r="N148" i="102" s="1"/>
  <c r="P148" i="102"/>
  <c r="H148" i="102"/>
  <c r="AE147" i="102"/>
  <c r="AD147" i="102"/>
  <c r="AA147" i="102"/>
  <c r="Z147" i="102"/>
  <c r="W147" i="102"/>
  <c r="M147" i="102"/>
  <c r="W146" i="102"/>
  <c r="H146" i="102"/>
  <c r="AG145" i="102"/>
  <c r="AF145" i="102"/>
  <c r="W145" i="102"/>
  <c r="H145" i="102"/>
  <c r="AG144" i="102"/>
  <c r="AF144" i="102"/>
  <c r="W144" i="102"/>
  <c r="H144" i="102"/>
  <c r="AG143" i="102"/>
  <c r="AF143" i="102"/>
  <c r="W143" i="102"/>
  <c r="H143" i="102"/>
  <c r="W142" i="102"/>
  <c r="N142" i="102" s="1"/>
  <c r="P142" i="102"/>
  <c r="H142" i="102"/>
  <c r="W141" i="102"/>
  <c r="N141" i="102" s="1"/>
  <c r="P141" i="102"/>
  <c r="H141" i="102"/>
  <c r="W140" i="102"/>
  <c r="P140" i="102"/>
  <c r="N140" i="102"/>
  <c r="O140" i="102" s="1"/>
  <c r="AF140" i="102"/>
  <c r="H140" i="102"/>
  <c r="W139" i="102"/>
  <c r="N139" i="102" s="1"/>
  <c r="P139" i="102"/>
  <c r="H139" i="102"/>
  <c r="W138" i="102"/>
  <c r="N138" i="102"/>
  <c r="AF138" i="102" s="1"/>
  <c r="P138" i="102"/>
  <c r="H138" i="102"/>
  <c r="W137" i="102"/>
  <c r="N137" i="102" s="1"/>
  <c r="P137" i="102"/>
  <c r="H137" i="102"/>
  <c r="W136" i="102"/>
  <c r="N136" i="102"/>
  <c r="AF136" i="102" s="1"/>
  <c r="P136" i="102"/>
  <c r="H136" i="102"/>
  <c r="W135" i="102"/>
  <c r="N135" i="102" s="1"/>
  <c r="P135" i="102"/>
  <c r="P147" i="102"/>
  <c r="H135" i="102"/>
  <c r="AE134" i="102"/>
  <c r="AD134" i="102"/>
  <c r="AA134" i="102"/>
  <c r="Z134" i="102"/>
  <c r="M134" i="102"/>
  <c r="W133" i="102"/>
  <c r="H133" i="102"/>
  <c r="W132" i="102"/>
  <c r="H132" i="102"/>
  <c r="H131" i="102"/>
  <c r="H130" i="102"/>
  <c r="W129" i="102"/>
  <c r="N129" i="102" s="1"/>
  <c r="O129" i="102" s="1"/>
  <c r="P129" i="102"/>
  <c r="H129" i="102"/>
  <c r="W128" i="102"/>
  <c r="P128" i="102"/>
  <c r="N128" i="102"/>
  <c r="O128" i="102" s="1"/>
  <c r="AF128" i="102"/>
  <c r="H128" i="102"/>
  <c r="W127" i="102"/>
  <c r="N127" i="102" s="1"/>
  <c r="P127" i="102"/>
  <c r="H127" i="102"/>
  <c r="W126" i="102"/>
  <c r="P126" i="102"/>
  <c r="N126" i="102"/>
  <c r="O126" i="102" s="1"/>
  <c r="AF126" i="102"/>
  <c r="H126" i="102"/>
  <c r="W125" i="102"/>
  <c r="N125" i="102" s="1"/>
  <c r="P125" i="102"/>
  <c r="H125" i="102"/>
  <c r="W124" i="102"/>
  <c r="P124" i="102"/>
  <c r="N124" i="102"/>
  <c r="O124" i="102" s="1"/>
  <c r="H124" i="102"/>
  <c r="W123" i="102"/>
  <c r="N123" i="102" s="1"/>
  <c r="P123" i="102"/>
  <c r="H123" i="102"/>
  <c r="W122" i="102"/>
  <c r="N122" i="102"/>
  <c r="O122" i="102" s="1"/>
  <c r="P122" i="102"/>
  <c r="H122" i="102"/>
  <c r="AE121" i="102"/>
  <c r="AD121" i="102"/>
  <c r="AA121" i="102"/>
  <c r="Z121" i="102"/>
  <c r="W121" i="102"/>
  <c r="M121" i="102"/>
  <c r="I1" i="102" s="1"/>
  <c r="AG120" i="102"/>
  <c r="AF120" i="102"/>
  <c r="W120" i="102"/>
  <c r="H120" i="102"/>
  <c r="AG119" i="102"/>
  <c r="AF119" i="102"/>
  <c r="W119" i="102"/>
  <c r="H119" i="102"/>
  <c r="AG118" i="102"/>
  <c r="AF118" i="102"/>
  <c r="W118" i="102"/>
  <c r="H118" i="102"/>
  <c r="AG117" i="102"/>
  <c r="AF117" i="102"/>
  <c r="H117" i="102"/>
  <c r="W116" i="102"/>
  <c r="N116" i="102" s="1"/>
  <c r="P116" i="102"/>
  <c r="H116" i="102"/>
  <c r="W115" i="102"/>
  <c r="N115" i="102" s="1"/>
  <c r="O115" i="102"/>
  <c r="P115" i="102"/>
  <c r="H115" i="102"/>
  <c r="W114" i="102"/>
  <c r="P114" i="102"/>
  <c r="N114" i="102"/>
  <c r="O114" i="102" s="1"/>
  <c r="Q114" i="102" s="1"/>
  <c r="AF114" i="102"/>
  <c r="H114" i="102"/>
  <c r="W113" i="102"/>
  <c r="N113" i="102" s="1"/>
  <c r="O113" i="102" s="1"/>
  <c r="P113" i="102"/>
  <c r="H113" i="102"/>
  <c r="W112" i="102"/>
  <c r="N112" i="102" s="1"/>
  <c r="P112" i="102"/>
  <c r="H112" i="102"/>
  <c r="W111" i="102"/>
  <c r="N111" i="102" s="1"/>
  <c r="P111" i="102"/>
  <c r="H111" i="102"/>
  <c r="W110" i="102"/>
  <c r="N110" i="102" s="1"/>
  <c r="O110" i="102" s="1"/>
  <c r="Q110" i="102" s="1"/>
  <c r="P110" i="102"/>
  <c r="H110" i="102"/>
  <c r="W109" i="102"/>
  <c r="P109" i="102"/>
  <c r="N109" i="102"/>
  <c r="AG109" i="102" s="1"/>
  <c r="H109" i="102"/>
  <c r="AE108" i="102"/>
  <c r="AD108" i="102"/>
  <c r="AA108" i="102"/>
  <c r="Z108" i="102"/>
  <c r="W108" i="102"/>
  <c r="M108" i="102"/>
  <c r="W107" i="102"/>
  <c r="H107" i="102"/>
  <c r="W106" i="102"/>
  <c r="H106" i="102"/>
  <c r="AG105" i="102"/>
  <c r="AF105" i="102"/>
  <c r="W105" i="102"/>
  <c r="H105" i="102"/>
  <c r="AG104" i="102"/>
  <c r="AF104" i="102"/>
  <c r="W104" i="102"/>
  <c r="H104" i="102"/>
  <c r="W103" i="102"/>
  <c r="N103" i="102" s="1"/>
  <c r="AF103" i="102" s="1"/>
  <c r="P103" i="102"/>
  <c r="H103" i="102"/>
  <c r="W102" i="102"/>
  <c r="N102" i="102" s="1"/>
  <c r="AG102" i="102" s="1"/>
  <c r="P102" i="102"/>
  <c r="H102" i="102"/>
  <c r="W101" i="102"/>
  <c r="N101" i="102" s="1"/>
  <c r="AF101" i="102" s="1"/>
  <c r="P101" i="102"/>
  <c r="H101" i="102"/>
  <c r="W100" i="102"/>
  <c r="N100" i="102" s="1"/>
  <c r="AG100" i="102" s="1"/>
  <c r="P100" i="102"/>
  <c r="H100" i="102"/>
  <c r="W99" i="102"/>
  <c r="N99" i="102" s="1"/>
  <c r="AF99" i="102" s="1"/>
  <c r="P99" i="102"/>
  <c r="H99" i="102"/>
  <c r="W98" i="102"/>
  <c r="N98" i="102"/>
  <c r="AG98" i="102" s="1"/>
  <c r="P98" i="102"/>
  <c r="H98" i="102"/>
  <c r="W97" i="102"/>
  <c r="N97" i="102" s="1"/>
  <c r="AF97" i="102" s="1"/>
  <c r="P97" i="102"/>
  <c r="H97" i="102"/>
  <c r="W96" i="102"/>
  <c r="N96" i="102" s="1"/>
  <c r="P96" i="102"/>
  <c r="P108" i="102"/>
  <c r="H96" i="102"/>
  <c r="AE95" i="102"/>
  <c r="AD95" i="102"/>
  <c r="AA95" i="102"/>
  <c r="Z95" i="102"/>
  <c r="M95" i="102"/>
  <c r="AG94" i="102"/>
  <c r="AF94" i="102"/>
  <c r="W94" i="102"/>
  <c r="H94" i="102"/>
  <c r="AG93" i="102"/>
  <c r="AF93" i="102"/>
  <c r="W93" i="102"/>
  <c r="H93" i="102"/>
  <c r="AG92" i="102"/>
  <c r="AF92" i="102"/>
  <c r="H92" i="102"/>
  <c r="AG91" i="102"/>
  <c r="AF91" i="102"/>
  <c r="W91" i="102"/>
  <c r="H91" i="102"/>
  <c r="AG90" i="102"/>
  <c r="AF90" i="102"/>
  <c r="H90" i="102"/>
  <c r="AG89" i="102"/>
  <c r="AF89" i="102"/>
  <c r="H89" i="102"/>
  <c r="W88" i="102"/>
  <c r="N88" i="102" s="1"/>
  <c r="P88" i="102"/>
  <c r="H88" i="102"/>
  <c r="W87" i="102"/>
  <c r="N87" i="102" s="1"/>
  <c r="P87" i="102"/>
  <c r="H87" i="102"/>
  <c r="W86" i="102"/>
  <c r="N86" i="102" s="1"/>
  <c r="P86" i="102"/>
  <c r="H86" i="102"/>
  <c r="W85" i="102"/>
  <c r="N85" i="102" s="1"/>
  <c r="P85" i="102"/>
  <c r="H85" i="102"/>
  <c r="W84" i="102"/>
  <c r="N84" i="102" s="1"/>
  <c r="P84" i="102"/>
  <c r="H84" i="102"/>
  <c r="W83" i="102"/>
  <c r="N83" i="102" s="1"/>
  <c r="H83" i="102"/>
  <c r="AE82" i="102"/>
  <c r="AD82" i="102"/>
  <c r="AA82" i="102"/>
  <c r="Z82" i="102"/>
  <c r="M82" i="102"/>
  <c r="W81" i="102"/>
  <c r="AG80" i="102"/>
  <c r="AF80" i="102"/>
  <c r="W80" i="102"/>
  <c r="H80" i="102"/>
  <c r="AG79" i="102"/>
  <c r="AF79" i="102"/>
  <c r="W79" i="102"/>
  <c r="H79" i="102"/>
  <c r="AG78" i="102"/>
  <c r="AF78" i="102"/>
  <c r="W78" i="102"/>
  <c r="H78" i="102"/>
  <c r="AG77" i="102"/>
  <c r="AF77" i="102"/>
  <c r="H77" i="102"/>
  <c r="W76" i="102"/>
  <c r="N76" i="102"/>
  <c r="AG76" i="102" s="1"/>
  <c r="P76" i="102"/>
  <c r="H76" i="102"/>
  <c r="W75" i="102"/>
  <c r="N75" i="102" s="1"/>
  <c r="P75" i="102"/>
  <c r="H75" i="102"/>
  <c r="W74" i="102"/>
  <c r="N74" i="102"/>
  <c r="P74" i="102"/>
  <c r="H74" i="102"/>
  <c r="W73" i="102"/>
  <c r="N73" i="102" s="1"/>
  <c r="O73" i="102"/>
  <c r="P73" i="102"/>
  <c r="H73" i="102"/>
  <c r="W72" i="102"/>
  <c r="N72" i="102"/>
  <c r="P72" i="102"/>
  <c r="H72" i="102"/>
  <c r="W71" i="102"/>
  <c r="N71" i="102" s="1"/>
  <c r="O71" i="102" s="1"/>
  <c r="P71" i="102"/>
  <c r="H71" i="102"/>
  <c r="W70" i="102"/>
  <c r="N70" i="102" s="1"/>
  <c r="O70" i="102"/>
  <c r="P70" i="102"/>
  <c r="H70" i="102"/>
  <c r="AE69" i="102"/>
  <c r="AD69" i="102"/>
  <c r="AA69" i="102"/>
  <c r="Z69" i="102"/>
  <c r="W69" i="102"/>
  <c r="M69" i="102"/>
  <c r="W68" i="102"/>
  <c r="H68" i="102"/>
  <c r="AG67" i="102"/>
  <c r="AF67" i="102"/>
  <c r="W67" i="102"/>
  <c r="H67" i="102"/>
  <c r="AG66" i="102"/>
  <c r="AF66" i="102"/>
  <c r="W66" i="102"/>
  <c r="H66" i="102"/>
  <c r="AG65" i="102"/>
  <c r="AF65" i="102"/>
  <c r="W65" i="102"/>
  <c r="H65" i="102"/>
  <c r="AG64" i="102"/>
  <c r="AF64" i="102"/>
  <c r="W64" i="102"/>
  <c r="H64" i="102"/>
  <c r="AG63" i="102"/>
  <c r="AF63" i="102"/>
  <c r="W63" i="102"/>
  <c r="H63" i="102"/>
  <c r="AG62" i="102"/>
  <c r="AF62" i="102"/>
  <c r="W62" i="102"/>
  <c r="H62" i="102"/>
  <c r="AG61" i="102"/>
  <c r="AF61" i="102"/>
  <c r="W61" i="102"/>
  <c r="H61" i="102"/>
  <c r="W60" i="102"/>
  <c r="P60" i="102"/>
  <c r="N60" i="102"/>
  <c r="O60" i="102" s="1"/>
  <c r="H60" i="102"/>
  <c r="W59" i="102"/>
  <c r="N59" i="102"/>
  <c r="O59" i="102" s="1"/>
  <c r="Q59" i="102" s="1"/>
  <c r="P59" i="102"/>
  <c r="H59" i="102"/>
  <c r="W58" i="102"/>
  <c r="N58" i="102" s="1"/>
  <c r="P58" i="102"/>
  <c r="H58" i="102"/>
  <c r="W57" i="102"/>
  <c r="P57" i="102"/>
  <c r="N57" i="102"/>
  <c r="O57" i="102" s="1"/>
  <c r="H57" i="102"/>
  <c r="AE56" i="102"/>
  <c r="AE2" i="102" s="1"/>
  <c r="AD56" i="102"/>
  <c r="AA56" i="102"/>
  <c r="Z56" i="102"/>
  <c r="W56" i="102"/>
  <c r="M56" i="102"/>
  <c r="W55" i="102"/>
  <c r="H55" i="102"/>
  <c r="AG54" i="102"/>
  <c r="AF54" i="102"/>
  <c r="W54" i="102"/>
  <c r="H54" i="102"/>
  <c r="AG53" i="102"/>
  <c r="AF53" i="102"/>
  <c r="W53" i="102"/>
  <c r="H53" i="102"/>
  <c r="AG52" i="102"/>
  <c r="AF52" i="102"/>
  <c r="W52" i="102"/>
  <c r="H52" i="102"/>
  <c r="AG51" i="102"/>
  <c r="AF51" i="102"/>
  <c r="AG50" i="102"/>
  <c r="AF50" i="102"/>
  <c r="H50" i="102"/>
  <c r="AG49" i="102"/>
  <c r="AF49" i="102"/>
  <c r="H49" i="102"/>
  <c r="W48" i="102"/>
  <c r="N48" i="102" s="1"/>
  <c r="AG48" i="102" s="1"/>
  <c r="P48" i="102"/>
  <c r="H48" i="102"/>
  <c r="W47" i="102"/>
  <c r="N47" i="102" s="1"/>
  <c r="P47" i="102"/>
  <c r="H47" i="102"/>
  <c r="W46" i="102"/>
  <c r="N46" i="102"/>
  <c r="AG46" i="102" s="1"/>
  <c r="P46" i="102"/>
  <c r="H46" i="102"/>
  <c r="W45" i="102"/>
  <c r="N45" i="102" s="1"/>
  <c r="P45" i="102"/>
  <c r="H45" i="102"/>
  <c r="W44" i="102"/>
  <c r="N44" i="102" s="1"/>
  <c r="P44" i="102"/>
  <c r="P56" i="102"/>
  <c r="H44" i="102"/>
  <c r="AE43" i="102"/>
  <c r="AD43" i="102"/>
  <c r="AA43" i="102"/>
  <c r="Z43" i="102"/>
  <c r="M43" i="102"/>
  <c r="W42" i="102"/>
  <c r="H42" i="102"/>
  <c r="W41" i="102"/>
  <c r="AG40" i="102"/>
  <c r="AF40" i="102"/>
  <c r="W40" i="102"/>
  <c r="H40" i="102"/>
  <c r="AG39" i="102"/>
  <c r="AF39" i="102"/>
  <c r="W39" i="102"/>
  <c r="H39" i="102"/>
  <c r="AG38" i="102"/>
  <c r="AF38" i="102"/>
  <c r="W38" i="102"/>
  <c r="H38" i="102"/>
  <c r="AG37" i="102"/>
  <c r="AF37" i="102"/>
  <c r="W37" i="102"/>
  <c r="H37" i="102"/>
  <c r="AG36" i="102"/>
  <c r="AF36" i="102"/>
  <c r="W36" i="102"/>
  <c r="H36" i="102"/>
  <c r="W35" i="102"/>
  <c r="N35" i="102" s="1"/>
  <c r="P35" i="102"/>
  <c r="H35" i="102"/>
  <c r="AG34" i="102"/>
  <c r="W34" i="102"/>
  <c r="N34" i="102"/>
  <c r="AF34" i="102" s="1"/>
  <c r="P34" i="102"/>
  <c r="H34" i="102"/>
  <c r="W33" i="102"/>
  <c r="N33" i="102" s="1"/>
  <c r="P33" i="102"/>
  <c r="H33" i="102"/>
  <c r="AG32" i="102"/>
  <c r="W32" i="102"/>
  <c r="N32" i="102"/>
  <c r="AF32" i="102" s="1"/>
  <c r="P32" i="102"/>
  <c r="H32" i="102"/>
  <c r="W31" i="102"/>
  <c r="N31" i="102"/>
  <c r="O31" i="102" s="1"/>
  <c r="P31" i="102"/>
  <c r="H31" i="102"/>
  <c r="AE30" i="102"/>
  <c r="AD30" i="102"/>
  <c r="AA30" i="102"/>
  <c r="Z30" i="102"/>
  <c r="M30" i="102"/>
  <c r="P30" i="102" s="1"/>
  <c r="AF29" i="102"/>
  <c r="W29" i="102"/>
  <c r="H29" i="102"/>
  <c r="AG28" i="102"/>
  <c r="AF28" i="102"/>
  <c r="W28" i="102"/>
  <c r="H28" i="102"/>
  <c r="AG27" i="102"/>
  <c r="AF27" i="102"/>
  <c r="W27" i="102"/>
  <c r="H27" i="102"/>
  <c r="AG26" i="102"/>
  <c r="AF26" i="102"/>
  <c r="W26" i="102"/>
  <c r="H26" i="102"/>
  <c r="AG25" i="102"/>
  <c r="AF25" i="102"/>
  <c r="W25" i="102"/>
  <c r="H25" i="102"/>
  <c r="AG24" i="102"/>
  <c r="AF24" i="102"/>
  <c r="W24" i="102"/>
  <c r="H24" i="102"/>
  <c r="W23" i="102"/>
  <c r="N23" i="102"/>
  <c r="AG23" i="102" s="1"/>
  <c r="P23" i="102"/>
  <c r="H23" i="102"/>
  <c r="W22" i="102"/>
  <c r="N22" i="102" s="1"/>
  <c r="P22" i="102"/>
  <c r="H22" i="102"/>
  <c r="W21" i="102"/>
  <c r="N21" i="102"/>
  <c r="AG21" i="102" s="1"/>
  <c r="P21" i="102"/>
  <c r="H21" i="102"/>
  <c r="W20" i="102"/>
  <c r="N20" i="102" s="1"/>
  <c r="P20" i="102"/>
  <c r="H20" i="102"/>
  <c r="W19" i="102"/>
  <c r="N19" i="102"/>
  <c r="AG19" i="102" s="1"/>
  <c r="P19" i="102"/>
  <c r="H19" i="102"/>
  <c r="W18" i="102"/>
  <c r="N18" i="102" s="1"/>
  <c r="P18" i="102"/>
  <c r="H18" i="102"/>
  <c r="AE17" i="102"/>
  <c r="AD17" i="102"/>
  <c r="AD2" i="102" s="1"/>
  <c r="AA17" i="102"/>
  <c r="AA2" i="102" s="1"/>
  <c r="Z17" i="102"/>
  <c r="Z2" i="102" s="1"/>
  <c r="W17" i="102"/>
  <c r="M17" i="102"/>
  <c r="W16" i="102"/>
  <c r="H16" i="102"/>
  <c r="W15" i="102"/>
  <c r="H15" i="102"/>
  <c r="W14" i="102"/>
  <c r="H14" i="102"/>
  <c r="AG13" i="102"/>
  <c r="AF13" i="102"/>
  <c r="H13" i="102"/>
  <c r="AG12" i="102"/>
  <c r="AF12" i="102"/>
  <c r="H12" i="102"/>
  <c r="W11" i="102"/>
  <c r="N11" i="102" s="1"/>
  <c r="H11" i="102"/>
  <c r="W10" i="102"/>
  <c r="N10" i="102" s="1"/>
  <c r="P10" i="102"/>
  <c r="H10" i="102"/>
  <c r="W9" i="102"/>
  <c r="N9" i="102" s="1"/>
  <c r="H9" i="102"/>
  <c r="W8" i="102"/>
  <c r="N8" i="102" s="1"/>
  <c r="P8" i="102"/>
  <c r="H8" i="102"/>
  <c r="W7" i="102"/>
  <c r="N7" i="102" s="1"/>
  <c r="H7" i="102"/>
  <c r="W6" i="102"/>
  <c r="N6" i="102" s="1"/>
  <c r="P6" i="102"/>
  <c r="H6" i="102"/>
  <c r="W5" i="102"/>
  <c r="N5" i="102" s="1"/>
  <c r="AF5" i="102" s="1"/>
  <c r="P5" i="102"/>
  <c r="P17" i="102"/>
  <c r="H5" i="102"/>
  <c r="I2" i="102"/>
  <c r="E1" i="102"/>
  <c r="O47" i="102" l="1"/>
  <c r="AF47" i="102"/>
  <c r="O45" i="102"/>
  <c r="AF45" i="102"/>
  <c r="AF85" i="102"/>
  <c r="AG85" i="102"/>
  <c r="O116" i="102"/>
  <c r="R116" i="102" s="1"/>
  <c r="AF116" i="102"/>
  <c r="AG116" i="102"/>
  <c r="O112" i="102"/>
  <c r="AG112" i="102"/>
  <c r="AF112" i="102"/>
  <c r="O58" i="102"/>
  <c r="R58" i="102" s="1"/>
  <c r="AF58" i="102"/>
  <c r="AF87" i="102"/>
  <c r="AG87" i="102"/>
  <c r="O142" i="102"/>
  <c r="AF142" i="102"/>
  <c r="AG142" i="102"/>
  <c r="AG114" i="102"/>
  <c r="AF124" i="102"/>
  <c r="AF60" i="102"/>
  <c r="AG124" i="102"/>
  <c r="AF109" i="102"/>
  <c r="AG126" i="102"/>
  <c r="AG136" i="102"/>
  <c r="AG138" i="102"/>
  <c r="AF31" i="102"/>
  <c r="AG128" i="102"/>
  <c r="AG140" i="102"/>
  <c r="AF6" i="102"/>
  <c r="O6" i="102"/>
  <c r="AG9" i="102"/>
  <c r="O9" i="102"/>
  <c r="AF9" i="102"/>
  <c r="N30" i="102"/>
  <c r="AF20" i="102"/>
  <c r="O20" i="102"/>
  <c r="AG20" i="102"/>
  <c r="G1" i="102"/>
  <c r="G2" i="102" s="1"/>
  <c r="AG6" i="102"/>
  <c r="P7" i="102"/>
  <c r="AG11" i="102"/>
  <c r="AF11" i="102"/>
  <c r="O11" i="102"/>
  <c r="AF8" i="102"/>
  <c r="O8" i="102"/>
  <c r="AG8" i="102"/>
  <c r="AF22" i="102"/>
  <c r="O22" i="102"/>
  <c r="AG22" i="102"/>
  <c r="O33" i="102"/>
  <c r="AG33" i="102"/>
  <c r="AF33" i="102"/>
  <c r="O44" i="102"/>
  <c r="N56" i="102"/>
  <c r="AG44" i="102"/>
  <c r="AF44" i="102"/>
  <c r="R47" i="102"/>
  <c r="Q47" i="102"/>
  <c r="N17" i="102"/>
  <c r="O5" i="102"/>
  <c r="AG5" i="102"/>
  <c r="AG7" i="102"/>
  <c r="AF7" i="102"/>
  <c r="O7" i="102"/>
  <c r="Q31" i="102"/>
  <c r="R31" i="102"/>
  <c r="O35" i="102"/>
  <c r="AG35" i="102"/>
  <c r="AF35" i="102"/>
  <c r="R71" i="102"/>
  <c r="Q71" i="102"/>
  <c r="AG10" i="102"/>
  <c r="AF10" i="102"/>
  <c r="O10" i="102"/>
  <c r="R57" i="102"/>
  <c r="Q60" i="102"/>
  <c r="P9" i="102"/>
  <c r="P11" i="102"/>
  <c r="O18" i="102"/>
  <c r="O19" i="102"/>
  <c r="O21" i="102"/>
  <c r="O23" i="102"/>
  <c r="AG31" i="102"/>
  <c r="P43" i="102"/>
  <c r="N43" i="102"/>
  <c r="R45" i="102"/>
  <c r="AG45" i="102"/>
  <c r="O46" i="102"/>
  <c r="AG47" i="102"/>
  <c r="O48" i="102"/>
  <c r="AF48" i="102"/>
  <c r="Q58" i="102"/>
  <c r="AG58" i="102"/>
  <c r="R59" i="102"/>
  <c r="AG60" i="102"/>
  <c r="P69" i="102"/>
  <c r="O75" i="102"/>
  <c r="AG75" i="102"/>
  <c r="AF75" i="102"/>
  <c r="O88" i="102"/>
  <c r="AG88" i="102"/>
  <c r="AF88" i="102"/>
  <c r="N108" i="102"/>
  <c r="O96" i="102"/>
  <c r="AG96" i="102"/>
  <c r="AF96" i="102"/>
  <c r="AF19" i="102"/>
  <c r="AF21" i="102"/>
  <c r="AF23" i="102"/>
  <c r="O32" i="102"/>
  <c r="O34" i="102"/>
  <c r="AF46" i="102"/>
  <c r="O69" i="102"/>
  <c r="P82" i="102"/>
  <c r="AG73" i="102"/>
  <c r="AG74" i="102"/>
  <c r="AF74" i="102"/>
  <c r="O74" i="102"/>
  <c r="O83" i="102"/>
  <c r="AG83" i="102"/>
  <c r="AF83" i="102"/>
  <c r="N95" i="102"/>
  <c r="AF18" i="102"/>
  <c r="AF57" i="102"/>
  <c r="AG59" i="102"/>
  <c r="AF59" i="102"/>
  <c r="N69" i="102"/>
  <c r="AG70" i="102"/>
  <c r="N82" i="102"/>
  <c r="AF70" i="102"/>
  <c r="AG71" i="102"/>
  <c r="AF72" i="102"/>
  <c r="O72" i="102"/>
  <c r="O82" i="102" s="1"/>
  <c r="R82" i="102" s="1"/>
  <c r="S70" i="102" s="1"/>
  <c r="AG72" i="102"/>
  <c r="AF73" i="102"/>
  <c r="O84" i="102"/>
  <c r="AG84" i="102"/>
  <c r="AF84" i="102"/>
  <c r="P95" i="102"/>
  <c r="AF111" i="102"/>
  <c r="AG111" i="102"/>
  <c r="O111" i="102"/>
  <c r="AG18" i="102"/>
  <c r="AG57" i="102"/>
  <c r="R60" i="102"/>
  <c r="R70" i="102"/>
  <c r="Q70" i="102"/>
  <c r="AF71" i="102"/>
  <c r="R73" i="102"/>
  <c r="Q73" i="102"/>
  <c r="O86" i="102"/>
  <c r="AG86" i="102"/>
  <c r="AF86" i="102"/>
  <c r="P83" i="102"/>
  <c r="AG97" i="102"/>
  <c r="O98" i="102"/>
  <c r="AG99" i="102"/>
  <c r="O100" i="102"/>
  <c r="AG101" i="102"/>
  <c r="O102" i="102"/>
  <c r="AG103" i="102"/>
  <c r="AG110" i="102"/>
  <c r="R113" i="102"/>
  <c r="R114" i="102"/>
  <c r="N134" i="102"/>
  <c r="AF123" i="102"/>
  <c r="O123" i="102"/>
  <c r="AG123" i="102"/>
  <c r="R128" i="102"/>
  <c r="Q128" i="102"/>
  <c r="R142" i="102"/>
  <c r="Q142" i="102"/>
  <c r="N160" i="102"/>
  <c r="AF148" i="102"/>
  <c r="O148" i="102"/>
  <c r="AG148" i="102"/>
  <c r="O76" i="102"/>
  <c r="O85" i="102"/>
  <c r="O87" i="102"/>
  <c r="AF98" i="102"/>
  <c r="AF100" i="102"/>
  <c r="AF102" i="102"/>
  <c r="P121" i="102"/>
  <c r="R126" i="102"/>
  <c r="Q126" i="102"/>
  <c r="R129" i="102"/>
  <c r="Q129" i="102"/>
  <c r="AG135" i="102"/>
  <c r="N147" i="102"/>
  <c r="AF135" i="102"/>
  <c r="O135" i="102"/>
  <c r="R140" i="102"/>
  <c r="Q140" i="102"/>
  <c r="P160" i="102"/>
  <c r="R165" i="102"/>
  <c r="Q165" i="102"/>
  <c r="AF76" i="102"/>
  <c r="O97" i="102"/>
  <c r="O99" i="102"/>
  <c r="O101" i="102"/>
  <c r="O103" i="102"/>
  <c r="N121" i="102"/>
  <c r="O109" i="102"/>
  <c r="AF113" i="102"/>
  <c r="AG113" i="102"/>
  <c r="R115" i="102"/>
  <c r="Q115" i="102"/>
  <c r="R124" i="102"/>
  <c r="Q124" i="102"/>
  <c r="AF127" i="102"/>
  <c r="O127" i="102"/>
  <c r="AG127" i="102"/>
  <c r="P134" i="102"/>
  <c r="AF137" i="102"/>
  <c r="O137" i="102"/>
  <c r="AG137" i="102"/>
  <c r="AF141" i="102"/>
  <c r="O141" i="102"/>
  <c r="AG141" i="102"/>
  <c r="R150" i="102"/>
  <c r="Q150" i="102"/>
  <c r="R152" i="102"/>
  <c r="Q152" i="102"/>
  <c r="R163" i="102"/>
  <c r="Q163" i="102"/>
  <c r="R110" i="102"/>
  <c r="AF110" i="102"/>
  <c r="AF115" i="102"/>
  <c r="AG115" i="102"/>
  <c r="Q116" i="102"/>
  <c r="AF125" i="102"/>
  <c r="O125" i="102"/>
  <c r="AG125" i="102"/>
  <c r="AF139" i="102"/>
  <c r="O139" i="102"/>
  <c r="AG139" i="102"/>
  <c r="P173" i="102"/>
  <c r="Q122" i="102"/>
  <c r="AF122" i="102"/>
  <c r="O136" i="102"/>
  <c r="O138" i="102"/>
  <c r="AF150" i="102"/>
  <c r="AF152" i="102"/>
  <c r="AG161" i="102"/>
  <c r="AF163" i="102"/>
  <c r="AF165" i="102"/>
  <c r="R122" i="102"/>
  <c r="AG122" i="102"/>
  <c r="O149" i="102"/>
  <c r="AG150" i="102"/>
  <c r="O151" i="102"/>
  <c r="AG152" i="102"/>
  <c r="O161" i="102"/>
  <c r="O162" i="102"/>
  <c r="AG163" i="102"/>
  <c r="O164" i="102"/>
  <c r="AG165" i="102"/>
  <c r="N173" i="102"/>
  <c r="AF149" i="102"/>
  <c r="AF151" i="102"/>
  <c r="AF162" i="102"/>
  <c r="AF164" i="102"/>
  <c r="O134" i="102" l="1"/>
  <c r="R134" i="102" s="1"/>
  <c r="S122" i="102" s="1"/>
  <c r="R112" i="102"/>
  <c r="Q112" i="102"/>
  <c r="AG173" i="102"/>
  <c r="AH161" i="102" s="1"/>
  <c r="AF173" i="102"/>
  <c r="R141" i="102"/>
  <c r="Q141" i="102"/>
  <c r="R97" i="102"/>
  <c r="Q97" i="102"/>
  <c r="Q148" i="102"/>
  <c r="O160" i="102"/>
  <c r="R148" i="102"/>
  <c r="Q164" i="102"/>
  <c r="R164" i="102"/>
  <c r="R138" i="102"/>
  <c r="Q138" i="102"/>
  <c r="R137" i="102"/>
  <c r="Q137" i="102"/>
  <c r="R127" i="102"/>
  <c r="Q127" i="102"/>
  <c r="O121" i="102"/>
  <c r="R109" i="102"/>
  <c r="Q109" i="102"/>
  <c r="R99" i="102"/>
  <c r="Q99" i="102"/>
  <c r="O147" i="102"/>
  <c r="R135" i="102"/>
  <c r="Q135" i="102"/>
  <c r="Q87" i="102"/>
  <c r="R87" i="102"/>
  <c r="Q32" i="102"/>
  <c r="R32" i="102"/>
  <c r="R46" i="102"/>
  <c r="Q46" i="102"/>
  <c r="Q43" i="102"/>
  <c r="AG43" i="102"/>
  <c r="AH31" i="102" s="1"/>
  <c r="AF43" i="102"/>
  <c r="R21" i="102"/>
  <c r="Q21" i="102"/>
  <c r="O43" i="102"/>
  <c r="R43" i="102" s="1"/>
  <c r="S31" i="102" s="1"/>
  <c r="AF17" i="102"/>
  <c r="AG17" i="102"/>
  <c r="AH5" i="102" s="1"/>
  <c r="R11" i="102"/>
  <c r="Q11" i="102"/>
  <c r="R20" i="102"/>
  <c r="Q20" i="102"/>
  <c r="R9" i="102"/>
  <c r="Q9" i="102"/>
  <c r="R136" i="102"/>
  <c r="Q136" i="102"/>
  <c r="AG121" i="102"/>
  <c r="AH109" i="102" s="1"/>
  <c r="AF121" i="102"/>
  <c r="R102" i="102"/>
  <c r="Q102" i="102"/>
  <c r="R98" i="102"/>
  <c r="Q98" i="102"/>
  <c r="Q111" i="102"/>
  <c r="R111" i="102"/>
  <c r="R69" i="102"/>
  <c r="S57" i="102" s="1"/>
  <c r="R75" i="102"/>
  <c r="Q75" i="102"/>
  <c r="R48" i="102"/>
  <c r="Q48" i="102"/>
  <c r="R19" i="102"/>
  <c r="Q19" i="102"/>
  <c r="Q10" i="102"/>
  <c r="R10" i="102"/>
  <c r="AG56" i="102"/>
  <c r="AH44" i="102" s="1"/>
  <c r="Q56" i="102"/>
  <c r="AF56" i="102"/>
  <c r="R33" i="102"/>
  <c r="Q33" i="102"/>
  <c r="Q151" i="102"/>
  <c r="R151" i="102"/>
  <c r="Q85" i="102"/>
  <c r="R85" i="102"/>
  <c r="AG147" i="102"/>
  <c r="AH135" i="102" s="1"/>
  <c r="AF147" i="102"/>
  <c r="Q113" i="102"/>
  <c r="Q72" i="102"/>
  <c r="R72" i="102"/>
  <c r="AG82" i="102"/>
  <c r="AH70" i="102" s="1"/>
  <c r="AF82" i="102"/>
  <c r="Q82" i="102"/>
  <c r="AF69" i="102"/>
  <c r="Q69" i="102"/>
  <c r="AG69" i="102"/>
  <c r="AH57" i="102" s="1"/>
  <c r="R83" i="102"/>
  <c r="O95" i="102"/>
  <c r="Q83" i="102"/>
  <c r="O108" i="102"/>
  <c r="R96" i="102"/>
  <c r="Q96" i="102"/>
  <c r="R88" i="102"/>
  <c r="Q88" i="102"/>
  <c r="Q18" i="102"/>
  <c r="O30" i="102"/>
  <c r="R18" i="102"/>
  <c r="Q45" i="102"/>
  <c r="R35" i="102"/>
  <c r="Q35" i="102"/>
  <c r="O56" i="102"/>
  <c r="R44" i="102"/>
  <c r="Q44" i="102"/>
  <c r="Q8" i="102"/>
  <c r="R8" i="102"/>
  <c r="AG30" i="102"/>
  <c r="AH18" i="102" s="1"/>
  <c r="AF30" i="102"/>
  <c r="R6" i="102"/>
  <c r="Q6" i="102"/>
  <c r="R123" i="102"/>
  <c r="Q123" i="102"/>
  <c r="Q162" i="102"/>
  <c r="R162" i="102"/>
  <c r="R103" i="102"/>
  <c r="Q103" i="102"/>
  <c r="Q161" i="102"/>
  <c r="O173" i="102"/>
  <c r="R161" i="102"/>
  <c r="Q149" i="102"/>
  <c r="R149" i="102"/>
  <c r="R139" i="102"/>
  <c r="Q139" i="102"/>
  <c r="R125" i="102"/>
  <c r="Q125" i="102"/>
  <c r="R101" i="102"/>
  <c r="Q101" i="102"/>
  <c r="Q76" i="102"/>
  <c r="R76" i="102"/>
  <c r="AG160" i="102"/>
  <c r="AH148" i="102" s="1"/>
  <c r="AF160" i="102"/>
  <c r="AF134" i="102"/>
  <c r="AG134" i="102"/>
  <c r="AH122" i="102" s="1"/>
  <c r="R100" i="102"/>
  <c r="Q100" i="102"/>
  <c r="R86" i="102"/>
  <c r="Q86" i="102"/>
  <c r="R84" i="102"/>
  <c r="Q84" i="102"/>
  <c r="AG95" i="102"/>
  <c r="AH83" i="102" s="1"/>
  <c r="AF95" i="102"/>
  <c r="Q74" i="102"/>
  <c r="R74" i="102"/>
  <c r="Q34" i="102"/>
  <c r="R34" i="102"/>
  <c r="AG108" i="102"/>
  <c r="AH96" i="102" s="1"/>
  <c r="AF108" i="102"/>
  <c r="Q57" i="102"/>
  <c r="R23" i="102"/>
  <c r="Q23" i="102"/>
  <c r="R7" i="102"/>
  <c r="Q7" i="102"/>
  <c r="O17" i="102"/>
  <c r="R5" i="102"/>
  <c r="Q5" i="102"/>
  <c r="R22" i="102"/>
  <c r="Q22" i="102"/>
  <c r="Q134" i="102" l="1"/>
  <c r="R17" i="102"/>
  <c r="S5" i="102" s="1"/>
  <c r="Q17" i="102"/>
  <c r="E2" i="102"/>
  <c r="R30" i="102"/>
  <c r="S18" i="102" s="1"/>
  <c r="Q30" i="102"/>
  <c r="Q95" i="102"/>
  <c r="R95" i="102"/>
  <c r="S83" i="102" s="1"/>
  <c r="R147" i="102"/>
  <c r="S135" i="102" s="1"/>
  <c r="Q147" i="102"/>
  <c r="R121" i="102"/>
  <c r="S109" i="102" s="1"/>
  <c r="Q121" i="102"/>
  <c r="Q108" i="102"/>
  <c r="R108" i="102"/>
  <c r="S96" i="102" s="1"/>
  <c r="R173" i="102"/>
  <c r="S161" i="102" s="1"/>
  <c r="Q173" i="102"/>
  <c r="R56" i="102"/>
  <c r="S44" i="102" s="1"/>
  <c r="R160" i="102"/>
  <c r="S148" i="102" s="1"/>
  <c r="Q160" i="102"/>
  <c r="M32" i="101" l="1"/>
  <c r="L32" i="101"/>
  <c r="K32" i="101"/>
  <c r="J32" i="101"/>
  <c r="I32" i="101"/>
  <c r="H32" i="101"/>
  <c r="G32" i="101"/>
  <c r="F32" i="101"/>
  <c r="E32" i="101"/>
  <c r="D32" i="101"/>
  <c r="Q15" i="101"/>
  <c r="P15" i="101"/>
  <c r="O15" i="101"/>
  <c r="N15" i="101"/>
  <c r="M15" i="101"/>
  <c r="L15" i="101"/>
  <c r="K15" i="101"/>
  <c r="J15" i="101"/>
  <c r="I15" i="101"/>
  <c r="H15" i="101"/>
  <c r="G15" i="101"/>
  <c r="F15" i="101"/>
  <c r="E15" i="101"/>
  <c r="D15" i="101"/>
  <c r="L7" i="101"/>
  <c r="J7" i="101"/>
  <c r="H7" i="101"/>
  <c r="F7" i="101"/>
  <c r="O6" i="101"/>
  <c r="N6" i="101"/>
  <c r="L6" i="101"/>
  <c r="J6" i="101"/>
  <c r="H6" i="101"/>
  <c r="F6" i="101"/>
  <c r="H8" i="101" l="1"/>
  <c r="J8" i="101"/>
  <c r="L8" i="101"/>
  <c r="F8" i="101"/>
</calcChain>
</file>

<file path=xl/sharedStrings.xml><?xml version="1.0" encoding="utf-8"?>
<sst xmlns="http://schemas.openxmlformats.org/spreadsheetml/2006/main" count="4968" uniqueCount="661">
  <si>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</si>
  <si>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</si>
  <si>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</si>
  <si>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</si>
  <si>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</si>
  <si>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</si>
  <si>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</si>
  <si>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</si>
  <si>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</si>
  <si>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</si>
  <si>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合計次數</t>
    <phoneticPr fontId="7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</si>
  <si>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</si>
  <si>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</si>
  <si>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</si>
  <si>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</si>
  <si>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</si>
  <si>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4度一組</t>
    <phoneticPr fontId="3" type="noConversion"/>
  </si>
  <si>
    <t xml:space="preserve">
4度二組B
</t>
    <phoneticPr fontId="3" type="noConversion"/>
  </si>
  <si>
    <t xml:space="preserve">
4度二組C1
</t>
    <phoneticPr fontId="3" type="noConversion"/>
  </si>
  <si>
    <t xml:space="preserve">
4度三組
</t>
    <phoneticPr fontId="3" type="noConversion"/>
  </si>
  <si>
    <t xml:space="preserve">
4度四組
</t>
    <phoneticPr fontId="3" type="noConversion"/>
  </si>
  <si>
    <t xml:space="preserve">
4度五組
</t>
    <phoneticPr fontId="3" type="noConversion"/>
  </si>
  <si>
    <t xml:space="preserve">
綜合一組
</t>
    <phoneticPr fontId="3" type="noConversion"/>
  </si>
  <si>
    <t xml:space="preserve">
綜合二組
</t>
    <phoneticPr fontId="3" type="noConversion"/>
  </si>
  <si>
    <t xml:space="preserve">
綜合三組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</si>
  <si>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</si>
  <si>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</si>
  <si>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壽司線</t>
  </si>
  <si>
    <t>人時性</t>
    <phoneticPr fontId="7" type="noConversion"/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</si>
  <si>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</si>
  <si>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</si>
  <si>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</si>
  <si>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</si>
  <si>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</si>
  <si>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</si>
  <si>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</si>
  <si>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</si>
  <si>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</si>
  <si>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</si>
  <si>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</si>
  <si>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</si>
  <si>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</si>
  <si>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</si>
  <si>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</si>
  <si>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</si>
  <si>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</si>
  <si>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</si>
  <si>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</si>
  <si>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</si>
  <si>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</si>
  <si>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</si>
  <si>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</si>
  <si>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</si>
  <si>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</si>
  <si>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</si>
  <si>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</si>
  <si>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</si>
  <si>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</si>
  <si>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</si>
  <si>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</si>
  <si>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</si>
  <si>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</si>
  <si>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</si>
  <si>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</si>
  <si>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</si>
  <si>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</si>
  <si>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</si>
  <si>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時間/分</t>
    <phoneticPr fontId="4"/>
  </si>
  <si>
    <t>總次數</t>
    <phoneticPr fontId="4"/>
  </si>
  <si>
    <t>四度一組
(ET-600)</t>
    <phoneticPr fontId="7" type="noConversion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</si>
  <si>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</si>
  <si>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</si>
  <si>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</si>
  <si>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</si>
  <si>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</si>
  <si>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</si>
  <si>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</si>
  <si>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</si>
  <si>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</si>
  <si>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</si>
  <si>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</si>
  <si>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</si>
  <si>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</si>
  <si>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</si>
  <si>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四度二組
(烤飯糰/八爪機)</t>
    <phoneticPr fontId="7" type="noConversion"/>
  </si>
  <si>
    <t>優質池上飯</t>
  </si>
  <si>
    <t>媽媽煮藝-鹹酥雞</t>
  </si>
  <si>
    <t>糖燻豬耳絲</t>
  </si>
  <si>
    <t>燻之味-糖燻雞胗</t>
  </si>
  <si>
    <t>韓式蒜味炸雞</t>
  </si>
  <si>
    <t>四度三組
(ET-55)</t>
    <phoneticPr fontId="7" type="noConversion"/>
  </si>
  <si>
    <t>蕃茄起司手工千層麵(區2)</t>
  </si>
  <si>
    <t>嘉義劉里長雞肉飯</t>
  </si>
  <si>
    <t>好吃雞肉便當</t>
  </si>
  <si>
    <t>香腸腿排雙拼便當</t>
  </si>
  <si>
    <t>新招牌腿排便當</t>
  </si>
  <si>
    <t>二配蒙古風味烤肉飯</t>
  </si>
  <si>
    <t>二配起司控培根白醬焗烤飯</t>
  </si>
  <si>
    <t>淡麗清酒蒸蛤蜊烤飯糰</t>
  </si>
  <si>
    <t>糖燻野郎起司炙燒牛烤飯糰</t>
  </si>
  <si>
    <t>明太子奶油炸飯糰</t>
  </si>
  <si>
    <t>極上炙烤親子丼</t>
  </si>
  <si>
    <t>鐵板滑蛋炸豬排丼</t>
  </si>
  <si>
    <t>壹號醬雞豚雙拼</t>
  </si>
  <si>
    <t>好多蒜燒豚飯</t>
  </si>
  <si>
    <t>二配鮭魚蛋炒飯</t>
  </si>
  <si>
    <t>二配香拌海鮮醬肉絲蛋炒飯</t>
  </si>
  <si>
    <t>二配香辣醬蒜味香腸蛋炒飯</t>
  </si>
  <si>
    <t>二配粗飽系雞排炒飯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</si>
  <si>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</si>
  <si>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</si>
  <si>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</si>
  <si>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</si>
  <si>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</si>
  <si>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</si>
  <si>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二配濃蕃茄火腿蛋包飯</t>
  </si>
  <si>
    <t>二配港式香滑嫩蛋牛肉燴飯</t>
  </si>
  <si>
    <t>二配金咖哩濃厚辛口咖哩飯</t>
  </si>
  <si>
    <t>二配美味蟹煲</t>
  </si>
  <si>
    <t>二配金咖哩果香甘口咖哩飯</t>
  </si>
  <si>
    <t>二配泰式綠咖哩雞</t>
  </si>
  <si>
    <t>二配川味麻婆燒豆腐燴飯</t>
  </si>
  <si>
    <t>二配香炒沙茶豬肉飯</t>
  </si>
  <si>
    <t>二配厚香料咖哩雞排飯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</si>
  <si>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</si>
  <si>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</si>
  <si>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</si>
  <si>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</si>
  <si>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</si>
  <si>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</si>
  <si>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</si>
  <si>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</si>
  <si>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</si>
  <si>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</si>
  <si>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</si>
  <si>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</si>
  <si>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</si>
  <si>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</si>
  <si>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總生產量</t>
    <phoneticPr fontId="7" type="noConversion"/>
  </si>
  <si>
    <t>線別</t>
    <phoneticPr fontId="3" type="noConversion"/>
  </si>
  <si>
    <t>品名</t>
    <phoneticPr fontId="3" type="noConversion"/>
  </si>
  <si>
    <t>產能/時</t>
    <phoneticPr fontId="7" type="noConversion"/>
  </si>
  <si>
    <t>人數</t>
    <phoneticPr fontId="7" type="noConversion"/>
  </si>
  <si>
    <t>稼動時間/分</t>
    <phoneticPr fontId="7" type="noConversion"/>
  </si>
  <si>
    <t>休息時間</t>
    <phoneticPr fontId="7" type="noConversion"/>
  </si>
  <si>
    <t>平均</t>
    <phoneticPr fontId="7" type="noConversion"/>
  </si>
  <si>
    <t>生產實績</t>
    <phoneticPr fontId="7" type="noConversion"/>
  </si>
  <si>
    <t>多次生產數</t>
    <phoneticPr fontId="7" type="noConversion"/>
  </si>
  <si>
    <t>生產量</t>
    <phoneticPr fontId="7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</si>
  <si>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</si>
  <si>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</si>
  <si>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7" type="noConversion"/>
  </si>
  <si>
    <t>壽司線</t>
    <phoneticPr fontId="7" type="noConversion"/>
  </si>
  <si>
    <t>雙饗雙手卷(捲)</t>
    <phoneticPr fontId="7" type="noConversion"/>
  </si>
  <si>
    <t>海饌雙手卷(捲)</t>
    <phoneticPr fontId="7" type="noConversion"/>
  </si>
  <si>
    <t>兩粒飯糰(鮪魚.焦糖鮭魚)</t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</si>
  <si>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</si>
  <si>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</si>
  <si>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</si>
  <si>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</si>
  <si>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</si>
  <si>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</si>
  <si>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</si>
  <si>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</si>
  <si>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</si>
  <si>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</si>
  <si>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</si>
  <si>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</si>
  <si>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二配油蔥G絲飯糰</t>
  </si>
  <si>
    <t>二配三杯醬爆菇菇飯糰</t>
  </si>
  <si>
    <t>二配壹號醬炙烤牛飯糰</t>
  </si>
  <si>
    <t>二配鹽蔥燒肉飯糰</t>
  </si>
  <si>
    <t>二配大飯糰滷肉飯加蛋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</si>
  <si>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</si>
  <si>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</si>
  <si>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</si>
  <si>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</si>
  <si>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</si>
  <si>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 xml:space="preserve">晉欣廠18度C日報分析                              </t>
    <phoneticPr fontId="7" type="noConversion"/>
  </si>
  <si>
    <t>品類</t>
    <phoneticPr fontId="7" type="noConversion"/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</si>
  <si>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</si>
  <si>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</si>
  <si>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</si>
  <si>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</si>
  <si>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</si>
  <si>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</si>
  <si>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</si>
  <si>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</si>
  <si>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</si>
  <si>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</si>
  <si>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</si>
  <si>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</si>
  <si>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</si>
  <si>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</si>
  <si>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日報登錄</t>
    <phoneticPr fontId="7" type="noConversion"/>
  </si>
  <si>
    <t>多次
生產</t>
    <phoneticPr fontId="7" type="noConversion"/>
  </si>
  <si>
    <t>開始</t>
    <phoneticPr fontId="7" type="noConversion"/>
  </si>
  <si>
    <t>二配濃起司燻腸紅醬焗烤飯</t>
  </si>
  <si>
    <t>辣腐乳麻醬拌麵</t>
  </si>
  <si>
    <t>蟹味可樂餅風炸飯糰</t>
  </si>
  <si>
    <t>日式中濃醬炭火漢堡排飯</t>
  </si>
  <si>
    <t>二配鐵板豆腐燴蛋蓋飯</t>
  </si>
  <si>
    <t>出勤人數</t>
    <phoneticPr fontId="7" type="noConversion"/>
  </si>
  <si>
    <t>雙倍德腸飯卷</t>
    <phoneticPr fontId="3" type="noConversion"/>
  </si>
  <si>
    <t>明太子泡菜牛飯卷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</si>
  <si>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</si>
  <si>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</si>
  <si>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</si>
  <si>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</si>
  <si>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</si>
  <si>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</si>
  <si>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</si>
  <si>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</si>
  <si>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</si>
  <si>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</si>
  <si>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壹號醬炙烤牛飯糰</t>
    <phoneticPr fontId="3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</si>
  <si>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</si>
  <si>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</si>
  <si>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</si>
  <si>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3600型
飯糰機A</t>
    <phoneticPr fontId="7" type="noConversion"/>
  </si>
  <si>
    <t>3600型(B)
飯糰機</t>
    <phoneticPr fontId="7" type="noConversion"/>
  </si>
  <si>
    <t>雞肉飯飯糰</t>
    <phoneticPr fontId="3" type="noConversion"/>
  </si>
  <si>
    <t>鹽蔥燒肉飯糰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</si>
  <si>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</si>
  <si>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</si>
  <si>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</si>
  <si>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</si>
  <si>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</si>
  <si>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7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</si>
  <si>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</si>
  <si>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</si>
  <si>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</si>
  <si>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</si>
  <si>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</si>
  <si>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</si>
  <si>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日報登錄</t>
    <phoneticPr fontId="7" type="noConversion"/>
  </si>
  <si>
    <t>合計
次數</t>
    <phoneticPr fontId="7" type="noConversion"/>
  </si>
  <si>
    <t>合計
設備次數</t>
    <phoneticPr fontId="3" type="noConversion"/>
  </si>
  <si>
    <t>產能差異分析</t>
    <phoneticPr fontId="7" type="noConversion"/>
  </si>
  <si>
    <t>達成率</t>
    <phoneticPr fontId="7" type="noConversion"/>
  </si>
  <si>
    <t>達成率平均</t>
    <phoneticPr fontId="7" type="noConversion"/>
  </si>
  <si>
    <t>休息時間</t>
    <phoneticPr fontId="7" type="noConversion"/>
  </si>
  <si>
    <t>分析說明</t>
    <phoneticPr fontId="7" type="noConversion"/>
  </si>
  <si>
    <t>次數</t>
    <phoneticPr fontId="4"/>
  </si>
  <si>
    <t>設備因素(次數)</t>
    <phoneticPr fontId="4"/>
  </si>
  <si>
    <t>平均</t>
    <phoneticPr fontId="7" type="noConversion"/>
  </si>
  <si>
    <t xml:space="preserve">4度二組A
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</si>
  <si>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</si>
  <si>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</si>
  <si>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>四度五組
(ET-55)</t>
    <phoneticPr fontId="3" type="noConversion"/>
  </si>
  <si>
    <t>媽媽煮藝-香滷牛肚絲</t>
  </si>
  <si>
    <t>綜合一組
(ET-55)</t>
    <phoneticPr fontId="3" type="noConversion"/>
  </si>
  <si>
    <t>綜合二組
(ET-55)</t>
    <phoneticPr fontId="7" type="noConversion"/>
  </si>
  <si>
    <t>綜合三組
(ET-55)</t>
    <phoneticPr fontId="3" type="noConversion"/>
  </si>
  <si>
    <t>綜合四組</t>
    <phoneticPr fontId="3" type="noConversion"/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</si>
  <si>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</si>
  <si>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</si>
  <si>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</si>
  <si>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產線異常分析
說明(5分鐘以上)</t>
    <phoneticPr fontId="7" type="noConversion"/>
  </si>
  <si>
    <t>二配鮮蝦旬彩炊飯飯糰</t>
  </si>
  <si>
    <t>品名</t>
    <phoneticPr fontId="3" type="noConversion"/>
  </si>
  <si>
    <t>人數</t>
    <phoneticPr fontId="7" type="noConversion"/>
  </si>
  <si>
    <t>稼動時間/分</t>
    <phoneticPr fontId="7" type="noConversion"/>
  </si>
  <si>
    <t>開始</t>
    <phoneticPr fontId="7" type="noConversion"/>
  </si>
  <si>
    <t>合計
時間/分</t>
    <phoneticPr fontId="3" type="noConversion"/>
  </si>
  <si>
    <t>線別</t>
    <phoneticPr fontId="3" type="noConversion"/>
  </si>
  <si>
    <t>多次
生產</t>
    <phoneticPr fontId="7" type="noConversion"/>
  </si>
  <si>
    <t>產能/時</t>
    <phoneticPr fontId="7" type="noConversion"/>
  </si>
  <si>
    <t>產線異常統計
(5分鐘以上)</t>
    <phoneticPr fontId="4"/>
  </si>
  <si>
    <t>短暫停線統計
(5分鐘以下)</t>
    <phoneticPr fontId="4"/>
  </si>
  <si>
    <t>壹號醬壽喜燒牛丼</t>
  </si>
  <si>
    <t>四度二組A
熱麵
固定線
(ET-55)</t>
    <phoneticPr fontId="7" type="noConversion"/>
  </si>
  <si>
    <t>四度二組
(ET-55)</t>
    <phoneticPr fontId="3" type="noConversion"/>
  </si>
  <si>
    <t>四度二組
(烤飯糰/十爪機)</t>
    <phoneticPr fontId="3" type="noConversion"/>
  </si>
  <si>
    <t>麻油雞飯糰</t>
  </si>
  <si>
    <t>13.區域出貨，分段生產</t>
    <phoneticPr fontId="3" type="noConversion"/>
  </si>
  <si>
    <t>銀鮭美乃滋脆卷</t>
    <phoneticPr fontId="3" type="noConversion"/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</si>
  <si>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</si>
  <si>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</si>
  <si>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</si>
  <si>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</si>
  <si>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</si>
  <si>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</si>
  <si>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</si>
  <si>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</si>
  <si>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</si>
  <si>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</si>
  <si>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</si>
  <si>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</si>
  <si>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</si>
  <si>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</si>
  <si>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</si>
  <si>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</si>
  <si>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</si>
  <si>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</si>
  <si>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</si>
  <si>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</si>
  <si>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</si>
  <si>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</si>
  <si>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</si>
  <si>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</si>
  <si>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</si>
  <si>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</si>
  <si>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</si>
  <si>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</si>
  <si>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烤飯糰</t>
    <phoneticPr fontId="3" type="noConversion"/>
  </si>
  <si>
    <t>➂18度C 一配-各編組展開</t>
  </si>
  <si>
    <t>➃18度C 二配-各編組展開</t>
  </si>
  <si>
    <t>韓式泡菜豬肉豆腐丼飯</t>
  </si>
  <si>
    <t>二配溏心蛋五目飯糰</t>
  </si>
  <si>
    <t xml:space="preserve">03月31日  星期 二 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</si>
  <si>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</si>
  <si>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</si>
  <si>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</si>
  <si>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</si>
  <si>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</si>
  <si>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</si>
  <si>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</si>
  <si>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</si>
  <si>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</si>
  <si>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03月31日  星期 二 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</si>
  <si>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</si>
  <si>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</si>
  <si>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</si>
  <si>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</si>
  <si>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</si>
  <si>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</si>
  <si>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</si>
  <si>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</si>
  <si>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</si>
  <si>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</si>
  <si>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</si>
  <si>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</si>
  <si>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</si>
  <si>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</si>
  <si>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</si>
  <si>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</si>
  <si>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</si>
  <si>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</si>
  <si>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</si>
  <si>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</si>
  <si>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</si>
  <si>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</si>
  <si>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</si>
  <si>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</si>
  <si>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</si>
  <si>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</si>
  <si>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</si>
  <si>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</si>
  <si>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>媽媽煮藝-鹹酥雞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</si>
  <si>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</si>
  <si>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</si>
  <si>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</si>
  <si>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>媽媽煮藝-Q彈燕麥飯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</si>
  <si>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</si>
  <si>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</si>
  <si>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</si>
  <si>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</si>
  <si>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</si>
  <si>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>香檸奶油魚排蔬滿盒</t>
    <phoneticPr fontId="3" type="noConversion"/>
  </si>
  <si>
    <t>香檸奶油魚排蔬滿盒</t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</si>
  <si>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</si>
  <si>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</si>
  <si>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</si>
  <si>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</si>
  <si>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</si>
  <si>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</si>
  <si>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</si>
  <si>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</si>
  <si>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</si>
  <si>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</si>
  <si>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</si>
  <si>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</si>
  <si>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</si>
  <si>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</si>
  <si>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</si>
  <si>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</si>
  <si>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</si>
  <si>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</si>
  <si>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</si>
  <si>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</si>
  <si>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</si>
  <si>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03月31日  星期二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</si>
  <si>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</si>
  <si>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</si>
  <si>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</si>
  <si>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</si>
  <si>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</si>
  <si>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04月01日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</si>
  <si>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</si>
  <si>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</si>
  <si>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</si>
  <si>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</si>
  <si>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</si>
  <si>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</si>
  <si>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</si>
  <si>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</si>
  <si>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</si>
  <si>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</si>
  <si>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</si>
  <si>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</si>
  <si>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</si>
  <si>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</si>
  <si>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</si>
  <si>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雙饗雙手卷(捲)</t>
    <phoneticPr fontId="7" type="noConversion"/>
  </si>
  <si>
    <t>海饌雙手卷(捲)</t>
    <phoneticPr fontId="7" type="noConversion"/>
  </si>
  <si>
    <t>雙倍德腸飯卷</t>
    <phoneticPr fontId="3" type="noConversion"/>
  </si>
  <si>
    <t>明太子泡菜牛飯卷</t>
    <phoneticPr fontId="3" type="noConversion"/>
  </si>
  <si>
    <t>銀鮭美乃滋脆卷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</si>
  <si>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</si>
  <si>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</si>
  <si>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</si>
  <si>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</si>
  <si>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</si>
  <si>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</si>
  <si>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</si>
  <si>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</si>
  <si>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</si>
  <si>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</si>
  <si>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</si>
  <si>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</si>
  <si>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</si>
  <si>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</si>
  <si>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3600型
飯糰機A</t>
    <phoneticPr fontId="7" type="noConversion"/>
  </si>
  <si>
    <t>3600型(B)
飯糰機</t>
    <phoneticPr fontId="7" type="noConversion"/>
  </si>
  <si>
    <t>雞肉飯飯糰</t>
    <phoneticPr fontId="3" type="noConversion"/>
  </si>
  <si>
    <t>壹號醬炙烤牛飯糰</t>
    <phoneticPr fontId="3" type="noConversion"/>
  </si>
  <si>
    <t>鹽蔥燒肉飯糰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</si>
  <si>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</si>
  <si>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</si>
  <si>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</si>
  <si>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</si>
  <si>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</si>
  <si>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7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</si>
  <si>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</si>
  <si>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</si>
  <si>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</si>
  <si>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</si>
  <si>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04月02日  星期三</t>
    <phoneticPr fontId="7" type="noConversion"/>
  </si>
  <si>
    <t>04月03日  星期四</t>
    <phoneticPr fontId="7" type="noConversion"/>
  </si>
  <si>
    <t>04月04日  星期五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</si>
  <si>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</si>
  <si>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</si>
  <si>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</si>
  <si>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</si>
  <si>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</si>
  <si>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</si>
  <si>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</si>
  <si>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04月01日  星期 三  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</si>
  <si>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</si>
  <si>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</si>
  <si>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</si>
  <si>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</si>
  <si>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</si>
  <si>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</si>
  <si>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</si>
  <si>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</si>
  <si>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</si>
  <si>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</si>
  <si>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</si>
  <si>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</si>
  <si>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</si>
  <si>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</si>
  <si>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</si>
  <si>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</si>
  <si>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</si>
  <si>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</si>
  <si>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</si>
  <si>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</si>
  <si>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</si>
  <si>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</si>
  <si>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Q彈燕麥飯</t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</si>
  <si>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</si>
  <si>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</si>
  <si>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</si>
  <si>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</si>
  <si>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</si>
  <si>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</si>
  <si>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</si>
  <si>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</si>
  <si>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</si>
  <si>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</si>
  <si>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</si>
  <si>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</si>
  <si>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</si>
  <si>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</si>
  <si>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</si>
  <si>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</si>
  <si>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</si>
  <si>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</si>
  <si>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</si>
  <si>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</si>
  <si>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</si>
  <si>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</si>
  <si>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人時性差異分析</t>
    <phoneticPr fontId="7" type="noConversion"/>
  </si>
  <si>
    <t xml:space="preserve">04月02日  星期 四  </t>
    <phoneticPr fontId="7" type="noConversion"/>
  </si>
  <si>
    <t xml:space="preserve">04月03日  星期 五  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</si>
  <si>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</si>
  <si>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</si>
  <si>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</si>
  <si>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</si>
  <si>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</si>
  <si>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</si>
  <si>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炸醬炒泡麵</t>
  </si>
  <si>
    <t xml:space="preserve">
4度二組B
</t>
    <phoneticPr fontId="3" type="noConversion"/>
  </si>
  <si>
    <t>四度二組
(烤飯糰/八爪機)</t>
    <phoneticPr fontId="7" type="noConversion"/>
  </si>
  <si>
    <t xml:space="preserve">04月04日  星期 六  </t>
    <phoneticPr fontId="7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</si>
  <si>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</si>
  <si>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</si>
  <si>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</si>
  <si>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04月01日  星期 三  </t>
  </si>
  <si>
    <t xml:space="preserve">04月02日  星期 四  </t>
  </si>
  <si>
    <t xml:space="preserve">04月03日  星期 五  </t>
  </si>
  <si>
    <t xml:space="preserve">04月04日  星期 六  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</si>
  <si>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</si>
  <si>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</si>
  <si>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</si>
  <si>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</si>
  <si>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</si>
  <si>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04月05日  星期日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</si>
  <si>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</si>
  <si>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</si>
  <si>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</si>
  <si>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</si>
  <si>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</si>
  <si>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</si>
  <si>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</si>
  <si>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</si>
  <si>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</si>
  <si>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</si>
  <si>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</si>
  <si>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</si>
  <si>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</si>
  <si>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</si>
  <si>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</si>
  <si>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雙饗雙手卷(捲)</t>
    <phoneticPr fontId="7" type="noConversion"/>
  </si>
  <si>
    <t>海饌雙手卷(捲)</t>
    <phoneticPr fontId="7" type="noConversion"/>
  </si>
  <si>
    <t>雙倍德腸飯卷</t>
    <phoneticPr fontId="3" type="noConversion"/>
  </si>
  <si>
    <t>明太子泡菜牛飯卷</t>
    <phoneticPr fontId="3" type="noConversion"/>
  </si>
  <si>
    <t>銀鮭美乃滋脆卷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</si>
  <si>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</si>
  <si>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</si>
  <si>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</si>
  <si>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</si>
  <si>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</si>
  <si>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</si>
  <si>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</si>
  <si>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</si>
  <si>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</si>
  <si>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</si>
  <si>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</si>
  <si>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</si>
  <si>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</si>
  <si>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</si>
  <si>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</si>
  <si>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3600型
飯糰機A</t>
    <phoneticPr fontId="7" type="noConversion"/>
  </si>
  <si>
    <t>3600型(B)
飯糰機</t>
    <phoneticPr fontId="7" type="noConversion"/>
  </si>
  <si>
    <t>雞肉飯飯糰</t>
    <phoneticPr fontId="3" type="noConversion"/>
  </si>
  <si>
    <t>壹號醬炙烤牛飯糰</t>
    <phoneticPr fontId="3" type="noConversion"/>
  </si>
  <si>
    <t>鹽蔥燒肉飯糰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</si>
  <si>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</si>
  <si>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</si>
  <si>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</si>
  <si>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</si>
  <si>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</si>
  <si>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7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</si>
  <si>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</si>
  <si>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</si>
  <si>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</si>
  <si>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</si>
  <si>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</si>
  <si>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</si>
  <si>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</si>
  <si>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</si>
  <si>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</si>
  <si>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04月06日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</si>
  <si>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</si>
  <si>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</si>
  <si>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</si>
  <si>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</si>
  <si>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</si>
  <si>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</si>
  <si>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</si>
  <si>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</si>
  <si>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</si>
  <si>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</si>
  <si>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</si>
  <si>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</si>
  <si>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</si>
  <si>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</si>
  <si>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</si>
  <si>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雙饗雙手卷(捲)</t>
    <phoneticPr fontId="7" type="noConversion"/>
  </si>
  <si>
    <t>海饌雙手卷(捲)</t>
    <phoneticPr fontId="7" type="noConversion"/>
  </si>
  <si>
    <t>雙倍德腸飯卷</t>
    <phoneticPr fontId="3" type="noConversion"/>
  </si>
  <si>
    <t>明太子泡菜牛飯卷</t>
    <phoneticPr fontId="3" type="noConversion"/>
  </si>
  <si>
    <t>銀鮭美乃滋脆卷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</si>
  <si>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</si>
  <si>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</si>
  <si>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</si>
  <si>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</si>
  <si>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</si>
  <si>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</si>
  <si>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7" type="noConversion"/>
  </si>
  <si>
    <t>二配大飯糰乾燒風味鮮蝦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</si>
  <si>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</si>
  <si>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</si>
  <si>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</si>
  <si>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</si>
  <si>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</si>
  <si>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</si>
  <si>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</si>
  <si>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04月05日  星期 日  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</si>
  <si>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</si>
  <si>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</si>
  <si>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</si>
  <si>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</si>
  <si>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</si>
  <si>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</si>
  <si>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</si>
  <si>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</si>
  <si>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</si>
  <si>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</si>
  <si>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</si>
  <si>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</si>
  <si>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</si>
  <si>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</si>
  <si>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</si>
  <si>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</si>
  <si>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</si>
  <si>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</si>
  <si>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</si>
  <si>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</si>
  <si>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</si>
  <si>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</si>
  <si>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</si>
  <si>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</si>
  <si>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</si>
  <si>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</si>
  <si>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</si>
  <si>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</si>
  <si>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</si>
  <si>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</si>
  <si>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</si>
  <si>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</si>
  <si>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</si>
  <si>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</si>
  <si>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</si>
  <si>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</si>
  <si>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</si>
  <si>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</si>
  <si>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</si>
  <si>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</si>
  <si>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</si>
  <si>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</si>
  <si>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</si>
  <si>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</si>
  <si>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</si>
  <si>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</si>
  <si>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04月06日  星期 一  </t>
    <phoneticPr fontId="7" type="noConversion"/>
  </si>
  <si>
    <t xml:space="preserve">04月05日  星期 日  </t>
  </si>
  <si>
    <t xml:space="preserve">04月06日  星期 一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</si>
</sst>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722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14" borderId="55" xfId="160" applyFont="1" applyFill="1" applyBorder="1" applyAlignment="1"/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" fontId="30" fillId="4" borderId="7" xfId="197" applyNumberFormat="1" applyFont="1" applyFill="1" applyBorder="1" applyAlignment="1">
      <alignment horizontal="center" vertical="center"/>
    </xf>
    <xf numFmtId="1" fontId="30" fillId="0" borderId="7" xfId="197" applyNumberFormat="1" applyFont="1" applyBorder="1" applyAlignment="1">
      <alignment horizontal="center" vertic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" fontId="30" fillId="4" borderId="41" xfId="4" applyNumberFormat="1" applyFont="1" applyFill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 applyAlignment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NumberFormat="1" applyFont="1" applyFill="1" applyBorder="1" applyAlignment="1">
      <alignment horizontal="center" vertical="center" wrapText="1"/>
    </xf>
    <xf numFmtId="0" fontId="4" fillId="8" borderId="18" xfId="1" applyNumberFormat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1" xfId="1" applyNumberFormat="1" applyFont="1" applyBorder="1" applyAlignment="1">
      <alignment horizontal="center" vertical="center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5" borderId="34" xfId="97" applyFont="1" applyFill="1" applyBorder="1" applyAlignment="1"/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15" borderId="32" xfId="97" applyFont="1" applyFill="1" applyBorder="1" applyAlignment="1"/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228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-server\&amp;&amp;&#20419;&#37559;&#30456;&#38364;&#36039;&#26009;&amp;&amp;\&#9733;&#27599;&#36913;&#29983;&#29986;&#25490;&#31243;\&#32102;JAPAN&#30340;&#24037;&#20316;&#26085;&#22577;&#34920;\&#12304;&#29983;&#29986;&#22238;&#32102;&#39135;&#30740;&#25152;&#12305;&#26185;&#27427;&#26085;&#22577;&#34920;&#25976;&#20540;&#20998;&#26512;\115&#24180;03&#26376;\4&#24230;\&#26185;&#27427;&#22235;&#24230;&#24037;&#20316;&#26085;&#22577;&#34920;115%2003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301"/>
      <sheetName val="晉欣4度C0302"/>
      <sheetName val="晉欣4度C0303"/>
      <sheetName val="晉欣4度C0304"/>
      <sheetName val="晉欣4度C0305"/>
      <sheetName val="晉欣4度C0306"/>
      <sheetName val="晉欣4度C0307"/>
      <sheetName val="晉欣4度C0308"/>
      <sheetName val="晉欣4度C0309"/>
      <sheetName val="晉欣4度C0310"/>
      <sheetName val="晉欣4度C0311"/>
      <sheetName val="晉欣4度C0312"/>
      <sheetName val="晉欣4度C0313"/>
      <sheetName val="晉欣4度C0314"/>
      <sheetName val="晉欣4度C0315"/>
      <sheetName val="晉欣4度C0316"/>
      <sheetName val="工作表4"/>
      <sheetName val="晉欣4度C0317"/>
      <sheetName val="晉欣4度C0318"/>
      <sheetName val="晉欣4度C0319"/>
      <sheetName val="晉欣4度C0320"/>
      <sheetName val="晉欣4度C0321"/>
      <sheetName val="晉欣4度C0322"/>
      <sheetName val="晉欣4度C0323"/>
      <sheetName val="晉欣4度C0324"/>
      <sheetName val="晉欣4度C0325"/>
      <sheetName val="晉欣4度C0326"/>
      <sheetName val="晉欣4度C0327"/>
      <sheetName val="晉欣4度C0328"/>
      <sheetName val="晉欣4度C0329"/>
      <sheetName val="晉欣4度C03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Z2">
            <v>0</v>
          </cell>
          <cell r="AA2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P32" sqref="P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310</v>
      </c>
      <c r="E3" s="581"/>
      <c r="F3" s="570" t="s">
        <v>2</v>
      </c>
      <c r="G3" s="531"/>
      <c r="H3" s="582">
        <v>260891.4</v>
      </c>
      <c r="I3" s="583"/>
      <c r="J3" s="570" t="s">
        <v>3</v>
      </c>
      <c r="K3" s="531"/>
      <c r="L3" s="575">
        <v>8383382.8540005311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386.82511016012126</v>
      </c>
      <c r="G6" s="572"/>
      <c r="H6" s="550">
        <f>AVERAGE(D13:P13,Q13)</f>
        <v>145.72517310876208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f>[1]晉欣4度C0324!$Z$2</f>
        <v>0</v>
      </c>
      <c r="O6" s="539">
        <f>[1]晉欣4度C0324!$AA$2</f>
        <v>0</v>
      </c>
      <c r="P6" s="555">
        <v>4</v>
      </c>
      <c r="Q6" s="539">
        <v>3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349.19635740662915</v>
      </c>
      <c r="G7" s="543"/>
      <c r="H7" s="544">
        <f>AVERAGE(D14:P14,Q14)</f>
        <v>130.57841150915141</v>
      </c>
      <c r="I7" s="545"/>
      <c r="J7" s="544">
        <f>AVERAGE(D31:E31,G31:H31)</f>
        <v>720.39209221440387</v>
      </c>
      <c r="K7" s="545"/>
      <c r="L7" s="546">
        <f>AVERAGE(J31:M31)</f>
        <v>743.16343324002673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0.89258027054926425</v>
      </c>
      <c r="G8" s="549"/>
      <c r="H8" s="548">
        <f>AVERAGE(D15:O15,P15:Q15)</f>
        <v>0.8992310275199491</v>
      </c>
      <c r="I8" s="549"/>
      <c r="J8" s="548">
        <f>AVERAGE(D32:E32,G32:H32)</f>
        <v>0.95427064392913519</v>
      </c>
      <c r="K8" s="549"/>
      <c r="L8" s="548">
        <f>AVERAGE(J32:M32)</f>
        <v>0.84040886521619129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126.55806182121974</v>
      </c>
      <c r="E13" s="19">
        <v>114.93927015250546</v>
      </c>
      <c r="F13" s="19">
        <v>159.31333333333333</v>
      </c>
      <c r="G13" s="19">
        <v>392.85714285714283</v>
      </c>
      <c r="H13" s="19">
        <v>223.21428571428572</v>
      </c>
      <c r="I13" s="19">
        <v>88.487998708255219</v>
      </c>
      <c r="J13" s="19">
        <v>76.174463937621837</v>
      </c>
      <c r="K13" s="19">
        <v>103.33228291316527</v>
      </c>
      <c r="L13" s="19">
        <v>160.43800125313282</v>
      </c>
      <c r="M13" s="19">
        <v>86.784086441594184</v>
      </c>
      <c r="N13" s="19">
        <v>86.762207679124288</v>
      </c>
      <c r="O13" s="19">
        <v>92.438095238095229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113.60309770272589</v>
      </c>
      <c r="E14" s="19">
        <v>106.77364613281078</v>
      </c>
      <c r="F14" s="19">
        <v>136.26862423350923</v>
      </c>
      <c r="G14" s="19">
        <v>333.31822190271691</v>
      </c>
      <c r="H14" s="19">
        <v>208.86507890790938</v>
      </c>
      <c r="I14" s="19">
        <v>75.70760288425609</v>
      </c>
      <c r="J14" s="19">
        <v>69.466951549509574</v>
      </c>
      <c r="K14" s="19">
        <v>92.338131446580363</v>
      </c>
      <c r="L14" s="19">
        <v>145.80200183981918</v>
      </c>
      <c r="M14" s="19">
        <v>78.393833078988095</v>
      </c>
      <c r="N14" s="19">
        <v>80.300148471539643</v>
      </c>
      <c r="O14" s="19">
        <v>78.496963345119099</v>
      </c>
      <c r="P14" s="19">
        <v>170.3515755805148</v>
      </c>
      <c r="Q14" s="9">
        <v>138.41188405212057</v>
      </c>
    </row>
    <row r="15" spans="2:17" ht="39.9" customHeight="1">
      <c r="B15" s="524"/>
      <c r="C15" s="379" t="s">
        <v>295</v>
      </c>
      <c r="D15" s="10">
        <f t="shared" ref="D15:Q15" si="0">D14/D13</f>
        <v>0.89763620008028822</v>
      </c>
      <c r="E15" s="10">
        <f t="shared" si="0"/>
        <v>0.92895705698443853</v>
      </c>
      <c r="F15" s="10">
        <f t="shared" si="0"/>
        <v>0.85534977758824893</v>
      </c>
      <c r="G15" s="10">
        <f t="shared" si="0"/>
        <v>0.84844638302509767</v>
      </c>
      <c r="H15" s="10">
        <f t="shared" si="0"/>
        <v>0.93571555350743396</v>
      </c>
      <c r="I15" s="10">
        <f t="shared" si="0"/>
        <v>0.85556916180084408</v>
      </c>
      <c r="J15" s="10">
        <f t="shared" si="0"/>
        <v>0.91194539427799648</v>
      </c>
      <c r="K15" s="10">
        <f t="shared" si="0"/>
        <v>0.89360390425300307</v>
      </c>
      <c r="L15" s="10">
        <f t="shared" si="0"/>
        <v>0.90877473354818517</v>
      </c>
      <c r="M15" s="10">
        <f t="shared" si="0"/>
        <v>0.90332037005133725</v>
      </c>
      <c r="N15" s="10">
        <f t="shared" si="0"/>
        <v>0.9255198849770685</v>
      </c>
      <c r="O15" s="10">
        <f t="shared" si="0"/>
        <v>0.84918412850170066</v>
      </c>
      <c r="P15" s="381">
        <f t="shared" si="0"/>
        <v>0.95246594300284115</v>
      </c>
      <c r="Q15" s="11">
        <f t="shared" si="0"/>
        <v>0.92274589368080384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0.76527777777777783</v>
      </c>
      <c r="E17" s="12">
        <v>0.60624999999999996</v>
      </c>
      <c r="F17" s="12">
        <v>0.56111111111111112</v>
      </c>
      <c r="G17" s="12">
        <v>0.80208333333333326</v>
      </c>
      <c r="H17" s="12">
        <v>0.73958333333333326</v>
      </c>
      <c r="I17" s="12">
        <v>0.78888888888888908</v>
      </c>
      <c r="J17" s="12">
        <v>0.80694444444444424</v>
      </c>
      <c r="K17" s="12">
        <v>0.75833333333333319</v>
      </c>
      <c r="L17" s="12">
        <v>0.89374999999999993</v>
      </c>
      <c r="M17" s="12">
        <v>0.99374999999999991</v>
      </c>
      <c r="N17" s="12">
        <v>0.96805555555555567</v>
      </c>
      <c r="O17" s="22">
        <v>0.85486111111111107</v>
      </c>
      <c r="P17" s="12">
        <v>0.5756944444444444</v>
      </c>
      <c r="Q17" s="382">
        <v>0.58124999999999993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>
        <v>1</v>
      </c>
      <c r="E20" s="384" t="s">
        <v>30</v>
      </c>
      <c r="F20" s="384" t="s">
        <v>30</v>
      </c>
      <c r="G20" s="384">
        <v>1</v>
      </c>
      <c r="H20" s="384" t="s">
        <v>30</v>
      </c>
      <c r="I20" s="384" t="s">
        <v>30</v>
      </c>
      <c r="J20" s="384" t="s">
        <v>30</v>
      </c>
      <c r="K20" s="384" t="s">
        <v>30</v>
      </c>
      <c r="L20" s="384">
        <v>1</v>
      </c>
      <c r="M20" s="384" t="s">
        <v>30</v>
      </c>
      <c r="N20" s="384">
        <v>1</v>
      </c>
      <c r="O20" s="384" t="s">
        <v>30</v>
      </c>
      <c r="P20" s="384" t="s">
        <v>30</v>
      </c>
      <c r="Q20" s="385"/>
    </row>
    <row r="21" spans="2:17" ht="22.8" customHeight="1">
      <c r="B21" s="530"/>
      <c r="C21" s="383" t="s">
        <v>300</v>
      </c>
      <c r="D21" s="384" t="s">
        <v>30</v>
      </c>
      <c r="E21" s="384">
        <v>2</v>
      </c>
      <c r="F21" s="384" t="s">
        <v>30</v>
      </c>
      <c r="G21" s="384" t="s">
        <v>30</v>
      </c>
      <c r="H21" s="384" t="s">
        <v>30</v>
      </c>
      <c r="I21" s="384" t="s">
        <v>30</v>
      </c>
      <c r="J21" s="384" t="s">
        <v>30</v>
      </c>
      <c r="K21" s="384" t="s">
        <v>30</v>
      </c>
      <c r="L21" s="384" t="s">
        <v>30</v>
      </c>
      <c r="M21" s="384">
        <v>1</v>
      </c>
      <c r="N21" s="384" t="s">
        <v>30</v>
      </c>
      <c r="O21" s="384" t="s">
        <v>30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19.714285714285715</v>
      </c>
      <c r="E22" s="386">
        <v>17.5</v>
      </c>
      <c r="F22" s="386">
        <v>14</v>
      </c>
      <c r="G22" s="386">
        <v>5.8</v>
      </c>
      <c r="H22" s="386">
        <v>7</v>
      </c>
      <c r="I22" s="386">
        <v>17</v>
      </c>
      <c r="J22" s="386">
        <v>18.666666666666668</v>
      </c>
      <c r="K22" s="386">
        <v>17.125</v>
      </c>
      <c r="L22" s="386">
        <v>15.5</v>
      </c>
      <c r="M22" s="386">
        <v>18.5</v>
      </c>
      <c r="N22" s="386">
        <v>17.375</v>
      </c>
      <c r="O22" s="386">
        <v>16.2</v>
      </c>
      <c r="P22" s="386">
        <v>13</v>
      </c>
      <c r="Q22" s="387">
        <v>11.2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305</v>
      </c>
      <c r="H25" s="17" t="s">
        <v>305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389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394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266.8105263157895</v>
      </c>
      <c r="E31" s="8">
        <v>772.33057373892927</v>
      </c>
      <c r="F31" s="8">
        <v>0</v>
      </c>
      <c r="G31" s="8">
        <v>899.60013199142008</v>
      </c>
      <c r="H31" s="397">
        <v>942.82713681147686</v>
      </c>
      <c r="I31" s="396">
        <v>0</v>
      </c>
      <c r="J31" s="8">
        <v>581.00000000000205</v>
      </c>
      <c r="K31" s="8">
        <v>590.09999999999877</v>
      </c>
      <c r="L31" s="8">
        <v>880.1636666666667</v>
      </c>
      <c r="M31" s="397">
        <v>921.3900662934393</v>
      </c>
      <c r="N31" s="378"/>
      <c r="O31" s="378"/>
      <c r="P31" s="378"/>
      <c r="Q31" s="378"/>
    </row>
    <row r="32" spans="2:17" ht="39.9" customHeight="1">
      <c r="B32" s="524"/>
      <c r="C32" s="398" t="s">
        <v>295</v>
      </c>
      <c r="D32" s="399">
        <f t="shared" ref="D32:M32" si="1">D31/D30</f>
        <v>0.8337828947368422</v>
      </c>
      <c r="E32" s="10">
        <f t="shared" si="1"/>
        <v>0.9361582711987021</v>
      </c>
      <c r="F32" s="10">
        <f t="shared" si="1"/>
        <v>0</v>
      </c>
      <c r="G32" s="10">
        <f t="shared" si="1"/>
        <v>0.99955570221268897</v>
      </c>
      <c r="H32" s="10">
        <f t="shared" si="1"/>
        <v>1.0475857075683077</v>
      </c>
      <c r="I32" s="396">
        <f t="shared" si="1"/>
        <v>0</v>
      </c>
      <c r="J32" s="10">
        <f t="shared" si="1"/>
        <v>0.70424242424242667</v>
      </c>
      <c r="K32" s="10">
        <f t="shared" si="1"/>
        <v>0.65566666666666529</v>
      </c>
      <c r="L32" s="10">
        <f t="shared" si="1"/>
        <v>0.97795962962962968</v>
      </c>
      <c r="M32" s="11">
        <f t="shared" si="1"/>
        <v>1.0237667403260438</v>
      </c>
      <c r="N32" s="378"/>
      <c r="O32" s="378"/>
      <c r="P32" s="378"/>
      <c r="Q32" s="378"/>
    </row>
    <row r="33" spans="2:17" ht="25.8" customHeight="1">
      <c r="B33" s="525" t="s">
        <v>296</v>
      </c>
      <c r="C33" s="398" t="s">
        <v>297</v>
      </c>
      <c r="D33" s="400">
        <v>0.18055555555555555</v>
      </c>
      <c r="E33" s="12">
        <v>0.18055555555555555</v>
      </c>
      <c r="F33" s="12">
        <v>0</v>
      </c>
      <c r="G33" s="12">
        <v>3137.9999999999941</v>
      </c>
      <c r="H33" s="382">
        <v>0.18055555555555555</v>
      </c>
      <c r="I33" s="400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398" t="s">
        <v>51</v>
      </c>
      <c r="D34" s="400">
        <v>0.22847222222222222</v>
      </c>
      <c r="E34" s="12">
        <v>0.3263888888888889</v>
      </c>
      <c r="F34" s="12">
        <v>0</v>
      </c>
      <c r="G34" s="12">
        <v>1070.689655172413</v>
      </c>
      <c r="H34" s="382">
        <v>0.42638888888888887</v>
      </c>
      <c r="I34" s="23">
        <v>0</v>
      </c>
      <c r="J34" s="12">
        <v>0.73263888888888884</v>
      </c>
      <c r="K34" s="12">
        <v>0.82291666666666663</v>
      </c>
      <c r="L34" s="12">
        <v>46113.118055555555</v>
      </c>
      <c r="M34" s="13">
        <v>1.0256944444444445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4</v>
      </c>
      <c r="K35" s="402">
        <v>3.6666666666666665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2819" priority="4" operator="lessThan">
      <formula>0.8</formula>
    </cfRule>
  </conditionalFormatting>
  <conditionalFormatting sqref="J32:L32">
    <cfRule type="cellIs" dxfId="22818" priority="3" operator="lessThan">
      <formula>0.8</formula>
    </cfRule>
  </conditionalFormatting>
  <conditionalFormatting sqref="M32">
    <cfRule type="cellIs" dxfId="22817" priority="2" operator="lessThan">
      <formula>0.8</formula>
    </cfRule>
  </conditionalFormatting>
  <conditionalFormatting sqref="H32">
    <cfRule type="cellIs" dxfId="228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O9" sqref="O9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178</v>
      </c>
      <c r="B1" s="281"/>
      <c r="C1" s="282"/>
      <c r="D1" s="283" t="s">
        <v>138</v>
      </c>
      <c r="E1" s="284">
        <f>SUM(G5:G124)</f>
        <v>80487</v>
      </c>
      <c r="F1" s="285" t="s">
        <v>3</v>
      </c>
      <c r="G1" s="286">
        <f>SUM(H5:H124)</f>
        <v>1497428.9244805193</v>
      </c>
      <c r="H1" s="287" t="s">
        <v>202</v>
      </c>
      <c r="I1" s="288">
        <f>+J16+J64+J24+J38+J51+J81+J100+J91+J57+J124+J111</f>
        <v>38.533333333333331</v>
      </c>
      <c r="J1" s="584" t="s">
        <v>146</v>
      </c>
      <c r="K1" s="585"/>
      <c r="L1" s="586"/>
      <c r="M1" s="584" t="s">
        <v>194</v>
      </c>
      <c r="N1" s="585"/>
      <c r="O1" s="585"/>
      <c r="P1" s="585"/>
      <c r="Q1" s="585"/>
      <c r="R1" s="586"/>
    </row>
    <row r="2" spans="1:18" ht="26.25" customHeight="1" thickBot="1">
      <c r="A2" s="590" t="s">
        <v>382</v>
      </c>
      <c r="B2" s="591"/>
      <c r="C2" s="290"/>
      <c r="D2" s="412" t="s">
        <v>28</v>
      </c>
      <c r="E2" s="291">
        <f>AVERAGE(L16,L24,L38,L51,L100,L111,L91)</f>
        <v>538.13610846225117</v>
      </c>
      <c r="F2" s="292" t="s">
        <v>55</v>
      </c>
      <c r="G2" s="293">
        <f>G1/E1</f>
        <v>18.604606016878741</v>
      </c>
      <c r="H2" s="294" t="s">
        <v>147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139</v>
      </c>
      <c r="B3" s="594" t="s">
        <v>179</v>
      </c>
      <c r="C3" s="414"/>
      <c r="D3" s="595" t="s">
        <v>140</v>
      </c>
      <c r="E3" s="595"/>
      <c r="F3" s="596" t="s">
        <v>58</v>
      </c>
      <c r="G3" s="597" t="s">
        <v>148</v>
      </c>
      <c r="H3" s="598" t="s">
        <v>149</v>
      </c>
      <c r="I3" s="599" t="s">
        <v>195</v>
      </c>
      <c r="J3" s="601" t="s">
        <v>142</v>
      </c>
      <c r="K3" s="603" t="s">
        <v>141</v>
      </c>
      <c r="L3" s="605" t="s">
        <v>28</v>
      </c>
      <c r="M3" s="607" t="s">
        <v>63</v>
      </c>
      <c r="N3" s="607"/>
      <c r="O3" s="601" t="s">
        <v>150</v>
      </c>
      <c r="P3" s="608" t="s">
        <v>143</v>
      </c>
      <c r="Q3" s="601" t="s">
        <v>144</v>
      </c>
      <c r="R3" s="601"/>
    </row>
    <row r="4" spans="1:18" ht="15.75" customHeight="1">
      <c r="A4" s="593"/>
      <c r="B4" s="594"/>
      <c r="C4" s="414"/>
      <c r="D4" s="595"/>
      <c r="E4" s="595"/>
      <c r="F4" s="596"/>
      <c r="G4" s="597"/>
      <c r="H4" s="598"/>
      <c r="I4" s="600"/>
      <c r="J4" s="602"/>
      <c r="K4" s="604"/>
      <c r="L4" s="606"/>
      <c r="M4" s="418" t="s">
        <v>65</v>
      </c>
      <c r="N4" s="418" t="s">
        <v>66</v>
      </c>
      <c r="O4" s="602"/>
      <c r="P4" s="609"/>
      <c r="Q4" s="296" t="s">
        <v>196</v>
      </c>
      <c r="R4" s="296" t="s">
        <v>151</v>
      </c>
    </row>
    <row r="5" spans="1:18">
      <c r="A5" s="610" t="s">
        <v>152</v>
      </c>
      <c r="B5" s="297">
        <v>0</v>
      </c>
      <c r="C5" s="297"/>
      <c r="D5" s="298" t="s">
        <v>153</v>
      </c>
      <c r="E5" s="298"/>
      <c r="F5" s="299" t="s">
        <v>186</v>
      </c>
      <c r="G5" s="414">
        <v>1258</v>
      </c>
      <c r="H5" s="300">
        <f t="shared" ref="H5:H15" si="0">F5*G5</f>
        <v>0</v>
      </c>
      <c r="I5" s="416"/>
      <c r="J5" s="301">
        <v>9</v>
      </c>
      <c r="K5" s="302">
        <f t="shared" ref="K5:K14" si="1">G5/P5*60</f>
        <v>1509.6000000000004</v>
      </c>
      <c r="L5" s="303">
        <f t="shared" ref="L5:L14" si="2">K5/J5</f>
        <v>167.73333333333338</v>
      </c>
      <c r="M5" s="304">
        <v>0.17361111111111113</v>
      </c>
      <c r="N5" s="304">
        <v>0.20833333333333334</v>
      </c>
      <c r="O5" s="296">
        <v>10</v>
      </c>
      <c r="P5" s="419">
        <f t="shared" ref="P5:P14" si="3">(N5-M5)*24*60</f>
        <v>49.999999999999986</v>
      </c>
      <c r="Q5" s="305"/>
      <c r="R5" s="305"/>
    </row>
    <row r="6" spans="1:18">
      <c r="A6" s="610"/>
      <c r="B6" s="297">
        <v>0</v>
      </c>
      <c r="C6" s="297"/>
      <c r="D6" s="298" t="s">
        <v>154</v>
      </c>
      <c r="E6" s="298"/>
      <c r="F6" s="299" t="s">
        <v>186</v>
      </c>
      <c r="G6" s="414">
        <v>1315</v>
      </c>
      <c r="H6" s="300">
        <f t="shared" si="0"/>
        <v>0</v>
      </c>
      <c r="I6" s="416"/>
      <c r="J6" s="301">
        <v>9</v>
      </c>
      <c r="K6" s="302">
        <f t="shared" si="1"/>
        <v>1577.9999999999993</v>
      </c>
      <c r="L6" s="303">
        <f t="shared" si="2"/>
        <v>175.33333333333326</v>
      </c>
      <c r="M6" s="304">
        <v>0.21180555555555555</v>
      </c>
      <c r="N6" s="304">
        <v>0.24652777777777779</v>
      </c>
      <c r="O6" s="296">
        <v>5</v>
      </c>
      <c r="P6" s="419">
        <f t="shared" si="3"/>
        <v>50.000000000000021</v>
      </c>
      <c r="Q6" s="296"/>
      <c r="R6" s="296"/>
    </row>
    <row r="7" spans="1:18">
      <c r="A7" s="610"/>
      <c r="B7" s="297" t="s">
        <v>187</v>
      </c>
      <c r="C7" s="297"/>
      <c r="D7" s="298" t="s">
        <v>203</v>
      </c>
      <c r="E7" s="298"/>
      <c r="F7" s="299">
        <v>36.450000000000003</v>
      </c>
      <c r="G7" s="414">
        <v>1581</v>
      </c>
      <c r="H7" s="300">
        <f t="shared" si="0"/>
        <v>57627.450000000004</v>
      </c>
      <c r="I7" s="416"/>
      <c r="J7" s="301">
        <v>11</v>
      </c>
      <c r="K7" s="302">
        <f t="shared" si="1"/>
        <v>1459.384615384615</v>
      </c>
      <c r="L7" s="303">
        <f t="shared" si="2"/>
        <v>132.67132867132864</v>
      </c>
      <c r="M7" s="304">
        <v>0.25</v>
      </c>
      <c r="N7" s="304">
        <v>0.2951388888888889</v>
      </c>
      <c r="O7" s="296">
        <v>5</v>
      </c>
      <c r="P7" s="419">
        <f t="shared" si="3"/>
        <v>65.000000000000014</v>
      </c>
      <c r="Q7" s="305"/>
      <c r="R7" s="305"/>
    </row>
    <row r="8" spans="1:18">
      <c r="A8" s="610"/>
      <c r="B8" s="297" t="s">
        <v>187</v>
      </c>
      <c r="C8" s="297"/>
      <c r="D8" s="298" t="s">
        <v>204</v>
      </c>
      <c r="E8" s="298"/>
      <c r="F8" s="299">
        <v>27.05</v>
      </c>
      <c r="G8" s="414">
        <v>415</v>
      </c>
      <c r="H8" s="300">
        <f t="shared" si="0"/>
        <v>11225.75</v>
      </c>
      <c r="I8" s="416"/>
      <c r="J8" s="301">
        <v>13</v>
      </c>
      <c r="K8" s="302">
        <f t="shared" si="1"/>
        <v>1383.3333333333321</v>
      </c>
      <c r="L8" s="303">
        <f t="shared" si="2"/>
        <v>106.41025641025632</v>
      </c>
      <c r="M8" s="304">
        <v>0.2986111111111111</v>
      </c>
      <c r="N8" s="304">
        <v>0.31111111111111112</v>
      </c>
      <c r="O8" s="296">
        <v>5</v>
      </c>
      <c r="P8" s="419">
        <f t="shared" si="3"/>
        <v>18.000000000000014</v>
      </c>
      <c r="Q8" s="305">
        <v>0.31805555555555554</v>
      </c>
      <c r="R8" s="305">
        <v>0.34930555555555554</v>
      </c>
    </row>
    <row r="9" spans="1:18">
      <c r="A9" s="610"/>
      <c r="B9" s="297" t="s">
        <v>187</v>
      </c>
      <c r="C9" s="297"/>
      <c r="D9" s="298" t="s">
        <v>276</v>
      </c>
      <c r="E9" s="298"/>
      <c r="F9" s="299">
        <v>19.7</v>
      </c>
      <c r="G9" s="306">
        <v>1846</v>
      </c>
      <c r="H9" s="300">
        <f t="shared" si="0"/>
        <v>36366.199999999997</v>
      </c>
      <c r="I9" s="416"/>
      <c r="J9" s="301">
        <v>13</v>
      </c>
      <c r="K9" s="302">
        <f t="shared" si="1"/>
        <v>1165.8947368421054</v>
      </c>
      <c r="L9" s="303">
        <f t="shared" si="2"/>
        <v>89.684210526315809</v>
      </c>
      <c r="M9" s="304">
        <v>0.3527777777777778</v>
      </c>
      <c r="N9" s="304">
        <v>0.41875000000000001</v>
      </c>
      <c r="O9" s="296">
        <v>5</v>
      </c>
      <c r="P9" s="419">
        <f t="shared" si="3"/>
        <v>94.999999999999986</v>
      </c>
      <c r="Q9" s="305"/>
      <c r="R9" s="305"/>
    </row>
    <row r="10" spans="1:18">
      <c r="A10" s="610"/>
      <c r="B10" s="297" t="s">
        <v>187</v>
      </c>
      <c r="C10" s="297"/>
      <c r="D10" s="298" t="s">
        <v>205</v>
      </c>
      <c r="E10" s="298"/>
      <c r="F10" s="299">
        <v>17.87</v>
      </c>
      <c r="G10" s="306">
        <v>831</v>
      </c>
      <c r="H10" s="300">
        <f t="shared" si="0"/>
        <v>14849.970000000001</v>
      </c>
      <c r="I10" s="416"/>
      <c r="J10" s="301">
        <v>13</v>
      </c>
      <c r="K10" s="302">
        <f t="shared" si="1"/>
        <v>1246.4999999999995</v>
      </c>
      <c r="L10" s="303">
        <f t="shared" si="2"/>
        <v>95.884615384615344</v>
      </c>
      <c r="M10" s="304">
        <v>0.42222222222222222</v>
      </c>
      <c r="N10" s="304">
        <v>0.45</v>
      </c>
      <c r="O10" s="296">
        <v>5</v>
      </c>
      <c r="P10" s="419">
        <f t="shared" si="3"/>
        <v>40.000000000000014</v>
      </c>
      <c r="Q10" s="305"/>
      <c r="R10" s="305"/>
    </row>
    <row r="11" spans="1:18">
      <c r="A11" s="610"/>
      <c r="B11" s="297" t="s">
        <v>187</v>
      </c>
      <c r="C11" s="297"/>
      <c r="D11" s="298" t="s">
        <v>206</v>
      </c>
      <c r="E11" s="298"/>
      <c r="F11" s="299">
        <v>25.64</v>
      </c>
      <c r="G11" s="306">
        <v>664</v>
      </c>
      <c r="H11" s="300">
        <f t="shared" si="0"/>
        <v>17024.96</v>
      </c>
      <c r="I11" s="416"/>
      <c r="J11" s="301">
        <v>10</v>
      </c>
      <c r="K11" s="302">
        <f t="shared" si="1"/>
        <v>1593.5999999999954</v>
      </c>
      <c r="L11" s="303">
        <f t="shared" si="2"/>
        <v>159.35999999999953</v>
      </c>
      <c r="M11" s="304">
        <v>0.45347222222222222</v>
      </c>
      <c r="N11" s="304">
        <v>0.47083333333333338</v>
      </c>
      <c r="O11" s="296">
        <v>5</v>
      </c>
      <c r="P11" s="419">
        <f t="shared" si="3"/>
        <v>25.000000000000071</v>
      </c>
      <c r="Q11" s="305"/>
      <c r="R11" s="305"/>
    </row>
    <row r="12" spans="1:18">
      <c r="A12" s="611"/>
      <c r="B12" s="297" t="s">
        <v>187</v>
      </c>
      <c r="C12" s="297"/>
      <c r="D12" s="298" t="s">
        <v>207</v>
      </c>
      <c r="E12" s="298"/>
      <c r="F12" s="299">
        <v>29.52</v>
      </c>
      <c r="G12" s="306">
        <v>1258</v>
      </c>
      <c r="H12" s="300">
        <f t="shared" si="0"/>
        <v>37136.159999999996</v>
      </c>
      <c r="I12" s="416"/>
      <c r="J12" s="301">
        <v>12</v>
      </c>
      <c r="K12" s="302">
        <f t="shared" si="1"/>
        <v>1797.1428571428564</v>
      </c>
      <c r="L12" s="303">
        <f t="shared" si="2"/>
        <v>149.7619047619047</v>
      </c>
      <c r="M12" s="304">
        <v>0.47430555555555554</v>
      </c>
      <c r="N12" s="304">
        <v>0.50347222222222221</v>
      </c>
      <c r="O12" s="296">
        <v>5</v>
      </c>
      <c r="P12" s="419">
        <f t="shared" si="3"/>
        <v>42.000000000000014</v>
      </c>
      <c r="Q12" s="305"/>
      <c r="R12" s="305"/>
    </row>
    <row r="13" spans="1:18">
      <c r="A13" s="611"/>
      <c r="B13" s="297" t="s">
        <v>187</v>
      </c>
      <c r="C13" s="415"/>
      <c r="D13" s="298" t="s">
        <v>208</v>
      </c>
      <c r="E13" s="298"/>
      <c r="F13" s="299">
        <v>29.856999999999999</v>
      </c>
      <c r="G13" s="413">
        <v>1315</v>
      </c>
      <c r="H13" s="300">
        <f t="shared" si="0"/>
        <v>39261.955000000002</v>
      </c>
      <c r="I13" s="416"/>
      <c r="J13" s="301">
        <v>12</v>
      </c>
      <c r="K13" s="302">
        <f t="shared" si="1"/>
        <v>1834.8837209302324</v>
      </c>
      <c r="L13" s="303">
        <f t="shared" si="2"/>
        <v>152.90697674418604</v>
      </c>
      <c r="M13" s="304">
        <v>0.50694444444444442</v>
      </c>
      <c r="N13" s="304">
        <v>0.53680555555555554</v>
      </c>
      <c r="O13" s="296">
        <v>5</v>
      </c>
      <c r="P13" s="419">
        <f t="shared" si="3"/>
        <v>43.000000000000007</v>
      </c>
      <c r="Q13" s="305"/>
      <c r="R13" s="296"/>
    </row>
    <row r="14" spans="1:18">
      <c r="A14" s="611"/>
      <c r="B14" s="297" t="s">
        <v>184</v>
      </c>
      <c r="C14" s="297"/>
      <c r="D14" s="420" t="s">
        <v>155</v>
      </c>
      <c r="E14" s="421"/>
      <c r="F14" s="299">
        <v>28.57</v>
      </c>
      <c r="G14" s="306">
        <v>1518</v>
      </c>
      <c r="H14" s="300">
        <f t="shared" si="0"/>
        <v>43369.26</v>
      </c>
      <c r="I14" s="416"/>
      <c r="J14" s="301">
        <v>10</v>
      </c>
      <c r="K14" s="302">
        <f t="shared" si="1"/>
        <v>1543.7288135593233</v>
      </c>
      <c r="L14" s="303">
        <f t="shared" si="2"/>
        <v>154.37288135593232</v>
      </c>
      <c r="M14" s="304">
        <v>0.54027777777777775</v>
      </c>
      <c r="N14" s="304">
        <v>0.58124999999999993</v>
      </c>
      <c r="O14" s="296">
        <v>5</v>
      </c>
      <c r="P14" s="419">
        <f t="shared" si="3"/>
        <v>58.99999999999995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0"/>
        <v>0</v>
      </c>
      <c r="I15" s="416"/>
      <c r="J15" s="301"/>
      <c r="K15" s="302"/>
      <c r="L15" s="303"/>
      <c r="M15" s="304"/>
      <c r="N15" s="304"/>
      <c r="O15" s="296"/>
      <c r="P15" s="419"/>
      <c r="Q15" s="296"/>
      <c r="R15" s="296"/>
    </row>
    <row r="16" spans="1:18" ht="15.75" customHeight="1">
      <c r="A16" s="612"/>
      <c r="B16" s="297">
        <v>0</v>
      </c>
      <c r="C16" s="308" t="s">
        <v>209</v>
      </c>
      <c r="D16" s="613" t="s">
        <v>145</v>
      </c>
      <c r="E16" s="613"/>
      <c r="F16" s="309"/>
      <c r="G16" s="310"/>
      <c r="H16" s="311"/>
      <c r="I16" s="312"/>
      <c r="J16" s="313">
        <f>AVERAGE(J5:J15)</f>
        <v>11.2</v>
      </c>
      <c r="K16" s="313">
        <f>AVERAGE(K5:K15)</f>
        <v>1511.2068077192459</v>
      </c>
      <c r="L16" s="314">
        <f>AVERAGE(L5:L15)</f>
        <v>138.41188405212057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210</v>
      </c>
      <c r="B17" s="297" t="s">
        <v>187</v>
      </c>
      <c r="C17" s="415"/>
      <c r="D17" s="617" t="s">
        <v>211</v>
      </c>
      <c r="E17" s="618"/>
      <c r="F17" s="299">
        <v>14.03</v>
      </c>
      <c r="G17" s="414">
        <v>453</v>
      </c>
      <c r="H17" s="315">
        <f t="shared" ref="H17:H23" si="4">F17*G17</f>
        <v>6355.59</v>
      </c>
      <c r="I17" s="316"/>
      <c r="J17" s="301">
        <v>6</v>
      </c>
      <c r="K17" s="302">
        <f>G17/P17*60</f>
        <v>1430.5263157894726</v>
      </c>
      <c r="L17" s="303">
        <f>K17/J17</f>
        <v>238.42105263157876</v>
      </c>
      <c r="M17" s="304">
        <v>0.18055555555555555</v>
      </c>
      <c r="N17" s="304">
        <v>0.19375000000000001</v>
      </c>
      <c r="O17" s="296">
        <v>20</v>
      </c>
      <c r="P17" s="419">
        <f>(N17-M17)*24*60</f>
        <v>19.000000000000014</v>
      </c>
      <c r="Q17" s="296"/>
      <c r="R17" s="296"/>
    </row>
    <row r="18" spans="1:18" ht="15.75" customHeight="1">
      <c r="A18" s="614"/>
      <c r="B18" s="297" t="s">
        <v>184</v>
      </c>
      <c r="C18" s="415"/>
      <c r="D18" s="619" t="s">
        <v>212</v>
      </c>
      <c r="E18" s="620"/>
      <c r="F18" s="299">
        <v>14.49</v>
      </c>
      <c r="G18" s="413">
        <v>738</v>
      </c>
      <c r="H18" s="300">
        <f t="shared" si="4"/>
        <v>10693.62</v>
      </c>
      <c r="I18" s="416"/>
      <c r="J18" s="301">
        <v>5</v>
      </c>
      <c r="K18" s="302">
        <f>G18/P18*60</f>
        <v>1476.0000000000014</v>
      </c>
      <c r="L18" s="303">
        <f>K18/J18</f>
        <v>295.20000000000027</v>
      </c>
      <c r="M18" s="304">
        <v>0.2076388888888889</v>
      </c>
      <c r="N18" s="304">
        <v>0.22847222222222222</v>
      </c>
      <c r="O18" s="296">
        <v>20</v>
      </c>
      <c r="P18" s="419">
        <f>(N18-M18)*24*60</f>
        <v>29.999999999999972</v>
      </c>
      <c r="Q18" s="305"/>
      <c r="R18" s="305"/>
    </row>
    <row r="19" spans="1:18" ht="15.75" customHeight="1">
      <c r="A19" s="614"/>
      <c r="B19" s="297">
        <v>0</v>
      </c>
      <c r="C19" s="415"/>
      <c r="D19" s="619"/>
      <c r="E19" s="620"/>
      <c r="F19" s="299" t="s">
        <v>186</v>
      </c>
      <c r="G19" s="413"/>
      <c r="H19" s="300">
        <f t="shared" si="4"/>
        <v>0</v>
      </c>
      <c r="I19" s="416"/>
      <c r="J19" s="301"/>
      <c r="K19" s="302"/>
      <c r="L19" s="303"/>
      <c r="M19" s="304"/>
      <c r="N19" s="304"/>
      <c r="O19" s="296"/>
      <c r="P19" s="419"/>
      <c r="Q19" s="305"/>
      <c r="R19" s="305"/>
    </row>
    <row r="20" spans="1:18" ht="15.75" customHeight="1">
      <c r="A20" s="615"/>
      <c r="B20" s="297">
        <v>0</v>
      </c>
      <c r="C20" s="415"/>
      <c r="D20" s="317"/>
      <c r="E20" s="421"/>
      <c r="F20" s="299" t="s">
        <v>186</v>
      </c>
      <c r="G20" s="413"/>
      <c r="H20" s="300">
        <f t="shared" si="4"/>
        <v>0</v>
      </c>
      <c r="I20" s="416"/>
      <c r="J20" s="301"/>
      <c r="K20" s="302"/>
      <c r="L20" s="303"/>
      <c r="M20" s="304"/>
      <c r="N20" s="304"/>
      <c r="O20" s="296"/>
      <c r="P20" s="419"/>
      <c r="Q20" s="296"/>
      <c r="R20" s="296"/>
    </row>
    <row r="21" spans="1:18" ht="15.75" customHeight="1">
      <c r="A21" s="615"/>
      <c r="B21" s="297">
        <v>0</v>
      </c>
      <c r="C21" s="415"/>
      <c r="D21" s="317"/>
      <c r="E21" s="421"/>
      <c r="F21" s="299" t="s">
        <v>186</v>
      </c>
      <c r="G21" s="413"/>
      <c r="H21" s="300">
        <f t="shared" si="4"/>
        <v>0</v>
      </c>
      <c r="I21" s="416"/>
      <c r="J21" s="301"/>
      <c r="K21" s="302"/>
      <c r="L21" s="303"/>
      <c r="M21" s="304"/>
      <c r="N21" s="304"/>
      <c r="O21" s="296"/>
      <c r="P21" s="419"/>
      <c r="Q21" s="296"/>
      <c r="R21" s="296"/>
    </row>
    <row r="22" spans="1:18" ht="15.75" customHeight="1">
      <c r="A22" s="615"/>
      <c r="B22" s="297">
        <v>0</v>
      </c>
      <c r="C22" s="415"/>
      <c r="D22" s="317"/>
      <c r="E22" s="421"/>
      <c r="F22" s="299" t="s">
        <v>186</v>
      </c>
      <c r="G22" s="413"/>
      <c r="H22" s="300">
        <f t="shared" si="4"/>
        <v>0</v>
      </c>
      <c r="I22" s="416"/>
      <c r="J22" s="301"/>
      <c r="K22" s="302"/>
      <c r="L22" s="303"/>
      <c r="M22" s="304"/>
      <c r="N22" s="304"/>
      <c r="O22" s="296"/>
      <c r="P22" s="419"/>
      <c r="Q22" s="296"/>
      <c r="R22" s="296"/>
    </row>
    <row r="23" spans="1:18" ht="15.75" customHeight="1">
      <c r="A23" s="615"/>
      <c r="B23" s="297">
        <v>0</v>
      </c>
      <c r="C23" s="415"/>
      <c r="D23" s="317"/>
      <c r="E23" s="421"/>
      <c r="F23" s="299" t="s">
        <v>186</v>
      </c>
      <c r="G23" s="413"/>
      <c r="H23" s="300">
        <f t="shared" si="4"/>
        <v>0</v>
      </c>
      <c r="I23" s="416"/>
      <c r="J23" s="301"/>
      <c r="K23" s="302"/>
      <c r="L23" s="303"/>
      <c r="M23" s="304"/>
      <c r="N23" s="304"/>
      <c r="O23" s="296"/>
      <c r="P23" s="419"/>
      <c r="Q23" s="296"/>
      <c r="R23" s="296"/>
    </row>
    <row r="24" spans="1:18" ht="17.399999999999999" customHeight="1">
      <c r="A24" s="616"/>
      <c r="B24" s="297">
        <v>0</v>
      </c>
      <c r="C24" s="6" t="s">
        <v>213</v>
      </c>
      <c r="D24" s="613" t="s">
        <v>145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1453.2631578947371</v>
      </c>
      <c r="L24" s="314">
        <f>AVERAGE(L17:L23)</f>
        <v>266.8105263157895</v>
      </c>
      <c r="M24" s="304"/>
      <c r="N24" s="304"/>
      <c r="O24" s="296"/>
      <c r="P24" s="296"/>
      <c r="Q24" s="296"/>
      <c r="R24" s="296"/>
    </row>
    <row r="25" spans="1:18">
      <c r="A25" s="625" t="s">
        <v>214</v>
      </c>
      <c r="B25" s="297" t="s">
        <v>184</v>
      </c>
      <c r="C25" s="319"/>
      <c r="D25" s="321" t="s">
        <v>216</v>
      </c>
      <c r="E25" s="320"/>
      <c r="F25" s="299">
        <v>15.03</v>
      </c>
      <c r="G25" s="414">
        <v>2460</v>
      </c>
      <c r="H25" s="300">
        <f>F25*G25</f>
        <v>36973.799999999996</v>
      </c>
      <c r="I25" s="416"/>
      <c r="J25" s="301">
        <v>4</v>
      </c>
      <c r="K25" s="302">
        <f>G25/P25*60</f>
        <v>2784.9056603773574</v>
      </c>
      <c r="L25" s="303">
        <f>K25/J25</f>
        <v>696.22641509433936</v>
      </c>
      <c r="M25" s="304">
        <v>0.18055555555555555</v>
      </c>
      <c r="N25" s="304">
        <v>0.21736111111111112</v>
      </c>
      <c r="O25" s="296">
        <v>20</v>
      </c>
      <c r="P25" s="419">
        <f>(N25-M25)*24*60</f>
        <v>53.000000000000014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14">
        <v>3162</v>
      </c>
      <c r="H26" s="300">
        <f>F26*G26</f>
        <v>57485.159999999996</v>
      </c>
      <c r="I26" s="416"/>
      <c r="J26" s="301">
        <v>4</v>
      </c>
      <c r="K26" s="302">
        <f>G26/P26*60</f>
        <v>2789.9999999999982</v>
      </c>
      <c r="L26" s="303">
        <f>K26/J26</f>
        <v>697.49999999999955</v>
      </c>
      <c r="M26" s="304">
        <v>0.23124999999999998</v>
      </c>
      <c r="N26" s="304">
        <v>0.27847222222222223</v>
      </c>
      <c r="O26" s="296">
        <v>20</v>
      </c>
      <c r="P26" s="419">
        <f>(N26-M26)*24*60</f>
        <v>68.000000000000043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14">
        <v>2262</v>
      </c>
      <c r="H27" s="300">
        <f>F27*G27</f>
        <v>41914.86</v>
      </c>
      <c r="I27" s="416"/>
      <c r="J27" s="301">
        <v>3</v>
      </c>
      <c r="K27" s="302">
        <f>G27/P27*60</f>
        <v>2769.7959183673479</v>
      </c>
      <c r="L27" s="303">
        <f>K27/J27</f>
        <v>923.26530612244926</v>
      </c>
      <c r="M27" s="304">
        <v>0.29236111111111113</v>
      </c>
      <c r="N27" s="304">
        <v>0.3263888888888889</v>
      </c>
      <c r="O27" s="296">
        <v>20</v>
      </c>
      <c r="P27" s="419">
        <f>(N27-M27)*24*60</f>
        <v>48.999999999999986</v>
      </c>
      <c r="Q27" s="305"/>
      <c r="R27" s="305"/>
    </row>
    <row r="28" spans="1:18">
      <c r="A28" s="625"/>
      <c r="B28" s="297">
        <v>0</v>
      </c>
      <c r="C28" s="415"/>
      <c r="D28" s="317"/>
      <c r="E28" s="322"/>
      <c r="F28" s="299"/>
      <c r="G28" s="414"/>
      <c r="H28" s="300"/>
      <c r="I28" s="416"/>
      <c r="J28" s="301"/>
      <c r="K28" s="302"/>
      <c r="L28" s="303"/>
      <c r="M28" s="304"/>
      <c r="N28" s="304"/>
      <c r="O28" s="296"/>
      <c r="P28" s="419"/>
      <c r="Q28" s="305"/>
      <c r="R28" s="305"/>
    </row>
    <row r="29" spans="1:18">
      <c r="A29" s="625"/>
      <c r="B29" s="297">
        <v>0</v>
      </c>
      <c r="C29" s="414"/>
      <c r="D29" s="321"/>
      <c r="E29" s="322"/>
      <c r="F29" s="299"/>
      <c r="G29" s="414"/>
      <c r="H29" s="300"/>
      <c r="I29" s="416"/>
      <c r="J29" s="301"/>
      <c r="K29" s="302"/>
      <c r="L29" s="303"/>
      <c r="M29" s="304"/>
      <c r="N29" s="304"/>
      <c r="O29" s="296"/>
      <c r="P29" s="419"/>
      <c r="Q29" s="305"/>
      <c r="R29" s="305"/>
    </row>
    <row r="30" spans="1:18">
      <c r="A30" s="625"/>
      <c r="B30" s="297">
        <v>0</v>
      </c>
      <c r="C30" s="414"/>
      <c r="D30" s="323"/>
      <c r="E30" s="322"/>
      <c r="F30" s="299"/>
      <c r="G30" s="414"/>
      <c r="H30" s="300"/>
      <c r="I30" s="416"/>
      <c r="J30" s="301"/>
      <c r="K30" s="302"/>
      <c r="L30" s="303"/>
      <c r="M30" s="304"/>
      <c r="N30" s="304"/>
      <c r="O30" s="296"/>
      <c r="P30" s="419"/>
      <c r="Q30" s="305"/>
      <c r="R30" s="305"/>
    </row>
    <row r="31" spans="1:18" ht="15.75" customHeight="1">
      <c r="A31" s="625"/>
      <c r="B31" s="297">
        <v>0</v>
      </c>
      <c r="C31" s="415"/>
      <c r="D31" s="317"/>
      <c r="E31" s="322"/>
      <c r="F31" s="299"/>
      <c r="G31" s="414"/>
      <c r="H31" s="300"/>
      <c r="I31" s="416"/>
      <c r="J31" s="301"/>
      <c r="K31" s="302"/>
      <c r="L31" s="303"/>
      <c r="M31" s="304"/>
      <c r="N31" s="304"/>
      <c r="O31" s="296"/>
      <c r="P31" s="419"/>
      <c r="Q31" s="305"/>
      <c r="R31" s="305"/>
    </row>
    <row r="32" spans="1:18">
      <c r="A32" s="625"/>
      <c r="B32" s="297">
        <v>0</v>
      </c>
      <c r="C32" s="415"/>
      <c r="D32" s="317"/>
      <c r="E32" s="421"/>
      <c r="F32" s="299" t="s">
        <v>186</v>
      </c>
      <c r="G32" s="414"/>
      <c r="H32" s="300">
        <f t="shared" ref="H32:H37" si="5">F32*G32</f>
        <v>0</v>
      </c>
      <c r="I32" s="416"/>
      <c r="J32" s="301"/>
      <c r="K32" s="302"/>
      <c r="L32" s="303"/>
      <c r="M32" s="304"/>
      <c r="N32" s="304"/>
      <c r="O32" s="296"/>
      <c r="P32" s="419"/>
      <c r="Q32" s="305"/>
      <c r="R32" s="305"/>
    </row>
    <row r="33" spans="1:18">
      <c r="A33" s="625"/>
      <c r="B33" s="297">
        <v>0</v>
      </c>
      <c r="C33" s="414"/>
      <c r="D33" s="321"/>
      <c r="E33" s="322"/>
      <c r="F33" s="299" t="s">
        <v>186</v>
      </c>
      <c r="G33" s="414"/>
      <c r="H33" s="300">
        <f t="shared" si="5"/>
        <v>0</v>
      </c>
      <c r="I33" s="416"/>
      <c r="J33" s="301"/>
      <c r="K33" s="302"/>
      <c r="L33" s="303"/>
      <c r="M33" s="304"/>
      <c r="N33" s="304"/>
      <c r="O33" s="296"/>
      <c r="P33" s="419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5"/>
        <v>0</v>
      </c>
      <c r="I34" s="416"/>
      <c r="J34" s="301"/>
      <c r="K34" s="302"/>
      <c r="L34" s="303"/>
      <c r="M34" s="304"/>
      <c r="N34" s="304"/>
      <c r="O34" s="296"/>
      <c r="P34" s="419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5"/>
        <v>0</v>
      </c>
      <c r="I35" s="416"/>
      <c r="J35" s="301"/>
      <c r="K35" s="302"/>
      <c r="L35" s="303"/>
      <c r="M35" s="304"/>
      <c r="N35" s="304"/>
      <c r="O35" s="296"/>
      <c r="P35" s="419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5"/>
        <v>0</v>
      </c>
      <c r="I36" s="416"/>
      <c r="J36" s="301"/>
      <c r="K36" s="302"/>
      <c r="L36" s="303"/>
      <c r="M36" s="304"/>
      <c r="N36" s="304"/>
      <c r="O36" s="296"/>
      <c r="P36" s="419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5"/>
        <v>0</v>
      </c>
      <c r="I37" s="416"/>
      <c r="J37" s="301"/>
      <c r="K37" s="302"/>
      <c r="L37" s="303"/>
      <c r="M37" s="304"/>
      <c r="N37" s="304"/>
      <c r="O37" s="296"/>
      <c r="P37" s="419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2781.5671929149012</v>
      </c>
      <c r="L38" s="314">
        <f>AVERAGE(L25:L37)</f>
        <v>772.33057373892927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217</v>
      </c>
      <c r="B39" s="297">
        <v>0</v>
      </c>
      <c r="C39" s="415"/>
      <c r="D39" s="317"/>
      <c r="E39" s="421"/>
      <c r="F39" s="299" t="s">
        <v>186</v>
      </c>
      <c r="G39" s="414"/>
      <c r="H39" s="300">
        <f t="shared" ref="H39:H47" si="6">F39*G39</f>
        <v>0</v>
      </c>
      <c r="I39" s="416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15"/>
      <c r="D40" s="317"/>
      <c r="E40" s="421"/>
      <c r="F40" s="299" t="s">
        <v>186</v>
      </c>
      <c r="G40" s="414"/>
      <c r="H40" s="300">
        <f t="shared" si="6"/>
        <v>0</v>
      </c>
      <c r="I40" s="416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15"/>
      <c r="D41" s="321"/>
      <c r="E41" s="421"/>
      <c r="F41" s="299" t="s">
        <v>186</v>
      </c>
      <c r="G41" s="414"/>
      <c r="H41" s="300">
        <f t="shared" si="6"/>
        <v>0</v>
      </c>
      <c r="I41" s="416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15"/>
      <c r="D42" s="321"/>
      <c r="E42" s="421"/>
      <c r="F42" s="299" t="s">
        <v>186</v>
      </c>
      <c r="G42" s="414"/>
      <c r="H42" s="300">
        <f t="shared" si="6"/>
        <v>0</v>
      </c>
      <c r="I42" s="416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15"/>
      <c r="D43" s="320"/>
      <c r="E43" s="421"/>
      <c r="F43" s="299" t="s">
        <v>186</v>
      </c>
      <c r="G43" s="414"/>
      <c r="H43" s="300">
        <f t="shared" si="6"/>
        <v>0</v>
      </c>
      <c r="I43" s="416"/>
      <c r="J43" s="301"/>
      <c r="K43" s="302"/>
      <c r="L43" s="303"/>
      <c r="M43" s="304"/>
      <c r="N43" s="304"/>
      <c r="O43" s="296"/>
      <c r="P43" s="419"/>
      <c r="Q43" s="305"/>
      <c r="R43" s="305"/>
    </row>
    <row r="44" spans="1:18">
      <c r="A44" s="628"/>
      <c r="B44" s="297">
        <v>0</v>
      </c>
      <c r="C44" s="415"/>
      <c r="D44" s="321"/>
      <c r="E44" s="327"/>
      <c r="F44" s="299" t="s">
        <v>186</v>
      </c>
      <c r="G44" s="328"/>
      <c r="H44" s="329">
        <f t="shared" si="6"/>
        <v>0</v>
      </c>
      <c r="I44" s="417"/>
      <c r="J44" s="301"/>
      <c r="K44" s="302"/>
      <c r="L44" s="303"/>
      <c r="M44" s="304"/>
      <c r="N44" s="304"/>
      <c r="O44" s="296"/>
      <c r="P44" s="419"/>
      <c r="Q44" s="305"/>
      <c r="R44" s="305"/>
    </row>
    <row r="45" spans="1:18">
      <c r="A45" s="628"/>
      <c r="B45" s="297">
        <v>0</v>
      </c>
      <c r="C45" s="415"/>
      <c r="D45" s="337"/>
      <c r="E45" s="322"/>
      <c r="F45" s="299" t="s">
        <v>186</v>
      </c>
      <c r="G45" s="414"/>
      <c r="H45" s="300">
        <f t="shared" si="6"/>
        <v>0</v>
      </c>
      <c r="I45" s="416"/>
      <c r="J45" s="301"/>
      <c r="K45" s="302"/>
      <c r="L45" s="303"/>
      <c r="M45" s="304"/>
      <c r="N45" s="304"/>
      <c r="O45" s="296"/>
      <c r="P45" s="419"/>
      <c r="Q45" s="305"/>
      <c r="R45" s="305"/>
    </row>
    <row r="46" spans="1:18">
      <c r="A46" s="628"/>
      <c r="B46" s="297">
        <v>0</v>
      </c>
      <c r="C46" s="415"/>
      <c r="D46" s="321"/>
      <c r="E46" s="327"/>
      <c r="F46" s="299" t="s">
        <v>186</v>
      </c>
      <c r="G46" s="328"/>
      <c r="H46" s="329">
        <f t="shared" si="6"/>
        <v>0</v>
      </c>
      <c r="I46" s="417"/>
      <c r="J46" s="301"/>
      <c r="K46" s="302"/>
      <c r="L46" s="303"/>
      <c r="M46" s="304"/>
      <c r="N46" s="304"/>
      <c r="O46" s="296"/>
      <c r="P46" s="419"/>
      <c r="Q46" s="305"/>
      <c r="R46" s="305"/>
    </row>
    <row r="47" spans="1:18">
      <c r="A47" s="628"/>
      <c r="B47" s="297">
        <v>0</v>
      </c>
      <c r="C47" s="415"/>
      <c r="D47" s="337"/>
      <c r="E47" s="322"/>
      <c r="F47" s="299" t="s">
        <v>186</v>
      </c>
      <c r="G47" s="414"/>
      <c r="H47" s="300">
        <f t="shared" si="6"/>
        <v>0</v>
      </c>
      <c r="I47" s="416"/>
      <c r="J47" s="301"/>
      <c r="K47" s="302"/>
      <c r="L47" s="303"/>
      <c r="M47" s="304"/>
      <c r="N47" s="304"/>
      <c r="O47" s="296"/>
      <c r="P47" s="419"/>
      <c r="Q47" s="305"/>
      <c r="R47" s="305"/>
    </row>
    <row r="48" spans="1:18">
      <c r="A48" s="629"/>
      <c r="B48" s="297">
        <v>0</v>
      </c>
      <c r="C48" s="414"/>
      <c r="D48" s="321"/>
      <c r="E48" s="376"/>
      <c r="F48" s="299" t="s">
        <v>186</v>
      </c>
      <c r="G48" s="414"/>
      <c r="H48" s="300"/>
      <c r="I48" s="416"/>
      <c r="J48" s="301"/>
      <c r="K48" s="302"/>
      <c r="L48" s="303"/>
      <c r="M48" s="304"/>
      <c r="N48" s="304"/>
      <c r="O48" s="296"/>
      <c r="P48" s="419"/>
      <c r="Q48" s="305"/>
      <c r="R48" s="305"/>
    </row>
    <row r="49" spans="1:18">
      <c r="A49" s="629"/>
      <c r="B49" s="297">
        <v>0</v>
      </c>
      <c r="C49" s="414"/>
      <c r="D49" s="330"/>
      <c r="E49" s="331"/>
      <c r="F49" s="299" t="s">
        <v>186</v>
      </c>
      <c r="G49" s="296"/>
      <c r="H49" s="329">
        <f>F49*G49</f>
        <v>0</v>
      </c>
      <c r="I49" s="419"/>
      <c r="J49" s="301"/>
      <c r="K49" s="302"/>
      <c r="L49" s="303"/>
      <c r="M49" s="304"/>
      <c r="N49" s="304"/>
      <c r="O49" s="296"/>
      <c r="P49" s="419"/>
      <c r="Q49" s="305"/>
      <c r="R49" s="305"/>
    </row>
    <row r="50" spans="1:18">
      <c r="A50" s="629"/>
      <c r="B50" s="297">
        <v>0</v>
      </c>
      <c r="C50" s="414"/>
      <c r="D50" s="330"/>
      <c r="E50" s="331"/>
      <c r="F50" s="299" t="s">
        <v>186</v>
      </c>
      <c r="G50" s="296"/>
      <c r="H50" s="329">
        <f>F50*G50</f>
        <v>0</v>
      </c>
      <c r="I50" s="419"/>
      <c r="J50" s="301"/>
      <c r="K50" s="302"/>
      <c r="L50" s="303"/>
      <c r="M50" s="304"/>
      <c r="N50" s="304"/>
      <c r="O50" s="296"/>
      <c r="P50" s="419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145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218</v>
      </c>
      <c r="B52" s="297" t="s">
        <v>184</v>
      </c>
      <c r="C52" s="415"/>
      <c r="D52" s="320" t="s">
        <v>159</v>
      </c>
      <c r="E52" s="335"/>
      <c r="F52" s="299">
        <v>25.03</v>
      </c>
      <c r="G52" s="414">
        <v>786</v>
      </c>
      <c r="H52" s="300">
        <f t="shared" ref="H52:H63" si="7">F52*G52</f>
        <v>19673.580000000002</v>
      </c>
      <c r="I52" s="416"/>
      <c r="J52" s="301">
        <v>4</v>
      </c>
      <c r="K52" s="302">
        <f>G52/P52*60</f>
        <v>3143.9999999999945</v>
      </c>
      <c r="L52" s="303">
        <f>K52/J52</f>
        <v>785.99999999999864</v>
      </c>
      <c r="M52" s="304">
        <v>0.30555555555555552</v>
      </c>
      <c r="N52" s="304">
        <v>0.31597222222222221</v>
      </c>
      <c r="O52" s="302">
        <v>20</v>
      </c>
      <c r="P52" s="419">
        <f>(N52-M52)*24*60</f>
        <v>15.000000000000027</v>
      </c>
      <c r="Q52" s="305"/>
      <c r="R52" s="305"/>
    </row>
    <row r="53" spans="1:18" ht="15.6" customHeight="1">
      <c r="A53" s="632"/>
      <c r="B53" s="297" t="s">
        <v>184</v>
      </c>
      <c r="C53" s="415"/>
      <c r="D53" s="320" t="s">
        <v>160</v>
      </c>
      <c r="E53" s="336"/>
      <c r="F53" s="299">
        <v>24.82</v>
      </c>
      <c r="G53" s="306">
        <v>1012</v>
      </c>
      <c r="H53" s="300">
        <f t="shared" si="7"/>
        <v>25117.84</v>
      </c>
      <c r="I53" s="416"/>
      <c r="J53" s="301">
        <v>4</v>
      </c>
      <c r="K53" s="302">
        <f>G53/P53*60</f>
        <v>3195.7894736842222</v>
      </c>
      <c r="L53" s="303">
        <f>K53/J53</f>
        <v>798.94736842105556</v>
      </c>
      <c r="M53" s="304">
        <v>0.3298611111111111</v>
      </c>
      <c r="N53" s="304">
        <v>0.3430555555555555</v>
      </c>
      <c r="O53" s="302">
        <v>20</v>
      </c>
      <c r="P53" s="419">
        <f>(N53-M53)*24*60</f>
        <v>18.999999999999932</v>
      </c>
      <c r="Q53" s="305"/>
      <c r="R53" s="305"/>
    </row>
    <row r="54" spans="1:18" ht="15.6" customHeight="1">
      <c r="A54" s="632"/>
      <c r="B54" s="297" t="s">
        <v>184</v>
      </c>
      <c r="C54" s="415"/>
      <c r="D54" s="320" t="s">
        <v>161</v>
      </c>
      <c r="E54" s="421"/>
      <c r="F54" s="299">
        <v>30</v>
      </c>
      <c r="G54" s="306">
        <v>1752</v>
      </c>
      <c r="H54" s="300">
        <f t="shared" si="7"/>
        <v>52560</v>
      </c>
      <c r="I54" s="416"/>
      <c r="J54" s="301">
        <v>4</v>
      </c>
      <c r="K54" s="302">
        <f>G54/P54*60</f>
        <v>3185.4545454545414</v>
      </c>
      <c r="L54" s="303">
        <f>K54/J54</f>
        <v>796.36363636363535</v>
      </c>
      <c r="M54" s="304">
        <v>0.35694444444444445</v>
      </c>
      <c r="N54" s="304">
        <v>0.37986111111111115</v>
      </c>
      <c r="O54" s="302">
        <v>20</v>
      </c>
      <c r="P54" s="419">
        <f>(N54-M54)*24*60</f>
        <v>33.000000000000043</v>
      </c>
      <c r="Q54" s="305">
        <v>0.37986111111111115</v>
      </c>
      <c r="R54" s="305">
        <v>0.42152777777777778</v>
      </c>
    </row>
    <row r="55" spans="1:18" ht="15.6" customHeight="1">
      <c r="A55" s="632"/>
      <c r="B55" s="297" t="s">
        <v>184</v>
      </c>
      <c r="C55" s="415"/>
      <c r="D55" s="338" t="s">
        <v>162</v>
      </c>
      <c r="E55" s="322"/>
      <c r="F55" s="299">
        <v>14.03</v>
      </c>
      <c r="G55" s="306">
        <v>3105</v>
      </c>
      <c r="H55" s="300">
        <f t="shared" si="7"/>
        <v>43563.15</v>
      </c>
      <c r="I55" s="416"/>
      <c r="J55" s="301">
        <v>3</v>
      </c>
      <c r="K55" s="302">
        <f>G55/P55*60</f>
        <v>3212.0689655172391</v>
      </c>
      <c r="L55" s="303">
        <f>K55/J55</f>
        <v>1070.689655172413</v>
      </c>
      <c r="M55" s="304">
        <v>0.43888888888888888</v>
      </c>
      <c r="N55" s="304">
        <v>0.47916666666666669</v>
      </c>
      <c r="O55" s="302">
        <v>20</v>
      </c>
      <c r="P55" s="419">
        <f>(N55-M55)*24*60</f>
        <v>58.000000000000036</v>
      </c>
      <c r="Q55" s="305"/>
      <c r="R55" s="305"/>
    </row>
    <row r="56" spans="1:18" ht="15.6" customHeight="1">
      <c r="A56" s="632"/>
      <c r="B56" s="297" t="s">
        <v>184</v>
      </c>
      <c r="C56" s="415"/>
      <c r="D56" s="321" t="s">
        <v>164</v>
      </c>
      <c r="E56" s="322"/>
      <c r="F56" s="299">
        <v>18.18</v>
      </c>
      <c r="G56" s="306">
        <v>1569</v>
      </c>
      <c r="H56" s="300">
        <f t="shared" si="7"/>
        <v>28524.42</v>
      </c>
      <c r="I56" s="416"/>
      <c r="J56" s="301">
        <v>3</v>
      </c>
      <c r="K56" s="302">
        <f>G56/P56*60</f>
        <v>3137.9999999999941</v>
      </c>
      <c r="L56" s="303">
        <f>K56/J56</f>
        <v>1045.999999999998</v>
      </c>
      <c r="M56" s="304">
        <v>0.49305555555555558</v>
      </c>
      <c r="N56" s="304">
        <v>0.51388888888888895</v>
      </c>
      <c r="O56" s="302">
        <v>20</v>
      </c>
      <c r="P56" s="419">
        <f>(N56-M56)*24*60</f>
        <v>30.000000000000053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7"/>
        <v>0</v>
      </c>
      <c r="I57" s="416"/>
      <c r="J57" s="301"/>
      <c r="K57" s="302"/>
      <c r="L57" s="303"/>
      <c r="M57" s="304"/>
      <c r="N57" s="304"/>
      <c r="O57" s="302"/>
      <c r="P57" s="419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7"/>
        <v>0</v>
      </c>
      <c r="I58" s="416"/>
      <c r="J58" s="301"/>
      <c r="K58" s="302"/>
      <c r="L58" s="303"/>
      <c r="M58" s="304"/>
      <c r="N58" s="304"/>
      <c r="O58" s="302"/>
      <c r="P58" s="419"/>
      <c r="Q58" s="305"/>
      <c r="R58" s="305"/>
    </row>
    <row r="59" spans="1:18" ht="15.6" customHeight="1">
      <c r="A59" s="632"/>
      <c r="B59" s="297">
        <v>0</v>
      </c>
      <c r="C59" s="415"/>
      <c r="D59" s="337"/>
      <c r="E59" s="322"/>
      <c r="F59" s="299" t="s">
        <v>186</v>
      </c>
      <c r="G59" s="306"/>
      <c r="H59" s="300">
        <f t="shared" si="7"/>
        <v>0</v>
      </c>
      <c r="I59" s="416"/>
      <c r="J59" s="301"/>
      <c r="K59" s="302"/>
      <c r="L59" s="303"/>
      <c r="M59" s="304"/>
      <c r="N59" s="304"/>
      <c r="O59" s="302"/>
      <c r="P59" s="419"/>
      <c r="Q59" s="305"/>
      <c r="R59" s="305"/>
    </row>
    <row r="60" spans="1:18" ht="15.6" customHeight="1">
      <c r="A60" s="632"/>
      <c r="B60" s="297">
        <v>0</v>
      </c>
      <c r="C60" s="415"/>
      <c r="D60" s="338"/>
      <c r="E60" s="341"/>
      <c r="F60" s="299" t="s">
        <v>186</v>
      </c>
      <c r="G60" s="306"/>
      <c r="H60" s="300">
        <f t="shared" si="7"/>
        <v>0</v>
      </c>
      <c r="I60" s="416"/>
      <c r="J60" s="301"/>
      <c r="K60" s="302"/>
      <c r="L60" s="303"/>
      <c r="M60" s="304"/>
      <c r="N60" s="304"/>
      <c r="O60" s="302"/>
      <c r="P60" s="419"/>
      <c r="Q60" s="305"/>
      <c r="R60" s="305"/>
    </row>
    <row r="61" spans="1:18" ht="15.6" customHeight="1">
      <c r="A61" s="632"/>
      <c r="B61" s="297">
        <v>0</v>
      </c>
      <c r="C61" s="415"/>
      <c r="D61" s="320"/>
      <c r="E61" s="322"/>
      <c r="F61" s="299" t="s">
        <v>186</v>
      </c>
      <c r="G61" s="306"/>
      <c r="H61" s="300">
        <f t="shared" si="7"/>
        <v>0</v>
      </c>
      <c r="I61" s="416"/>
      <c r="J61" s="301"/>
      <c r="K61" s="302"/>
      <c r="L61" s="303"/>
      <c r="M61" s="304"/>
      <c r="N61" s="304"/>
      <c r="O61" s="302"/>
      <c r="P61" s="419"/>
      <c r="Q61" s="305"/>
      <c r="R61" s="305"/>
    </row>
    <row r="62" spans="1:18" ht="15.6" customHeight="1">
      <c r="A62" s="632"/>
      <c r="B62" s="297">
        <v>0</v>
      </c>
      <c r="C62" s="415"/>
      <c r="D62" s="337"/>
      <c r="E62" s="342"/>
      <c r="F62" s="299" t="s">
        <v>186</v>
      </c>
      <c r="G62" s="306"/>
      <c r="H62" s="300">
        <f t="shared" si="7"/>
        <v>0</v>
      </c>
      <c r="I62" s="416"/>
      <c r="J62" s="301"/>
      <c r="K62" s="302"/>
      <c r="L62" s="303"/>
      <c r="M62" s="304"/>
      <c r="N62" s="304"/>
      <c r="O62" s="302"/>
      <c r="P62" s="419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7"/>
        <v>0</v>
      </c>
      <c r="I63" s="417"/>
      <c r="J63" s="301"/>
      <c r="K63" s="302"/>
      <c r="L63" s="303"/>
      <c r="M63" s="304"/>
      <c r="N63" s="304"/>
      <c r="O63" s="296"/>
      <c r="P63" s="419"/>
      <c r="Q63" s="305"/>
      <c r="R63" s="305"/>
    </row>
    <row r="64" spans="1:18" ht="15.75" customHeight="1">
      <c r="A64" s="633"/>
      <c r="B64" s="297">
        <v>0</v>
      </c>
      <c r="C64" s="6" t="s">
        <v>219</v>
      </c>
      <c r="D64" s="613" t="s">
        <v>145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3175.0625969311982</v>
      </c>
      <c r="L64" s="314">
        <f>AVERAGE(L52:L63)</f>
        <v>899.60013199142008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220</v>
      </c>
      <c r="B65" s="297" t="s">
        <v>184</v>
      </c>
      <c r="C65" s="415"/>
      <c r="D65" s="321" t="s">
        <v>221</v>
      </c>
      <c r="E65" s="335"/>
      <c r="F65" s="299">
        <v>16.66</v>
      </c>
      <c r="G65" s="414">
        <v>2998</v>
      </c>
      <c r="H65" s="300">
        <f t="shared" ref="H65:H74" si="8">F65*G65</f>
        <v>49946.68</v>
      </c>
      <c r="I65" s="416"/>
      <c r="J65" s="301">
        <v>4</v>
      </c>
      <c r="K65" s="302">
        <f>G65/P65*60</f>
        <v>3155.7894736842109</v>
      </c>
      <c r="L65" s="303">
        <f>K65/J65</f>
        <v>788.94736842105272</v>
      </c>
      <c r="M65" s="304">
        <v>0.18055555555555555</v>
      </c>
      <c r="N65" s="304">
        <v>0.22013888888888888</v>
      </c>
      <c r="O65" s="302">
        <v>20</v>
      </c>
      <c r="P65" s="419">
        <f>(N65-M65)*24*60</f>
        <v>57</v>
      </c>
      <c r="Q65" s="305"/>
      <c r="R65" s="305"/>
    </row>
    <row r="66" spans="1:18" ht="15.6" customHeight="1">
      <c r="A66" s="635"/>
      <c r="B66" s="297" t="s">
        <v>184</v>
      </c>
      <c r="C66" s="415"/>
      <c r="D66" s="321" t="s">
        <v>215</v>
      </c>
      <c r="E66" s="336"/>
      <c r="F66" s="299">
        <v>22.281818181818181</v>
      </c>
      <c r="G66" s="306">
        <v>743</v>
      </c>
      <c r="H66" s="300">
        <f t="shared" si="8"/>
        <v>16555.390909090907</v>
      </c>
      <c r="I66" s="416"/>
      <c r="J66" s="301">
        <v>4</v>
      </c>
      <c r="K66" s="302">
        <f>G66/P66*60</f>
        <v>3184.2857142857256</v>
      </c>
      <c r="L66" s="303">
        <f>K66/J66</f>
        <v>796.0714285714314</v>
      </c>
      <c r="M66" s="304">
        <v>0.23402777777777781</v>
      </c>
      <c r="N66" s="304">
        <v>0.24374999999999999</v>
      </c>
      <c r="O66" s="302">
        <v>20</v>
      </c>
      <c r="P66" s="419">
        <f>(N66-M66)*24*60</f>
        <v>13.99999999999995</v>
      </c>
      <c r="Q66" s="305"/>
      <c r="R66" s="305"/>
    </row>
    <row r="67" spans="1:18" ht="15.6" customHeight="1">
      <c r="A67" s="635"/>
      <c r="B67" s="297" t="s">
        <v>184</v>
      </c>
      <c r="C67" s="415"/>
      <c r="D67" s="337" t="s">
        <v>222</v>
      </c>
      <c r="E67" s="322"/>
      <c r="F67" s="299">
        <v>17.890909090909091</v>
      </c>
      <c r="G67" s="306">
        <v>1773</v>
      </c>
      <c r="H67" s="300">
        <f t="shared" si="8"/>
        <v>31720.581818181818</v>
      </c>
      <c r="I67" s="416"/>
      <c r="J67" s="301">
        <v>3</v>
      </c>
      <c r="K67" s="302">
        <f>G67/P67*60</f>
        <v>3128.8235294117685</v>
      </c>
      <c r="L67" s="303">
        <f>K67/J67</f>
        <v>1042.9411764705894</v>
      </c>
      <c r="M67" s="304">
        <v>0.25763888888888892</v>
      </c>
      <c r="N67" s="304">
        <v>0.28125</v>
      </c>
      <c r="O67" s="302">
        <v>20</v>
      </c>
      <c r="P67" s="419">
        <f>(N67-M67)*24*60</f>
        <v>33.999999999999957</v>
      </c>
      <c r="Q67" s="305">
        <v>0.28125</v>
      </c>
      <c r="R67" s="305">
        <v>0.32291666666666669</v>
      </c>
    </row>
    <row r="68" spans="1:18" ht="15.6" customHeight="1">
      <c r="A68" s="635"/>
      <c r="B68" s="297" t="s">
        <v>184</v>
      </c>
      <c r="C68" s="415"/>
      <c r="D68" s="320" t="s">
        <v>163</v>
      </c>
      <c r="E68" s="322"/>
      <c r="F68" s="299">
        <v>18.18</v>
      </c>
      <c r="G68" s="306">
        <v>920</v>
      </c>
      <c r="H68" s="300">
        <f t="shared" si="8"/>
        <v>16725.599999999999</v>
      </c>
      <c r="I68" s="416"/>
      <c r="J68" s="301">
        <v>3</v>
      </c>
      <c r="K68" s="302">
        <f>G68/P68*60</f>
        <v>3066.6666666666501</v>
      </c>
      <c r="L68" s="303">
        <f>K68/J68</f>
        <v>1022.2222222222167</v>
      </c>
      <c r="M68" s="304">
        <v>0.34027777777777773</v>
      </c>
      <c r="N68" s="304">
        <v>0.3527777777777778</v>
      </c>
      <c r="O68" s="302">
        <v>20</v>
      </c>
      <c r="P68" s="419">
        <f>(N68-M68)*24*60</f>
        <v>18.000000000000096</v>
      </c>
      <c r="Q68" s="305"/>
      <c r="R68" s="305"/>
    </row>
    <row r="69" spans="1:18" ht="15.6" customHeight="1">
      <c r="A69" s="635"/>
      <c r="B69" s="297" t="s">
        <v>184</v>
      </c>
      <c r="C69" s="415"/>
      <c r="D69" s="337" t="s">
        <v>165</v>
      </c>
      <c r="E69" s="322"/>
      <c r="F69" s="299">
        <v>14.285714285714283</v>
      </c>
      <c r="G69" s="306">
        <v>4575</v>
      </c>
      <c r="H69" s="300">
        <f t="shared" si="8"/>
        <v>65357.142857142848</v>
      </c>
      <c r="I69" s="416"/>
      <c r="J69" s="301">
        <v>3</v>
      </c>
      <c r="K69" s="302">
        <f>G69/P69*60</f>
        <v>3191.8604651162818</v>
      </c>
      <c r="L69" s="303">
        <f>K69/J69</f>
        <v>1063.9534883720939</v>
      </c>
      <c r="M69" s="304">
        <v>0.3666666666666667</v>
      </c>
      <c r="N69" s="304">
        <v>0.42638888888888887</v>
      </c>
      <c r="O69" s="302">
        <v>20</v>
      </c>
      <c r="P69" s="419">
        <f>(N69-M69)*24*60</f>
        <v>85.999999999999929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8"/>
        <v>0</v>
      </c>
      <c r="I70" s="416"/>
      <c r="J70" s="301"/>
      <c r="K70" s="302"/>
      <c r="L70" s="303"/>
      <c r="M70" s="304"/>
      <c r="N70" s="304"/>
      <c r="O70" s="302"/>
      <c r="P70" s="419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8"/>
        <v>0</v>
      </c>
      <c r="I71" s="416"/>
      <c r="J71" s="301"/>
      <c r="K71" s="302"/>
      <c r="L71" s="303"/>
      <c r="M71" s="304"/>
      <c r="N71" s="304"/>
      <c r="O71" s="302"/>
      <c r="P71" s="419"/>
      <c r="Q71" s="305"/>
      <c r="R71" s="305"/>
    </row>
    <row r="72" spans="1:18" ht="15.6" customHeight="1">
      <c r="A72" s="635"/>
      <c r="B72" s="297">
        <v>0</v>
      </c>
      <c r="C72" s="415"/>
      <c r="D72" s="337"/>
      <c r="E72" s="322"/>
      <c r="F72" s="299" t="s">
        <v>186</v>
      </c>
      <c r="G72" s="306"/>
      <c r="H72" s="300">
        <f t="shared" si="8"/>
        <v>0</v>
      </c>
      <c r="I72" s="416"/>
      <c r="J72" s="301"/>
      <c r="K72" s="302"/>
      <c r="L72" s="303"/>
      <c r="M72" s="304"/>
      <c r="N72" s="304"/>
      <c r="O72" s="302"/>
      <c r="P72" s="419"/>
      <c r="Q72" s="305"/>
      <c r="R72" s="305"/>
    </row>
    <row r="73" spans="1:18" ht="15.6" customHeight="1">
      <c r="A73" s="635"/>
      <c r="B73" s="297">
        <v>0</v>
      </c>
      <c r="C73" s="415"/>
      <c r="D73" s="337"/>
      <c r="E73" s="322"/>
      <c r="F73" s="299" t="s">
        <v>186</v>
      </c>
      <c r="G73" s="306"/>
      <c r="H73" s="300">
        <f t="shared" si="8"/>
        <v>0</v>
      </c>
      <c r="I73" s="416"/>
      <c r="J73" s="301"/>
      <c r="K73" s="302"/>
      <c r="L73" s="303"/>
      <c r="M73" s="304"/>
      <c r="N73" s="304"/>
      <c r="O73" s="302"/>
      <c r="P73" s="419"/>
      <c r="Q73" s="305"/>
      <c r="R73" s="305"/>
    </row>
    <row r="74" spans="1:18" ht="15.6" customHeight="1">
      <c r="A74" s="635"/>
      <c r="B74" s="297">
        <v>0</v>
      </c>
      <c r="C74" s="415"/>
      <c r="D74" s="337"/>
      <c r="E74" s="322"/>
      <c r="F74" s="299" t="s">
        <v>186</v>
      </c>
      <c r="G74" s="306"/>
      <c r="H74" s="300">
        <f t="shared" si="8"/>
        <v>0</v>
      </c>
      <c r="I74" s="416"/>
      <c r="J74" s="301"/>
      <c r="K74" s="302"/>
      <c r="L74" s="303"/>
      <c r="M74" s="304"/>
      <c r="N74" s="304"/>
      <c r="O74" s="302"/>
      <c r="P74" s="419"/>
      <c r="Q74" s="305"/>
      <c r="R74" s="305"/>
    </row>
    <row r="75" spans="1:18" ht="15.75" customHeight="1">
      <c r="A75" s="636"/>
      <c r="B75" s="297">
        <v>0</v>
      </c>
      <c r="C75" s="6" t="s">
        <v>223</v>
      </c>
      <c r="D75" s="613" t="s">
        <v>145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3145.4851698329271</v>
      </c>
      <c r="L75" s="314">
        <f>AVERAGE(L65:L74)</f>
        <v>942.82713681147686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>F76*G76</f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19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14"/>
      <c r="H77" s="300">
        <f>F77*G77</f>
        <v>0</v>
      </c>
      <c r="I77" s="416"/>
      <c r="J77" s="301"/>
      <c r="K77" s="302"/>
      <c r="L77" s="303"/>
      <c r="M77" s="304"/>
      <c r="N77" s="304"/>
      <c r="O77" s="296"/>
      <c r="P77" s="419"/>
      <c r="Q77" s="296"/>
      <c r="R77" s="296"/>
    </row>
    <row r="78" spans="1:18">
      <c r="A78" s="621"/>
      <c r="B78" s="297">
        <v>0</v>
      </c>
      <c r="C78" s="308"/>
      <c r="D78" s="422"/>
      <c r="E78" s="422"/>
      <c r="F78" s="299" t="s">
        <v>186</v>
      </c>
      <c r="G78" s="324"/>
      <c r="H78" s="300">
        <f>F78*G78</f>
        <v>0</v>
      </c>
      <c r="I78" s="416"/>
      <c r="J78" s="301"/>
      <c r="K78" s="302"/>
      <c r="L78" s="303"/>
      <c r="M78" s="304"/>
      <c r="N78" s="304"/>
      <c r="O78" s="296"/>
      <c r="P78" s="419"/>
      <c r="Q78" s="296"/>
      <c r="R78" s="296"/>
    </row>
    <row r="79" spans="1:18">
      <c r="A79" s="621"/>
      <c r="B79" s="297">
        <v>0</v>
      </c>
      <c r="C79" s="308"/>
      <c r="D79" s="422"/>
      <c r="E79" s="422"/>
      <c r="F79" s="299" t="s">
        <v>186</v>
      </c>
      <c r="G79" s="324"/>
      <c r="H79" s="300">
        <f>F79*G79</f>
        <v>0</v>
      </c>
      <c r="I79" s="416"/>
      <c r="J79" s="301"/>
      <c r="K79" s="302"/>
      <c r="L79" s="303"/>
      <c r="M79" s="304"/>
      <c r="N79" s="304"/>
      <c r="O79" s="296"/>
      <c r="P79" s="419"/>
      <c r="Q79" s="296"/>
      <c r="R79" s="296"/>
    </row>
    <row r="80" spans="1:18">
      <c r="A80" s="621"/>
      <c r="B80" s="297">
        <v>0</v>
      </c>
      <c r="C80" s="308"/>
      <c r="D80" s="422"/>
      <c r="E80" s="422"/>
      <c r="F80" s="299" t="s">
        <v>186</v>
      </c>
      <c r="G80" s="324"/>
      <c r="H80" s="300">
        <f>F80*G80</f>
        <v>0</v>
      </c>
      <c r="I80" s="416"/>
      <c r="J80" s="301"/>
      <c r="K80" s="302"/>
      <c r="L80" s="303"/>
      <c r="M80" s="304"/>
      <c r="N80" s="304"/>
      <c r="O80" s="296"/>
      <c r="P80" s="419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145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224</v>
      </c>
      <c r="B82" s="297" t="s">
        <v>184</v>
      </c>
      <c r="C82" s="319"/>
      <c r="D82" s="320" t="s">
        <v>168</v>
      </c>
      <c r="E82" s="346"/>
      <c r="F82" s="299">
        <v>18.18</v>
      </c>
      <c r="G82" s="324">
        <v>581</v>
      </c>
      <c r="H82" s="347">
        <f t="shared" ref="H82:H90" si="9">F82*G82</f>
        <v>10562.58</v>
      </c>
      <c r="I82" s="416"/>
      <c r="J82" s="301">
        <v>4</v>
      </c>
      <c r="K82" s="302">
        <f>G82/P82*60</f>
        <v>2324.0000000000082</v>
      </c>
      <c r="L82" s="303">
        <f>K82/J82</f>
        <v>581.00000000000205</v>
      </c>
      <c r="M82" s="304">
        <v>0.72222222222222221</v>
      </c>
      <c r="N82" s="304">
        <v>0.73263888888888884</v>
      </c>
      <c r="O82" s="302">
        <v>20</v>
      </c>
      <c r="P82" s="419">
        <f>(N82-M82)*24*60</f>
        <v>14.999999999999947</v>
      </c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9"/>
        <v>0</v>
      </c>
      <c r="I83" s="416"/>
      <c r="J83" s="301"/>
      <c r="K83" s="302"/>
      <c r="L83" s="303"/>
      <c r="M83" s="304"/>
      <c r="N83" s="304"/>
      <c r="O83" s="302"/>
      <c r="P83" s="419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9"/>
        <v>0</v>
      </c>
      <c r="I84" s="416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9"/>
        <v>0</v>
      </c>
      <c r="I85" s="416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14"/>
      <c r="H86" s="348">
        <f t="shared" si="9"/>
        <v>0</v>
      </c>
      <c r="I86" s="416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14"/>
      <c r="H87" s="348">
        <f t="shared" si="9"/>
        <v>0</v>
      </c>
      <c r="I87" s="416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14"/>
      <c r="H88" s="348">
        <f t="shared" si="9"/>
        <v>0</v>
      </c>
      <c r="I88" s="416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14"/>
      <c r="H89" s="348">
        <f t="shared" si="9"/>
        <v>0</v>
      </c>
      <c r="I89" s="416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14"/>
      <c r="H90" s="348">
        <f t="shared" si="9"/>
        <v>0</v>
      </c>
      <c r="I90" s="416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214</v>
      </c>
      <c r="D91" s="641" t="s">
        <v>145</v>
      </c>
      <c r="E91" s="641"/>
      <c r="F91" s="309"/>
      <c r="G91" s="350"/>
      <c r="H91" s="351"/>
      <c r="I91" s="312"/>
      <c r="J91" s="313">
        <f>AVERAGE(J82:J90)</f>
        <v>4</v>
      </c>
      <c r="K91" s="313">
        <f>AVERAGE(K82:K90)</f>
        <v>2324.0000000000082</v>
      </c>
      <c r="L91" s="314">
        <f>AVERAGE(L82:L90)</f>
        <v>581.00000000000205</v>
      </c>
      <c r="M91" s="304"/>
      <c r="N91" s="304"/>
      <c r="O91" s="302"/>
      <c r="P91" s="302"/>
      <c r="Q91" s="303"/>
      <c r="R91" s="303"/>
    </row>
    <row r="92" spans="1:18" ht="16.2" customHeight="1">
      <c r="A92" s="642" t="s">
        <v>225</v>
      </c>
      <c r="B92" s="297" t="s">
        <v>184</v>
      </c>
      <c r="C92" s="308"/>
      <c r="D92" s="352" t="s">
        <v>226</v>
      </c>
      <c r="E92" s="346"/>
      <c r="F92" s="299">
        <v>24.54</v>
      </c>
      <c r="G92" s="414">
        <v>1734</v>
      </c>
      <c r="H92" s="300">
        <f t="shared" ref="H92:H97" si="10">F92*G92</f>
        <v>42552.36</v>
      </c>
      <c r="I92" s="416"/>
      <c r="J92" s="301">
        <v>3</v>
      </c>
      <c r="K92" s="302">
        <f>G92/P92*60</f>
        <v>2080.7999999999938</v>
      </c>
      <c r="L92" s="303">
        <f>K92/J92</f>
        <v>693.59999999999798</v>
      </c>
      <c r="M92" s="304">
        <v>0.72222222222222221</v>
      </c>
      <c r="N92" s="304">
        <v>0.75694444444444453</v>
      </c>
      <c r="O92" s="296">
        <v>20</v>
      </c>
      <c r="P92" s="419">
        <f>(N92-M92)*24*60</f>
        <v>50.000000000000142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14">
        <v>877</v>
      </c>
      <c r="H93" s="300">
        <f t="shared" si="10"/>
        <v>19714.96</v>
      </c>
      <c r="I93" s="416"/>
      <c r="J93" s="301">
        <v>4</v>
      </c>
      <c r="K93" s="302">
        <f>G93/P93*60</f>
        <v>2104.7999999999938</v>
      </c>
      <c r="L93" s="303">
        <f>K93/J93</f>
        <v>526.19999999999845</v>
      </c>
      <c r="M93" s="304">
        <v>0.77083333333333337</v>
      </c>
      <c r="N93" s="304">
        <v>0.78819444444444453</v>
      </c>
      <c r="O93" s="296">
        <v>20</v>
      </c>
      <c r="P93" s="419">
        <f>(N93-M93)*24*60</f>
        <v>25.000000000000071</v>
      </c>
      <c r="Q93" s="305"/>
      <c r="R93" s="305"/>
    </row>
    <row r="94" spans="1:18">
      <c r="A94" s="643"/>
      <c r="B94" s="297" t="s">
        <v>184</v>
      </c>
      <c r="C94" s="308"/>
      <c r="D94" s="352" t="s">
        <v>227</v>
      </c>
      <c r="E94" s="341"/>
      <c r="F94" s="299">
        <v>22.21</v>
      </c>
      <c r="G94" s="306">
        <v>1468</v>
      </c>
      <c r="H94" s="300">
        <f t="shared" si="10"/>
        <v>32604.280000000002</v>
      </c>
      <c r="I94" s="416"/>
      <c r="J94" s="301">
        <v>4</v>
      </c>
      <c r="K94" s="302">
        <f>G94/P94*60</f>
        <v>2201.9999999999991</v>
      </c>
      <c r="L94" s="303">
        <f>K94/J94</f>
        <v>550.49999999999977</v>
      </c>
      <c r="M94" s="304">
        <v>0.79513888888888884</v>
      </c>
      <c r="N94" s="304">
        <v>0.82291666666666663</v>
      </c>
      <c r="O94" s="296">
        <v>20</v>
      </c>
      <c r="P94" s="419">
        <f>(N94-M94)*24*60</f>
        <v>40.000000000000014</v>
      </c>
      <c r="Q94" s="305"/>
      <c r="R94" s="305"/>
    </row>
    <row r="95" spans="1:18">
      <c r="A95" s="644"/>
      <c r="B95" s="297">
        <v>0</v>
      </c>
      <c r="C95" s="308"/>
      <c r="D95" s="320"/>
      <c r="E95" s="341"/>
      <c r="F95" s="299" t="s">
        <v>186</v>
      </c>
      <c r="G95" s="306"/>
      <c r="H95" s="300">
        <f t="shared" si="10"/>
        <v>0</v>
      </c>
      <c r="I95" s="416"/>
      <c r="J95" s="301"/>
      <c r="K95" s="302"/>
      <c r="L95" s="303"/>
      <c r="M95" s="304"/>
      <c r="N95" s="304"/>
      <c r="O95" s="296"/>
      <c r="P95" s="419"/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10"/>
        <v>0</v>
      </c>
      <c r="I96" s="416"/>
      <c r="J96" s="301"/>
      <c r="K96" s="302"/>
      <c r="L96" s="303"/>
      <c r="M96" s="304"/>
      <c r="N96" s="304"/>
      <c r="O96" s="296"/>
      <c r="P96" s="419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10"/>
        <v>0</v>
      </c>
      <c r="I97" s="416"/>
      <c r="J97" s="301"/>
      <c r="K97" s="302"/>
      <c r="L97" s="303"/>
      <c r="M97" s="304"/>
      <c r="N97" s="304"/>
      <c r="O97" s="296"/>
      <c r="P97" s="419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16"/>
      <c r="J98" s="301"/>
      <c r="K98" s="302"/>
      <c r="L98" s="303"/>
      <c r="M98" s="304"/>
      <c r="N98" s="304"/>
      <c r="O98" s="296"/>
      <c r="P98" s="419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16"/>
      <c r="J99" s="301"/>
      <c r="K99" s="302"/>
      <c r="L99" s="303"/>
      <c r="M99" s="304"/>
      <c r="N99" s="304"/>
      <c r="O99" s="296"/>
      <c r="P99" s="419"/>
      <c r="Q99" s="305"/>
      <c r="R99" s="305"/>
    </row>
    <row r="100" spans="1:18" ht="15.75" customHeight="1">
      <c r="A100" s="644"/>
      <c r="B100" s="297">
        <v>0</v>
      </c>
      <c r="C100" s="6" t="s">
        <v>228</v>
      </c>
      <c r="D100" s="645" t="s">
        <v>145</v>
      </c>
      <c r="E100" s="646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2129.1999999999957</v>
      </c>
      <c r="L100" s="314">
        <f>AVERAGE(L92:L99)</f>
        <v>590.09999999999877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229</v>
      </c>
      <c r="B101" s="297" t="s">
        <v>184</v>
      </c>
      <c r="C101" s="6"/>
      <c r="D101" s="341" t="s">
        <v>173</v>
      </c>
      <c r="E101" s="354"/>
      <c r="F101" s="299">
        <v>25.03</v>
      </c>
      <c r="G101" s="414">
        <v>1219</v>
      </c>
      <c r="H101" s="300">
        <f t="shared" ref="H101:H110" si="11">F101*G101</f>
        <v>30511.57</v>
      </c>
      <c r="I101" s="416"/>
      <c r="J101" s="301">
        <v>4</v>
      </c>
      <c r="K101" s="302">
        <f>G101/P101*60</f>
        <v>2925.5999999999917</v>
      </c>
      <c r="L101" s="303">
        <f>K101/J101</f>
        <v>731.39999999999793</v>
      </c>
      <c r="M101" s="304">
        <v>0.72222222222222221</v>
      </c>
      <c r="N101" s="304">
        <v>0.73958333333333337</v>
      </c>
      <c r="O101" s="296">
        <v>20</v>
      </c>
      <c r="P101" s="302">
        <f>(N101-M101)*24*60</f>
        <v>25.000000000000071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14">
        <v>1835</v>
      </c>
      <c r="H102" s="300">
        <f t="shared" si="11"/>
        <v>45544.7</v>
      </c>
      <c r="I102" s="416"/>
      <c r="J102" s="301">
        <v>4</v>
      </c>
      <c r="K102" s="302">
        <f>G102/P102*60</f>
        <v>2752.4999999999991</v>
      </c>
      <c r="L102" s="303">
        <f>K102/J102</f>
        <v>688.12499999999977</v>
      </c>
      <c r="M102" s="304">
        <v>0.75347222222222221</v>
      </c>
      <c r="N102" s="304">
        <v>0.78125</v>
      </c>
      <c r="O102" s="296">
        <v>20</v>
      </c>
      <c r="P102" s="302">
        <f>(N102-M102)*24*60</f>
        <v>40.000000000000014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14">
        <v>3098</v>
      </c>
      <c r="H103" s="300">
        <f t="shared" si="11"/>
        <v>88509.86</v>
      </c>
      <c r="I103" s="416"/>
      <c r="J103" s="301">
        <v>3</v>
      </c>
      <c r="K103" s="302">
        <f>G103/P103*60</f>
        <v>3098.0000000000027</v>
      </c>
      <c r="L103" s="303">
        <f>K103/J103</f>
        <v>1032.6666666666677</v>
      </c>
      <c r="M103" s="304">
        <v>0.79513888888888884</v>
      </c>
      <c r="N103" s="304">
        <v>0.83680555555555547</v>
      </c>
      <c r="O103" s="296">
        <v>20</v>
      </c>
      <c r="P103" s="302">
        <f>(N103-M103)*24*60</f>
        <v>59.999999999999943</v>
      </c>
      <c r="Q103" s="305"/>
      <c r="R103" s="305"/>
    </row>
    <row r="104" spans="1:18">
      <c r="A104" s="647"/>
      <c r="B104" s="297" t="s">
        <v>184</v>
      </c>
      <c r="C104" s="6"/>
      <c r="D104" s="320" t="s">
        <v>230</v>
      </c>
      <c r="E104" s="341"/>
      <c r="F104" s="299">
        <v>14.03</v>
      </c>
      <c r="G104" s="414">
        <v>6131</v>
      </c>
      <c r="H104" s="300">
        <f t="shared" si="11"/>
        <v>86017.93</v>
      </c>
      <c r="I104" s="416"/>
      <c r="J104" s="301">
        <v>3</v>
      </c>
      <c r="K104" s="302">
        <f>G104/P104*60</f>
        <v>2942.8800000000033</v>
      </c>
      <c r="L104" s="303">
        <f>K104/J104</f>
        <v>980.96000000000106</v>
      </c>
      <c r="M104" s="304">
        <v>0.85069444444444453</v>
      </c>
      <c r="N104" s="304">
        <v>0.9375</v>
      </c>
      <c r="O104" s="296">
        <v>20</v>
      </c>
      <c r="P104" s="302">
        <f>(N104-M104)*24*60</f>
        <v>124.99999999999987</v>
      </c>
      <c r="Q104" s="305">
        <v>0.9375</v>
      </c>
      <c r="R104" s="305">
        <v>0.97916666666666663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14">
        <v>8709</v>
      </c>
      <c r="H105" s="300">
        <f t="shared" si="11"/>
        <v>124414.2857142857</v>
      </c>
      <c r="I105" s="416"/>
      <c r="J105" s="301">
        <v>3</v>
      </c>
      <c r="K105" s="302">
        <f>G105/P105*60</f>
        <v>2903</v>
      </c>
      <c r="L105" s="303">
        <f>K105/J105</f>
        <v>967.66666666666663</v>
      </c>
      <c r="M105" s="304">
        <v>46112.993055555555</v>
      </c>
      <c r="N105" s="304">
        <v>46113.118055555555</v>
      </c>
      <c r="O105" s="296">
        <v>20</v>
      </c>
      <c r="P105" s="302">
        <f>(N105-M105)*24*60</f>
        <v>180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11"/>
        <v>0</v>
      </c>
      <c r="I106" s="416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14"/>
      <c r="H107" s="300">
        <f t="shared" si="11"/>
        <v>0</v>
      </c>
      <c r="I107" s="416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14"/>
      <c r="H108" s="300">
        <f t="shared" si="11"/>
        <v>0</v>
      </c>
      <c r="I108" s="416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14"/>
      <c r="H109" s="300">
        <f t="shared" si="11"/>
        <v>0</v>
      </c>
      <c r="I109" s="416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14"/>
      <c r="H110" s="300">
        <f t="shared" si="11"/>
        <v>0</v>
      </c>
      <c r="I110" s="416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47"/>
      <c r="B111" s="297">
        <v>0</v>
      </c>
      <c r="C111" s="6" t="s">
        <v>219</v>
      </c>
      <c r="D111" s="624" t="s">
        <v>145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2924.3959999999997</v>
      </c>
      <c r="L111" s="314">
        <f>AVERAGE(L101:L110)</f>
        <v>880.1636666666667</v>
      </c>
      <c r="M111" s="304"/>
      <c r="N111" s="304"/>
      <c r="O111" s="302"/>
      <c r="P111" s="302"/>
      <c r="Q111" s="303"/>
      <c r="R111" s="296"/>
    </row>
    <row r="112" spans="1:18" ht="16.2" customHeight="1">
      <c r="A112" s="637" t="s">
        <v>231</v>
      </c>
      <c r="B112" s="297" t="s">
        <v>184</v>
      </c>
      <c r="C112" s="6"/>
      <c r="D112" s="337" t="s">
        <v>169</v>
      </c>
      <c r="E112" s="357"/>
      <c r="F112" s="299">
        <v>16.7</v>
      </c>
      <c r="G112" s="414">
        <v>1206</v>
      </c>
      <c r="H112" s="347">
        <f t="shared" ref="H112:H119" si="12">F112*G112</f>
        <v>20140.2</v>
      </c>
      <c r="I112" s="416"/>
      <c r="J112" s="301">
        <v>3</v>
      </c>
      <c r="K112" s="302">
        <f t="shared" ref="K112:K117" si="13">G112/P112*60</f>
        <v>3146.0869565217504</v>
      </c>
      <c r="L112" s="303">
        <f t="shared" ref="L112:L117" si="14">K112/J112</f>
        <v>1048.6956521739169</v>
      </c>
      <c r="M112" s="304">
        <v>0.72222222222222221</v>
      </c>
      <c r="N112" s="304">
        <v>0.73819444444444438</v>
      </c>
      <c r="O112" s="296">
        <v>20</v>
      </c>
      <c r="P112" s="419">
        <f t="shared" ref="P112:P117" si="15">(N112-M112)*24*60</f>
        <v>22.999999999999918</v>
      </c>
      <c r="Q112" s="296"/>
      <c r="R112" s="296"/>
    </row>
    <row r="113" spans="1:18">
      <c r="A113" s="637"/>
      <c r="B113" s="297" t="s">
        <v>184</v>
      </c>
      <c r="C113" s="319"/>
      <c r="D113" s="422" t="s">
        <v>177</v>
      </c>
      <c r="E113" s="422"/>
      <c r="F113" s="299">
        <v>18.18</v>
      </c>
      <c r="G113" s="414">
        <v>1062</v>
      </c>
      <c r="H113" s="347">
        <f t="shared" si="12"/>
        <v>19307.16</v>
      </c>
      <c r="I113" s="416"/>
      <c r="J113" s="301">
        <v>4</v>
      </c>
      <c r="K113" s="302">
        <f t="shared" si="13"/>
        <v>3186.0000000000114</v>
      </c>
      <c r="L113" s="303">
        <f t="shared" si="14"/>
        <v>796.50000000000284</v>
      </c>
      <c r="M113" s="304">
        <v>0.75208333333333333</v>
      </c>
      <c r="N113" s="304">
        <v>0.76597222222222217</v>
      </c>
      <c r="O113" s="296">
        <v>20</v>
      </c>
      <c r="P113" s="419">
        <f t="shared" si="15"/>
        <v>19.999999999999929</v>
      </c>
      <c r="Q113" s="305"/>
      <c r="R113" s="305"/>
    </row>
    <row r="114" spans="1:18">
      <c r="A114" s="637"/>
      <c r="B114" s="297" t="s">
        <v>184</v>
      </c>
      <c r="C114" s="319"/>
      <c r="D114" s="422" t="s">
        <v>232</v>
      </c>
      <c r="E114" s="320"/>
      <c r="F114" s="299">
        <v>18.18</v>
      </c>
      <c r="G114" s="414">
        <v>1217</v>
      </c>
      <c r="H114" s="347">
        <f t="shared" si="12"/>
        <v>22125.06</v>
      </c>
      <c r="I114" s="416"/>
      <c r="J114" s="301">
        <v>3</v>
      </c>
      <c r="K114" s="302">
        <f t="shared" si="13"/>
        <v>3174.7826086956193</v>
      </c>
      <c r="L114" s="303">
        <f t="shared" si="14"/>
        <v>1058.2608695652063</v>
      </c>
      <c r="M114" s="304">
        <v>0.77986111111111101</v>
      </c>
      <c r="N114" s="304">
        <v>0.79583333333333339</v>
      </c>
      <c r="O114" s="296">
        <v>20</v>
      </c>
      <c r="P114" s="419">
        <f t="shared" si="15"/>
        <v>23.000000000000238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14">
        <v>5879</v>
      </c>
      <c r="H115" s="347">
        <f t="shared" si="12"/>
        <v>97944.14</v>
      </c>
      <c r="I115" s="416"/>
      <c r="J115" s="301">
        <v>4</v>
      </c>
      <c r="K115" s="302">
        <f t="shared" si="13"/>
        <v>3121.5929203539849</v>
      </c>
      <c r="L115" s="303">
        <f t="shared" si="14"/>
        <v>780.39823008849623</v>
      </c>
      <c r="M115" s="304">
        <v>0.80972222222222223</v>
      </c>
      <c r="N115" s="304">
        <v>0.8881944444444444</v>
      </c>
      <c r="O115" s="296">
        <v>20</v>
      </c>
      <c r="P115" s="419">
        <f t="shared" si="15"/>
        <v>112.99999999999991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14">
        <v>1161</v>
      </c>
      <c r="H116" s="347">
        <f t="shared" si="12"/>
        <v>25869.19090909091</v>
      </c>
      <c r="I116" s="416"/>
      <c r="J116" s="301">
        <v>4</v>
      </c>
      <c r="K116" s="302">
        <f t="shared" si="13"/>
        <v>3166.3636363636247</v>
      </c>
      <c r="L116" s="303">
        <f t="shared" si="14"/>
        <v>791.59090909090617</v>
      </c>
      <c r="M116" s="304">
        <v>0.90208333333333324</v>
      </c>
      <c r="N116" s="349">
        <v>0.91736111111111107</v>
      </c>
      <c r="O116" s="296">
        <v>20</v>
      </c>
      <c r="P116" s="419">
        <f t="shared" si="15"/>
        <v>22.000000000000082</v>
      </c>
      <c r="Q116" s="305">
        <v>0.91736111111111107</v>
      </c>
      <c r="R116" s="305">
        <v>0.9590277777777777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14">
        <v>4001</v>
      </c>
      <c r="H117" s="347">
        <f t="shared" si="12"/>
        <v>71581.527272727268</v>
      </c>
      <c r="I117" s="416"/>
      <c r="J117" s="301">
        <v>3</v>
      </c>
      <c r="K117" s="302">
        <f t="shared" si="13"/>
        <v>3158.6842105263208</v>
      </c>
      <c r="L117" s="303">
        <f t="shared" si="14"/>
        <v>1052.894736842107</v>
      </c>
      <c r="M117" s="304">
        <v>0.97291666666666676</v>
      </c>
      <c r="N117" s="304">
        <v>1.0256944444444445</v>
      </c>
      <c r="O117" s="302">
        <v>20</v>
      </c>
      <c r="P117" s="419">
        <f t="shared" si="15"/>
        <v>75.999999999999886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14"/>
      <c r="H118" s="347">
        <f t="shared" si="12"/>
        <v>0</v>
      </c>
      <c r="I118" s="416"/>
      <c r="J118" s="301"/>
      <c r="K118" s="302"/>
      <c r="L118" s="303"/>
      <c r="M118" s="304"/>
      <c r="N118" s="304"/>
      <c r="O118" s="296"/>
      <c r="P118" s="419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14"/>
      <c r="H119" s="347">
        <f t="shared" si="12"/>
        <v>0</v>
      </c>
      <c r="I119" s="416"/>
      <c r="J119" s="301"/>
      <c r="K119" s="302"/>
      <c r="L119" s="303"/>
      <c r="M119" s="304"/>
      <c r="N119" s="304"/>
      <c r="O119" s="296"/>
      <c r="P119" s="419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14"/>
      <c r="H120" s="347"/>
      <c r="I120" s="416"/>
      <c r="J120" s="301"/>
      <c r="K120" s="302"/>
      <c r="L120" s="303"/>
      <c r="M120" s="304"/>
      <c r="N120" s="304"/>
      <c r="O120" s="296"/>
      <c r="P120" s="419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14"/>
      <c r="H121" s="347"/>
      <c r="I121" s="416"/>
      <c r="J121" s="301"/>
      <c r="K121" s="302"/>
      <c r="L121" s="303"/>
      <c r="M121" s="304"/>
      <c r="N121" s="304"/>
      <c r="O121" s="296"/>
      <c r="P121" s="419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14"/>
      <c r="H122" s="347"/>
      <c r="I122" s="416"/>
      <c r="J122" s="301"/>
      <c r="K122" s="302"/>
      <c r="L122" s="303"/>
      <c r="M122" s="304"/>
      <c r="N122" s="304"/>
      <c r="O122" s="296"/>
      <c r="P122" s="419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14"/>
      <c r="H123" s="347">
        <f>F123*G123</f>
        <v>0</v>
      </c>
      <c r="I123" s="416"/>
      <c r="J123" s="301"/>
      <c r="K123" s="302"/>
      <c r="L123" s="303"/>
      <c r="M123" s="304"/>
      <c r="N123" s="304"/>
      <c r="O123" s="296"/>
      <c r="P123" s="419"/>
      <c r="Q123" s="305"/>
      <c r="R123" s="305"/>
    </row>
    <row r="124" spans="1:18" ht="17.399999999999999" customHeight="1">
      <c r="A124" s="637"/>
      <c r="B124" s="308">
        <v>0</v>
      </c>
      <c r="C124" s="6" t="s">
        <v>223</v>
      </c>
      <c r="D124" s="638" t="s">
        <v>145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3158.918388743552</v>
      </c>
      <c r="L124" s="314">
        <f>AVERAGE(L112:L123)</f>
        <v>921.3900662934393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A65:A75"/>
    <mergeCell ref="D75:E75"/>
    <mergeCell ref="P3:P4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98" activePane="bottomLeft" state="frozen"/>
      <selection activeCell="M50" sqref="M50"/>
      <selection pane="bottomLeft" activeCell="D129" sqref="D12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311</v>
      </c>
      <c r="B1" s="28"/>
      <c r="C1" s="28"/>
      <c r="D1" s="426" t="s">
        <v>312</v>
      </c>
      <c r="E1" s="29">
        <f>SUM(G5:G173)</f>
        <v>180404.4</v>
      </c>
      <c r="F1" s="427" t="s">
        <v>3</v>
      </c>
      <c r="G1" s="30">
        <f>SUM(H5:H173)</f>
        <v>6885953.9295200119</v>
      </c>
      <c r="H1" s="423" t="s">
        <v>52</v>
      </c>
      <c r="I1" s="31">
        <f>M17+M30+M43+M56+M69+M82+M95+M108+M121+M134+M147+M160+M173</f>
        <v>197.38095238095235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313</v>
      </c>
      <c r="Q1" s="649"/>
      <c r="R1" s="649"/>
      <c r="S1" s="649"/>
      <c r="T1" s="649" t="s">
        <v>314</v>
      </c>
      <c r="U1" s="649"/>
      <c r="V1" s="649"/>
      <c r="W1" s="649"/>
      <c r="X1" s="649"/>
      <c r="Y1" s="649"/>
      <c r="Z1" s="32" t="s">
        <v>315</v>
      </c>
      <c r="AA1" s="32" t="s">
        <v>316</v>
      </c>
      <c r="AB1" s="665" t="s">
        <v>317</v>
      </c>
      <c r="AC1" s="666"/>
      <c r="AD1" s="32" t="s">
        <v>315</v>
      </c>
      <c r="AE1" s="32" t="s">
        <v>318</v>
      </c>
      <c r="AF1" s="649" t="s">
        <v>319</v>
      </c>
      <c r="AG1" s="650"/>
      <c r="AH1" s="650"/>
    </row>
    <row r="2" spans="1:34" ht="26.25" customHeight="1">
      <c r="A2" s="657" t="s">
        <v>320</v>
      </c>
      <c r="B2" s="657"/>
      <c r="C2" s="426"/>
      <c r="D2" s="426" t="s">
        <v>321</v>
      </c>
      <c r="E2" s="34">
        <f>AVERAGE(O17,O30,O43,O56,O69,O82,O95,O108,O121,O134,O147,O160,O173)</f>
        <v>129.50814199189327</v>
      </c>
      <c r="F2" s="35" t="s">
        <v>55</v>
      </c>
      <c r="G2" s="36">
        <f>G1/E1</f>
        <v>38.169545363195198</v>
      </c>
      <c r="H2" s="423" t="s">
        <v>56</v>
      </c>
      <c r="I2" s="423">
        <f>COUNT(I5:I173)</f>
        <v>8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650"/>
      <c r="AG2" s="650"/>
      <c r="AH2" s="650"/>
    </row>
    <row r="3" spans="1:34" ht="30.6" customHeight="1">
      <c r="A3" s="658" t="s">
        <v>322</v>
      </c>
      <c r="B3" s="658" t="s">
        <v>57</v>
      </c>
      <c r="C3" s="659"/>
      <c r="D3" s="658" t="s">
        <v>323</v>
      </c>
      <c r="E3" s="658"/>
      <c r="F3" s="659" t="s">
        <v>58</v>
      </c>
      <c r="G3" s="674" t="s">
        <v>59</v>
      </c>
      <c r="H3" s="659" t="s">
        <v>60</v>
      </c>
      <c r="I3" s="651" t="s">
        <v>324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325</v>
      </c>
      <c r="O3" s="654" t="s">
        <v>321</v>
      </c>
      <c r="P3" s="652" t="s">
        <v>326</v>
      </c>
      <c r="Q3" s="654" t="s">
        <v>321</v>
      </c>
      <c r="R3" s="655" t="s">
        <v>327</v>
      </c>
      <c r="S3" s="656" t="s">
        <v>328</v>
      </c>
      <c r="T3" s="674" t="s">
        <v>63</v>
      </c>
      <c r="U3" s="674"/>
      <c r="V3" s="675" t="s">
        <v>64</v>
      </c>
      <c r="W3" s="651" t="s">
        <v>329</v>
      </c>
      <c r="X3" s="674" t="s">
        <v>330</v>
      </c>
      <c r="Y3" s="674"/>
      <c r="Z3" s="676" t="s">
        <v>331</v>
      </c>
      <c r="AA3" s="677"/>
      <c r="AB3" s="661" t="s">
        <v>332</v>
      </c>
      <c r="AC3" s="662"/>
      <c r="AD3" s="663" t="s">
        <v>333</v>
      </c>
      <c r="AE3" s="664"/>
      <c r="AF3" s="653" t="s">
        <v>325</v>
      </c>
      <c r="AG3" s="655" t="s">
        <v>327</v>
      </c>
      <c r="AH3" s="656" t="s">
        <v>328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33" t="s">
        <v>65</v>
      </c>
      <c r="U4" s="433" t="s">
        <v>66</v>
      </c>
      <c r="V4" s="674"/>
      <c r="W4" s="651"/>
      <c r="X4" s="427" t="s">
        <v>334</v>
      </c>
      <c r="Y4" s="427" t="s">
        <v>51</v>
      </c>
      <c r="Z4" s="433" t="s">
        <v>335</v>
      </c>
      <c r="AA4" s="433" t="s">
        <v>336</v>
      </c>
      <c r="AB4" s="662"/>
      <c r="AC4" s="662"/>
      <c r="AD4" s="433" t="s">
        <v>337</v>
      </c>
      <c r="AE4" s="39" t="s">
        <v>338</v>
      </c>
      <c r="AF4" s="653"/>
      <c r="AG4" s="655"/>
      <c r="AH4" s="656"/>
    </row>
    <row r="5" spans="1:34" ht="18.75" customHeight="1">
      <c r="A5" s="669" t="s">
        <v>339</v>
      </c>
      <c r="B5" s="40" t="s">
        <v>180</v>
      </c>
      <c r="C5" s="41"/>
      <c r="D5" s="42" t="s">
        <v>70</v>
      </c>
      <c r="E5" s="43"/>
      <c r="F5" s="361">
        <v>37.94</v>
      </c>
      <c r="G5" s="44">
        <v>4112.55</v>
      </c>
      <c r="H5" s="45">
        <f t="shared" ref="H5:H16" si="0">F5*G5</f>
        <v>156030.147</v>
      </c>
      <c r="I5" s="424"/>
      <c r="J5" s="46">
        <v>20</v>
      </c>
      <c r="K5" s="44">
        <v>2400</v>
      </c>
      <c r="L5" s="47">
        <v>120</v>
      </c>
      <c r="M5" s="425">
        <v>20</v>
      </c>
      <c r="N5" s="44">
        <f t="shared" ref="N5:N11" si="1">G5/W5*60</f>
        <v>2243.2090909090907</v>
      </c>
      <c r="O5" s="47">
        <f t="shared" ref="O5:O11" si="2">N5/M5</f>
        <v>112.16045454545454</v>
      </c>
      <c r="P5" s="48">
        <f t="shared" ref="P5:P11" si="3">M5-J5</f>
        <v>0</v>
      </c>
      <c r="Q5" s="49">
        <f t="shared" ref="Q5:Q11" si="4">O5-L5</f>
        <v>-7.8395454545454584</v>
      </c>
      <c r="R5" s="431">
        <f t="shared" ref="R5:R11" si="5">O5/L5</f>
        <v>0.9346704545454545</v>
      </c>
      <c r="S5" s="672">
        <f>R17</f>
        <v>0.8902506130839144</v>
      </c>
      <c r="T5" s="50">
        <v>0.29166666666666669</v>
      </c>
      <c r="U5" s="50">
        <v>0.36805555555555558</v>
      </c>
      <c r="V5" s="427">
        <v>5</v>
      </c>
      <c r="W5" s="424">
        <f>(U5-T5)*24*60</f>
        <v>110.00000000000001</v>
      </c>
      <c r="X5" s="427"/>
      <c r="Y5" s="427"/>
      <c r="Z5" s="51"/>
      <c r="AA5" s="51"/>
      <c r="AB5" s="658"/>
      <c r="AC5" s="658"/>
      <c r="AD5" s="52"/>
      <c r="AE5" s="52"/>
      <c r="AF5" s="48">
        <f t="shared" ref="AF5:AF70" si="6">N5-K5</f>
        <v>-156.79090909090928</v>
      </c>
      <c r="AG5" s="431">
        <f t="shared" ref="AG5:AG70" si="7">N5/K5</f>
        <v>0.9346704545454545</v>
      </c>
      <c r="AH5" s="672">
        <f>AG17</f>
        <v>0.93542459705408787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2633.8</v>
      </c>
      <c r="H6" s="45">
        <f t="shared" si="0"/>
        <v>82348.737974465155</v>
      </c>
      <c r="I6" s="424"/>
      <c r="J6" s="46">
        <v>18</v>
      </c>
      <c r="K6" s="44">
        <v>2600</v>
      </c>
      <c r="L6" s="47">
        <v>144.44444444444446</v>
      </c>
      <c r="M6" s="425">
        <v>20</v>
      </c>
      <c r="N6" s="44">
        <f t="shared" si="1"/>
        <v>2469.1874999999995</v>
      </c>
      <c r="O6" s="47">
        <f t="shared" si="2"/>
        <v>123.45937499999998</v>
      </c>
      <c r="P6" s="48">
        <f t="shared" si="3"/>
        <v>2</v>
      </c>
      <c r="Q6" s="49">
        <f t="shared" si="4"/>
        <v>-20.985069444444477</v>
      </c>
      <c r="R6" s="431">
        <f t="shared" si="5"/>
        <v>0.85471874999999975</v>
      </c>
      <c r="S6" s="672"/>
      <c r="T6" s="50">
        <v>0.37291666666666667</v>
      </c>
      <c r="U6" s="50">
        <v>0.41736111111111113</v>
      </c>
      <c r="V6" s="427">
        <v>7</v>
      </c>
      <c r="W6" s="424">
        <f t="shared" ref="W6:W17" si="8">(U6-T6)*24*60</f>
        <v>64.000000000000014</v>
      </c>
      <c r="X6" s="53"/>
      <c r="Y6" s="53"/>
      <c r="Z6" s="54"/>
      <c r="AA6" s="54"/>
      <c r="AB6" s="658"/>
      <c r="AC6" s="658"/>
      <c r="AD6" s="441"/>
      <c r="AE6" s="441"/>
      <c r="AF6" s="48">
        <f t="shared" si="6"/>
        <v>-130.81250000000045</v>
      </c>
      <c r="AG6" s="431">
        <f t="shared" si="7"/>
        <v>0.9496874999999998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5032.2</v>
      </c>
      <c r="H7" s="45">
        <f t="shared" si="0"/>
        <v>191223.6</v>
      </c>
      <c r="I7" s="424"/>
      <c r="J7" s="46">
        <v>19</v>
      </c>
      <c r="K7" s="44">
        <v>2600</v>
      </c>
      <c r="L7" s="47">
        <v>136.84210526315789</v>
      </c>
      <c r="M7" s="425">
        <v>20</v>
      </c>
      <c r="N7" s="44">
        <f t="shared" si="1"/>
        <v>2516.099999999999</v>
      </c>
      <c r="O7" s="47">
        <f t="shared" si="2"/>
        <v>125.80499999999995</v>
      </c>
      <c r="P7" s="48">
        <f t="shared" si="3"/>
        <v>1</v>
      </c>
      <c r="Q7" s="49">
        <f t="shared" si="4"/>
        <v>-11.03710526315794</v>
      </c>
      <c r="R7" s="431">
        <f t="shared" si="5"/>
        <v>0.91934423076923044</v>
      </c>
      <c r="S7" s="672"/>
      <c r="T7" s="50">
        <v>0.43263888888888891</v>
      </c>
      <c r="U7" s="50">
        <v>0.51597222222222228</v>
      </c>
      <c r="V7" s="427">
        <v>22</v>
      </c>
      <c r="W7" s="424">
        <f t="shared" si="8"/>
        <v>120.00000000000006</v>
      </c>
      <c r="X7" s="53">
        <v>0.42083333333333334</v>
      </c>
      <c r="Y7" s="53">
        <v>0.42986111111111108</v>
      </c>
      <c r="Z7" s="54"/>
      <c r="AA7" s="54"/>
      <c r="AB7" s="658"/>
      <c r="AC7" s="658"/>
      <c r="AD7" s="441">
        <v>1</v>
      </c>
      <c r="AE7" s="441"/>
      <c r="AF7" s="48">
        <f t="shared" si="6"/>
        <v>-83.900000000001</v>
      </c>
      <c r="AG7" s="431">
        <f t="shared" si="7"/>
        <v>0.96773076923076884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3354.8</v>
      </c>
      <c r="H8" s="45">
        <f t="shared" si="0"/>
        <v>127482.40000000001</v>
      </c>
      <c r="I8" s="424"/>
      <c r="J8" s="46">
        <v>19</v>
      </c>
      <c r="K8" s="44">
        <v>2600</v>
      </c>
      <c r="L8" s="47">
        <v>136.84210526315789</v>
      </c>
      <c r="M8" s="425">
        <v>20</v>
      </c>
      <c r="N8" s="44">
        <f t="shared" si="1"/>
        <v>2485.0370370370365</v>
      </c>
      <c r="O8" s="47">
        <f t="shared" si="2"/>
        <v>124.25185185185182</v>
      </c>
      <c r="P8" s="48">
        <f t="shared" si="3"/>
        <v>1</v>
      </c>
      <c r="Q8" s="49">
        <f t="shared" si="4"/>
        <v>-12.590253411306065</v>
      </c>
      <c r="R8" s="431">
        <f t="shared" si="5"/>
        <v>0.90799430199430187</v>
      </c>
      <c r="S8" s="672"/>
      <c r="T8" s="50">
        <v>0.55625000000000002</v>
      </c>
      <c r="U8" s="50">
        <v>0.61250000000000004</v>
      </c>
      <c r="V8" s="427">
        <v>5</v>
      </c>
      <c r="W8" s="424">
        <f t="shared" si="8"/>
        <v>81.000000000000028</v>
      </c>
      <c r="X8" s="53"/>
      <c r="Y8" s="53"/>
      <c r="Z8" s="54"/>
      <c r="AA8" s="54"/>
      <c r="AB8" s="658"/>
      <c r="AC8" s="658"/>
      <c r="AD8" s="441"/>
      <c r="AE8" s="441"/>
      <c r="AF8" s="48">
        <f t="shared" si="6"/>
        <v>-114.9629629629635</v>
      </c>
      <c r="AG8" s="431">
        <f t="shared" si="7"/>
        <v>0.95578347578347556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1418.1999999999998</v>
      </c>
      <c r="H9" s="45">
        <f t="shared" si="0"/>
        <v>44341.628140096618</v>
      </c>
      <c r="I9" s="441"/>
      <c r="J9" s="46">
        <v>18</v>
      </c>
      <c r="K9" s="44">
        <v>2600</v>
      </c>
      <c r="L9" s="47">
        <v>144.44444444444446</v>
      </c>
      <c r="M9" s="425">
        <v>20</v>
      </c>
      <c r="N9" s="44">
        <f t="shared" si="1"/>
        <v>2431.1999999999971</v>
      </c>
      <c r="O9" s="47">
        <f t="shared" si="2"/>
        <v>121.55999999999986</v>
      </c>
      <c r="P9" s="48">
        <f t="shared" si="3"/>
        <v>2</v>
      </c>
      <c r="Q9" s="49">
        <f t="shared" si="4"/>
        <v>-22.884444444444597</v>
      </c>
      <c r="R9" s="431">
        <f t="shared" si="5"/>
        <v>0.84156923076922974</v>
      </c>
      <c r="S9" s="672"/>
      <c r="T9" s="50">
        <v>0.61736111111111114</v>
      </c>
      <c r="U9" s="50">
        <v>0.64166666666666672</v>
      </c>
      <c r="V9" s="427">
        <v>7</v>
      </c>
      <c r="W9" s="424">
        <f t="shared" si="8"/>
        <v>35.000000000000036</v>
      </c>
      <c r="X9" s="53"/>
      <c r="Y9" s="53"/>
      <c r="Z9" s="54"/>
      <c r="AA9" s="54"/>
      <c r="AB9" s="658"/>
      <c r="AC9" s="658"/>
      <c r="AD9" s="441"/>
      <c r="AE9" s="441"/>
      <c r="AF9" s="48">
        <f t="shared" si="6"/>
        <v>-168.80000000000291</v>
      </c>
      <c r="AG9" s="431">
        <f t="shared" si="7"/>
        <v>0.93507692307692192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2214.4499999999998</v>
      </c>
      <c r="H10" s="45">
        <f t="shared" si="0"/>
        <v>84016.232999999993</v>
      </c>
      <c r="I10" s="424"/>
      <c r="J10" s="46">
        <v>20</v>
      </c>
      <c r="K10" s="44">
        <v>2400</v>
      </c>
      <c r="L10" s="47">
        <v>120</v>
      </c>
      <c r="M10" s="425">
        <v>20</v>
      </c>
      <c r="N10" s="44">
        <f t="shared" si="1"/>
        <v>2109.0000000000018</v>
      </c>
      <c r="O10" s="47">
        <f t="shared" si="2"/>
        <v>105.45000000000009</v>
      </c>
      <c r="P10" s="48">
        <f t="shared" si="3"/>
        <v>0</v>
      </c>
      <c r="Q10" s="49">
        <f t="shared" si="4"/>
        <v>-14.549999999999912</v>
      </c>
      <c r="R10" s="431">
        <f t="shared" si="5"/>
        <v>0.8787500000000007</v>
      </c>
      <c r="S10" s="673"/>
      <c r="T10" s="50">
        <v>0.64722222222222225</v>
      </c>
      <c r="U10" s="50">
        <v>0.69097222222222221</v>
      </c>
      <c r="V10" s="427">
        <v>8</v>
      </c>
      <c r="W10" s="424">
        <f t="shared" si="8"/>
        <v>62.999999999999936</v>
      </c>
      <c r="X10" s="53"/>
      <c r="Y10" s="53"/>
      <c r="Z10" s="54"/>
      <c r="AA10" s="54"/>
      <c r="AB10" s="658"/>
      <c r="AC10" s="658"/>
      <c r="AD10" s="441"/>
      <c r="AE10" s="441"/>
      <c r="AF10" s="48">
        <f t="shared" si="6"/>
        <v>-290.99999999999818</v>
      </c>
      <c r="AG10" s="431">
        <f t="shared" si="7"/>
        <v>0.87875000000000081</v>
      </c>
      <c r="AH10" s="673"/>
    </row>
    <row r="11" spans="1:34" ht="19.2" customHeight="1">
      <c r="A11" s="671"/>
      <c r="B11" s="40" t="s">
        <v>185</v>
      </c>
      <c r="C11" s="41"/>
      <c r="D11" s="42" t="s">
        <v>197</v>
      </c>
      <c r="E11" s="43"/>
      <c r="F11" s="361">
        <v>50.67</v>
      </c>
      <c r="G11" s="44">
        <v>1915</v>
      </c>
      <c r="H11" s="45">
        <f t="shared" si="0"/>
        <v>97033.05</v>
      </c>
      <c r="I11" s="424"/>
      <c r="J11" s="46">
        <v>18</v>
      </c>
      <c r="K11" s="44">
        <v>1500</v>
      </c>
      <c r="L11" s="47">
        <v>83.333333333333329</v>
      </c>
      <c r="M11" s="425">
        <v>18</v>
      </c>
      <c r="N11" s="44">
        <f t="shared" si="1"/>
        <v>1367.8571428571424</v>
      </c>
      <c r="O11" s="47">
        <f t="shared" si="2"/>
        <v>75.992063492063465</v>
      </c>
      <c r="P11" s="48">
        <f t="shared" si="3"/>
        <v>0</v>
      </c>
      <c r="Q11" s="49">
        <f t="shared" si="4"/>
        <v>-7.3412698412698632</v>
      </c>
      <c r="R11" s="431">
        <f t="shared" si="5"/>
        <v>0.91190476190476166</v>
      </c>
      <c r="S11" s="673"/>
      <c r="T11" s="50">
        <v>0.70833333333333337</v>
      </c>
      <c r="U11" s="50">
        <v>0.76666666666666672</v>
      </c>
      <c r="V11" s="427">
        <v>5</v>
      </c>
      <c r="W11" s="424">
        <f t="shared" si="8"/>
        <v>84.000000000000028</v>
      </c>
      <c r="X11" s="53"/>
      <c r="Y11" s="53"/>
      <c r="Z11" s="54"/>
      <c r="AA11" s="54"/>
      <c r="AB11" s="658"/>
      <c r="AC11" s="658"/>
      <c r="AD11" s="441"/>
      <c r="AE11" s="441"/>
      <c r="AF11" s="48">
        <f t="shared" si="6"/>
        <v>-132.14285714285757</v>
      </c>
      <c r="AG11" s="431">
        <f t="shared" si="7"/>
        <v>0.91190476190476166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24"/>
      <c r="J12" s="46"/>
      <c r="K12" s="44"/>
      <c r="L12" s="47"/>
      <c r="M12" s="425"/>
      <c r="N12" s="44"/>
      <c r="O12" s="47"/>
      <c r="P12" s="48"/>
      <c r="Q12" s="49"/>
      <c r="R12" s="431"/>
      <c r="S12" s="673"/>
      <c r="T12" s="50"/>
      <c r="U12" s="50"/>
      <c r="V12" s="427"/>
      <c r="W12" s="424"/>
      <c r="X12" s="53"/>
      <c r="Y12" s="53"/>
      <c r="Z12" s="54"/>
      <c r="AA12" s="54"/>
      <c r="AB12" s="658"/>
      <c r="AC12" s="658"/>
      <c r="AD12" s="441"/>
      <c r="AE12" s="441"/>
      <c r="AF12" s="48">
        <f t="shared" si="6"/>
        <v>0</v>
      </c>
      <c r="AG12" s="431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28"/>
      <c r="J13" s="46"/>
      <c r="K13" s="44"/>
      <c r="L13" s="47"/>
      <c r="M13" s="62"/>
      <c r="N13" s="44"/>
      <c r="O13" s="47"/>
      <c r="P13" s="48"/>
      <c r="Q13" s="49"/>
      <c r="R13" s="431"/>
      <c r="S13" s="673"/>
      <c r="T13" s="63"/>
      <c r="U13" s="63"/>
      <c r="V13" s="428"/>
      <c r="W13" s="424"/>
      <c r="X13" s="64"/>
      <c r="Y13" s="64"/>
      <c r="Z13" s="54"/>
      <c r="AA13" s="54"/>
      <c r="AB13" s="658"/>
      <c r="AC13" s="658"/>
      <c r="AD13" s="441"/>
      <c r="AE13" s="441"/>
      <c r="AF13" s="48">
        <f t="shared" si="6"/>
        <v>0</v>
      </c>
      <c r="AG13" s="431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28"/>
      <c r="J14" s="46"/>
      <c r="K14" s="44"/>
      <c r="L14" s="47"/>
      <c r="M14" s="62"/>
      <c r="N14" s="44"/>
      <c r="O14" s="47"/>
      <c r="P14" s="48"/>
      <c r="Q14" s="49"/>
      <c r="R14" s="431"/>
      <c r="S14" s="673"/>
      <c r="T14" s="63"/>
      <c r="U14" s="63"/>
      <c r="V14" s="428"/>
      <c r="W14" s="424">
        <f t="shared" si="8"/>
        <v>0</v>
      </c>
      <c r="X14" s="64"/>
      <c r="Y14" s="64"/>
      <c r="Z14" s="54"/>
      <c r="AA14" s="54"/>
      <c r="AB14" s="658"/>
      <c r="AC14" s="658"/>
      <c r="AD14" s="441"/>
      <c r="AE14" s="441"/>
      <c r="AF14" s="65"/>
      <c r="AG14" s="432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28"/>
      <c r="J15" s="46"/>
      <c r="K15" s="44"/>
      <c r="L15" s="47"/>
      <c r="M15" s="62"/>
      <c r="N15" s="68"/>
      <c r="O15" s="47"/>
      <c r="P15" s="48"/>
      <c r="Q15" s="49"/>
      <c r="R15" s="431"/>
      <c r="S15" s="673"/>
      <c r="T15" s="63"/>
      <c r="U15" s="63"/>
      <c r="V15" s="428"/>
      <c r="W15" s="424">
        <f t="shared" si="8"/>
        <v>0</v>
      </c>
      <c r="X15" s="64"/>
      <c r="Y15" s="64"/>
      <c r="Z15" s="54"/>
      <c r="AA15" s="54"/>
      <c r="AB15" s="658"/>
      <c r="AC15" s="658"/>
      <c r="AD15" s="441"/>
      <c r="AE15" s="441"/>
      <c r="AF15" s="65"/>
      <c r="AG15" s="432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28"/>
      <c r="J16" s="46"/>
      <c r="K16" s="44"/>
      <c r="L16" s="47"/>
      <c r="M16" s="62"/>
      <c r="N16" s="68"/>
      <c r="O16" s="47"/>
      <c r="P16" s="48"/>
      <c r="Q16" s="49"/>
      <c r="R16" s="431"/>
      <c r="S16" s="673"/>
      <c r="T16" s="63"/>
      <c r="U16" s="63"/>
      <c r="V16" s="428"/>
      <c r="W16" s="424">
        <f t="shared" si="8"/>
        <v>0</v>
      </c>
      <c r="X16" s="64"/>
      <c r="Y16" s="64"/>
      <c r="Z16" s="54"/>
      <c r="AA16" s="54"/>
      <c r="AB16" s="658"/>
      <c r="AC16" s="658"/>
      <c r="AD16" s="441"/>
      <c r="AE16" s="441"/>
      <c r="AF16" s="65"/>
      <c r="AG16" s="432"/>
      <c r="AH16" s="673"/>
    </row>
    <row r="17" spans="1:34" ht="19.2" customHeight="1">
      <c r="A17" s="671"/>
      <c r="B17" s="69">
        <v>0</v>
      </c>
      <c r="C17" s="69" t="s">
        <v>340</v>
      </c>
      <c r="D17" s="678" t="s">
        <v>341</v>
      </c>
      <c r="E17" s="678"/>
      <c r="F17" s="362"/>
      <c r="G17" s="70"/>
      <c r="H17" s="71"/>
      <c r="I17" s="72"/>
      <c r="J17" s="70">
        <v>18.857142857142858</v>
      </c>
      <c r="K17" s="70">
        <v>2385.7142857142858</v>
      </c>
      <c r="L17" s="73">
        <v>126.55806182121974</v>
      </c>
      <c r="M17" s="70">
        <f t="shared" ref="M17:O17" si="9">AVERAGE(M5:M16)</f>
        <v>19.714285714285715</v>
      </c>
      <c r="N17" s="70">
        <f t="shared" si="9"/>
        <v>2231.6558244004668</v>
      </c>
      <c r="O17" s="73">
        <f t="shared" si="9"/>
        <v>112.66839212705281</v>
      </c>
      <c r="P17" s="65">
        <f t="shared" ref="P17:P23" si="10">M17-J17</f>
        <v>0.85714285714285765</v>
      </c>
      <c r="Q17" s="74">
        <f t="shared" ref="Q17:Q23" si="11">O17-L17</f>
        <v>-13.889669694166926</v>
      </c>
      <c r="R17" s="75">
        <f>O17/L17</f>
        <v>0.8902506130839144</v>
      </c>
      <c r="S17" s="673"/>
      <c r="T17" s="63"/>
      <c r="U17" s="63"/>
      <c r="V17" s="42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1</v>
      </c>
      <c r="AE17" s="79">
        <f>SUM(AE5:AE16)</f>
        <v>0</v>
      </c>
      <c r="AF17" s="65">
        <f t="shared" si="6"/>
        <v>-154.05846131381895</v>
      </c>
      <c r="AG17" s="432">
        <f t="shared" si="7"/>
        <v>0.93542459705408787</v>
      </c>
      <c r="AH17" s="673"/>
    </row>
    <row r="18" spans="1:34" ht="19.2" customHeight="1">
      <c r="A18" s="680" t="s">
        <v>342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3405.6000000000004</v>
      </c>
      <c r="H18" s="84">
        <f t="shared" ref="H18:H29" si="12">F18*G18</f>
        <v>125530.41600000001</v>
      </c>
      <c r="I18" s="441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2245.4505494505497</v>
      </c>
      <c r="O18" s="86">
        <f t="shared" ref="O18:O23" si="14">N18/M18</f>
        <v>124.74725274725276</v>
      </c>
      <c r="P18" s="54">
        <f t="shared" si="10"/>
        <v>1</v>
      </c>
      <c r="Q18" s="88">
        <f t="shared" si="11"/>
        <v>-7.6056884292178211</v>
      </c>
      <c r="R18" s="434">
        <f t="shared" ref="R18:R23" si="15">O18/L18</f>
        <v>0.94253479853479871</v>
      </c>
      <c r="S18" s="681">
        <f>R30</f>
        <v>0.93015781777174622</v>
      </c>
      <c r="T18" s="89">
        <v>0.16666666666666666</v>
      </c>
      <c r="U18" s="89">
        <v>0.2298611111111111</v>
      </c>
      <c r="V18" s="441">
        <v>5</v>
      </c>
      <c r="W18" s="90">
        <f>(U18-T18)*24*60</f>
        <v>91</v>
      </c>
      <c r="X18" s="86"/>
      <c r="Y18" s="86"/>
      <c r="Z18" s="54"/>
      <c r="AA18" s="54"/>
      <c r="AB18" s="658"/>
      <c r="AC18" s="658"/>
      <c r="AD18" s="441"/>
      <c r="AE18" s="441"/>
      <c r="AF18" s="91">
        <f t="shared" si="6"/>
        <v>-4.5494505494502846</v>
      </c>
      <c r="AG18" s="92">
        <f t="shared" si="7"/>
        <v>0.9979780219780221</v>
      </c>
      <c r="AH18" s="682">
        <f>AG30</f>
        <v>0.97501333381969923</v>
      </c>
    </row>
    <row r="19" spans="1:34" ht="19.2" customHeight="1">
      <c r="A19" s="680"/>
      <c r="B19" s="438" t="s">
        <v>182</v>
      </c>
      <c r="C19" s="437"/>
      <c r="D19" s="82" t="s">
        <v>80</v>
      </c>
      <c r="E19" s="83"/>
      <c r="F19" s="361">
        <v>38.39</v>
      </c>
      <c r="G19" s="57">
        <v>2606</v>
      </c>
      <c r="H19" s="84">
        <f t="shared" si="12"/>
        <v>100044.34</v>
      </c>
      <c r="I19" s="441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1475.0943396226417</v>
      </c>
      <c r="O19" s="95">
        <f t="shared" si="14"/>
        <v>86.770255271920092</v>
      </c>
      <c r="P19" s="54">
        <f t="shared" si="10"/>
        <v>1</v>
      </c>
      <c r="Q19" s="88">
        <f t="shared" si="11"/>
        <v>-15.479744728079908</v>
      </c>
      <c r="R19" s="434">
        <f t="shared" si="15"/>
        <v>0.84860885351511095</v>
      </c>
      <c r="S19" s="681"/>
      <c r="T19" s="89">
        <v>0.24513888888888888</v>
      </c>
      <c r="U19" s="89">
        <v>0.31874999999999998</v>
      </c>
      <c r="V19" s="441">
        <v>22</v>
      </c>
      <c r="W19" s="90">
        <f>(U19-T19)*24*60</f>
        <v>105.99999999999999</v>
      </c>
      <c r="X19" s="96">
        <v>0.23333333333333331</v>
      </c>
      <c r="Y19" s="96">
        <v>0.24236111111111111</v>
      </c>
      <c r="Z19" s="54"/>
      <c r="AA19" s="54"/>
      <c r="AB19" s="658"/>
      <c r="AC19" s="658"/>
      <c r="AD19" s="441"/>
      <c r="AE19" s="441"/>
      <c r="AF19" s="48">
        <f t="shared" si="6"/>
        <v>-160.90566037735834</v>
      </c>
      <c r="AG19" s="431">
        <f t="shared" si="7"/>
        <v>0.90164690685980542</v>
      </c>
      <c r="AH19" s="683"/>
    </row>
    <row r="20" spans="1:34" ht="19.2" customHeight="1">
      <c r="A20" s="680"/>
      <c r="B20" s="438" t="s">
        <v>183</v>
      </c>
      <c r="C20" s="55"/>
      <c r="D20" s="42" t="s">
        <v>79</v>
      </c>
      <c r="E20" s="83"/>
      <c r="F20" s="361">
        <v>43.14</v>
      </c>
      <c r="G20" s="57">
        <v>2216</v>
      </c>
      <c r="H20" s="84">
        <f t="shared" si="12"/>
        <v>95598.24</v>
      </c>
      <c r="I20" s="441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1429.677419354839</v>
      </c>
      <c r="O20" s="95">
        <f t="shared" si="14"/>
        <v>89.354838709677438</v>
      </c>
      <c r="P20" s="54">
        <f t="shared" si="10"/>
        <v>0</v>
      </c>
      <c r="Q20" s="88">
        <f t="shared" si="11"/>
        <v>-0.64516129032256231</v>
      </c>
      <c r="R20" s="434">
        <f t="shared" si="15"/>
        <v>0.99283154121863815</v>
      </c>
      <c r="S20" s="681"/>
      <c r="T20" s="89">
        <v>0.32361111111111107</v>
      </c>
      <c r="U20" s="89">
        <v>0.3881944444444444</v>
      </c>
      <c r="V20" s="441">
        <v>7</v>
      </c>
      <c r="W20" s="90">
        <f t="shared" ref="W20:W29" si="16">(U20-T20)*24*60</f>
        <v>92.999999999999986</v>
      </c>
      <c r="X20" s="96"/>
      <c r="Y20" s="96"/>
      <c r="Z20" s="54"/>
      <c r="AA20" s="54"/>
      <c r="AB20" s="658"/>
      <c r="AC20" s="658"/>
      <c r="AD20" s="441"/>
      <c r="AE20" s="441">
        <v>1</v>
      </c>
      <c r="AF20" s="91">
        <f t="shared" si="6"/>
        <v>-10.322580645160997</v>
      </c>
      <c r="AG20" s="92">
        <f t="shared" si="7"/>
        <v>0.99283154121863815</v>
      </c>
      <c r="AH20" s="683"/>
    </row>
    <row r="21" spans="1:34" ht="19.2" customHeight="1">
      <c r="A21" s="680"/>
      <c r="B21" s="438" t="s">
        <v>182</v>
      </c>
      <c r="C21" s="97"/>
      <c r="D21" s="98" t="s">
        <v>198</v>
      </c>
      <c r="E21" s="43"/>
      <c r="F21" s="361">
        <v>38.1</v>
      </c>
      <c r="G21" s="44">
        <v>1457</v>
      </c>
      <c r="H21" s="84">
        <f t="shared" si="12"/>
        <v>55511.700000000004</v>
      </c>
      <c r="I21" s="427"/>
      <c r="J21" s="93">
        <v>17</v>
      </c>
      <c r="K21" s="44">
        <v>1500</v>
      </c>
      <c r="L21" s="47">
        <v>88.235294117647058</v>
      </c>
      <c r="M21" s="425">
        <v>16</v>
      </c>
      <c r="N21" s="94">
        <f t="shared" si="13"/>
        <v>1324.5454545454545</v>
      </c>
      <c r="O21" s="95">
        <f t="shared" si="14"/>
        <v>82.784090909090907</v>
      </c>
      <c r="P21" s="54">
        <f t="shared" si="10"/>
        <v>-1</v>
      </c>
      <c r="Q21" s="88">
        <f t="shared" si="11"/>
        <v>-5.4512032085561515</v>
      </c>
      <c r="R21" s="434">
        <f t="shared" si="15"/>
        <v>0.93821969696969698</v>
      </c>
      <c r="S21" s="681"/>
      <c r="T21" s="89">
        <v>0.39305555555555549</v>
      </c>
      <c r="U21" s="89">
        <v>0.43888888888888883</v>
      </c>
      <c r="V21" s="441">
        <v>7</v>
      </c>
      <c r="W21" s="90">
        <f t="shared" si="16"/>
        <v>66</v>
      </c>
      <c r="X21" s="96"/>
      <c r="Y21" s="96"/>
      <c r="Z21" s="54"/>
      <c r="AA21" s="54"/>
      <c r="AB21" s="658"/>
      <c r="AC21" s="658"/>
      <c r="AD21" s="441"/>
      <c r="AE21" s="441"/>
      <c r="AF21" s="48">
        <f t="shared" si="6"/>
        <v>-175.4545454545455</v>
      </c>
      <c r="AG21" s="431">
        <f t="shared" si="7"/>
        <v>0.88303030303030305</v>
      </c>
      <c r="AH21" s="684"/>
    </row>
    <row r="22" spans="1:34" ht="19.2" customHeight="1">
      <c r="A22" s="680"/>
      <c r="B22" s="438" t="s">
        <v>180</v>
      </c>
      <c r="C22" s="97"/>
      <c r="D22" s="42" t="s">
        <v>72</v>
      </c>
      <c r="E22" s="43"/>
      <c r="F22" s="361">
        <v>38.630952380952372</v>
      </c>
      <c r="G22" s="44">
        <v>6049</v>
      </c>
      <c r="H22" s="84">
        <f t="shared" si="12"/>
        <v>233678.63095238089</v>
      </c>
      <c r="I22" s="427"/>
      <c r="J22" s="93">
        <v>18</v>
      </c>
      <c r="K22" s="44">
        <v>2600</v>
      </c>
      <c r="L22" s="47">
        <v>144.44444444444446</v>
      </c>
      <c r="M22" s="87">
        <v>20</v>
      </c>
      <c r="N22" s="94">
        <f t="shared" si="13"/>
        <v>2688.4444444444462</v>
      </c>
      <c r="O22" s="95">
        <f t="shared" si="14"/>
        <v>134.4222222222223</v>
      </c>
      <c r="P22" s="54">
        <f t="shared" si="10"/>
        <v>2</v>
      </c>
      <c r="Q22" s="88">
        <f t="shared" si="11"/>
        <v>-10.022222222222155</v>
      </c>
      <c r="R22" s="434">
        <f t="shared" si="15"/>
        <v>0.93061538461538507</v>
      </c>
      <c r="S22" s="681"/>
      <c r="T22" s="89">
        <v>0.47916666666666657</v>
      </c>
      <c r="U22" s="89">
        <v>0.57291666666666652</v>
      </c>
      <c r="V22" s="441">
        <v>5</v>
      </c>
      <c r="W22" s="90">
        <f t="shared" si="16"/>
        <v>134.99999999999991</v>
      </c>
      <c r="X22" s="96"/>
      <c r="Y22" s="96"/>
      <c r="Z22" s="54"/>
      <c r="AA22" s="54"/>
      <c r="AB22" s="658"/>
      <c r="AC22" s="658"/>
      <c r="AD22" s="441"/>
      <c r="AE22" s="441">
        <v>1</v>
      </c>
      <c r="AF22" s="91">
        <f t="shared" si="6"/>
        <v>88.444444444446162</v>
      </c>
      <c r="AG22" s="92">
        <f t="shared" si="7"/>
        <v>1.0340170940170947</v>
      </c>
      <c r="AH22" s="684"/>
    </row>
    <row r="23" spans="1:34" ht="19.2" customHeight="1">
      <c r="A23" s="680"/>
      <c r="B23" s="438" t="s">
        <v>180</v>
      </c>
      <c r="C23" s="97"/>
      <c r="D23" s="42" t="s">
        <v>78</v>
      </c>
      <c r="E23" s="43"/>
      <c r="F23" s="361">
        <v>36.86</v>
      </c>
      <c r="G23" s="44">
        <v>851.40000000000009</v>
      </c>
      <c r="H23" s="84">
        <f t="shared" si="12"/>
        <v>31382.604000000003</v>
      </c>
      <c r="I23" s="427">
        <v>1</v>
      </c>
      <c r="J23" s="93">
        <v>17</v>
      </c>
      <c r="K23" s="44">
        <v>2250</v>
      </c>
      <c r="L23" s="47">
        <v>132.35294117647058</v>
      </c>
      <c r="M23" s="87">
        <v>18</v>
      </c>
      <c r="N23" s="94">
        <f t="shared" si="13"/>
        <v>2221.0434782608777</v>
      </c>
      <c r="O23" s="95">
        <f t="shared" si="14"/>
        <v>123.39130434782653</v>
      </c>
      <c r="P23" s="54">
        <f t="shared" si="10"/>
        <v>1</v>
      </c>
      <c r="Q23" s="88">
        <f t="shared" si="11"/>
        <v>-8.9616368286440462</v>
      </c>
      <c r="R23" s="434">
        <f t="shared" si="15"/>
        <v>0.9322898550724672</v>
      </c>
      <c r="S23" s="681"/>
      <c r="T23" s="89">
        <v>0.5874999999999998</v>
      </c>
      <c r="U23" s="89">
        <v>0.60347222222222197</v>
      </c>
      <c r="V23" s="441">
        <v>21</v>
      </c>
      <c r="W23" s="90">
        <f t="shared" si="16"/>
        <v>22.999999999999918</v>
      </c>
      <c r="X23" s="96">
        <v>0.57638888888888895</v>
      </c>
      <c r="Y23" s="96">
        <v>0.58472222222222225</v>
      </c>
      <c r="Z23" s="54"/>
      <c r="AA23" s="54"/>
      <c r="AB23" s="658"/>
      <c r="AC23" s="658"/>
      <c r="AD23" s="441"/>
      <c r="AE23" s="441"/>
      <c r="AF23" s="48">
        <f t="shared" si="6"/>
        <v>-28.956521739122309</v>
      </c>
      <c r="AG23" s="431">
        <f t="shared" si="7"/>
        <v>0.98713043478261231</v>
      </c>
      <c r="AH23" s="684"/>
    </row>
    <row r="24" spans="1:34" ht="19.2" customHeight="1">
      <c r="A24" s="680"/>
      <c r="B24" s="438">
        <v>0</v>
      </c>
      <c r="C24" s="81"/>
      <c r="D24" s="82"/>
      <c r="E24" s="83"/>
      <c r="F24" s="361" t="s">
        <v>186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34"/>
      <c r="S24" s="681"/>
      <c r="T24" s="89"/>
      <c r="U24" s="89"/>
      <c r="V24" s="441"/>
      <c r="W24" s="90">
        <f t="shared" si="16"/>
        <v>0</v>
      </c>
      <c r="X24" s="441"/>
      <c r="Y24" s="441"/>
      <c r="Z24" s="54"/>
      <c r="AA24" s="54"/>
      <c r="AB24" s="658"/>
      <c r="AC24" s="658"/>
      <c r="AD24" s="441"/>
      <c r="AE24" s="441"/>
      <c r="AF24" s="91">
        <f t="shared" si="6"/>
        <v>0</v>
      </c>
      <c r="AG24" s="92" t="e">
        <f t="shared" si="7"/>
        <v>#DIV/0!</v>
      </c>
      <c r="AH24" s="684"/>
    </row>
    <row r="25" spans="1:34" ht="19.2" customHeight="1">
      <c r="A25" s="680"/>
      <c r="B25" s="438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34"/>
      <c r="S25" s="681"/>
      <c r="T25" s="89"/>
      <c r="U25" s="89"/>
      <c r="V25" s="441"/>
      <c r="W25" s="90">
        <f t="shared" si="16"/>
        <v>0</v>
      </c>
      <c r="X25" s="441"/>
      <c r="Y25" s="441"/>
      <c r="Z25" s="54"/>
      <c r="AA25" s="54"/>
      <c r="AB25" s="658"/>
      <c r="AC25" s="658"/>
      <c r="AD25" s="441"/>
      <c r="AE25" s="441"/>
      <c r="AF25" s="48">
        <f t="shared" si="6"/>
        <v>0</v>
      </c>
      <c r="AG25" s="431" t="e">
        <f t="shared" si="7"/>
        <v>#DIV/0!</v>
      </c>
      <c r="AH25" s="684"/>
    </row>
    <row r="26" spans="1:34" ht="19.2" customHeight="1">
      <c r="A26" s="680"/>
      <c r="B26" s="438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4"/>
      <c r="S26" s="681"/>
      <c r="T26" s="89"/>
      <c r="U26" s="89"/>
      <c r="V26" s="441"/>
      <c r="W26" s="90">
        <f t="shared" si="16"/>
        <v>0</v>
      </c>
      <c r="X26" s="441"/>
      <c r="Y26" s="441"/>
      <c r="Z26" s="54"/>
      <c r="AA26" s="54"/>
      <c r="AB26" s="658"/>
      <c r="AC26" s="658"/>
      <c r="AD26" s="441"/>
      <c r="AE26" s="441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4"/>
      <c r="S27" s="681"/>
      <c r="T27" s="89"/>
      <c r="U27" s="89"/>
      <c r="V27" s="441"/>
      <c r="W27" s="90">
        <f t="shared" si="16"/>
        <v>0</v>
      </c>
      <c r="X27" s="441"/>
      <c r="Y27" s="441"/>
      <c r="Z27" s="54"/>
      <c r="AA27" s="54"/>
      <c r="AB27" s="658"/>
      <c r="AC27" s="658"/>
      <c r="AD27" s="441"/>
      <c r="AE27" s="441"/>
      <c r="AF27" s="48">
        <f t="shared" si="6"/>
        <v>0</v>
      </c>
      <c r="AG27" s="431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4"/>
      <c r="S28" s="681"/>
      <c r="T28" s="89"/>
      <c r="U28" s="89"/>
      <c r="V28" s="441"/>
      <c r="W28" s="90">
        <f t="shared" si="16"/>
        <v>0</v>
      </c>
      <c r="X28" s="441"/>
      <c r="Y28" s="441"/>
      <c r="Z28" s="54"/>
      <c r="AA28" s="54"/>
      <c r="AB28" s="658"/>
      <c r="AC28" s="658"/>
      <c r="AD28" s="441"/>
      <c r="AE28" s="441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4"/>
      <c r="S29" s="681"/>
      <c r="T29" s="89"/>
      <c r="U29" s="89"/>
      <c r="V29" s="441"/>
      <c r="W29" s="90">
        <f t="shared" si="16"/>
        <v>0</v>
      </c>
      <c r="X29" s="441"/>
      <c r="Y29" s="441"/>
      <c r="Z29" s="54"/>
      <c r="AA29" s="54"/>
      <c r="AB29" s="658"/>
      <c r="AC29" s="658"/>
      <c r="AD29" s="441"/>
      <c r="AE29" s="441"/>
      <c r="AF29" s="48">
        <f t="shared" si="6"/>
        <v>0</v>
      </c>
      <c r="AG29" s="431"/>
      <c r="AH29" s="684"/>
    </row>
    <row r="30" spans="1:34" ht="19.2" customHeight="1">
      <c r="A30" s="680"/>
      <c r="B30" s="99">
        <v>0</v>
      </c>
      <c r="C30" s="100" t="s">
        <v>343</v>
      </c>
      <c r="D30" s="679" t="s">
        <v>344</v>
      </c>
      <c r="E30" s="679"/>
      <c r="F30" s="365"/>
      <c r="G30" s="101"/>
      <c r="H30" s="102"/>
      <c r="I30" s="103"/>
      <c r="J30" s="101">
        <v>16.833333333333332</v>
      </c>
      <c r="K30" s="101">
        <v>1946</v>
      </c>
      <c r="L30" s="104">
        <v>114.93927015250546</v>
      </c>
      <c r="M30" s="101">
        <f t="shared" ref="M30:O30" si="17">AVERAGE(M18:M29)</f>
        <v>17.5</v>
      </c>
      <c r="N30" s="101">
        <f t="shared" si="17"/>
        <v>1897.3759476131347</v>
      </c>
      <c r="O30" s="104">
        <f t="shared" si="17"/>
        <v>106.91166070133168</v>
      </c>
      <c r="P30" s="54">
        <f t="shared" ref="P30:P35" si="18">M30-J30</f>
        <v>0.66666666666666785</v>
      </c>
      <c r="Q30" s="88">
        <f t="shared" ref="Q30:Q35" si="19">O30-L30</f>
        <v>-8.0276094511737739</v>
      </c>
      <c r="R30" s="105">
        <f t="shared" ref="R30:R35" si="20">O30/L30</f>
        <v>0.93015781777174622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0</v>
      </c>
      <c r="AE30" s="107">
        <f>SUM(AE18:AE29)</f>
        <v>2</v>
      </c>
      <c r="AF30" s="108">
        <f t="shared" si="6"/>
        <v>-48.624052386865287</v>
      </c>
      <c r="AG30" s="109">
        <f t="shared" ref="AG30" si="21">N30/K30</f>
        <v>0.97501333381969923</v>
      </c>
      <c r="AH30" s="685"/>
    </row>
    <row r="31" spans="1:34" ht="19.2" customHeight="1">
      <c r="A31" s="688" t="s">
        <v>345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2292</v>
      </c>
      <c r="H31" s="113">
        <f t="shared" ref="H31:H40" si="22">F31*G31</f>
        <v>80976.36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5" si="23">G31/W31*60</f>
        <v>1858.3783783783781</v>
      </c>
      <c r="O31" s="116">
        <f t="shared" ref="O31:O35" si="24">N31/M31</f>
        <v>154.86486486486484</v>
      </c>
      <c r="P31" s="117">
        <f t="shared" si="18"/>
        <v>0</v>
      </c>
      <c r="Q31" s="118">
        <f t="shared" si="19"/>
        <v>-21.635135135135158</v>
      </c>
      <c r="R31" s="435">
        <f t="shared" si="20"/>
        <v>0.87742133067912087</v>
      </c>
      <c r="S31" s="690">
        <f>R43</f>
        <v>0.84435444439802942</v>
      </c>
      <c r="T31" s="119">
        <v>0.16666666666666666</v>
      </c>
      <c r="U31" s="119">
        <v>0.21805555555555556</v>
      </c>
      <c r="V31" s="52">
        <v>5</v>
      </c>
      <c r="W31" s="120">
        <f t="shared" ref="W31:W42" si="25">(U31-T31)*24*60</f>
        <v>74.000000000000014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-259.6216216216219</v>
      </c>
      <c r="AG31" s="121">
        <f t="shared" si="7"/>
        <v>0.87742133067912087</v>
      </c>
      <c r="AH31" s="686">
        <f>AG43</f>
        <v>0.84518411275449046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2208</v>
      </c>
      <c r="H32" s="84">
        <f t="shared" si="22"/>
        <v>75579.839999999997</v>
      </c>
      <c r="I32" s="424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1865.9154929577458</v>
      </c>
      <c r="O32" s="47">
        <f t="shared" si="24"/>
        <v>155.49295774647882</v>
      </c>
      <c r="P32" s="48">
        <f t="shared" si="18"/>
        <v>0</v>
      </c>
      <c r="Q32" s="49">
        <f t="shared" si="19"/>
        <v>-21.007042253521178</v>
      </c>
      <c r="R32" s="431">
        <f t="shared" si="20"/>
        <v>0.88097993057495083</v>
      </c>
      <c r="S32" s="681"/>
      <c r="T32" s="89">
        <v>0.22291666666666668</v>
      </c>
      <c r="U32" s="89">
        <v>0.27222222222222225</v>
      </c>
      <c r="V32" s="441">
        <v>7</v>
      </c>
      <c r="W32" s="90">
        <f t="shared" si="25"/>
        <v>71.000000000000028</v>
      </c>
      <c r="X32" s="124"/>
      <c r="Y32" s="124"/>
      <c r="Z32" s="125"/>
      <c r="AA32" s="125"/>
      <c r="AB32" s="658"/>
      <c r="AC32" s="658"/>
      <c r="AD32" s="441"/>
      <c r="AE32" s="441"/>
      <c r="AF32" s="48">
        <f t="shared" si="6"/>
        <v>-252.08450704225424</v>
      </c>
      <c r="AG32" s="431">
        <f t="shared" si="7"/>
        <v>0.88097993057495083</v>
      </c>
      <c r="AH32" s="672"/>
    </row>
    <row r="33" spans="1:34" ht="19.2" customHeight="1">
      <c r="A33" s="689"/>
      <c r="B33" s="122" t="s">
        <v>184</v>
      </c>
      <c r="C33" s="441"/>
      <c r="D33" s="82" t="s">
        <v>82</v>
      </c>
      <c r="E33" s="83"/>
      <c r="F33" s="361">
        <v>36.409999999999997</v>
      </c>
      <c r="G33" s="57">
        <v>3762.9</v>
      </c>
      <c r="H33" s="84">
        <f t="shared" si="22"/>
        <v>137007.18899999998</v>
      </c>
      <c r="I33" s="441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2235.3861386138606</v>
      </c>
      <c r="O33" s="47">
        <f t="shared" si="24"/>
        <v>223.53861386138607</v>
      </c>
      <c r="P33" s="48">
        <f t="shared" si="18"/>
        <v>0</v>
      </c>
      <c r="Q33" s="49">
        <f t="shared" si="19"/>
        <v>-53.361386138613909</v>
      </c>
      <c r="R33" s="431">
        <f t="shared" si="20"/>
        <v>0.80729004644776481</v>
      </c>
      <c r="S33" s="681"/>
      <c r="T33" s="89">
        <v>0.28750000000000003</v>
      </c>
      <c r="U33" s="89">
        <v>0.35763888888888895</v>
      </c>
      <c r="V33" s="441">
        <v>22</v>
      </c>
      <c r="W33" s="90">
        <f t="shared" si="25"/>
        <v>101.00000000000004</v>
      </c>
      <c r="X33" s="124">
        <v>0.27569444444444446</v>
      </c>
      <c r="Y33" s="124">
        <v>0.28472222222222221</v>
      </c>
      <c r="Z33" s="125"/>
      <c r="AA33" s="125"/>
      <c r="AB33" s="658"/>
      <c r="AC33" s="658"/>
      <c r="AD33" s="441"/>
      <c r="AE33" s="441"/>
      <c r="AF33" s="48">
        <f t="shared" si="6"/>
        <v>-533.61386138613943</v>
      </c>
      <c r="AG33" s="126">
        <f t="shared" si="7"/>
        <v>0.8072900464477647</v>
      </c>
      <c r="AH33" s="672"/>
    </row>
    <row r="34" spans="1:34" ht="19.2" customHeight="1">
      <c r="A34" s="689"/>
      <c r="B34" s="122" t="s">
        <v>185</v>
      </c>
      <c r="C34" s="127"/>
      <c r="D34" s="82" t="s">
        <v>270</v>
      </c>
      <c r="E34" s="83"/>
      <c r="F34" s="361">
        <v>54.09</v>
      </c>
      <c r="G34" s="57">
        <v>2670.75</v>
      </c>
      <c r="H34" s="84">
        <f t="shared" si="22"/>
        <v>144460.86750000002</v>
      </c>
      <c r="I34" s="441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1261.7716535433069</v>
      </c>
      <c r="O34" s="47">
        <f t="shared" si="24"/>
        <v>70.098425196850386</v>
      </c>
      <c r="P34" s="48">
        <f t="shared" si="18"/>
        <v>0</v>
      </c>
      <c r="Q34" s="49">
        <f t="shared" si="19"/>
        <v>-13.234908136482943</v>
      </c>
      <c r="R34" s="431">
        <f t="shared" si="20"/>
        <v>0.84118110236220467</v>
      </c>
      <c r="S34" s="681"/>
      <c r="T34" s="89">
        <v>0.36250000000000004</v>
      </c>
      <c r="U34" s="89">
        <v>0.45069444444444451</v>
      </c>
      <c r="V34" s="441">
        <v>7</v>
      </c>
      <c r="W34" s="90">
        <f t="shared" si="25"/>
        <v>127.00000000000003</v>
      </c>
      <c r="X34" s="124"/>
      <c r="Y34" s="124"/>
      <c r="Z34" s="125"/>
      <c r="AA34" s="125"/>
      <c r="AB34" s="658"/>
      <c r="AC34" s="658"/>
      <c r="AD34" s="441"/>
      <c r="AE34" s="441"/>
      <c r="AF34" s="48">
        <f t="shared" si="6"/>
        <v>-238.22834645669309</v>
      </c>
      <c r="AG34" s="126">
        <f t="shared" si="7"/>
        <v>0.84118110236220456</v>
      </c>
      <c r="AH34" s="672"/>
    </row>
    <row r="35" spans="1:34" ht="19.2" customHeight="1">
      <c r="A35" s="689"/>
      <c r="B35" s="122" t="s">
        <v>185</v>
      </c>
      <c r="C35" s="41"/>
      <c r="D35" s="42" t="s">
        <v>308</v>
      </c>
      <c r="E35" s="43"/>
      <c r="F35" s="361">
        <v>50.67</v>
      </c>
      <c r="G35" s="128">
        <v>2140</v>
      </c>
      <c r="H35" s="84">
        <f t="shared" si="22"/>
        <v>108433.8</v>
      </c>
      <c r="I35" s="427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1234.6153846153852</v>
      </c>
      <c r="O35" s="47">
        <f t="shared" si="24"/>
        <v>68.58974358974362</v>
      </c>
      <c r="P35" s="48">
        <f t="shared" si="18"/>
        <v>0</v>
      </c>
      <c r="Q35" s="49">
        <f t="shared" si="19"/>
        <v>-14.743589743589709</v>
      </c>
      <c r="R35" s="431">
        <f t="shared" si="20"/>
        <v>0.82307692307692348</v>
      </c>
      <c r="S35" s="681"/>
      <c r="T35" s="89">
        <v>0.49097222222222225</v>
      </c>
      <c r="U35" s="89">
        <v>0.56319444444444444</v>
      </c>
      <c r="V35" s="441">
        <v>5</v>
      </c>
      <c r="W35" s="90">
        <f t="shared" si="25"/>
        <v>103.99999999999994</v>
      </c>
      <c r="X35" s="124"/>
      <c r="Y35" s="124"/>
      <c r="Z35" s="125"/>
      <c r="AA35" s="125"/>
      <c r="AB35" s="658"/>
      <c r="AC35" s="658"/>
      <c r="AD35" s="441"/>
      <c r="AE35" s="441"/>
      <c r="AF35" s="117">
        <f t="shared" si="6"/>
        <v>-265.38461538461479</v>
      </c>
      <c r="AG35" s="121">
        <f t="shared" si="7"/>
        <v>0.82307692307692348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441"/>
      <c r="J36" s="46"/>
      <c r="K36" s="44"/>
      <c r="L36" s="47"/>
      <c r="M36" s="46"/>
      <c r="N36" s="44"/>
      <c r="O36" s="47"/>
      <c r="P36" s="48"/>
      <c r="Q36" s="49"/>
      <c r="R36" s="431"/>
      <c r="S36" s="681"/>
      <c r="T36" s="89"/>
      <c r="U36" s="89"/>
      <c r="V36" s="441"/>
      <c r="W36" s="90">
        <f t="shared" si="25"/>
        <v>0</v>
      </c>
      <c r="X36" s="124"/>
      <c r="Y36" s="124"/>
      <c r="Z36" s="125"/>
      <c r="AA36" s="125"/>
      <c r="AB36" s="658"/>
      <c r="AC36" s="658"/>
      <c r="AD36" s="441"/>
      <c r="AE36" s="441"/>
      <c r="AF36" s="48">
        <f t="shared" si="6"/>
        <v>0</v>
      </c>
      <c r="AG36" s="431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441"/>
      <c r="J37" s="46"/>
      <c r="K37" s="44"/>
      <c r="L37" s="47"/>
      <c r="M37" s="46"/>
      <c r="N37" s="44"/>
      <c r="O37" s="47"/>
      <c r="P37" s="48"/>
      <c r="Q37" s="49"/>
      <c r="R37" s="431"/>
      <c r="S37" s="681"/>
      <c r="T37" s="89"/>
      <c r="U37" s="89"/>
      <c r="V37" s="441"/>
      <c r="W37" s="90">
        <f t="shared" si="25"/>
        <v>0</v>
      </c>
      <c r="X37" s="124"/>
      <c r="Y37" s="124"/>
      <c r="Z37" s="125"/>
      <c r="AA37" s="125"/>
      <c r="AB37" s="658"/>
      <c r="AC37" s="658"/>
      <c r="AD37" s="441"/>
      <c r="AE37" s="441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441"/>
      <c r="J38" s="46"/>
      <c r="K38" s="44"/>
      <c r="L38" s="47"/>
      <c r="M38" s="430"/>
      <c r="N38" s="44"/>
      <c r="O38" s="47"/>
      <c r="P38" s="48"/>
      <c r="Q38" s="49"/>
      <c r="R38" s="431"/>
      <c r="S38" s="681"/>
      <c r="T38" s="89"/>
      <c r="U38" s="89"/>
      <c r="V38" s="441"/>
      <c r="W38" s="90">
        <f t="shared" si="25"/>
        <v>0</v>
      </c>
      <c r="X38" s="124"/>
      <c r="Y38" s="124"/>
      <c r="Z38" s="125"/>
      <c r="AA38" s="125"/>
      <c r="AB38" s="658"/>
      <c r="AC38" s="658"/>
      <c r="AD38" s="441"/>
      <c r="AE38" s="441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441"/>
      <c r="J39" s="46"/>
      <c r="K39" s="44"/>
      <c r="L39" s="47"/>
      <c r="M39" s="430"/>
      <c r="N39" s="44"/>
      <c r="O39" s="47"/>
      <c r="P39" s="48"/>
      <c r="Q39" s="49"/>
      <c r="R39" s="431"/>
      <c r="S39" s="681"/>
      <c r="T39" s="89"/>
      <c r="U39" s="89"/>
      <c r="V39" s="441"/>
      <c r="W39" s="90">
        <f t="shared" si="25"/>
        <v>0</v>
      </c>
      <c r="X39" s="124"/>
      <c r="Y39" s="124"/>
      <c r="Z39" s="125"/>
      <c r="AA39" s="125"/>
      <c r="AB39" s="658"/>
      <c r="AC39" s="658"/>
      <c r="AD39" s="441"/>
      <c r="AE39" s="441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27"/>
      <c r="J40" s="132"/>
      <c r="K40" s="133"/>
      <c r="L40" s="134"/>
      <c r="M40" s="425"/>
      <c r="N40" s="44"/>
      <c r="O40" s="47"/>
      <c r="P40" s="48"/>
      <c r="Q40" s="49"/>
      <c r="R40" s="431"/>
      <c r="S40" s="681"/>
      <c r="T40" s="89"/>
      <c r="U40" s="89"/>
      <c r="V40" s="441"/>
      <c r="W40" s="90">
        <f t="shared" si="25"/>
        <v>0</v>
      </c>
      <c r="X40" s="124"/>
      <c r="Y40" s="124"/>
      <c r="Z40" s="125"/>
      <c r="AA40" s="125"/>
      <c r="AB40" s="658"/>
      <c r="AC40" s="658"/>
      <c r="AD40" s="441"/>
      <c r="AE40" s="441"/>
      <c r="AF40" s="48">
        <f t="shared" si="6"/>
        <v>0</v>
      </c>
      <c r="AG40" s="431" t="e">
        <f t="shared" si="7"/>
        <v>#DIV/0!</v>
      </c>
      <c r="AH40" s="673"/>
    </row>
    <row r="41" spans="1:34" ht="19.2" customHeight="1">
      <c r="A41" s="689"/>
      <c r="B41" s="441">
        <v>0</v>
      </c>
      <c r="C41" s="55"/>
      <c r="D41" s="82"/>
      <c r="E41" s="83"/>
      <c r="F41" s="361" t="s">
        <v>186</v>
      </c>
      <c r="G41" s="57"/>
      <c r="H41" s="84"/>
      <c r="I41" s="441"/>
      <c r="J41" s="87"/>
      <c r="K41" s="57"/>
      <c r="L41" s="86"/>
      <c r="M41" s="430"/>
      <c r="N41" s="57"/>
      <c r="O41" s="86"/>
      <c r="P41" s="54"/>
      <c r="Q41" s="88"/>
      <c r="R41" s="434"/>
      <c r="S41" s="681"/>
      <c r="T41" s="89"/>
      <c r="U41" s="89"/>
      <c r="V41" s="441"/>
      <c r="W41" s="90">
        <f t="shared" si="25"/>
        <v>0</v>
      </c>
      <c r="X41" s="124"/>
      <c r="Y41" s="124"/>
      <c r="Z41" s="125"/>
      <c r="AA41" s="125"/>
      <c r="AB41" s="658"/>
      <c r="AC41" s="658"/>
      <c r="AD41" s="441"/>
      <c r="AE41" s="441"/>
      <c r="AF41" s="48"/>
      <c r="AG41" s="130"/>
      <c r="AH41" s="673"/>
    </row>
    <row r="42" spans="1:34" ht="19.2" customHeight="1">
      <c r="A42" s="689"/>
      <c r="B42" s="441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441"/>
      <c r="J42" s="87"/>
      <c r="K42" s="57"/>
      <c r="L42" s="86"/>
      <c r="M42" s="430"/>
      <c r="N42" s="57"/>
      <c r="O42" s="86"/>
      <c r="P42" s="54"/>
      <c r="Q42" s="88"/>
      <c r="R42" s="434"/>
      <c r="S42" s="681"/>
      <c r="T42" s="89"/>
      <c r="U42" s="89"/>
      <c r="V42" s="441"/>
      <c r="W42" s="90">
        <f t="shared" si="25"/>
        <v>0</v>
      </c>
      <c r="X42" s="124"/>
      <c r="Y42" s="124"/>
      <c r="Z42" s="125"/>
      <c r="AA42" s="125"/>
      <c r="AB42" s="658"/>
      <c r="AC42" s="658"/>
      <c r="AD42" s="441"/>
      <c r="AE42" s="441"/>
      <c r="AF42" s="48"/>
      <c r="AG42" s="130"/>
      <c r="AH42" s="673"/>
    </row>
    <row r="43" spans="1:34" ht="19.2" customHeight="1">
      <c r="A43" s="689"/>
      <c r="B43" s="122">
        <v>0</v>
      </c>
      <c r="C43" s="100" t="s">
        <v>346</v>
      </c>
      <c r="D43" s="687" t="s">
        <v>347</v>
      </c>
      <c r="E43" s="687"/>
      <c r="F43" s="365"/>
      <c r="G43" s="101"/>
      <c r="H43" s="102"/>
      <c r="I43" s="103"/>
      <c r="J43" s="101">
        <v>14</v>
      </c>
      <c r="K43" s="101">
        <v>2001</v>
      </c>
      <c r="L43" s="104">
        <v>159.31333333333333</v>
      </c>
      <c r="M43" s="101">
        <f t="shared" ref="M43:O43" si="26">AVERAGE(M31:M42)</f>
        <v>14</v>
      </c>
      <c r="N43" s="101">
        <f t="shared" si="26"/>
        <v>1691.2134096217353</v>
      </c>
      <c r="O43" s="104">
        <f t="shared" si="26"/>
        <v>134.51692105186473</v>
      </c>
      <c r="P43" s="54">
        <f>M43-J43</f>
        <v>0</v>
      </c>
      <c r="Q43" s="88">
        <f>N43-K43</f>
        <v>-309.78659037826469</v>
      </c>
      <c r="R43" s="105">
        <f t="shared" ref="R43:R48" si="27">O43/L43</f>
        <v>0.84435444439802942</v>
      </c>
      <c r="S43" s="681"/>
      <c r="T43" s="89"/>
      <c r="U43" s="89"/>
      <c r="V43" s="441"/>
      <c r="W43" s="441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0</v>
      </c>
      <c r="AE43" s="107">
        <f>SUM(AE31:AE42)</f>
        <v>0</v>
      </c>
      <c r="AF43" s="48">
        <f t="shared" ref="AF43:AF54" si="28">N43-K43</f>
        <v>-309.78659037826469</v>
      </c>
      <c r="AG43" s="432">
        <f t="shared" si="7"/>
        <v>0.84518411275449046</v>
      </c>
      <c r="AH43" s="673"/>
    </row>
    <row r="44" spans="1:34" s="148" customFormat="1" ht="19.2" customHeight="1">
      <c r="A44" s="691" t="s">
        <v>348</v>
      </c>
      <c r="B44" s="97" t="s">
        <v>184</v>
      </c>
      <c r="C44" s="136"/>
      <c r="D44" s="42" t="s">
        <v>100</v>
      </c>
      <c r="E44" s="43"/>
      <c r="F44" s="368">
        <v>22.27</v>
      </c>
      <c r="G44" s="137">
        <v>364</v>
      </c>
      <c r="H44" s="45">
        <f>F44*G44</f>
        <v>8106.28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8" si="29">G44/W44*60</f>
        <v>1820.0000000000005</v>
      </c>
      <c r="O44" s="141">
        <f t="shared" ref="O44:O48" si="30">N44/M44</f>
        <v>364.00000000000011</v>
      </c>
      <c r="P44" s="51">
        <f t="shared" ref="P44:P48" si="31">M44-J44</f>
        <v>1</v>
      </c>
      <c r="Q44" s="142">
        <f t="shared" ref="Q44:Q48" si="32">O44-L44</f>
        <v>-135.99999999999989</v>
      </c>
      <c r="R44" s="143">
        <f t="shared" si="27"/>
        <v>0.7280000000000002</v>
      </c>
      <c r="S44" s="672">
        <f>R56</f>
        <v>0.84537844071324297</v>
      </c>
      <c r="T44" s="144">
        <v>0.16666666666666666</v>
      </c>
      <c r="U44" s="144">
        <v>0.17499999999999999</v>
      </c>
      <c r="V44" s="145">
        <v>5</v>
      </c>
      <c r="W44" s="146">
        <f t="shared" ref="W44:W56" si="33">(U44-T44)*24*60</f>
        <v>11.999999999999996</v>
      </c>
      <c r="X44" s="124"/>
      <c r="Y44" s="124"/>
      <c r="Z44" s="125"/>
      <c r="AA44" s="125"/>
      <c r="AB44" s="658"/>
      <c r="AC44" s="658"/>
      <c r="AD44" s="441">
        <v>1</v>
      </c>
      <c r="AE44" s="441"/>
      <c r="AF44" s="147">
        <f t="shared" si="28"/>
        <v>-179.99999999999955</v>
      </c>
      <c r="AG44" s="436">
        <f t="shared" si="7"/>
        <v>0.91000000000000025</v>
      </c>
      <c r="AH44" s="694">
        <f>AG56</f>
        <v>1.0157975549106923</v>
      </c>
    </row>
    <row r="45" spans="1:34" s="148" customFormat="1" ht="19.2" customHeight="1">
      <c r="A45" s="692"/>
      <c r="B45" s="97" t="s">
        <v>184</v>
      </c>
      <c r="C45" s="136"/>
      <c r="D45" s="42" t="s">
        <v>98</v>
      </c>
      <c r="E45" s="43"/>
      <c r="F45" s="368">
        <v>24.73</v>
      </c>
      <c r="G45" s="137">
        <v>2475</v>
      </c>
      <c r="H45" s="45">
        <f>F45*G45</f>
        <v>61206.75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2183.8235294117649</v>
      </c>
      <c r="O45" s="141">
        <f t="shared" si="30"/>
        <v>436.76470588235298</v>
      </c>
      <c r="P45" s="51">
        <f t="shared" si="31"/>
        <v>1</v>
      </c>
      <c r="Q45" s="142">
        <f t="shared" si="32"/>
        <v>-63.235294117647015</v>
      </c>
      <c r="R45" s="143">
        <f t="shared" si="27"/>
        <v>0.873529411764706</v>
      </c>
      <c r="S45" s="672"/>
      <c r="T45" s="144">
        <v>0.1784722222222222</v>
      </c>
      <c r="U45" s="144">
        <v>0.22569444444444442</v>
      </c>
      <c r="V45" s="145">
        <v>5</v>
      </c>
      <c r="W45" s="146">
        <f t="shared" si="33"/>
        <v>68</v>
      </c>
      <c r="X45" s="124"/>
      <c r="Y45" s="124"/>
      <c r="Z45" s="125"/>
      <c r="AA45" s="125"/>
      <c r="AB45" s="658"/>
      <c r="AC45" s="658"/>
      <c r="AD45" s="441"/>
      <c r="AE45" s="441"/>
      <c r="AF45" s="147">
        <f t="shared" si="28"/>
        <v>183.82352941176487</v>
      </c>
      <c r="AG45" s="436">
        <f t="shared" si="7"/>
        <v>1.0919117647058825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99</v>
      </c>
      <c r="E46" s="43"/>
      <c r="F46" s="368">
        <v>24.73</v>
      </c>
      <c r="G46" s="137">
        <v>2384</v>
      </c>
      <c r="H46" s="45">
        <f t="shared" ref="H46:H50" si="34">F46*G46</f>
        <v>58956.32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2200.6153846153838</v>
      </c>
      <c r="O46" s="141">
        <f t="shared" si="30"/>
        <v>440.12307692307678</v>
      </c>
      <c r="P46" s="51">
        <f t="shared" si="31"/>
        <v>1</v>
      </c>
      <c r="Q46" s="142">
        <f t="shared" si="32"/>
        <v>-59.876923076923219</v>
      </c>
      <c r="R46" s="143">
        <f t="shared" si="27"/>
        <v>0.88024615384615357</v>
      </c>
      <c r="S46" s="672"/>
      <c r="T46" s="144">
        <v>0.22916666666666663</v>
      </c>
      <c r="U46" s="144">
        <v>0.27430555555555552</v>
      </c>
      <c r="V46" s="145">
        <v>5</v>
      </c>
      <c r="W46" s="146">
        <f t="shared" si="33"/>
        <v>65.000000000000014</v>
      </c>
      <c r="X46" s="124"/>
      <c r="Y46" s="124"/>
      <c r="Z46" s="125"/>
      <c r="AA46" s="125"/>
      <c r="AB46" s="658"/>
      <c r="AC46" s="658"/>
      <c r="AD46" s="441"/>
      <c r="AE46" s="441"/>
      <c r="AF46" s="147">
        <f t="shared" si="28"/>
        <v>200.61538461538385</v>
      </c>
      <c r="AG46" s="436">
        <f t="shared" si="7"/>
        <v>1.100307692307692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349</v>
      </c>
      <c r="E47" s="151"/>
      <c r="F47" s="368">
        <v>31.43</v>
      </c>
      <c r="G47" s="140">
        <v>2175</v>
      </c>
      <c r="H47" s="45">
        <f t="shared" si="34"/>
        <v>68360.25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1466.2921348314608</v>
      </c>
      <c r="O47" s="141">
        <f t="shared" si="30"/>
        <v>209.47030497592297</v>
      </c>
      <c r="P47" s="51">
        <f t="shared" si="31"/>
        <v>0</v>
      </c>
      <c r="Q47" s="142">
        <f t="shared" si="32"/>
        <v>-4.8154093097913062</v>
      </c>
      <c r="R47" s="143">
        <f t="shared" si="27"/>
        <v>0.97752808988764062</v>
      </c>
      <c r="S47" s="672"/>
      <c r="T47" s="144">
        <v>0.29166666666666663</v>
      </c>
      <c r="U47" s="144">
        <v>0.35347222222222219</v>
      </c>
      <c r="V47" s="140">
        <v>25</v>
      </c>
      <c r="W47" s="146">
        <f t="shared" si="33"/>
        <v>89</v>
      </c>
      <c r="X47" s="124">
        <v>0.27777777777777779</v>
      </c>
      <c r="Y47" s="124">
        <v>0.28888888888888892</v>
      </c>
      <c r="Z47" s="125"/>
      <c r="AA47" s="125"/>
      <c r="AB47" s="658"/>
      <c r="AC47" s="658"/>
      <c r="AD47" s="441"/>
      <c r="AE47" s="441"/>
      <c r="AF47" s="147">
        <f t="shared" si="28"/>
        <v>-33.707865168539229</v>
      </c>
      <c r="AG47" s="436">
        <f t="shared" si="7"/>
        <v>0.97752808988764051</v>
      </c>
      <c r="AH47" s="694"/>
    </row>
    <row r="48" spans="1:34" s="148" customFormat="1" ht="19.2" customHeight="1">
      <c r="A48" s="692"/>
      <c r="B48" s="97" t="s">
        <v>185</v>
      </c>
      <c r="C48" s="136"/>
      <c r="D48" s="153" t="s">
        <v>85</v>
      </c>
      <c r="E48" s="151"/>
      <c r="F48" s="368">
        <v>10.09</v>
      </c>
      <c r="G48" s="140">
        <v>15254</v>
      </c>
      <c r="H48" s="45">
        <f t="shared" si="34"/>
        <v>153912.85999999999</v>
      </c>
      <c r="I48" s="149"/>
      <c r="J48" s="139">
        <v>6</v>
      </c>
      <c r="K48" s="140">
        <v>1500</v>
      </c>
      <c r="L48" s="141">
        <v>250</v>
      </c>
      <c r="M48" s="152">
        <v>7</v>
      </c>
      <c r="N48" s="140">
        <f t="shared" si="29"/>
        <v>1471.4469453376209</v>
      </c>
      <c r="O48" s="141">
        <f t="shared" si="30"/>
        <v>210.20670647680299</v>
      </c>
      <c r="P48" s="51">
        <f t="shared" si="31"/>
        <v>1</v>
      </c>
      <c r="Q48" s="142">
        <f t="shared" si="32"/>
        <v>-39.793293523197008</v>
      </c>
      <c r="R48" s="143">
        <f t="shared" si="27"/>
        <v>0.84082682590721192</v>
      </c>
      <c r="S48" s="672"/>
      <c r="T48" s="154">
        <v>0.3743055555555555</v>
      </c>
      <c r="U48" s="154">
        <v>0.80624999999999991</v>
      </c>
      <c r="V48" s="137">
        <v>30</v>
      </c>
      <c r="W48" s="146">
        <f t="shared" si="33"/>
        <v>621.99999999999989</v>
      </c>
      <c r="X48" s="124">
        <v>0.35694444444444445</v>
      </c>
      <c r="Y48" s="124">
        <v>0.37152777777777773</v>
      </c>
      <c r="Z48" s="125"/>
      <c r="AA48" s="125"/>
      <c r="AB48" s="658"/>
      <c r="AC48" s="658"/>
      <c r="AD48" s="441"/>
      <c r="AE48" s="441"/>
      <c r="AF48" s="147">
        <f t="shared" si="28"/>
        <v>-28.553054662379054</v>
      </c>
      <c r="AG48" s="436">
        <f t="shared" si="7"/>
        <v>0.98096463022508062</v>
      </c>
      <c r="AH48" s="694"/>
    </row>
    <row r="49" spans="1:34" s="148" customFormat="1" ht="19.2" customHeight="1">
      <c r="A49" s="692"/>
      <c r="B49" s="97">
        <v>0</v>
      </c>
      <c r="C49" s="136"/>
      <c r="D49" s="153"/>
      <c r="E49" s="151"/>
      <c r="F49" s="368" t="s">
        <v>186</v>
      </c>
      <c r="G49" s="137"/>
      <c r="H49" s="45">
        <f t="shared" si="34"/>
        <v>0</v>
      </c>
      <c r="I49" s="149"/>
      <c r="J49" s="139"/>
      <c r="K49" s="140"/>
      <c r="L49" s="141"/>
      <c r="M49" s="152"/>
      <c r="N49" s="140"/>
      <c r="O49" s="141"/>
      <c r="P49" s="51"/>
      <c r="Q49" s="142"/>
      <c r="R49" s="143"/>
      <c r="S49" s="672"/>
      <c r="T49" s="154"/>
      <c r="U49" s="154"/>
      <c r="V49" s="137"/>
      <c r="W49" s="146"/>
      <c r="X49" s="155"/>
      <c r="Y49" s="155"/>
      <c r="Z49" s="156"/>
      <c r="AA49" s="125"/>
      <c r="AB49" s="658"/>
      <c r="AC49" s="658"/>
      <c r="AD49" s="441"/>
      <c r="AE49" s="441"/>
      <c r="AF49" s="147">
        <f t="shared" si="28"/>
        <v>0</v>
      </c>
      <c r="AG49" s="436" t="e">
        <f t="shared" si="7"/>
        <v>#DIV/0!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441"/>
      <c r="AE50" s="441"/>
      <c r="AF50" s="147">
        <f t="shared" si="28"/>
        <v>0</v>
      </c>
      <c r="AG50" s="436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441"/>
      <c r="AE51" s="441"/>
      <c r="AF51" s="147">
        <f t="shared" si="28"/>
        <v>0</v>
      </c>
      <c r="AG51" s="436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34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441"/>
      <c r="AE52" s="441"/>
      <c r="AF52" s="147">
        <f t="shared" si="28"/>
        <v>0</v>
      </c>
      <c r="AG52" s="436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34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441"/>
      <c r="AE53" s="441"/>
      <c r="AF53" s="147">
        <f t="shared" si="28"/>
        <v>0</v>
      </c>
      <c r="AG53" s="436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34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441"/>
      <c r="AE54" s="441"/>
      <c r="AF54" s="147">
        <f t="shared" si="28"/>
        <v>0</v>
      </c>
      <c r="AG54" s="436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34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441"/>
      <c r="AE55" s="441"/>
      <c r="AF55" s="147"/>
      <c r="AG55" s="436"/>
      <c r="AH55" s="694"/>
    </row>
    <row r="56" spans="1:34" ht="19.2" customHeight="1">
      <c r="A56" s="693"/>
      <c r="B56" s="160">
        <v>0</v>
      </c>
      <c r="C56" s="100" t="s">
        <v>350</v>
      </c>
      <c r="D56" s="687" t="s">
        <v>351</v>
      </c>
      <c r="E56" s="687"/>
      <c r="F56" s="365"/>
      <c r="G56" s="101"/>
      <c r="H56" s="102"/>
      <c r="I56" s="103"/>
      <c r="J56" s="101">
        <v>5</v>
      </c>
      <c r="K56" s="101">
        <v>1800</v>
      </c>
      <c r="L56" s="104">
        <v>392.85714285714283</v>
      </c>
      <c r="M56" s="101">
        <f t="shared" ref="M56:O56" si="35">AVERAGE(M44:M55)</f>
        <v>5.8</v>
      </c>
      <c r="N56" s="101">
        <f t="shared" si="35"/>
        <v>1828.435598839246</v>
      </c>
      <c r="O56" s="104">
        <f t="shared" si="35"/>
        <v>332.11295885163116</v>
      </c>
      <c r="P56" s="161">
        <f>M56-J56</f>
        <v>0.79999999999999982</v>
      </c>
      <c r="Q56" s="118">
        <f>N56-K56</f>
        <v>28.43559883924604</v>
      </c>
      <c r="R56" s="162">
        <f t="shared" ref="R56:R60" si="36">O56/L56</f>
        <v>0.84537844071324297</v>
      </c>
      <c r="S56" s="672"/>
      <c r="T56" s="163"/>
      <c r="U56" s="163"/>
      <c r="V56" s="42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1</v>
      </c>
      <c r="AE56" s="107">
        <f>SUM(AE44:AE55)</f>
        <v>0</v>
      </c>
      <c r="AF56" s="165">
        <f>N56-K56</f>
        <v>28.43559883924604</v>
      </c>
      <c r="AG56" s="434">
        <f>N56/K56</f>
        <v>1.0157975549106923</v>
      </c>
      <c r="AH56" s="694"/>
    </row>
    <row r="57" spans="1:34" ht="19.2" customHeight="1">
      <c r="A57" s="697" t="s">
        <v>352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1876</v>
      </c>
      <c r="H57" s="84">
        <f t="shared" ref="H57:H66" si="37">F57*G57</f>
        <v>53015.76</v>
      </c>
      <c r="I57" s="441"/>
      <c r="J57" s="87">
        <v>7</v>
      </c>
      <c r="K57" s="57">
        <v>1500</v>
      </c>
      <c r="L57" s="86">
        <v>214.28571428571428</v>
      </c>
      <c r="M57" s="430">
        <v>7</v>
      </c>
      <c r="N57" s="57">
        <f t="shared" ref="N57:N60" si="38">G57/W57*60</f>
        <v>1481.0526315789471</v>
      </c>
      <c r="O57" s="86">
        <f t="shared" ref="O57:O60" si="39">N57/M57</f>
        <v>211.57894736842101</v>
      </c>
      <c r="P57" s="168">
        <f t="shared" ref="P57:P60" si="40">M57-J57</f>
        <v>0</v>
      </c>
      <c r="Q57" s="49">
        <f t="shared" ref="Q57:Q60" si="41">O57-L57</f>
        <v>-2.7067669172932654</v>
      </c>
      <c r="R57" s="431">
        <f t="shared" si="36"/>
        <v>0.98736842105263145</v>
      </c>
      <c r="S57" s="672">
        <f>R69</f>
        <v>0.94077383268242398</v>
      </c>
      <c r="T57" s="144">
        <v>0.16666666666666666</v>
      </c>
      <c r="U57" s="144">
        <v>0.21944444444444444</v>
      </c>
      <c r="V57" s="427">
        <v>5</v>
      </c>
      <c r="W57" s="424">
        <f>(U57-T57)*24*60</f>
        <v>76.000000000000014</v>
      </c>
      <c r="X57" s="53"/>
      <c r="Y57" s="53"/>
      <c r="Z57" s="54"/>
      <c r="AA57" s="54"/>
      <c r="AB57" s="658"/>
      <c r="AC57" s="658"/>
      <c r="AD57" s="441"/>
      <c r="AE57" s="441"/>
      <c r="AF57" s="48">
        <f t="shared" si="6"/>
        <v>-18.947368421052943</v>
      </c>
      <c r="AG57" s="435">
        <f t="shared" si="7"/>
        <v>0.98736842105263134</v>
      </c>
      <c r="AH57" s="686">
        <f>AG69</f>
        <v>0.97997274237752496</v>
      </c>
    </row>
    <row r="58" spans="1:34" ht="19.2" customHeight="1">
      <c r="A58" s="654"/>
      <c r="B58" s="97" t="s">
        <v>183</v>
      </c>
      <c r="C58" s="437"/>
      <c r="D58" s="42" t="s">
        <v>88</v>
      </c>
      <c r="E58" s="43"/>
      <c r="F58" s="361">
        <v>27.88</v>
      </c>
      <c r="G58" s="137">
        <v>3241</v>
      </c>
      <c r="H58" s="45">
        <f t="shared" si="37"/>
        <v>90359.08</v>
      </c>
      <c r="I58" s="427"/>
      <c r="J58" s="46">
        <v>7</v>
      </c>
      <c r="K58" s="44">
        <v>1500</v>
      </c>
      <c r="L58" s="86">
        <v>214.28571428571428</v>
      </c>
      <c r="M58" s="425">
        <v>7</v>
      </c>
      <c r="N58" s="44">
        <f t="shared" si="38"/>
        <v>1507.441860465116</v>
      </c>
      <c r="O58" s="47">
        <f t="shared" si="39"/>
        <v>215.34883720930227</v>
      </c>
      <c r="P58" s="168">
        <f t="shared" si="40"/>
        <v>0</v>
      </c>
      <c r="Q58" s="49">
        <f t="shared" si="41"/>
        <v>1.0631229235879971</v>
      </c>
      <c r="R58" s="431">
        <f t="shared" si="36"/>
        <v>1.0049612403100774</v>
      </c>
      <c r="S58" s="672"/>
      <c r="T58" s="169">
        <v>0.23333333333333334</v>
      </c>
      <c r="U58" s="169">
        <v>0.32291666666666669</v>
      </c>
      <c r="V58" s="427">
        <v>20</v>
      </c>
      <c r="W58" s="424">
        <f>(U58-T58)*24*60</f>
        <v>129.00000000000003</v>
      </c>
      <c r="X58" s="53">
        <v>0.22291666666666665</v>
      </c>
      <c r="Y58" s="53">
        <v>0.23055555555555554</v>
      </c>
      <c r="Z58" s="54"/>
      <c r="AA58" s="54"/>
      <c r="AB58" s="695"/>
      <c r="AC58" s="696"/>
      <c r="AD58" s="441"/>
      <c r="AE58" s="441"/>
      <c r="AF58" s="48">
        <f t="shared" si="6"/>
        <v>7.4418604651159512</v>
      </c>
      <c r="AG58" s="431">
        <f t="shared" si="7"/>
        <v>1.0049612403100774</v>
      </c>
      <c r="AH58" s="672"/>
    </row>
    <row r="59" spans="1:34" ht="19.2" customHeight="1">
      <c r="A59" s="654"/>
      <c r="B59" s="97" t="s">
        <v>183</v>
      </c>
      <c r="C59" s="437"/>
      <c r="D59" s="42" t="s">
        <v>89</v>
      </c>
      <c r="E59" s="43"/>
      <c r="F59" s="361">
        <v>28</v>
      </c>
      <c r="G59" s="137">
        <v>1742.3999999999999</v>
      </c>
      <c r="H59" s="45">
        <f t="shared" si="37"/>
        <v>48787.199999999997</v>
      </c>
      <c r="I59" s="427"/>
      <c r="J59" s="46">
        <v>7</v>
      </c>
      <c r="K59" s="44">
        <v>1500</v>
      </c>
      <c r="L59" s="86">
        <v>214.28571428571428</v>
      </c>
      <c r="M59" s="425">
        <v>7</v>
      </c>
      <c r="N59" s="44">
        <f t="shared" si="38"/>
        <v>1472.4507042253522</v>
      </c>
      <c r="O59" s="47">
        <f t="shared" si="39"/>
        <v>210.35010060362174</v>
      </c>
      <c r="P59" s="168">
        <f t="shared" si="40"/>
        <v>0</v>
      </c>
      <c r="Q59" s="49">
        <f t="shared" si="41"/>
        <v>-3.9356136820925371</v>
      </c>
      <c r="R59" s="431">
        <f t="shared" si="36"/>
        <v>0.98163380281690149</v>
      </c>
      <c r="S59" s="672"/>
      <c r="T59" s="169">
        <v>0.34027777777777779</v>
      </c>
      <c r="U59" s="169">
        <v>0.38958333333333334</v>
      </c>
      <c r="V59" s="145">
        <v>25</v>
      </c>
      <c r="W59" s="424">
        <f t="shared" ref="W59:W69" si="42">(U59-T59)*24*60</f>
        <v>70.999999999999986</v>
      </c>
      <c r="X59" s="53">
        <v>0.3263888888888889</v>
      </c>
      <c r="Y59" s="53">
        <v>0.33749999999999997</v>
      </c>
      <c r="Z59" s="54"/>
      <c r="AA59" s="54"/>
      <c r="AB59" s="658"/>
      <c r="AC59" s="658"/>
      <c r="AD59" s="441"/>
      <c r="AE59" s="441"/>
      <c r="AF59" s="48">
        <f t="shared" si="6"/>
        <v>-27.549295774647817</v>
      </c>
      <c r="AG59" s="431">
        <f t="shared" si="7"/>
        <v>0.98163380281690149</v>
      </c>
      <c r="AH59" s="672"/>
    </row>
    <row r="60" spans="1:34" ht="19.2" customHeight="1">
      <c r="A60" s="654"/>
      <c r="B60" s="97" t="s">
        <v>183</v>
      </c>
      <c r="C60" s="437"/>
      <c r="D60" s="42" t="s">
        <v>353</v>
      </c>
      <c r="E60" s="43"/>
      <c r="F60" s="361">
        <v>11.26</v>
      </c>
      <c r="G60" s="137">
        <v>11091</v>
      </c>
      <c r="H60" s="45">
        <f t="shared" si="37"/>
        <v>124884.66</v>
      </c>
      <c r="I60" s="427"/>
      <c r="J60" s="46">
        <v>6</v>
      </c>
      <c r="K60" s="44">
        <v>1500</v>
      </c>
      <c r="L60" s="86">
        <v>250</v>
      </c>
      <c r="M60" s="62">
        <v>7</v>
      </c>
      <c r="N60" s="44">
        <f t="shared" si="38"/>
        <v>1418.8912579957353</v>
      </c>
      <c r="O60" s="47">
        <f t="shared" si="39"/>
        <v>202.69875114224789</v>
      </c>
      <c r="P60" s="168">
        <f t="shared" si="40"/>
        <v>1</v>
      </c>
      <c r="Q60" s="49">
        <f t="shared" si="41"/>
        <v>-47.301248857752114</v>
      </c>
      <c r="R60" s="431">
        <f t="shared" si="36"/>
        <v>0.81079500456899156</v>
      </c>
      <c r="S60" s="672"/>
      <c r="T60" s="169">
        <v>0.41041666666666665</v>
      </c>
      <c r="U60" s="169">
        <v>0.73611111111111116</v>
      </c>
      <c r="V60" s="145">
        <v>30</v>
      </c>
      <c r="W60" s="424">
        <f t="shared" si="42"/>
        <v>469.00000000000011</v>
      </c>
      <c r="X60" s="53">
        <v>0.39305555555555555</v>
      </c>
      <c r="Y60" s="53">
        <v>0.40763888888888888</v>
      </c>
      <c r="Z60" s="54"/>
      <c r="AA60" s="54"/>
      <c r="AB60" s="658"/>
      <c r="AC60" s="658"/>
      <c r="AD60" s="441"/>
      <c r="AE60" s="441"/>
      <c r="AF60" s="48">
        <f t="shared" si="6"/>
        <v>-81.108742004264741</v>
      </c>
      <c r="AG60" s="435">
        <f t="shared" si="7"/>
        <v>0.94592750533049019</v>
      </c>
      <c r="AH60" s="672"/>
    </row>
    <row r="61" spans="1:34" ht="19.2" customHeight="1">
      <c r="A61" s="654"/>
      <c r="B61" s="97">
        <v>0</v>
      </c>
      <c r="C61" s="437"/>
      <c r="D61" s="42"/>
      <c r="E61" s="43"/>
      <c r="F61" s="361" t="s">
        <v>186</v>
      </c>
      <c r="G61" s="137"/>
      <c r="H61" s="45">
        <f t="shared" si="37"/>
        <v>0</v>
      </c>
      <c r="I61" s="427"/>
      <c r="J61" s="46"/>
      <c r="K61" s="44"/>
      <c r="L61" s="86"/>
      <c r="M61" s="62"/>
      <c r="N61" s="44"/>
      <c r="O61" s="47"/>
      <c r="P61" s="168"/>
      <c r="Q61" s="49"/>
      <c r="R61" s="431"/>
      <c r="S61" s="672"/>
      <c r="T61" s="169"/>
      <c r="U61" s="169"/>
      <c r="V61" s="145"/>
      <c r="W61" s="424">
        <f t="shared" si="42"/>
        <v>0</v>
      </c>
      <c r="X61" s="53"/>
      <c r="Y61" s="53"/>
      <c r="Z61" s="54"/>
      <c r="AA61" s="54"/>
      <c r="AB61" s="658"/>
      <c r="AC61" s="658"/>
      <c r="AD61" s="441"/>
      <c r="AE61" s="441"/>
      <c r="AF61" s="48">
        <f t="shared" si="6"/>
        <v>0</v>
      </c>
      <c r="AG61" s="431" t="e">
        <f t="shared" si="7"/>
        <v>#DIV/0!</v>
      </c>
      <c r="AH61" s="672"/>
    </row>
    <row r="62" spans="1:34" ht="19.2" customHeight="1">
      <c r="A62" s="654"/>
      <c r="B62" s="97">
        <v>0</v>
      </c>
      <c r="C62" s="437"/>
      <c r="D62" s="42"/>
      <c r="E62" s="43"/>
      <c r="F62" s="361" t="s">
        <v>186</v>
      </c>
      <c r="G62" s="137"/>
      <c r="H62" s="45">
        <f t="shared" si="37"/>
        <v>0</v>
      </c>
      <c r="I62" s="427"/>
      <c r="J62" s="170"/>
      <c r="K62" s="61"/>
      <c r="L62" s="86"/>
      <c r="M62" s="62"/>
      <c r="N62" s="44"/>
      <c r="O62" s="47"/>
      <c r="P62" s="168"/>
      <c r="Q62" s="49"/>
      <c r="R62" s="431"/>
      <c r="S62" s="672"/>
      <c r="T62" s="169"/>
      <c r="U62" s="169"/>
      <c r="V62" s="145"/>
      <c r="W62" s="424">
        <f t="shared" si="42"/>
        <v>0</v>
      </c>
      <c r="X62" s="53"/>
      <c r="Y62" s="53"/>
      <c r="Z62" s="54"/>
      <c r="AA62" s="54"/>
      <c r="AB62" s="658"/>
      <c r="AC62" s="658"/>
      <c r="AD62" s="441"/>
      <c r="AE62" s="441"/>
      <c r="AF62" s="48">
        <f t="shared" si="6"/>
        <v>0</v>
      </c>
      <c r="AG62" s="431" t="e">
        <f t="shared" si="7"/>
        <v>#DIV/0!</v>
      </c>
      <c r="AH62" s="672"/>
    </row>
    <row r="63" spans="1:34" ht="19.2" customHeight="1">
      <c r="A63" s="654"/>
      <c r="B63" s="97">
        <v>0</v>
      </c>
      <c r="C63" s="437"/>
      <c r="D63" s="42"/>
      <c r="E63" s="43"/>
      <c r="F63" s="361" t="s">
        <v>186</v>
      </c>
      <c r="G63" s="137"/>
      <c r="H63" s="45">
        <f t="shared" si="37"/>
        <v>0</v>
      </c>
      <c r="I63" s="427"/>
      <c r="J63" s="46"/>
      <c r="K63" s="44"/>
      <c r="L63" s="86"/>
      <c r="M63" s="62"/>
      <c r="N63" s="44"/>
      <c r="O63" s="47"/>
      <c r="P63" s="168"/>
      <c r="Q63" s="49"/>
      <c r="R63" s="431"/>
      <c r="S63" s="672"/>
      <c r="T63" s="169"/>
      <c r="U63" s="169"/>
      <c r="V63" s="145"/>
      <c r="W63" s="424">
        <f t="shared" si="42"/>
        <v>0</v>
      </c>
      <c r="X63" s="53"/>
      <c r="Y63" s="53"/>
      <c r="Z63" s="54"/>
      <c r="AA63" s="54"/>
      <c r="AB63" s="658"/>
      <c r="AC63" s="658"/>
      <c r="AD63" s="441"/>
      <c r="AE63" s="441"/>
      <c r="AF63" s="48">
        <f t="shared" si="6"/>
        <v>0</v>
      </c>
      <c r="AG63" s="435" t="e">
        <f t="shared" si="7"/>
        <v>#DIV/0!</v>
      </c>
      <c r="AH63" s="672"/>
    </row>
    <row r="64" spans="1:34" ht="19.2" customHeight="1">
      <c r="A64" s="654"/>
      <c r="B64" s="97">
        <v>0</v>
      </c>
      <c r="C64" s="437"/>
      <c r="D64" s="42"/>
      <c r="E64" s="43"/>
      <c r="F64" s="361" t="s">
        <v>186</v>
      </c>
      <c r="G64" s="137"/>
      <c r="H64" s="45">
        <f t="shared" si="37"/>
        <v>0</v>
      </c>
      <c r="I64" s="427"/>
      <c r="J64" s="170"/>
      <c r="K64" s="61"/>
      <c r="L64" s="86"/>
      <c r="M64" s="62"/>
      <c r="N64" s="44"/>
      <c r="O64" s="47"/>
      <c r="P64" s="168"/>
      <c r="Q64" s="49"/>
      <c r="R64" s="431"/>
      <c r="S64" s="672"/>
      <c r="T64" s="169"/>
      <c r="U64" s="169"/>
      <c r="V64" s="145"/>
      <c r="W64" s="424">
        <f t="shared" si="42"/>
        <v>0</v>
      </c>
      <c r="X64" s="427"/>
      <c r="Y64" s="427"/>
      <c r="Z64" s="54"/>
      <c r="AA64" s="54"/>
      <c r="AB64" s="658"/>
      <c r="AC64" s="658"/>
      <c r="AD64" s="441"/>
      <c r="AE64" s="441"/>
      <c r="AF64" s="48">
        <f t="shared" si="6"/>
        <v>0</v>
      </c>
      <c r="AG64" s="431" t="e">
        <f t="shared" si="7"/>
        <v>#DIV/0!</v>
      </c>
      <c r="AH64" s="672"/>
    </row>
    <row r="65" spans="1:34" ht="19.2" customHeight="1">
      <c r="A65" s="654"/>
      <c r="B65" s="97">
        <v>0</v>
      </c>
      <c r="C65" s="437"/>
      <c r="D65" s="42"/>
      <c r="E65" s="43"/>
      <c r="F65" s="361" t="s">
        <v>186</v>
      </c>
      <c r="G65" s="137"/>
      <c r="H65" s="45">
        <f t="shared" si="37"/>
        <v>0</v>
      </c>
      <c r="I65" s="427"/>
      <c r="J65" s="170"/>
      <c r="K65" s="61"/>
      <c r="L65" s="86"/>
      <c r="M65" s="62"/>
      <c r="N65" s="61"/>
      <c r="O65" s="77"/>
      <c r="P65" s="48"/>
      <c r="Q65" s="49"/>
      <c r="R65" s="431"/>
      <c r="S65" s="672"/>
      <c r="T65" s="169"/>
      <c r="U65" s="169"/>
      <c r="V65" s="145"/>
      <c r="W65" s="424">
        <f t="shared" si="42"/>
        <v>0</v>
      </c>
      <c r="X65" s="427"/>
      <c r="Y65" s="427"/>
      <c r="Z65" s="54"/>
      <c r="AA65" s="54"/>
      <c r="AB65" s="658"/>
      <c r="AC65" s="658"/>
      <c r="AD65" s="441"/>
      <c r="AE65" s="441"/>
      <c r="AF65" s="48">
        <f t="shared" si="6"/>
        <v>0</v>
      </c>
      <c r="AG65" s="431" t="e">
        <f t="shared" si="7"/>
        <v>#DIV/0!</v>
      </c>
      <c r="AH65" s="672"/>
    </row>
    <row r="66" spans="1:34" ht="19.2" customHeight="1">
      <c r="A66" s="654"/>
      <c r="B66" s="97">
        <v>0</v>
      </c>
      <c r="C66" s="437"/>
      <c r="D66" s="42"/>
      <c r="E66" s="43"/>
      <c r="F66" s="361" t="s">
        <v>186</v>
      </c>
      <c r="G66" s="137"/>
      <c r="H66" s="45">
        <f t="shared" si="37"/>
        <v>0</v>
      </c>
      <c r="I66" s="427"/>
      <c r="J66" s="170"/>
      <c r="K66" s="61"/>
      <c r="L66" s="86"/>
      <c r="M66" s="62"/>
      <c r="N66" s="61"/>
      <c r="O66" s="77"/>
      <c r="P66" s="48"/>
      <c r="Q66" s="49"/>
      <c r="R66" s="431"/>
      <c r="S66" s="672"/>
      <c r="T66" s="169"/>
      <c r="U66" s="169"/>
      <c r="V66" s="145"/>
      <c r="W66" s="424">
        <f t="shared" si="42"/>
        <v>0</v>
      </c>
      <c r="X66" s="427"/>
      <c r="Y66" s="427"/>
      <c r="Z66" s="54"/>
      <c r="AA66" s="54"/>
      <c r="AB66" s="658"/>
      <c r="AC66" s="658"/>
      <c r="AD66" s="441"/>
      <c r="AE66" s="441"/>
      <c r="AF66" s="48">
        <f t="shared" si="6"/>
        <v>0</v>
      </c>
      <c r="AG66" s="435" t="e">
        <f t="shared" si="7"/>
        <v>#DIV/0!</v>
      </c>
      <c r="AH66" s="672"/>
    </row>
    <row r="67" spans="1:34" ht="19.2" customHeight="1">
      <c r="A67" s="654"/>
      <c r="B67" s="97">
        <v>0</v>
      </c>
      <c r="C67" s="437"/>
      <c r="D67" s="42"/>
      <c r="E67" s="43"/>
      <c r="F67" s="361" t="s">
        <v>186</v>
      </c>
      <c r="G67" s="137"/>
      <c r="H67" s="45">
        <f>F67*G67</f>
        <v>0</v>
      </c>
      <c r="I67" s="427"/>
      <c r="J67" s="170"/>
      <c r="K67" s="61"/>
      <c r="L67" s="86"/>
      <c r="M67" s="62"/>
      <c r="N67" s="61"/>
      <c r="O67" s="77"/>
      <c r="P67" s="48"/>
      <c r="Q67" s="49"/>
      <c r="R67" s="431"/>
      <c r="S67" s="672"/>
      <c r="T67" s="169"/>
      <c r="U67" s="169"/>
      <c r="V67" s="145"/>
      <c r="W67" s="424">
        <f t="shared" si="42"/>
        <v>0</v>
      </c>
      <c r="X67" s="427"/>
      <c r="Y67" s="427"/>
      <c r="Z67" s="54"/>
      <c r="AA67" s="54"/>
      <c r="AB67" s="658"/>
      <c r="AC67" s="658"/>
      <c r="AD67" s="441"/>
      <c r="AE67" s="441"/>
      <c r="AF67" s="48">
        <f t="shared" si="6"/>
        <v>0</v>
      </c>
      <c r="AG67" s="431" t="e">
        <f t="shared" si="7"/>
        <v>#DIV/0!</v>
      </c>
      <c r="AH67" s="672"/>
    </row>
    <row r="68" spans="1:34" ht="19.2" customHeight="1">
      <c r="A68" s="654"/>
      <c r="B68" s="427">
        <v>0</v>
      </c>
      <c r="C68" s="437"/>
      <c r="D68" s="42"/>
      <c r="E68" s="43"/>
      <c r="F68" s="368" t="s">
        <v>186</v>
      </c>
      <c r="G68" s="137"/>
      <c r="H68" s="45">
        <f>F68*G68</f>
        <v>0</v>
      </c>
      <c r="I68" s="427"/>
      <c r="J68" s="170"/>
      <c r="K68" s="61"/>
      <c r="L68" s="86"/>
      <c r="M68" s="62"/>
      <c r="N68" s="61"/>
      <c r="O68" s="77"/>
      <c r="P68" s="48"/>
      <c r="Q68" s="49"/>
      <c r="R68" s="431"/>
      <c r="S68" s="672"/>
      <c r="T68" s="169"/>
      <c r="U68" s="169"/>
      <c r="V68" s="145"/>
      <c r="W68" s="424">
        <f t="shared" si="42"/>
        <v>0</v>
      </c>
      <c r="X68" s="427"/>
      <c r="Y68" s="427"/>
      <c r="Z68" s="54"/>
      <c r="AA68" s="54"/>
      <c r="AB68" s="658"/>
      <c r="AC68" s="658"/>
      <c r="AD68" s="441"/>
      <c r="AE68" s="441"/>
      <c r="AF68" s="48"/>
      <c r="AG68" s="431"/>
      <c r="AH68" s="672"/>
    </row>
    <row r="69" spans="1:34" ht="19.2" customHeight="1">
      <c r="A69" s="654"/>
      <c r="B69" s="171">
        <v>0</v>
      </c>
      <c r="C69" s="6" t="s">
        <v>354</v>
      </c>
      <c r="D69" s="687" t="s">
        <v>355</v>
      </c>
      <c r="E69" s="687"/>
      <c r="F69" s="370"/>
      <c r="G69" s="172"/>
      <c r="H69" s="173"/>
      <c r="I69" s="174"/>
      <c r="J69" s="70">
        <v>6.75</v>
      </c>
      <c r="K69" s="70">
        <v>1500</v>
      </c>
      <c r="L69" s="73">
        <v>223.21428571428572</v>
      </c>
      <c r="M69" s="70">
        <f t="shared" ref="M69:O69" si="43">AVERAGE(M57:M68)</f>
        <v>7</v>
      </c>
      <c r="N69" s="70">
        <f t="shared" si="43"/>
        <v>1469.9591135662874</v>
      </c>
      <c r="O69" s="73">
        <f t="shared" si="43"/>
        <v>209.99415908089821</v>
      </c>
      <c r="P69" s="48">
        <f>M69-J69</f>
        <v>0.25</v>
      </c>
      <c r="Q69" s="49">
        <f>N69-K69</f>
        <v>-30.040886433712558</v>
      </c>
      <c r="R69" s="175">
        <f t="shared" ref="R69:R76" si="44">O69/L69</f>
        <v>0.94077383268242398</v>
      </c>
      <c r="S69" s="672"/>
      <c r="T69" s="144"/>
      <c r="U69" s="144"/>
      <c r="V69" s="44"/>
      <c r="W69" s="42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0</v>
      </c>
      <c r="AF69" s="48">
        <f t="shared" si="6"/>
        <v>-30.040886433712558</v>
      </c>
      <c r="AG69" s="431">
        <f t="shared" si="7"/>
        <v>0.97997274237752496</v>
      </c>
      <c r="AH69" s="672"/>
    </row>
    <row r="70" spans="1:34" ht="19.2" customHeight="1">
      <c r="A70" s="656" t="s">
        <v>356</v>
      </c>
      <c r="B70" s="427" t="s">
        <v>182</v>
      </c>
      <c r="C70" s="97"/>
      <c r="D70" s="42" t="s">
        <v>91</v>
      </c>
      <c r="E70" s="43"/>
      <c r="F70" s="361">
        <v>62.13</v>
      </c>
      <c r="G70" s="44">
        <v>476</v>
      </c>
      <c r="H70" s="45">
        <f>F70*G70</f>
        <v>29573.88</v>
      </c>
      <c r="I70" s="427"/>
      <c r="J70" s="46">
        <v>14</v>
      </c>
      <c r="K70" s="44">
        <v>1500</v>
      </c>
      <c r="L70" s="47">
        <v>107.14285714285714</v>
      </c>
      <c r="M70" s="425">
        <v>14</v>
      </c>
      <c r="N70" s="44">
        <f t="shared" ref="N70:N76" si="45">G70/W70*60</f>
        <v>1241.7391304347825</v>
      </c>
      <c r="O70" s="47">
        <f t="shared" ref="O70:O76" si="46">N70/M70</f>
        <v>88.695652173913032</v>
      </c>
      <c r="P70" s="48">
        <f t="shared" ref="P70:P76" si="47">M70-J70</f>
        <v>0</v>
      </c>
      <c r="Q70" s="49">
        <f t="shared" ref="Q70:Q76" si="48">O70-L70</f>
        <v>-18.447204968944106</v>
      </c>
      <c r="R70" s="431">
        <f t="shared" si="44"/>
        <v>0.82782608695652171</v>
      </c>
      <c r="S70" s="672">
        <f>R82</f>
        <v>0.85697633525852246</v>
      </c>
      <c r="T70" s="50">
        <v>0.29166666666666669</v>
      </c>
      <c r="U70" s="50">
        <v>0.30763888888888891</v>
      </c>
      <c r="V70" s="427">
        <v>5</v>
      </c>
      <c r="W70" s="424">
        <f>(U70-T70)*24*60</f>
        <v>23</v>
      </c>
      <c r="X70" s="427"/>
      <c r="Y70" s="427"/>
      <c r="Z70" s="54"/>
      <c r="AA70" s="54"/>
      <c r="AB70" s="658"/>
      <c r="AC70" s="658"/>
      <c r="AD70" s="441"/>
      <c r="AE70" s="441"/>
      <c r="AF70" s="48">
        <f t="shared" si="6"/>
        <v>-258.26086956521749</v>
      </c>
      <c r="AG70" s="431">
        <f t="shared" si="7"/>
        <v>0.82782608695652171</v>
      </c>
      <c r="AH70" s="672">
        <f>AG82</f>
        <v>0.84999915734869669</v>
      </c>
    </row>
    <row r="71" spans="1:34" ht="19.2" customHeight="1">
      <c r="A71" s="656"/>
      <c r="B71" s="427" t="s">
        <v>181</v>
      </c>
      <c r="C71" s="41"/>
      <c r="D71" s="176" t="s">
        <v>92</v>
      </c>
      <c r="E71" s="43"/>
      <c r="F71" s="361">
        <v>47.65</v>
      </c>
      <c r="G71" s="44">
        <v>2411</v>
      </c>
      <c r="H71" s="45">
        <f>F71*G71</f>
        <v>114884.15</v>
      </c>
      <c r="I71" s="427"/>
      <c r="J71" s="46">
        <v>18</v>
      </c>
      <c r="K71" s="177">
        <v>1440</v>
      </c>
      <c r="L71" s="47">
        <v>80</v>
      </c>
      <c r="M71" s="430">
        <v>18</v>
      </c>
      <c r="N71" s="44">
        <f t="shared" si="45"/>
        <v>1351.9626168224297</v>
      </c>
      <c r="O71" s="47">
        <f t="shared" si="46"/>
        <v>75.109034267912762</v>
      </c>
      <c r="P71" s="48">
        <f t="shared" si="47"/>
        <v>0</v>
      </c>
      <c r="Q71" s="49">
        <f t="shared" si="48"/>
        <v>-4.8909657320872384</v>
      </c>
      <c r="R71" s="431">
        <f t="shared" si="44"/>
        <v>0.9388629283489095</v>
      </c>
      <c r="S71" s="672"/>
      <c r="T71" s="50">
        <v>0.3125</v>
      </c>
      <c r="U71" s="50">
        <v>0.38680555555555557</v>
      </c>
      <c r="V71" s="427">
        <v>7</v>
      </c>
      <c r="W71" s="424">
        <f t="shared" ref="W71:W81" si="49">(U71-T71)*24*60</f>
        <v>107.00000000000001</v>
      </c>
      <c r="X71" s="53"/>
      <c r="Y71" s="53"/>
      <c r="Z71" s="54"/>
      <c r="AA71" s="54"/>
      <c r="AB71" s="658"/>
      <c r="AC71" s="658"/>
      <c r="AD71" s="441"/>
      <c r="AE71" s="441"/>
      <c r="AF71" s="48">
        <f>N71-K71</f>
        <v>-88.037383177570291</v>
      </c>
      <c r="AG71" s="431">
        <f>N71/K71</f>
        <v>0.9388629283489095</v>
      </c>
      <c r="AH71" s="672"/>
    </row>
    <row r="72" spans="1:34" ht="19.2" customHeight="1">
      <c r="A72" s="656"/>
      <c r="B72" s="427" t="s">
        <v>185</v>
      </c>
      <c r="C72" s="66"/>
      <c r="D72" s="176" t="s">
        <v>200</v>
      </c>
      <c r="E72" s="43"/>
      <c r="F72" s="361">
        <v>56.85</v>
      </c>
      <c r="G72" s="57">
        <v>2269.5</v>
      </c>
      <c r="H72" s="45">
        <f t="shared" ref="H72:H80" si="50">F72*G72</f>
        <v>129021.075</v>
      </c>
      <c r="I72" s="427"/>
      <c r="J72" s="87">
        <v>18</v>
      </c>
      <c r="K72" s="57">
        <v>1636</v>
      </c>
      <c r="L72" s="86">
        <v>90.888888888888886</v>
      </c>
      <c r="M72" s="425">
        <v>18</v>
      </c>
      <c r="N72" s="44">
        <f t="shared" si="45"/>
        <v>1205.0442477876106</v>
      </c>
      <c r="O72" s="47">
        <f t="shared" si="46"/>
        <v>66.946902654867259</v>
      </c>
      <c r="P72" s="48">
        <f t="shared" si="47"/>
        <v>0</v>
      </c>
      <c r="Q72" s="49">
        <f t="shared" si="48"/>
        <v>-23.941986234021627</v>
      </c>
      <c r="R72" s="431">
        <f t="shared" si="44"/>
        <v>0.73657961356210921</v>
      </c>
      <c r="S72" s="672"/>
      <c r="T72" s="50">
        <v>0.40277777777777779</v>
      </c>
      <c r="U72" s="50">
        <v>0.48125000000000001</v>
      </c>
      <c r="V72" s="427">
        <v>23</v>
      </c>
      <c r="W72" s="424">
        <f t="shared" si="49"/>
        <v>113</v>
      </c>
      <c r="X72" s="53">
        <v>0.39027777777777778</v>
      </c>
      <c r="Y72" s="53">
        <v>0.39999999999999997</v>
      </c>
      <c r="Z72" s="54"/>
      <c r="AA72" s="54"/>
      <c r="AB72" s="658"/>
      <c r="AC72" s="658"/>
      <c r="AD72" s="441"/>
      <c r="AE72" s="441"/>
      <c r="AF72" s="48">
        <f>N72-K72</f>
        <v>-430.95575221238937</v>
      </c>
      <c r="AG72" s="431">
        <f>N72/K72</f>
        <v>0.73657961356210921</v>
      </c>
      <c r="AH72" s="672"/>
    </row>
    <row r="73" spans="1:34" ht="19.2" customHeight="1">
      <c r="A73" s="656"/>
      <c r="B73" s="427" t="s">
        <v>181</v>
      </c>
      <c r="C73" s="178"/>
      <c r="D73" s="179" t="s">
        <v>94</v>
      </c>
      <c r="E73" s="180"/>
      <c r="F73" s="361">
        <v>53.76</v>
      </c>
      <c r="G73" s="57">
        <v>2571</v>
      </c>
      <c r="H73" s="45">
        <f t="shared" si="50"/>
        <v>138216.95999999999</v>
      </c>
      <c r="I73" s="441"/>
      <c r="J73" s="181">
        <v>16</v>
      </c>
      <c r="K73" s="182">
        <v>1440</v>
      </c>
      <c r="L73" s="86">
        <v>90</v>
      </c>
      <c r="M73" s="430">
        <v>16</v>
      </c>
      <c r="N73" s="44">
        <f t="shared" si="45"/>
        <v>1341.3913043478269</v>
      </c>
      <c r="O73" s="47">
        <f t="shared" si="46"/>
        <v>83.836956521739182</v>
      </c>
      <c r="P73" s="48">
        <f t="shared" si="47"/>
        <v>0</v>
      </c>
      <c r="Q73" s="49">
        <f t="shared" si="48"/>
        <v>-6.1630434782608177</v>
      </c>
      <c r="R73" s="431">
        <f t="shared" si="44"/>
        <v>0.93152173913043534</v>
      </c>
      <c r="S73" s="672"/>
      <c r="T73" s="50">
        <v>0.5215277777777777</v>
      </c>
      <c r="U73" s="50">
        <v>0.60138888888888875</v>
      </c>
      <c r="V73" s="427">
        <v>5</v>
      </c>
      <c r="W73" s="424">
        <f t="shared" si="49"/>
        <v>114.99999999999991</v>
      </c>
      <c r="X73" s="183"/>
      <c r="Y73" s="183"/>
      <c r="Z73" s="125"/>
      <c r="AA73" s="125"/>
      <c r="AB73" s="658"/>
      <c r="AC73" s="658"/>
      <c r="AD73" s="441"/>
      <c r="AE73" s="441"/>
      <c r="AF73" s="48">
        <f>N73-K73</f>
        <v>-98.608695652173083</v>
      </c>
      <c r="AG73" s="431">
        <f>N73/K73</f>
        <v>0.93152173913043534</v>
      </c>
      <c r="AH73" s="672"/>
    </row>
    <row r="74" spans="1:34" ht="19.2" customHeight="1">
      <c r="A74" s="656"/>
      <c r="B74" s="427" t="s">
        <v>181</v>
      </c>
      <c r="C74" s="178"/>
      <c r="D74" s="179" t="s">
        <v>95</v>
      </c>
      <c r="E74" s="180"/>
      <c r="F74" s="361">
        <v>47.51</v>
      </c>
      <c r="G74" s="177">
        <v>2545</v>
      </c>
      <c r="H74" s="45">
        <f t="shared" si="50"/>
        <v>120912.95</v>
      </c>
      <c r="I74" s="427"/>
      <c r="J74" s="46">
        <v>17</v>
      </c>
      <c r="K74" s="177">
        <v>1440</v>
      </c>
      <c r="L74" s="47">
        <v>84.705882352941174</v>
      </c>
      <c r="M74" s="425">
        <v>17</v>
      </c>
      <c r="N74" s="44">
        <f t="shared" si="45"/>
        <v>1363.3928571428582</v>
      </c>
      <c r="O74" s="47">
        <f t="shared" si="46"/>
        <v>80.199579831932837</v>
      </c>
      <c r="P74" s="48">
        <f t="shared" si="47"/>
        <v>0</v>
      </c>
      <c r="Q74" s="49">
        <f t="shared" si="48"/>
        <v>-4.5063025210083367</v>
      </c>
      <c r="R74" s="431">
        <f t="shared" si="44"/>
        <v>0.94680059523809601</v>
      </c>
      <c r="S74" s="672"/>
      <c r="T74" s="50">
        <v>0.61666666666666647</v>
      </c>
      <c r="U74" s="50">
        <v>0.6944444444444442</v>
      </c>
      <c r="V74" s="427">
        <v>22</v>
      </c>
      <c r="W74" s="424">
        <f t="shared" si="49"/>
        <v>111.99999999999991</v>
      </c>
      <c r="X74" s="183">
        <v>0.60486111111111118</v>
      </c>
      <c r="Y74" s="183">
        <v>0.61388888888888882</v>
      </c>
      <c r="Z74" s="125"/>
      <c r="AA74" s="125"/>
      <c r="AB74" s="658"/>
      <c r="AC74" s="658"/>
      <c r="AD74" s="441"/>
      <c r="AE74" s="441"/>
      <c r="AF74" s="48">
        <f t="shared" ref="AF74:AF80" si="51">N74-K74</f>
        <v>-76.607142857141753</v>
      </c>
      <c r="AG74" s="431">
        <f t="shared" ref="AG74:AG80" si="52">N74/K74</f>
        <v>0.94680059523809601</v>
      </c>
      <c r="AH74" s="672"/>
    </row>
    <row r="75" spans="1:34" ht="19.2" customHeight="1">
      <c r="A75" s="656"/>
      <c r="B75" s="427" t="s">
        <v>181</v>
      </c>
      <c r="C75" s="66"/>
      <c r="D75" s="176" t="s">
        <v>93</v>
      </c>
      <c r="E75" s="43"/>
      <c r="F75" s="361">
        <v>53.36</v>
      </c>
      <c r="G75" s="57">
        <v>1734.5</v>
      </c>
      <c r="H75" s="45">
        <f t="shared" si="50"/>
        <v>92552.92</v>
      </c>
      <c r="I75" s="427"/>
      <c r="J75" s="181">
        <v>19</v>
      </c>
      <c r="K75" s="182">
        <v>1440</v>
      </c>
      <c r="L75" s="86">
        <v>75.78947368421052</v>
      </c>
      <c r="M75" s="425">
        <v>18</v>
      </c>
      <c r="N75" s="44">
        <f t="shared" si="45"/>
        <v>1284.8148148148143</v>
      </c>
      <c r="O75" s="47">
        <f t="shared" si="46"/>
        <v>71.378600823045247</v>
      </c>
      <c r="P75" s="48">
        <f t="shared" si="47"/>
        <v>-1</v>
      </c>
      <c r="Q75" s="49">
        <f t="shared" si="48"/>
        <v>-4.4108728611652737</v>
      </c>
      <c r="R75" s="431">
        <f t="shared" si="44"/>
        <v>0.94180098308184712</v>
      </c>
      <c r="S75" s="672"/>
      <c r="T75" s="50">
        <v>0.69999999999999973</v>
      </c>
      <c r="U75" s="50">
        <v>0.75624999999999976</v>
      </c>
      <c r="V75" s="427">
        <v>8</v>
      </c>
      <c r="W75" s="424">
        <f t="shared" si="49"/>
        <v>81.000000000000028</v>
      </c>
      <c r="X75" s="183"/>
      <c r="Y75" s="183"/>
      <c r="Z75" s="125"/>
      <c r="AA75" s="125"/>
      <c r="AB75" s="658"/>
      <c r="AC75" s="658"/>
      <c r="AD75" s="441"/>
      <c r="AE75" s="441"/>
      <c r="AF75" s="48">
        <f t="shared" si="51"/>
        <v>-155.18518518518567</v>
      </c>
      <c r="AG75" s="431">
        <f t="shared" si="52"/>
        <v>0.89223251028806549</v>
      </c>
      <c r="AH75" s="672"/>
    </row>
    <row r="76" spans="1:34" ht="19.2" customHeight="1">
      <c r="A76" s="656"/>
      <c r="B76" s="427" t="s">
        <v>185</v>
      </c>
      <c r="C76" s="178"/>
      <c r="D76" s="179" t="s">
        <v>200</v>
      </c>
      <c r="E76" s="180"/>
      <c r="F76" s="361">
        <v>56.85</v>
      </c>
      <c r="G76" s="177">
        <v>756.5</v>
      </c>
      <c r="H76" s="45">
        <f t="shared" si="50"/>
        <v>43007.025000000001</v>
      </c>
      <c r="I76" s="427"/>
      <c r="J76" s="181">
        <v>18</v>
      </c>
      <c r="K76" s="182">
        <v>1636</v>
      </c>
      <c r="L76" s="86">
        <v>90.888888888888886</v>
      </c>
      <c r="M76" s="430">
        <v>18</v>
      </c>
      <c r="N76" s="44">
        <f t="shared" si="45"/>
        <v>1163.8461538461531</v>
      </c>
      <c r="O76" s="47">
        <f t="shared" si="46"/>
        <v>64.658119658119617</v>
      </c>
      <c r="P76" s="48">
        <f t="shared" si="47"/>
        <v>0</v>
      </c>
      <c r="Q76" s="49">
        <f t="shared" si="48"/>
        <v>-26.230769230769269</v>
      </c>
      <c r="R76" s="431">
        <f t="shared" si="44"/>
        <v>0.71139740455143829</v>
      </c>
      <c r="S76" s="672"/>
      <c r="T76" s="50">
        <v>0.76180555555555529</v>
      </c>
      <c r="U76" s="50">
        <v>0.78888888888888864</v>
      </c>
      <c r="V76" s="427">
        <v>8</v>
      </c>
      <c r="W76" s="424">
        <f t="shared" si="49"/>
        <v>39.000000000000021</v>
      </c>
      <c r="X76" s="183"/>
      <c r="Y76" s="183"/>
      <c r="Z76" s="125"/>
      <c r="AA76" s="125"/>
      <c r="AB76" s="658"/>
      <c r="AC76" s="658"/>
      <c r="AD76" s="441"/>
      <c r="AE76" s="441"/>
      <c r="AF76" s="48">
        <f t="shared" si="51"/>
        <v>-472.15384615384687</v>
      </c>
      <c r="AG76" s="431">
        <f t="shared" si="52"/>
        <v>0.71139740455143829</v>
      </c>
      <c r="AH76" s="672"/>
    </row>
    <row r="77" spans="1:34" ht="19.2" customHeight="1">
      <c r="A77" s="656"/>
      <c r="B77" s="427">
        <v>0</v>
      </c>
      <c r="C77" s="437"/>
      <c r="D77" s="179"/>
      <c r="E77" s="43"/>
      <c r="F77" s="361" t="s">
        <v>186</v>
      </c>
      <c r="G77" s="177"/>
      <c r="H77" s="45">
        <f t="shared" si="50"/>
        <v>0</v>
      </c>
      <c r="I77" s="441"/>
      <c r="J77" s="181"/>
      <c r="K77" s="182"/>
      <c r="L77" s="86"/>
      <c r="M77" s="430" t="s">
        <v>30</v>
      </c>
      <c r="N77" s="44"/>
      <c r="O77" s="47"/>
      <c r="P77" s="48"/>
      <c r="Q77" s="49"/>
      <c r="R77" s="431"/>
      <c r="S77" s="672"/>
      <c r="T77" s="50"/>
      <c r="U77" s="50"/>
      <c r="V77" s="427"/>
      <c r="W77" s="424"/>
      <c r="X77" s="183"/>
      <c r="Y77" s="183"/>
      <c r="Z77" s="125"/>
      <c r="AA77" s="125"/>
      <c r="AB77" s="658"/>
      <c r="AC77" s="658"/>
      <c r="AD77" s="441"/>
      <c r="AE77" s="441"/>
      <c r="AF77" s="48">
        <f t="shared" si="51"/>
        <v>0</v>
      </c>
      <c r="AG77" s="431" t="e">
        <f t="shared" si="52"/>
        <v>#DIV/0!</v>
      </c>
      <c r="AH77" s="672"/>
    </row>
    <row r="78" spans="1:34" ht="19.2" customHeight="1">
      <c r="A78" s="656"/>
      <c r="B78" s="427">
        <v>0</v>
      </c>
      <c r="C78" s="437"/>
      <c r="D78" s="42"/>
      <c r="E78" s="43"/>
      <c r="F78" s="361" t="s">
        <v>186</v>
      </c>
      <c r="G78" s="57"/>
      <c r="H78" s="45">
        <f t="shared" si="50"/>
        <v>0</v>
      </c>
      <c r="I78" s="441"/>
      <c r="J78" s="87"/>
      <c r="K78" s="57"/>
      <c r="L78" s="86"/>
      <c r="M78" s="430"/>
      <c r="N78" s="44"/>
      <c r="O78" s="47"/>
      <c r="P78" s="48"/>
      <c r="Q78" s="49"/>
      <c r="R78" s="431"/>
      <c r="S78" s="672"/>
      <c r="T78" s="50"/>
      <c r="U78" s="50"/>
      <c r="V78" s="427"/>
      <c r="W78" s="424">
        <f t="shared" si="49"/>
        <v>0</v>
      </c>
      <c r="X78" s="183"/>
      <c r="Y78" s="183"/>
      <c r="Z78" s="125"/>
      <c r="AA78" s="125"/>
      <c r="AB78" s="658"/>
      <c r="AC78" s="658"/>
      <c r="AD78" s="441"/>
      <c r="AE78" s="441"/>
      <c r="AF78" s="48">
        <f t="shared" si="51"/>
        <v>0</v>
      </c>
      <c r="AG78" s="431" t="e">
        <f t="shared" si="52"/>
        <v>#DIV/0!</v>
      </c>
      <c r="AH78" s="672"/>
    </row>
    <row r="79" spans="1:34" ht="19.2" customHeight="1">
      <c r="A79" s="656"/>
      <c r="B79" s="427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441"/>
      <c r="J79" s="87"/>
      <c r="K79" s="57"/>
      <c r="L79" s="86"/>
      <c r="M79" s="430"/>
      <c r="N79" s="57"/>
      <c r="O79" s="184"/>
      <c r="P79" s="108"/>
      <c r="Q79" s="185"/>
      <c r="R79" s="109"/>
      <c r="S79" s="672"/>
      <c r="T79" s="50"/>
      <c r="U79" s="50"/>
      <c r="V79" s="427"/>
      <c r="W79" s="424">
        <f t="shared" si="49"/>
        <v>0</v>
      </c>
      <c r="X79" s="183"/>
      <c r="Y79" s="183"/>
      <c r="Z79" s="125"/>
      <c r="AA79" s="125"/>
      <c r="AB79" s="658"/>
      <c r="AC79" s="658"/>
      <c r="AD79" s="441"/>
      <c r="AE79" s="441"/>
      <c r="AF79" s="48">
        <f t="shared" si="51"/>
        <v>0</v>
      </c>
      <c r="AG79" s="431" t="e">
        <f t="shared" si="52"/>
        <v>#DIV/0!</v>
      </c>
      <c r="AH79" s="672"/>
    </row>
    <row r="80" spans="1:34" ht="19.2" customHeight="1">
      <c r="A80" s="656"/>
      <c r="B80" s="427">
        <v>0</v>
      </c>
      <c r="C80" s="437"/>
      <c r="D80" s="42"/>
      <c r="E80" s="43"/>
      <c r="F80" s="361"/>
      <c r="G80" s="57"/>
      <c r="H80" s="45">
        <f t="shared" si="50"/>
        <v>0</v>
      </c>
      <c r="I80" s="441"/>
      <c r="J80" s="87"/>
      <c r="K80" s="57"/>
      <c r="L80" s="86"/>
      <c r="M80" s="430"/>
      <c r="N80" s="57"/>
      <c r="O80" s="186"/>
      <c r="P80" s="54"/>
      <c r="Q80" s="88"/>
      <c r="R80" s="440"/>
      <c r="S80" s="672"/>
      <c r="T80" s="50"/>
      <c r="U80" s="50"/>
      <c r="V80" s="427"/>
      <c r="W80" s="424">
        <f t="shared" si="49"/>
        <v>0</v>
      </c>
      <c r="X80" s="183"/>
      <c r="Y80" s="183"/>
      <c r="Z80" s="125"/>
      <c r="AA80" s="125"/>
      <c r="AB80" s="658"/>
      <c r="AC80" s="658"/>
      <c r="AD80" s="441"/>
      <c r="AE80" s="441"/>
      <c r="AF80" s="48">
        <f t="shared" si="51"/>
        <v>0</v>
      </c>
      <c r="AG80" s="431" t="e">
        <f t="shared" si="52"/>
        <v>#DIV/0!</v>
      </c>
      <c r="AH80" s="672"/>
    </row>
    <row r="81" spans="1:34" ht="19.2" customHeight="1">
      <c r="A81" s="656"/>
      <c r="B81" s="427">
        <v>0</v>
      </c>
      <c r="C81" s="437"/>
      <c r="D81" s="42"/>
      <c r="E81" s="43"/>
      <c r="F81" s="368"/>
      <c r="G81" s="57"/>
      <c r="H81" s="84"/>
      <c r="I81" s="441"/>
      <c r="J81" s="87"/>
      <c r="K81" s="57"/>
      <c r="L81" s="86"/>
      <c r="M81" s="430"/>
      <c r="N81" s="57"/>
      <c r="O81" s="186"/>
      <c r="P81" s="54"/>
      <c r="Q81" s="88"/>
      <c r="R81" s="440"/>
      <c r="S81" s="672"/>
      <c r="T81" s="50"/>
      <c r="U81" s="50"/>
      <c r="V81" s="427"/>
      <c r="W81" s="424">
        <f t="shared" si="49"/>
        <v>0</v>
      </c>
      <c r="X81" s="183"/>
      <c r="Y81" s="183"/>
      <c r="Z81" s="125"/>
      <c r="AA81" s="125"/>
      <c r="AB81" s="658"/>
      <c r="AC81" s="658"/>
      <c r="AD81" s="441"/>
      <c r="AE81" s="441"/>
      <c r="AF81" s="48"/>
      <c r="AG81" s="126"/>
      <c r="AH81" s="672"/>
    </row>
    <row r="82" spans="1:34" ht="19.2" customHeight="1">
      <c r="A82" s="698"/>
      <c r="B82" s="171">
        <v>0</v>
      </c>
      <c r="C82" s="100" t="s">
        <v>357</v>
      </c>
      <c r="D82" s="687" t="s">
        <v>355</v>
      </c>
      <c r="E82" s="687"/>
      <c r="F82" s="371"/>
      <c r="G82" s="101"/>
      <c r="H82" s="102"/>
      <c r="I82" s="103"/>
      <c r="J82" s="101">
        <v>17.142857142857142</v>
      </c>
      <c r="K82" s="101">
        <v>1504.5714285714287</v>
      </c>
      <c r="L82" s="104">
        <v>88.487998708255219</v>
      </c>
      <c r="M82" s="101">
        <f t="shared" ref="M82:O82" si="53">AVERAGE(M70:M81)</f>
        <v>17</v>
      </c>
      <c r="N82" s="101">
        <f t="shared" si="53"/>
        <v>1278.8844464566391</v>
      </c>
      <c r="O82" s="187">
        <f t="shared" si="53"/>
        <v>75.832120847361423</v>
      </c>
      <c r="P82" s="117">
        <f>M82-J82</f>
        <v>-0.14285714285714235</v>
      </c>
      <c r="Q82" s="118">
        <f>N82-K82</f>
        <v>-225.68698211478954</v>
      </c>
      <c r="R82" s="175">
        <f>O82/L82</f>
        <v>0.85697633525852246</v>
      </c>
      <c r="S82" s="672"/>
      <c r="T82" s="50"/>
      <c r="U82" s="50"/>
      <c r="V82" s="427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0</v>
      </c>
      <c r="AE82" s="107">
        <f>SUM(AE70:AE81)</f>
        <v>0</v>
      </c>
      <c r="AF82" s="48">
        <f>N82-K82</f>
        <v>-225.68698211478954</v>
      </c>
      <c r="AG82" s="431">
        <f>N82/K82</f>
        <v>0.84999915734869669</v>
      </c>
      <c r="AH82" s="672"/>
    </row>
    <row r="83" spans="1:34" ht="19.2" customHeight="1">
      <c r="A83" s="699" t="s">
        <v>358</v>
      </c>
      <c r="B83" s="110" t="s">
        <v>181</v>
      </c>
      <c r="C83" s="66"/>
      <c r="D83" s="377" t="s">
        <v>93</v>
      </c>
      <c r="E83" s="43"/>
      <c r="F83" s="368">
        <v>53.36</v>
      </c>
      <c r="G83" s="57">
        <v>2775.2000000000003</v>
      </c>
      <c r="H83" s="84">
        <f t="shared" ref="H83:H94" si="54">F83*G83</f>
        <v>148084.67200000002</v>
      </c>
      <c r="I83" s="441"/>
      <c r="J83" s="87">
        <v>19</v>
      </c>
      <c r="K83" s="57">
        <v>1440</v>
      </c>
      <c r="L83" s="86">
        <v>75.78947368421052</v>
      </c>
      <c r="M83" s="430">
        <v>19</v>
      </c>
      <c r="N83" s="57">
        <f t="shared" ref="N83:N88" si="55">G83/W83*60</f>
        <v>1321.5238095238101</v>
      </c>
      <c r="O83" s="186">
        <f t="shared" ref="O83:O88" si="56">N83/M83</f>
        <v>69.553884711779475</v>
      </c>
      <c r="P83" s="54">
        <f t="shared" ref="P83:P88" si="57">M83-J83</f>
        <v>0</v>
      </c>
      <c r="Q83" s="88">
        <f t="shared" ref="Q83:Q88" si="58">O83-L83</f>
        <v>-6.2355889724310458</v>
      </c>
      <c r="R83" s="188">
        <f t="shared" ref="R83:R88" si="59">O83/L83</f>
        <v>0.91772486772486817</v>
      </c>
      <c r="S83" s="672">
        <f>R95</f>
        <v>0.91413628448045747</v>
      </c>
      <c r="T83" s="50">
        <v>0.33333333333333331</v>
      </c>
      <c r="U83" s="50">
        <v>0.42083333333333328</v>
      </c>
      <c r="V83" s="427">
        <v>5</v>
      </c>
      <c r="W83" s="424">
        <f t="shared" ref="W83:W93" si="60">(U83-T83)*24*60</f>
        <v>125.99999999999996</v>
      </c>
      <c r="X83" s="53"/>
      <c r="Y83" s="53"/>
      <c r="Z83" s="54"/>
      <c r="AA83" s="54"/>
      <c r="AB83" s="658"/>
      <c r="AC83" s="658"/>
      <c r="AD83" s="441"/>
      <c r="AE83" s="441"/>
      <c r="AF83" s="48">
        <f t="shared" ref="AF83:AF173" si="61">N83-K83</f>
        <v>-118.47619047618991</v>
      </c>
      <c r="AG83" s="431">
        <f t="shared" ref="AG83:AG173" si="62">N83/K83</f>
        <v>0.91772486772486817</v>
      </c>
      <c r="AH83" s="672">
        <f>AG95</f>
        <v>0.91385182012052968</v>
      </c>
    </row>
    <row r="84" spans="1:34" ht="19.2" customHeight="1">
      <c r="A84" s="700"/>
      <c r="B84" s="110" t="s">
        <v>181</v>
      </c>
      <c r="C84" s="437"/>
      <c r="D84" s="189" t="s">
        <v>93</v>
      </c>
      <c r="E84" s="43"/>
      <c r="F84" s="368">
        <v>53.36</v>
      </c>
      <c r="G84" s="44">
        <v>2428.2999999999997</v>
      </c>
      <c r="H84" s="84">
        <f t="shared" si="54"/>
        <v>129574.08799999999</v>
      </c>
      <c r="I84" s="427"/>
      <c r="J84" s="87">
        <v>19</v>
      </c>
      <c r="K84" s="57">
        <v>1440</v>
      </c>
      <c r="L84" s="86">
        <v>75.78947368421052</v>
      </c>
      <c r="M84" s="430">
        <v>19</v>
      </c>
      <c r="N84" s="57">
        <f t="shared" si="55"/>
        <v>1349.0555555555552</v>
      </c>
      <c r="O84" s="186">
        <f t="shared" si="56"/>
        <v>71.002923976608173</v>
      </c>
      <c r="P84" s="54">
        <f t="shared" si="57"/>
        <v>0</v>
      </c>
      <c r="Q84" s="88">
        <f t="shared" si="58"/>
        <v>-4.7865497076023473</v>
      </c>
      <c r="R84" s="188">
        <f t="shared" si="59"/>
        <v>0.93684413580246906</v>
      </c>
      <c r="S84" s="672"/>
      <c r="T84" s="50">
        <v>0.4368055555555555</v>
      </c>
      <c r="U84" s="50">
        <v>0.51180555555555551</v>
      </c>
      <c r="V84" s="427">
        <v>23</v>
      </c>
      <c r="W84" s="424">
        <f t="shared" si="60"/>
        <v>108.00000000000001</v>
      </c>
      <c r="X84" s="53">
        <v>0.42430555555555555</v>
      </c>
      <c r="Y84" s="53">
        <v>0.43402777777777773</v>
      </c>
      <c r="Z84" s="54"/>
      <c r="AA84" s="54"/>
      <c r="AB84" s="658"/>
      <c r="AC84" s="658"/>
      <c r="AD84" s="441"/>
      <c r="AE84" s="441"/>
      <c r="AF84" s="48">
        <f t="shared" si="61"/>
        <v>-90.944444444444798</v>
      </c>
      <c r="AG84" s="431">
        <f t="shared" si="62"/>
        <v>0.93684413580246884</v>
      </c>
      <c r="AH84" s="672"/>
    </row>
    <row r="85" spans="1:34" ht="19.2" customHeight="1">
      <c r="A85" s="700"/>
      <c r="B85" s="110" t="s">
        <v>181</v>
      </c>
      <c r="C85" s="123"/>
      <c r="D85" s="189" t="s">
        <v>75</v>
      </c>
      <c r="E85" s="43"/>
      <c r="F85" s="368">
        <v>71.55</v>
      </c>
      <c r="G85" s="44">
        <v>1110</v>
      </c>
      <c r="H85" s="84">
        <f t="shared" si="54"/>
        <v>79420.5</v>
      </c>
      <c r="I85" s="427"/>
      <c r="J85" s="87">
        <v>18</v>
      </c>
      <c r="K85" s="57">
        <v>1385</v>
      </c>
      <c r="L85" s="86">
        <v>76.944444444444443</v>
      </c>
      <c r="M85" s="430">
        <v>18</v>
      </c>
      <c r="N85" s="57">
        <f t="shared" si="55"/>
        <v>1280.7692307692314</v>
      </c>
      <c r="O85" s="186">
        <f t="shared" si="56"/>
        <v>71.153846153846189</v>
      </c>
      <c r="P85" s="54">
        <f t="shared" si="57"/>
        <v>0</v>
      </c>
      <c r="Q85" s="88">
        <f t="shared" si="58"/>
        <v>-5.790598290598254</v>
      </c>
      <c r="R85" s="188">
        <f t="shared" si="59"/>
        <v>0.92474312690919236</v>
      </c>
      <c r="S85" s="672"/>
      <c r="T85" s="50">
        <v>0.55208333333333326</v>
      </c>
      <c r="U85" s="50">
        <v>0.58819444444444435</v>
      </c>
      <c r="V85" s="427">
        <v>5</v>
      </c>
      <c r="W85" s="424">
        <f t="shared" si="60"/>
        <v>51.999999999999972</v>
      </c>
      <c r="X85" s="53"/>
      <c r="Y85" s="53"/>
      <c r="Z85" s="54"/>
      <c r="AA85" s="54"/>
      <c r="AB85" s="658"/>
      <c r="AC85" s="658"/>
      <c r="AD85" s="441"/>
      <c r="AE85" s="441"/>
      <c r="AF85" s="48">
        <f t="shared" si="61"/>
        <v>-104.2307692307686</v>
      </c>
      <c r="AG85" s="431">
        <f t="shared" si="62"/>
        <v>0.92474312690919236</v>
      </c>
      <c r="AH85" s="672"/>
    </row>
    <row r="86" spans="1:34" ht="19.2" customHeight="1">
      <c r="A86" s="700"/>
      <c r="B86" s="110" t="s">
        <v>181</v>
      </c>
      <c r="C86" s="97"/>
      <c r="D86" s="189" t="s">
        <v>77</v>
      </c>
      <c r="E86" s="43"/>
      <c r="F86" s="368">
        <v>59.54</v>
      </c>
      <c r="G86" s="44">
        <v>1662</v>
      </c>
      <c r="H86" s="84">
        <f t="shared" si="54"/>
        <v>98955.48</v>
      </c>
      <c r="I86" s="427"/>
      <c r="J86" s="87">
        <v>18</v>
      </c>
      <c r="K86" s="57">
        <v>1385</v>
      </c>
      <c r="L86" s="86">
        <v>76.944444444444443</v>
      </c>
      <c r="M86" s="430">
        <v>18</v>
      </c>
      <c r="N86" s="57">
        <f t="shared" si="55"/>
        <v>1295.0649350649344</v>
      </c>
      <c r="O86" s="186">
        <f t="shared" si="56"/>
        <v>71.948051948051912</v>
      </c>
      <c r="P86" s="54">
        <f t="shared" si="57"/>
        <v>0</v>
      </c>
      <c r="Q86" s="88">
        <f t="shared" si="58"/>
        <v>-4.9963924963925308</v>
      </c>
      <c r="R86" s="188">
        <f t="shared" si="59"/>
        <v>0.9350649350649346</v>
      </c>
      <c r="S86" s="672"/>
      <c r="T86" s="50">
        <v>0.59305555555555545</v>
      </c>
      <c r="U86" s="50">
        <v>0.6465277777777777</v>
      </c>
      <c r="V86" s="427">
        <v>7</v>
      </c>
      <c r="W86" s="424">
        <f t="shared" si="60"/>
        <v>77.000000000000043</v>
      </c>
      <c r="X86" s="53"/>
      <c r="Y86" s="53"/>
      <c r="Z86" s="54"/>
      <c r="AA86" s="54"/>
      <c r="AB86" s="658"/>
      <c r="AC86" s="658"/>
      <c r="AD86" s="441"/>
      <c r="AE86" s="441"/>
      <c r="AF86" s="48">
        <f t="shared" si="61"/>
        <v>-89.935064935065611</v>
      </c>
      <c r="AG86" s="431">
        <f t="shared" si="62"/>
        <v>0.9350649350649346</v>
      </c>
      <c r="AH86" s="672"/>
    </row>
    <row r="87" spans="1:34" ht="19.2" customHeight="1">
      <c r="A87" s="700"/>
      <c r="B87" s="110" t="s">
        <v>181</v>
      </c>
      <c r="C87" s="97"/>
      <c r="D87" s="189" t="s">
        <v>359</v>
      </c>
      <c r="E87" s="43"/>
      <c r="F87" s="368">
        <v>73.94</v>
      </c>
      <c r="G87" s="44">
        <v>2732.7999999999997</v>
      </c>
      <c r="H87" s="84">
        <f t="shared" si="54"/>
        <v>202063.23199999996</v>
      </c>
      <c r="I87" s="427">
        <v>1</v>
      </c>
      <c r="J87" s="87">
        <v>19</v>
      </c>
      <c r="K87" s="57">
        <v>1440</v>
      </c>
      <c r="L87" s="86">
        <v>75.78947368421052</v>
      </c>
      <c r="M87" s="430">
        <v>19</v>
      </c>
      <c r="N87" s="57">
        <f t="shared" si="55"/>
        <v>1271.06976744186</v>
      </c>
      <c r="O87" s="186">
        <f t="shared" si="56"/>
        <v>66.898408812729471</v>
      </c>
      <c r="P87" s="54">
        <f t="shared" si="57"/>
        <v>0</v>
      </c>
      <c r="Q87" s="88">
        <f t="shared" si="58"/>
        <v>-8.8910648714810492</v>
      </c>
      <c r="R87" s="188">
        <f t="shared" si="59"/>
        <v>0.88268733850129166</v>
      </c>
      <c r="S87" s="672"/>
      <c r="T87" s="50">
        <v>0.66111111111111098</v>
      </c>
      <c r="U87" s="50">
        <v>0.75069444444444433</v>
      </c>
      <c r="V87" s="427">
        <v>21</v>
      </c>
      <c r="W87" s="424">
        <f t="shared" si="60"/>
        <v>129.00000000000003</v>
      </c>
      <c r="X87" s="53">
        <v>0.65</v>
      </c>
      <c r="Y87" s="53">
        <v>0.65833333333333333</v>
      </c>
      <c r="Z87" s="54"/>
      <c r="AA87" s="54"/>
      <c r="AB87" s="658"/>
      <c r="AC87" s="658"/>
      <c r="AD87" s="441"/>
      <c r="AE87" s="441"/>
      <c r="AF87" s="48">
        <f t="shared" si="61"/>
        <v>-168.93023255814001</v>
      </c>
      <c r="AG87" s="431">
        <f t="shared" si="62"/>
        <v>0.88268733850129166</v>
      </c>
      <c r="AH87" s="672"/>
    </row>
    <row r="88" spans="1:34" ht="19.2" customHeight="1">
      <c r="A88" s="700"/>
      <c r="B88" s="110" t="s">
        <v>181</v>
      </c>
      <c r="C88" s="437"/>
      <c r="D88" s="189" t="s">
        <v>360</v>
      </c>
      <c r="E88" s="43"/>
      <c r="F88" s="368">
        <v>73.94</v>
      </c>
      <c r="G88" s="57">
        <v>1171.2</v>
      </c>
      <c r="H88" s="84">
        <f t="shared" si="54"/>
        <v>86598.528000000006</v>
      </c>
      <c r="I88" s="427">
        <v>1</v>
      </c>
      <c r="J88" s="87">
        <v>19</v>
      </c>
      <c r="K88" s="57">
        <v>1440</v>
      </c>
      <c r="L88" s="86">
        <v>75.78947368421052</v>
      </c>
      <c r="M88" s="430">
        <v>19</v>
      </c>
      <c r="N88" s="57">
        <f t="shared" si="55"/>
        <v>1277.6727272727283</v>
      </c>
      <c r="O88" s="186">
        <f t="shared" si="56"/>
        <v>67.245933014354122</v>
      </c>
      <c r="P88" s="54">
        <f t="shared" si="57"/>
        <v>0</v>
      </c>
      <c r="Q88" s="88">
        <f t="shared" si="58"/>
        <v>-8.543540669856398</v>
      </c>
      <c r="R88" s="188">
        <f t="shared" si="59"/>
        <v>0.8872727272727281</v>
      </c>
      <c r="S88" s="672"/>
      <c r="T88" s="50">
        <v>0.76666666666666661</v>
      </c>
      <c r="U88" s="50">
        <v>0.80486111111111103</v>
      </c>
      <c r="V88" s="427">
        <v>23</v>
      </c>
      <c r="W88" s="424">
        <f t="shared" si="60"/>
        <v>54.999999999999964</v>
      </c>
      <c r="X88" s="53">
        <v>0.75416666666666676</v>
      </c>
      <c r="Y88" s="53">
        <v>0.76388888888888884</v>
      </c>
      <c r="Z88" s="54"/>
      <c r="AA88" s="54"/>
      <c r="AB88" s="658"/>
      <c r="AC88" s="658"/>
      <c r="AD88" s="441"/>
      <c r="AE88" s="441"/>
      <c r="AF88" s="48">
        <f t="shared" si="61"/>
        <v>-162.32727272727175</v>
      </c>
      <c r="AG88" s="431">
        <f t="shared" si="62"/>
        <v>0.88727272727272799</v>
      </c>
      <c r="AH88" s="672"/>
    </row>
    <row r="89" spans="1:34" ht="19.2" customHeight="1">
      <c r="A89" s="700"/>
      <c r="B89" s="110">
        <v>0</v>
      </c>
      <c r="C89" s="437"/>
      <c r="D89" s="42"/>
      <c r="E89" s="43"/>
      <c r="F89" s="368" t="s">
        <v>186</v>
      </c>
      <c r="G89" s="115"/>
      <c r="H89" s="84">
        <f t="shared" si="54"/>
        <v>0</v>
      </c>
      <c r="I89" s="427"/>
      <c r="J89" s="87"/>
      <c r="K89" s="57"/>
      <c r="L89" s="86"/>
      <c r="M89" s="430"/>
      <c r="N89" s="57"/>
      <c r="O89" s="186"/>
      <c r="P89" s="54"/>
      <c r="Q89" s="88"/>
      <c r="R89" s="188"/>
      <c r="S89" s="672"/>
      <c r="T89" s="50"/>
      <c r="U89" s="50"/>
      <c r="V89" s="427"/>
      <c r="W89" s="424"/>
      <c r="X89" s="53"/>
      <c r="Y89" s="53"/>
      <c r="Z89" s="54"/>
      <c r="AA89" s="54"/>
      <c r="AB89" s="658"/>
      <c r="AC89" s="658"/>
      <c r="AD89" s="441"/>
      <c r="AE89" s="441"/>
      <c r="AF89" s="48">
        <f t="shared" si="61"/>
        <v>0</v>
      </c>
      <c r="AG89" s="431" t="e">
        <f t="shared" si="62"/>
        <v>#DIV/0!</v>
      </c>
      <c r="AH89" s="672"/>
    </row>
    <row r="90" spans="1:34" ht="19.2" customHeight="1">
      <c r="A90" s="700"/>
      <c r="B90" s="110">
        <v>0</v>
      </c>
      <c r="C90" s="437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30"/>
      <c r="N90" s="57"/>
      <c r="O90" s="186"/>
      <c r="P90" s="54"/>
      <c r="Q90" s="88"/>
      <c r="R90" s="188"/>
      <c r="S90" s="672"/>
      <c r="T90" s="50"/>
      <c r="U90" s="50"/>
      <c r="V90" s="427"/>
      <c r="W90" s="424"/>
      <c r="X90" s="191"/>
      <c r="Y90" s="191"/>
      <c r="Z90" s="54"/>
      <c r="AA90" s="54"/>
      <c r="AB90" s="658"/>
      <c r="AC90" s="658"/>
      <c r="AD90" s="441"/>
      <c r="AE90" s="441"/>
      <c r="AF90" s="48">
        <f t="shared" si="61"/>
        <v>0</v>
      </c>
      <c r="AG90" s="431" t="e">
        <f t="shared" si="62"/>
        <v>#DIV/0!</v>
      </c>
      <c r="AH90" s="672"/>
    </row>
    <row r="91" spans="1:34" ht="19.2" customHeight="1">
      <c r="A91" s="700"/>
      <c r="B91" s="110">
        <v>0</v>
      </c>
      <c r="C91" s="437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30" t="s">
        <v>30</v>
      </c>
      <c r="N91" s="57"/>
      <c r="O91" s="186"/>
      <c r="P91" s="54"/>
      <c r="Q91" s="88"/>
      <c r="R91" s="188"/>
      <c r="S91" s="673"/>
      <c r="T91" s="50"/>
      <c r="U91" s="50"/>
      <c r="V91" s="427"/>
      <c r="W91" s="424">
        <f t="shared" si="60"/>
        <v>0</v>
      </c>
      <c r="X91" s="116"/>
      <c r="Y91" s="116"/>
      <c r="Z91" s="54"/>
      <c r="AA91" s="54"/>
      <c r="AB91" s="658"/>
      <c r="AC91" s="658"/>
      <c r="AD91" s="441"/>
      <c r="AE91" s="441"/>
      <c r="AF91" s="48">
        <f t="shared" si="61"/>
        <v>0</v>
      </c>
      <c r="AG91" s="431" t="e">
        <f t="shared" si="62"/>
        <v>#DIV/0!</v>
      </c>
      <c r="AH91" s="673"/>
    </row>
    <row r="92" spans="1:34" ht="19.2" customHeight="1">
      <c r="A92" s="700"/>
      <c r="B92" s="110">
        <v>0</v>
      </c>
      <c r="C92" s="437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39"/>
      <c r="S92" s="673"/>
      <c r="T92" s="50"/>
      <c r="U92" s="50"/>
      <c r="V92" s="427"/>
      <c r="W92" s="424"/>
      <c r="X92" s="183"/>
      <c r="Y92" s="183"/>
      <c r="Z92" s="125"/>
      <c r="AA92" s="125"/>
      <c r="AB92" s="658"/>
      <c r="AC92" s="658"/>
      <c r="AD92" s="441"/>
      <c r="AE92" s="441"/>
      <c r="AF92" s="48">
        <f t="shared" si="61"/>
        <v>0</v>
      </c>
      <c r="AG92" s="431" t="e">
        <f t="shared" si="62"/>
        <v>#DIV/0!</v>
      </c>
      <c r="AH92" s="673"/>
    </row>
    <row r="93" spans="1:34" ht="19.2" customHeight="1">
      <c r="A93" s="700"/>
      <c r="B93" s="428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30"/>
      <c r="N93" s="57"/>
      <c r="O93" s="86"/>
      <c r="P93" s="54"/>
      <c r="Q93" s="88"/>
      <c r="R93" s="434"/>
      <c r="S93" s="701"/>
      <c r="T93" s="63"/>
      <c r="U93" s="63"/>
      <c r="V93" s="428"/>
      <c r="W93" s="424">
        <f t="shared" si="60"/>
        <v>0</v>
      </c>
      <c r="X93" s="200"/>
      <c r="Y93" s="200"/>
      <c r="Z93" s="125"/>
      <c r="AA93" s="125"/>
      <c r="AB93" s="658"/>
      <c r="AC93" s="658"/>
      <c r="AD93" s="441"/>
      <c r="AE93" s="441"/>
      <c r="AF93" s="48">
        <f t="shared" si="61"/>
        <v>0</v>
      </c>
      <c r="AG93" s="431" t="e">
        <f t="shared" si="62"/>
        <v>#DIV/0!</v>
      </c>
      <c r="AH93" s="673"/>
    </row>
    <row r="94" spans="1:34" ht="19.2" customHeight="1">
      <c r="A94" s="700"/>
      <c r="B94" s="428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34"/>
      <c r="S94" s="701"/>
      <c r="T94" s="63"/>
      <c r="U94" s="63"/>
      <c r="V94" s="428"/>
      <c r="W94" s="424">
        <f>(U94-T94)*24*60</f>
        <v>0</v>
      </c>
      <c r="X94" s="200"/>
      <c r="Y94" s="200"/>
      <c r="Z94" s="125"/>
      <c r="AA94" s="125"/>
      <c r="AB94" s="658"/>
      <c r="AC94" s="658"/>
      <c r="AD94" s="441"/>
      <c r="AE94" s="441"/>
      <c r="AF94" s="48">
        <f t="shared" si="61"/>
        <v>0</v>
      </c>
      <c r="AG94" s="431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361</v>
      </c>
      <c r="D95" s="687" t="s">
        <v>362</v>
      </c>
      <c r="E95" s="687"/>
      <c r="F95" s="362"/>
      <c r="G95" s="70"/>
      <c r="H95" s="204"/>
      <c r="I95" s="103"/>
      <c r="J95" s="205">
        <v>18.666666666666668</v>
      </c>
      <c r="K95" s="205">
        <v>1421.6666666666667</v>
      </c>
      <c r="L95" s="206">
        <v>76.174463937621837</v>
      </c>
      <c r="M95" s="205">
        <f t="shared" ref="M95:O95" si="63">AVERAGE(M83:M94)</f>
        <v>18.666666666666668</v>
      </c>
      <c r="N95" s="205">
        <f t="shared" si="63"/>
        <v>1299.1926709380198</v>
      </c>
      <c r="O95" s="206">
        <f t="shared" si="63"/>
        <v>69.633841436228224</v>
      </c>
      <c r="P95" s="207">
        <f>M95-J95</f>
        <v>0</v>
      </c>
      <c r="Q95" s="208">
        <f t="shared" ref="Q95:Q103" si="64">O95-L95</f>
        <v>-6.5406225013936137</v>
      </c>
      <c r="R95" s="209">
        <f>O95/L95</f>
        <v>0.91413628448045747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0</v>
      </c>
      <c r="AF95" s="65">
        <f t="shared" si="61"/>
        <v>-122.47399572864697</v>
      </c>
      <c r="AG95" s="432">
        <f t="shared" si="62"/>
        <v>0.91385182012052968</v>
      </c>
      <c r="AH95" s="673"/>
    </row>
    <row r="96" spans="1:34" ht="19.2" customHeight="1">
      <c r="A96" s="702" t="s">
        <v>363</v>
      </c>
      <c r="B96" s="427" t="s">
        <v>183</v>
      </c>
      <c r="C96" s="97"/>
      <c r="D96" s="42" t="s">
        <v>250</v>
      </c>
      <c r="E96" s="43"/>
      <c r="F96" s="361">
        <v>36.92</v>
      </c>
      <c r="G96" s="44">
        <v>2950</v>
      </c>
      <c r="H96" s="45">
        <f t="shared" ref="H96:H106" si="65">F96*G96</f>
        <v>108914</v>
      </c>
      <c r="I96" s="427"/>
      <c r="J96" s="46">
        <v>6</v>
      </c>
      <c r="K96" s="44">
        <v>1636</v>
      </c>
      <c r="L96" s="47">
        <v>272.66666666666669</v>
      </c>
      <c r="M96" s="425">
        <v>6</v>
      </c>
      <c r="N96" s="44">
        <f t="shared" ref="N96:N103" si="66">G96/W96*60</f>
        <v>1525.8620689655174</v>
      </c>
      <c r="O96" s="47">
        <f t="shared" ref="O96:O103" si="67">N96/M96</f>
        <v>254.31034482758625</v>
      </c>
      <c r="P96" s="48">
        <f t="shared" ref="P96:P103" si="68">M96-J96</f>
        <v>0</v>
      </c>
      <c r="Q96" s="49">
        <f t="shared" si="64"/>
        <v>-18.356321839080437</v>
      </c>
      <c r="R96" s="431">
        <f t="shared" ref="R96:R103" si="69">O96/L96</f>
        <v>0.93267852626254122</v>
      </c>
      <c r="S96" s="672">
        <f>R108</f>
        <v>0.89375559965546714</v>
      </c>
      <c r="T96" s="89">
        <v>0.33333333333333331</v>
      </c>
      <c r="U96" s="89">
        <v>0.41388888888888886</v>
      </c>
      <c r="V96" s="441">
        <v>5</v>
      </c>
      <c r="W96" s="90">
        <f t="shared" ref="W96:W122" si="70">(U96-T96)*24*60</f>
        <v>115.99999999999999</v>
      </c>
      <c r="X96" s="96"/>
      <c r="Y96" s="96"/>
      <c r="Z96" s="54"/>
      <c r="AA96" s="54"/>
      <c r="AB96" s="658"/>
      <c r="AC96" s="658"/>
      <c r="AD96" s="441"/>
      <c r="AE96" s="441"/>
      <c r="AF96" s="54">
        <f t="shared" si="61"/>
        <v>-110.13793103448256</v>
      </c>
      <c r="AG96" s="434">
        <f t="shared" si="62"/>
        <v>0.93267852626254122</v>
      </c>
      <c r="AH96" s="681">
        <f>AG108</f>
        <v>0.89238797818886662</v>
      </c>
    </row>
    <row r="97" spans="1:34" s="218" customFormat="1" ht="19.2" customHeight="1">
      <c r="A97" s="702"/>
      <c r="B97" s="427" t="s">
        <v>183</v>
      </c>
      <c r="C97" s="210"/>
      <c r="D97" s="211" t="s">
        <v>83</v>
      </c>
      <c r="E97" s="56"/>
      <c r="F97" s="372">
        <v>29.113149847094796</v>
      </c>
      <c r="G97" s="212">
        <v>2695</v>
      </c>
      <c r="H97" s="213">
        <f t="shared" si="65"/>
        <v>78459.938837920476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1430.9734513274336</v>
      </c>
      <c r="O97" s="47">
        <f t="shared" si="67"/>
        <v>71.548672566371678</v>
      </c>
      <c r="P97" s="48">
        <f t="shared" si="68"/>
        <v>0</v>
      </c>
      <c r="Q97" s="49">
        <f t="shared" si="64"/>
        <v>-3.4513274336283217</v>
      </c>
      <c r="R97" s="431">
        <f t="shared" si="69"/>
        <v>0.95398230088495573</v>
      </c>
      <c r="S97" s="672"/>
      <c r="T97" s="214">
        <v>0.42916666666666664</v>
      </c>
      <c r="U97" s="214">
        <v>0.50763888888888886</v>
      </c>
      <c r="V97" s="215">
        <v>22</v>
      </c>
      <c r="W97" s="90">
        <f t="shared" si="70"/>
        <v>113</v>
      </c>
      <c r="X97" s="53">
        <v>0.41736111111111113</v>
      </c>
      <c r="Y97" s="53">
        <v>0.42638888888888887</v>
      </c>
      <c r="Z97" s="54"/>
      <c r="AA97" s="54"/>
      <c r="AB97" s="658"/>
      <c r="AC97" s="658"/>
      <c r="AD97" s="215"/>
      <c r="AE97" s="215"/>
      <c r="AF97" s="216">
        <f t="shared" si="61"/>
        <v>-69.026548672566378</v>
      </c>
      <c r="AG97" s="217">
        <f t="shared" si="62"/>
        <v>0.95398230088495573</v>
      </c>
      <c r="AH97" s="681"/>
    </row>
    <row r="98" spans="1:34" s="221" customFormat="1" ht="19.2" customHeight="1">
      <c r="A98" s="702"/>
      <c r="B98" s="427" t="s">
        <v>181</v>
      </c>
      <c r="C98" s="55"/>
      <c r="D98" s="42" t="s">
        <v>76</v>
      </c>
      <c r="E98" s="83"/>
      <c r="F98" s="372">
        <v>77.34</v>
      </c>
      <c r="G98" s="57">
        <v>946</v>
      </c>
      <c r="H98" s="213">
        <f t="shared" si="65"/>
        <v>73163.64</v>
      </c>
      <c r="I98" s="441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1290</v>
      </c>
      <c r="O98" s="47">
        <f t="shared" si="67"/>
        <v>71.666666666666671</v>
      </c>
      <c r="P98" s="48">
        <f t="shared" si="68"/>
        <v>0</v>
      </c>
      <c r="Q98" s="49">
        <f t="shared" si="64"/>
        <v>-8.3333333333333286</v>
      </c>
      <c r="R98" s="431">
        <f t="shared" si="69"/>
        <v>0.89583333333333337</v>
      </c>
      <c r="S98" s="672"/>
      <c r="T98" s="89">
        <v>0.54791666666666661</v>
      </c>
      <c r="U98" s="89">
        <v>0.57847222222222217</v>
      </c>
      <c r="V98" s="441">
        <v>5</v>
      </c>
      <c r="W98" s="90">
        <f t="shared" si="70"/>
        <v>44</v>
      </c>
      <c r="X98" s="219"/>
      <c r="Y98" s="219"/>
      <c r="Z98" s="220"/>
      <c r="AA98" s="220"/>
      <c r="AB98" s="658"/>
      <c r="AC98" s="658"/>
      <c r="AD98" s="441"/>
      <c r="AE98" s="441"/>
      <c r="AF98" s="54">
        <f t="shared" si="61"/>
        <v>-150</v>
      </c>
      <c r="AG98" s="434">
        <f t="shared" si="62"/>
        <v>0.89583333333333337</v>
      </c>
      <c r="AH98" s="681"/>
    </row>
    <row r="99" spans="1:34" ht="19.2" customHeight="1">
      <c r="A99" s="702"/>
      <c r="B99" s="427" t="s">
        <v>181</v>
      </c>
      <c r="C99" s="81"/>
      <c r="D99" s="82" t="s">
        <v>74</v>
      </c>
      <c r="E99" s="83"/>
      <c r="F99" s="372">
        <v>59.34</v>
      </c>
      <c r="G99" s="57">
        <v>1121</v>
      </c>
      <c r="H99" s="213">
        <f t="shared" si="65"/>
        <v>66520.14</v>
      </c>
      <c r="I99" s="441"/>
      <c r="J99" s="46">
        <v>17</v>
      </c>
      <c r="K99" s="44">
        <v>1440</v>
      </c>
      <c r="L99" s="47">
        <v>84.705882352941174</v>
      </c>
      <c r="M99" s="425">
        <v>17</v>
      </c>
      <c r="N99" s="44">
        <f t="shared" si="66"/>
        <v>1269.0566037735857</v>
      </c>
      <c r="O99" s="47">
        <f t="shared" si="67"/>
        <v>74.650388457269742</v>
      </c>
      <c r="P99" s="48">
        <f t="shared" si="68"/>
        <v>0</v>
      </c>
      <c r="Q99" s="49">
        <f t="shared" si="64"/>
        <v>-10.055493895671432</v>
      </c>
      <c r="R99" s="431">
        <f t="shared" si="69"/>
        <v>0.88128930817610118</v>
      </c>
      <c r="S99" s="672"/>
      <c r="T99" s="89">
        <v>0.5840277777777777</v>
      </c>
      <c r="U99" s="89">
        <v>0.62083333333333324</v>
      </c>
      <c r="V99" s="441">
        <v>8</v>
      </c>
      <c r="W99" s="90">
        <f t="shared" si="70"/>
        <v>52.999999999999972</v>
      </c>
      <c r="X99" s="183"/>
      <c r="Y99" s="183"/>
      <c r="Z99" s="125"/>
      <c r="AA99" s="125"/>
      <c r="AB99" s="658"/>
      <c r="AC99" s="658"/>
      <c r="AD99" s="441"/>
      <c r="AE99" s="441"/>
      <c r="AF99" s="216">
        <f t="shared" si="61"/>
        <v>-170.94339622641428</v>
      </c>
      <c r="AG99" s="217">
        <f t="shared" si="62"/>
        <v>0.88128930817610118</v>
      </c>
      <c r="AH99" s="681"/>
    </row>
    <row r="100" spans="1:34" s="221" customFormat="1" ht="19.2" customHeight="1">
      <c r="A100" s="702"/>
      <c r="B100" s="427" t="s">
        <v>185</v>
      </c>
      <c r="C100" s="55"/>
      <c r="D100" s="42" t="s">
        <v>270</v>
      </c>
      <c r="E100" s="83"/>
      <c r="F100" s="372">
        <v>54.09</v>
      </c>
      <c r="G100" s="57">
        <v>890.25</v>
      </c>
      <c r="H100" s="213">
        <f t="shared" si="65"/>
        <v>48153.622500000005</v>
      </c>
      <c r="I100" s="441">
        <v>1</v>
      </c>
      <c r="J100" s="46">
        <v>18</v>
      </c>
      <c r="K100" s="44">
        <v>1500</v>
      </c>
      <c r="L100" s="47">
        <v>83.333333333333329</v>
      </c>
      <c r="M100" s="87">
        <v>18</v>
      </c>
      <c r="N100" s="44">
        <f t="shared" si="66"/>
        <v>1302.8048780487802</v>
      </c>
      <c r="O100" s="47">
        <f t="shared" si="67"/>
        <v>72.378048780487788</v>
      </c>
      <c r="P100" s="48">
        <f t="shared" si="68"/>
        <v>0</v>
      </c>
      <c r="Q100" s="49">
        <f t="shared" si="64"/>
        <v>-10.955284552845541</v>
      </c>
      <c r="R100" s="431">
        <f t="shared" si="69"/>
        <v>0.86853658536585354</v>
      </c>
      <c r="S100" s="672"/>
      <c r="T100" s="214">
        <v>0.62569444444444433</v>
      </c>
      <c r="U100" s="214">
        <v>0.65416666666666656</v>
      </c>
      <c r="V100" s="215">
        <v>7</v>
      </c>
      <c r="W100" s="90">
        <f t="shared" si="70"/>
        <v>41.000000000000014</v>
      </c>
      <c r="X100" s="222"/>
      <c r="Y100" s="222"/>
      <c r="Z100" s="220"/>
      <c r="AA100" s="220"/>
      <c r="AB100" s="658"/>
      <c r="AC100" s="658"/>
      <c r="AD100" s="441"/>
      <c r="AE100" s="441"/>
      <c r="AF100" s="54">
        <f t="shared" si="61"/>
        <v>-197.19512195121979</v>
      </c>
      <c r="AG100" s="434">
        <f t="shared" si="62"/>
        <v>0.86853658536585343</v>
      </c>
      <c r="AH100" s="681"/>
    </row>
    <row r="101" spans="1:34" s="221" customFormat="1" ht="19.2" customHeight="1">
      <c r="A101" s="702"/>
      <c r="B101" s="427" t="s">
        <v>183</v>
      </c>
      <c r="C101" s="55"/>
      <c r="D101" s="82" t="s">
        <v>83</v>
      </c>
      <c r="E101" s="83"/>
      <c r="F101" s="372">
        <v>29.113149847094796</v>
      </c>
      <c r="G101" s="57">
        <v>1155</v>
      </c>
      <c r="H101" s="213">
        <f t="shared" si="65"/>
        <v>33625.688073394493</v>
      </c>
      <c r="I101" s="441">
        <v>1</v>
      </c>
      <c r="J101" s="46">
        <v>20</v>
      </c>
      <c r="K101" s="44">
        <v>1500</v>
      </c>
      <c r="L101" s="47">
        <v>75</v>
      </c>
      <c r="M101" s="87">
        <v>20</v>
      </c>
      <c r="N101" s="44">
        <f t="shared" si="66"/>
        <v>1414.2857142857147</v>
      </c>
      <c r="O101" s="47">
        <f t="shared" si="67"/>
        <v>70.714285714285737</v>
      </c>
      <c r="P101" s="48">
        <f t="shared" si="68"/>
        <v>0</v>
      </c>
      <c r="Q101" s="49">
        <f t="shared" si="64"/>
        <v>-4.2857142857142634</v>
      </c>
      <c r="R101" s="431">
        <f t="shared" si="69"/>
        <v>0.94285714285714317</v>
      </c>
      <c r="S101" s="672"/>
      <c r="T101" s="214">
        <v>0.66944444444444429</v>
      </c>
      <c r="U101" s="89">
        <v>0.70347222222222205</v>
      </c>
      <c r="V101" s="215">
        <v>22</v>
      </c>
      <c r="W101" s="90">
        <f t="shared" si="70"/>
        <v>48.999999999999986</v>
      </c>
      <c r="X101" s="223">
        <v>0.65763888888888888</v>
      </c>
      <c r="Y101" s="223">
        <v>0.66666666666666663</v>
      </c>
      <c r="Z101" s="220"/>
      <c r="AA101" s="220"/>
      <c r="AB101" s="658"/>
      <c r="AC101" s="658"/>
      <c r="AD101" s="441"/>
      <c r="AE101" s="441"/>
      <c r="AF101" s="216">
        <f t="shared" si="61"/>
        <v>-85.714285714285325</v>
      </c>
      <c r="AG101" s="217">
        <f t="shared" si="62"/>
        <v>0.94285714285714317</v>
      </c>
      <c r="AH101" s="681"/>
    </row>
    <row r="102" spans="1:34" s="221" customFormat="1" ht="19.2" customHeight="1">
      <c r="A102" s="702"/>
      <c r="B102" s="427" t="s">
        <v>181</v>
      </c>
      <c r="C102" s="178"/>
      <c r="D102" s="179" t="s">
        <v>109</v>
      </c>
      <c r="E102" s="180"/>
      <c r="F102" s="372">
        <v>59.52</v>
      </c>
      <c r="G102" s="57">
        <v>408.15</v>
      </c>
      <c r="H102" s="213">
        <f t="shared" si="65"/>
        <v>24293.088</v>
      </c>
      <c r="I102" s="427">
        <v>1</v>
      </c>
      <c r="J102" s="46">
        <v>21</v>
      </c>
      <c r="K102" s="44">
        <v>1385</v>
      </c>
      <c r="L102" s="47">
        <v>65.952380952380949</v>
      </c>
      <c r="M102" s="87">
        <v>21</v>
      </c>
      <c r="N102" s="44">
        <f t="shared" si="66"/>
        <v>1224.4500000000041</v>
      </c>
      <c r="O102" s="47">
        <f t="shared" si="67"/>
        <v>58.307142857143056</v>
      </c>
      <c r="P102" s="48">
        <f t="shared" si="68"/>
        <v>0</v>
      </c>
      <c r="Q102" s="49">
        <f t="shared" si="64"/>
        <v>-7.6452380952378931</v>
      </c>
      <c r="R102" s="431">
        <f t="shared" si="69"/>
        <v>0.88407942238267456</v>
      </c>
      <c r="S102" s="672"/>
      <c r="T102" s="214">
        <v>0.70902777777777759</v>
      </c>
      <c r="U102" s="214">
        <v>0.72291666666666643</v>
      </c>
      <c r="V102" s="215">
        <v>8</v>
      </c>
      <c r="W102" s="90">
        <f t="shared" si="70"/>
        <v>19.999999999999929</v>
      </c>
      <c r="X102" s="223"/>
      <c r="Y102" s="223"/>
      <c r="Z102" s="220"/>
      <c r="AA102" s="220"/>
      <c r="AB102" s="658"/>
      <c r="AC102" s="658"/>
      <c r="AD102" s="441"/>
      <c r="AE102" s="441"/>
      <c r="AF102" s="54">
        <f t="shared" si="61"/>
        <v>-160.54999999999586</v>
      </c>
      <c r="AG102" s="434">
        <f t="shared" si="62"/>
        <v>0.88407942238267445</v>
      </c>
      <c r="AH102" s="681"/>
    </row>
    <row r="103" spans="1:34" s="221" customFormat="1" ht="19.2" customHeight="1">
      <c r="A103" s="702"/>
      <c r="B103" s="427" t="s">
        <v>185</v>
      </c>
      <c r="C103" s="224"/>
      <c r="D103" s="82" t="s">
        <v>108</v>
      </c>
      <c r="E103" s="83"/>
      <c r="F103" s="372">
        <v>57.73</v>
      </c>
      <c r="G103" s="57">
        <v>832</v>
      </c>
      <c r="H103" s="213">
        <f t="shared" si="65"/>
        <v>48031.360000000001</v>
      </c>
      <c r="I103" s="225"/>
      <c r="J103" s="46">
        <v>16</v>
      </c>
      <c r="K103" s="44">
        <v>1440</v>
      </c>
      <c r="L103" s="47">
        <v>90</v>
      </c>
      <c r="M103" s="87">
        <v>17</v>
      </c>
      <c r="N103" s="44">
        <f t="shared" si="66"/>
        <v>1109.3333333333333</v>
      </c>
      <c r="O103" s="47">
        <f t="shared" si="67"/>
        <v>65.254901960784309</v>
      </c>
      <c r="P103" s="48">
        <f t="shared" si="68"/>
        <v>1</v>
      </c>
      <c r="Q103" s="49">
        <f t="shared" si="64"/>
        <v>-24.745098039215691</v>
      </c>
      <c r="R103" s="431">
        <f t="shared" si="69"/>
        <v>0.72505446623093672</v>
      </c>
      <c r="S103" s="672"/>
      <c r="T103" s="214">
        <v>0.72916666666666641</v>
      </c>
      <c r="U103" s="214">
        <v>0.76041666666666641</v>
      </c>
      <c r="V103" s="215">
        <v>9</v>
      </c>
      <c r="W103" s="90">
        <f t="shared" si="70"/>
        <v>45</v>
      </c>
      <c r="X103" s="223"/>
      <c r="Y103" s="223"/>
      <c r="Z103" s="220"/>
      <c r="AA103" s="220"/>
      <c r="AB103" s="658"/>
      <c r="AC103" s="658"/>
      <c r="AD103" s="441"/>
      <c r="AE103" s="441"/>
      <c r="AF103" s="216">
        <f t="shared" si="61"/>
        <v>-330.66666666666674</v>
      </c>
      <c r="AG103" s="217">
        <f t="shared" si="62"/>
        <v>0.77037037037037037</v>
      </c>
      <c r="AH103" s="681"/>
    </row>
    <row r="104" spans="1:34" s="221" customFormat="1" ht="19.2" customHeight="1">
      <c r="A104" s="702"/>
      <c r="B104" s="427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31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441"/>
      <c r="AE104" s="441"/>
      <c r="AF104" s="54">
        <f t="shared" si="61"/>
        <v>0</v>
      </c>
      <c r="AG104" s="434" t="e">
        <f t="shared" si="62"/>
        <v>#DIV/0!</v>
      </c>
      <c r="AH104" s="681"/>
    </row>
    <row r="105" spans="1:34" s="221" customFormat="1" ht="19.2" customHeight="1">
      <c r="A105" s="702"/>
      <c r="B105" s="427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31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441"/>
      <c r="AE105" s="441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27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34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441"/>
      <c r="AE106" s="441"/>
      <c r="AF106" s="220"/>
      <c r="AG106" s="434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34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441"/>
      <c r="AE107" s="441"/>
      <c r="AF107" s="220"/>
      <c r="AG107" s="434"/>
      <c r="AH107" s="681"/>
    </row>
    <row r="108" spans="1:34" ht="19.2" customHeight="1">
      <c r="A108" s="702"/>
      <c r="B108" s="110">
        <v>0</v>
      </c>
      <c r="C108" s="100" t="s">
        <v>364</v>
      </c>
      <c r="D108" s="687" t="s">
        <v>365</v>
      </c>
      <c r="E108" s="687"/>
      <c r="F108" s="373"/>
      <c r="G108" s="101"/>
      <c r="H108" s="102"/>
      <c r="I108" s="103"/>
      <c r="J108" s="101">
        <v>17</v>
      </c>
      <c r="K108" s="101">
        <v>1480.125</v>
      </c>
      <c r="L108" s="104">
        <v>103.33228291316527</v>
      </c>
      <c r="M108" s="101">
        <f t="shared" ref="M108:O108" si="71">AVERAGE(M96:M107)</f>
        <v>17.125</v>
      </c>
      <c r="N108" s="101">
        <f t="shared" si="71"/>
        <v>1320.8457562167962</v>
      </c>
      <c r="O108" s="104">
        <f t="shared" si="71"/>
        <v>92.35380647882441</v>
      </c>
      <c r="P108" s="54">
        <f t="shared" ref="P108:P116" si="72">M108-J108</f>
        <v>0.125</v>
      </c>
      <c r="Q108" s="88">
        <f t="shared" ref="Q108:Q116" si="73">O108-L108</f>
        <v>-10.978476434340863</v>
      </c>
      <c r="R108" s="105">
        <f t="shared" ref="R108:R116" si="74">O108/L108</f>
        <v>0.89375559965546714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0</v>
      </c>
      <c r="AE108" s="107">
        <f>SUM(AE96:AE107)</f>
        <v>0</v>
      </c>
      <c r="AF108" s="54">
        <f t="shared" si="61"/>
        <v>-159.27924378320381</v>
      </c>
      <c r="AG108" s="434">
        <f t="shared" si="62"/>
        <v>0.89238797818886662</v>
      </c>
      <c r="AH108" s="681"/>
    </row>
    <row r="109" spans="1:34" ht="19.2" customHeight="1">
      <c r="A109" s="703" t="s">
        <v>366</v>
      </c>
      <c r="B109" s="427" t="s">
        <v>184</v>
      </c>
      <c r="C109" s="437"/>
      <c r="D109" s="179" t="s">
        <v>82</v>
      </c>
      <c r="E109" s="43"/>
      <c r="F109" s="361">
        <v>36.409999999999997</v>
      </c>
      <c r="G109" s="44">
        <v>3093.94</v>
      </c>
      <c r="H109" s="45">
        <f t="shared" ref="H109:H119" si="75">F109*G109</f>
        <v>112650.35539999999</v>
      </c>
      <c r="I109" s="427"/>
      <c r="J109" s="46">
        <v>10</v>
      </c>
      <c r="K109" s="44">
        <v>2769</v>
      </c>
      <c r="L109" s="47">
        <v>276.89999999999998</v>
      </c>
      <c r="M109" s="425">
        <v>10</v>
      </c>
      <c r="N109" s="44">
        <f t="shared" ref="N109:N116" si="76">G109/W109*60</f>
        <v>2291.8074074074066</v>
      </c>
      <c r="O109" s="47">
        <f t="shared" ref="O109:O116" si="77">N109/M109</f>
        <v>229.18074074074065</v>
      </c>
      <c r="P109" s="48">
        <f t="shared" si="72"/>
        <v>0</v>
      </c>
      <c r="Q109" s="49">
        <f t="shared" si="73"/>
        <v>-47.719259259259331</v>
      </c>
      <c r="R109" s="431">
        <f t="shared" si="74"/>
        <v>0.82766609151585646</v>
      </c>
      <c r="S109" s="706">
        <f>R121</f>
        <v>0.90375717546981216</v>
      </c>
      <c r="T109" s="230">
        <v>0.5</v>
      </c>
      <c r="U109" s="230">
        <v>0.55625000000000002</v>
      </c>
      <c r="V109" s="231">
        <v>5</v>
      </c>
      <c r="W109" s="424">
        <f t="shared" si="70"/>
        <v>81.000000000000028</v>
      </c>
      <c r="X109" s="53"/>
      <c r="Y109" s="53"/>
      <c r="Z109" s="54"/>
      <c r="AA109" s="54"/>
      <c r="AB109" s="658"/>
      <c r="AC109" s="658"/>
      <c r="AD109" s="441"/>
      <c r="AE109" s="441"/>
      <c r="AF109" s="48">
        <f t="shared" si="61"/>
        <v>-477.19259259259343</v>
      </c>
      <c r="AG109" s="126">
        <f t="shared" si="62"/>
        <v>0.82766609151585646</v>
      </c>
      <c r="AH109" s="681">
        <f>AG121</f>
        <v>0.86666884010470724</v>
      </c>
    </row>
    <row r="110" spans="1:34" ht="19.2" customHeight="1">
      <c r="A110" s="704"/>
      <c r="B110" s="427" t="s">
        <v>184</v>
      </c>
      <c r="C110" s="178"/>
      <c r="D110" s="42" t="s">
        <v>199</v>
      </c>
      <c r="E110" s="180"/>
      <c r="F110" s="361">
        <v>21.92</v>
      </c>
      <c r="G110" s="177">
        <v>801</v>
      </c>
      <c r="H110" s="45">
        <f t="shared" si="75"/>
        <v>17557.920000000002</v>
      </c>
      <c r="I110" s="427"/>
      <c r="J110" s="46">
        <v>4</v>
      </c>
      <c r="K110" s="44">
        <v>2000</v>
      </c>
      <c r="L110" s="47">
        <v>500</v>
      </c>
      <c r="M110" s="425">
        <v>4</v>
      </c>
      <c r="N110" s="44">
        <f t="shared" si="76"/>
        <v>2002.4999999999936</v>
      </c>
      <c r="O110" s="47">
        <f t="shared" si="77"/>
        <v>500.62499999999841</v>
      </c>
      <c r="P110" s="48">
        <f t="shared" si="72"/>
        <v>0</v>
      </c>
      <c r="Q110" s="49">
        <f t="shared" si="73"/>
        <v>0.62499999999840838</v>
      </c>
      <c r="R110" s="431">
        <f t="shared" si="74"/>
        <v>1.0012499999999969</v>
      </c>
      <c r="S110" s="707"/>
      <c r="T110" s="230">
        <v>0.57152777777777775</v>
      </c>
      <c r="U110" s="230">
        <v>0.58819444444444446</v>
      </c>
      <c r="V110" s="231">
        <v>22</v>
      </c>
      <c r="W110" s="424">
        <f t="shared" si="70"/>
        <v>24.000000000000075</v>
      </c>
      <c r="X110" s="191">
        <v>0.55972222222222223</v>
      </c>
      <c r="Y110" s="191">
        <v>0.56874999999999998</v>
      </c>
      <c r="Z110" s="54"/>
      <c r="AA110" s="54"/>
      <c r="AB110" s="658"/>
      <c r="AC110" s="658"/>
      <c r="AD110" s="441"/>
      <c r="AE110" s="441"/>
      <c r="AF110" s="48">
        <f t="shared" si="61"/>
        <v>2.4999999999936335</v>
      </c>
      <c r="AG110" s="126">
        <f t="shared" si="62"/>
        <v>1.0012499999999969</v>
      </c>
      <c r="AH110" s="681"/>
    </row>
    <row r="111" spans="1:34" ht="19.2" customHeight="1">
      <c r="A111" s="704"/>
      <c r="B111" s="427" t="s">
        <v>185</v>
      </c>
      <c r="C111" s="178"/>
      <c r="D111" s="42" t="s">
        <v>104</v>
      </c>
      <c r="E111" s="180"/>
      <c r="F111" s="361">
        <v>51.75</v>
      </c>
      <c r="G111" s="57">
        <v>983</v>
      </c>
      <c r="H111" s="45">
        <f t="shared" si="75"/>
        <v>50870.25</v>
      </c>
      <c r="I111" s="427"/>
      <c r="J111" s="46">
        <v>21</v>
      </c>
      <c r="K111" s="44">
        <v>1500</v>
      </c>
      <c r="L111" s="47">
        <v>71.428571428571431</v>
      </c>
      <c r="M111" s="232">
        <v>21</v>
      </c>
      <c r="N111" s="44">
        <f t="shared" si="76"/>
        <v>1340.4545454545455</v>
      </c>
      <c r="O111" s="47">
        <f t="shared" si="77"/>
        <v>63.831168831168831</v>
      </c>
      <c r="P111" s="48">
        <f t="shared" si="72"/>
        <v>0</v>
      </c>
      <c r="Q111" s="49">
        <f t="shared" si="73"/>
        <v>-7.5974025974025992</v>
      </c>
      <c r="R111" s="431">
        <f t="shared" si="74"/>
        <v>0.89363636363636356</v>
      </c>
      <c r="S111" s="707"/>
      <c r="T111" s="230">
        <v>0.59305555555555556</v>
      </c>
      <c r="U111" s="230">
        <v>0.62361111111111112</v>
      </c>
      <c r="V111" s="231">
        <v>7</v>
      </c>
      <c r="W111" s="424">
        <f t="shared" si="70"/>
        <v>44</v>
      </c>
      <c r="X111" s="53"/>
      <c r="Y111" s="53"/>
      <c r="Z111" s="54"/>
      <c r="AA111" s="54"/>
      <c r="AB111" s="658"/>
      <c r="AC111" s="658"/>
      <c r="AD111" s="441"/>
      <c r="AE111" s="441"/>
      <c r="AF111" s="48">
        <f t="shared" si="61"/>
        <v>-159.5454545454545</v>
      </c>
      <c r="AG111" s="126">
        <f t="shared" si="62"/>
        <v>0.89363636363636367</v>
      </c>
      <c r="AH111" s="681"/>
    </row>
    <row r="112" spans="1:34" ht="19.2" customHeight="1">
      <c r="A112" s="704"/>
      <c r="B112" s="427" t="s">
        <v>185</v>
      </c>
      <c r="C112" s="178"/>
      <c r="D112" s="179" t="s">
        <v>103</v>
      </c>
      <c r="E112" s="180"/>
      <c r="F112" s="361">
        <v>56.43</v>
      </c>
      <c r="G112" s="57">
        <v>1016</v>
      </c>
      <c r="H112" s="45">
        <f t="shared" si="75"/>
        <v>57332.88</v>
      </c>
      <c r="I112" s="441"/>
      <c r="J112" s="46">
        <v>18</v>
      </c>
      <c r="K112" s="44">
        <v>1500</v>
      </c>
      <c r="L112" s="47">
        <v>83.333333333333329</v>
      </c>
      <c r="M112" s="232">
        <v>18</v>
      </c>
      <c r="N112" s="44">
        <f t="shared" si="76"/>
        <v>1325.2173913043478</v>
      </c>
      <c r="O112" s="47">
        <f t="shared" si="77"/>
        <v>73.623188405797094</v>
      </c>
      <c r="P112" s="48">
        <f t="shared" si="72"/>
        <v>0</v>
      </c>
      <c r="Q112" s="49">
        <f t="shared" si="73"/>
        <v>-9.7101449275362341</v>
      </c>
      <c r="R112" s="431">
        <f t="shared" si="74"/>
        <v>0.88347826086956516</v>
      </c>
      <c r="S112" s="707"/>
      <c r="T112" s="230">
        <v>0.62777777777777777</v>
      </c>
      <c r="U112" s="230">
        <v>0.65972222222222221</v>
      </c>
      <c r="V112" s="231">
        <v>6</v>
      </c>
      <c r="W112" s="424">
        <f t="shared" si="70"/>
        <v>46</v>
      </c>
      <c r="X112" s="53"/>
      <c r="Y112" s="53"/>
      <c r="Z112" s="54"/>
      <c r="AA112" s="54"/>
      <c r="AB112" s="658"/>
      <c r="AC112" s="658"/>
      <c r="AD112" s="441"/>
      <c r="AE112" s="441"/>
      <c r="AF112" s="48">
        <f t="shared" si="61"/>
        <v>-174.78260869565224</v>
      </c>
      <c r="AG112" s="126">
        <f t="shared" si="62"/>
        <v>0.88347826086956516</v>
      </c>
      <c r="AH112" s="681"/>
    </row>
    <row r="113" spans="1:34" s="221" customFormat="1" ht="19.2" customHeight="1">
      <c r="A113" s="704"/>
      <c r="B113" s="427" t="s">
        <v>184</v>
      </c>
      <c r="C113" s="178"/>
      <c r="D113" s="179" t="s">
        <v>259</v>
      </c>
      <c r="E113" s="180"/>
      <c r="F113" s="361">
        <v>20.170000000000002</v>
      </c>
      <c r="G113" s="57">
        <v>850</v>
      </c>
      <c r="H113" s="45">
        <f t="shared" si="75"/>
        <v>17144.5</v>
      </c>
      <c r="I113" s="441"/>
      <c r="J113" s="46">
        <v>12</v>
      </c>
      <c r="K113" s="44">
        <v>1500</v>
      </c>
      <c r="L113" s="47">
        <v>125</v>
      </c>
      <c r="M113" s="232">
        <v>12</v>
      </c>
      <c r="N113" s="44">
        <f t="shared" si="76"/>
        <v>1378.3783783783772</v>
      </c>
      <c r="O113" s="47">
        <f t="shared" si="77"/>
        <v>114.86486486486477</v>
      </c>
      <c r="P113" s="48">
        <f t="shared" si="72"/>
        <v>0</v>
      </c>
      <c r="Q113" s="49">
        <f t="shared" si="73"/>
        <v>-10.135135135135229</v>
      </c>
      <c r="R113" s="431">
        <f t="shared" si="74"/>
        <v>0.91891891891891819</v>
      </c>
      <c r="S113" s="707"/>
      <c r="T113" s="230">
        <v>0.70833333333333337</v>
      </c>
      <c r="U113" s="230">
        <v>0.73402777777777783</v>
      </c>
      <c r="V113" s="231">
        <v>5</v>
      </c>
      <c r="W113" s="424">
        <f t="shared" si="70"/>
        <v>37.000000000000028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-121.62162162162281</v>
      </c>
      <c r="AG113" s="126">
        <f t="shared" si="62"/>
        <v>0.91891891891891808</v>
      </c>
      <c r="AH113" s="681"/>
    </row>
    <row r="114" spans="1:34" s="221" customFormat="1" ht="19.2" customHeight="1">
      <c r="A114" s="704"/>
      <c r="B114" s="427" t="s">
        <v>185</v>
      </c>
      <c r="C114" s="178"/>
      <c r="D114" s="179" t="s">
        <v>96</v>
      </c>
      <c r="E114" s="180"/>
      <c r="F114" s="361">
        <v>58.17</v>
      </c>
      <c r="G114" s="57">
        <v>851</v>
      </c>
      <c r="H114" s="45">
        <f t="shared" si="75"/>
        <v>49502.67</v>
      </c>
      <c r="I114" s="441"/>
      <c r="J114" s="46">
        <v>19</v>
      </c>
      <c r="K114" s="44">
        <v>1385</v>
      </c>
      <c r="L114" s="47">
        <v>72.89473684210526</v>
      </c>
      <c r="M114" s="232">
        <v>20</v>
      </c>
      <c r="N114" s="44">
        <f t="shared" si="76"/>
        <v>1134.6666666666667</v>
      </c>
      <c r="O114" s="47">
        <f t="shared" si="77"/>
        <v>56.733333333333334</v>
      </c>
      <c r="P114" s="48">
        <f t="shared" si="72"/>
        <v>1</v>
      </c>
      <c r="Q114" s="49">
        <f t="shared" si="73"/>
        <v>-16.161403508771926</v>
      </c>
      <c r="R114" s="431">
        <f t="shared" si="74"/>
        <v>0.77829121540312884</v>
      </c>
      <c r="S114" s="707"/>
      <c r="T114" s="230">
        <v>0.73958333333333337</v>
      </c>
      <c r="U114" s="230">
        <v>0.77083333333333337</v>
      </c>
      <c r="V114" s="231">
        <v>8</v>
      </c>
      <c r="W114" s="424">
        <f t="shared" si="70"/>
        <v>45</v>
      </c>
      <c r="X114" s="219"/>
      <c r="Y114" s="219"/>
      <c r="Z114" s="220"/>
      <c r="AA114" s="220"/>
      <c r="AB114" s="658"/>
      <c r="AC114" s="658"/>
      <c r="AD114" s="224"/>
      <c r="AE114" s="224"/>
      <c r="AF114" s="48">
        <f t="shared" si="61"/>
        <v>-250.33333333333326</v>
      </c>
      <c r="AG114" s="126">
        <f t="shared" si="62"/>
        <v>0.81925391095066191</v>
      </c>
      <c r="AH114" s="681"/>
    </row>
    <row r="115" spans="1:34" s="221" customFormat="1" ht="19.2" customHeight="1">
      <c r="A115" s="704"/>
      <c r="B115" s="427" t="s">
        <v>185</v>
      </c>
      <c r="C115" s="178"/>
      <c r="D115" s="179" t="s">
        <v>97</v>
      </c>
      <c r="E115" s="180"/>
      <c r="F115" s="361">
        <v>53.68</v>
      </c>
      <c r="G115" s="177">
        <v>1086</v>
      </c>
      <c r="H115" s="45">
        <f t="shared" si="75"/>
        <v>58296.480000000003</v>
      </c>
      <c r="I115" s="441"/>
      <c r="J115" s="46">
        <v>20</v>
      </c>
      <c r="K115" s="44">
        <v>1500</v>
      </c>
      <c r="L115" s="47">
        <v>75</v>
      </c>
      <c r="M115" s="425">
        <v>20</v>
      </c>
      <c r="N115" s="44">
        <f t="shared" si="76"/>
        <v>1184.7272727272734</v>
      </c>
      <c r="O115" s="47">
        <f t="shared" si="77"/>
        <v>59.23636363636367</v>
      </c>
      <c r="P115" s="48">
        <f t="shared" si="72"/>
        <v>0</v>
      </c>
      <c r="Q115" s="49">
        <f t="shared" si="73"/>
        <v>-15.76363636363633</v>
      </c>
      <c r="R115" s="431">
        <f t="shared" si="74"/>
        <v>0.78981818181818231</v>
      </c>
      <c r="S115" s="707"/>
      <c r="T115" s="230">
        <v>0.77569444444444446</v>
      </c>
      <c r="U115" s="230">
        <v>0.81388888888888888</v>
      </c>
      <c r="V115" s="231">
        <v>7</v>
      </c>
      <c r="W115" s="424">
        <f t="shared" si="70"/>
        <v>54.999999999999964</v>
      </c>
      <c r="X115" s="219"/>
      <c r="Y115" s="219"/>
      <c r="Z115" s="220"/>
      <c r="AA115" s="220"/>
      <c r="AB115" s="658"/>
      <c r="AC115" s="658"/>
      <c r="AD115" s="224"/>
      <c r="AE115" s="224"/>
      <c r="AF115" s="48">
        <f t="shared" si="61"/>
        <v>-315.27272727272657</v>
      </c>
      <c r="AG115" s="126">
        <f t="shared" si="62"/>
        <v>0.78981818181818231</v>
      </c>
      <c r="AH115" s="681"/>
    </row>
    <row r="116" spans="1:34" s="221" customFormat="1" ht="19.2" customHeight="1">
      <c r="A116" s="704"/>
      <c r="B116" s="427" t="s">
        <v>185</v>
      </c>
      <c r="C116" s="55"/>
      <c r="D116" s="82" t="s">
        <v>201</v>
      </c>
      <c r="E116" s="83"/>
      <c r="F116" s="361">
        <v>44.98</v>
      </c>
      <c r="G116" s="57">
        <v>1842</v>
      </c>
      <c r="H116" s="45">
        <f t="shared" si="75"/>
        <v>82853.159999999989</v>
      </c>
      <c r="I116" s="441"/>
      <c r="J116" s="46">
        <v>19</v>
      </c>
      <c r="K116" s="44">
        <v>1500</v>
      </c>
      <c r="L116" s="47">
        <v>78.94736842105263</v>
      </c>
      <c r="M116" s="430">
        <v>19</v>
      </c>
      <c r="N116" s="44">
        <f t="shared" si="76"/>
        <v>1175.744680851064</v>
      </c>
      <c r="O116" s="47">
        <f t="shared" si="77"/>
        <v>61.881298992161263</v>
      </c>
      <c r="P116" s="48">
        <f t="shared" si="72"/>
        <v>0</v>
      </c>
      <c r="Q116" s="49">
        <f t="shared" si="73"/>
        <v>-17.066069428891367</v>
      </c>
      <c r="R116" s="431">
        <f t="shared" si="74"/>
        <v>0.78382978723404273</v>
      </c>
      <c r="S116" s="707"/>
      <c r="T116" s="230">
        <v>0.82986111111111116</v>
      </c>
      <c r="U116" s="230">
        <v>0.89513888888888893</v>
      </c>
      <c r="V116" s="231">
        <v>23</v>
      </c>
      <c r="W116" s="424">
        <f t="shared" si="70"/>
        <v>93.999999999999986</v>
      </c>
      <c r="X116" s="219">
        <v>0.81736111111111109</v>
      </c>
      <c r="Y116" s="219">
        <v>0.82708333333333339</v>
      </c>
      <c r="Z116" s="220"/>
      <c r="AA116" s="220"/>
      <c r="AB116" s="658"/>
      <c r="AC116" s="658"/>
      <c r="AD116" s="224">
        <v>1</v>
      </c>
      <c r="AE116" s="224"/>
      <c r="AF116" s="48">
        <f t="shared" si="61"/>
        <v>-324.255319148936</v>
      </c>
      <c r="AG116" s="126">
        <f t="shared" si="62"/>
        <v>0.78382978723404262</v>
      </c>
      <c r="AH116" s="681"/>
    </row>
    <row r="117" spans="1:34" s="221" customFormat="1" ht="19.2" customHeight="1">
      <c r="A117" s="704"/>
      <c r="B117" s="427">
        <v>0</v>
      </c>
      <c r="C117" s="55"/>
      <c r="D117" s="179"/>
      <c r="E117" s="83"/>
      <c r="F117" s="361" t="s">
        <v>186</v>
      </c>
      <c r="G117" s="57"/>
      <c r="H117" s="45">
        <f t="shared" si="75"/>
        <v>0</v>
      </c>
      <c r="I117" s="441"/>
      <c r="J117" s="46"/>
      <c r="K117" s="44"/>
      <c r="L117" s="47"/>
      <c r="M117" s="430"/>
      <c r="N117" s="44"/>
      <c r="O117" s="47"/>
      <c r="P117" s="48"/>
      <c r="Q117" s="49"/>
      <c r="R117" s="431"/>
      <c r="S117" s="707"/>
      <c r="T117" s="230"/>
      <c r="U117" s="230"/>
      <c r="V117" s="231"/>
      <c r="W117" s="424"/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0</v>
      </c>
      <c r="AG117" s="126" t="e">
        <f t="shared" si="62"/>
        <v>#DIV/0!</v>
      </c>
      <c r="AH117" s="681"/>
    </row>
    <row r="118" spans="1:34" s="221" customFormat="1" ht="19.2" customHeight="1">
      <c r="A118" s="704"/>
      <c r="B118" s="427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441"/>
      <c r="J118" s="46"/>
      <c r="K118" s="44"/>
      <c r="L118" s="47"/>
      <c r="M118" s="430"/>
      <c r="N118" s="44"/>
      <c r="O118" s="47"/>
      <c r="P118" s="48"/>
      <c r="Q118" s="49"/>
      <c r="R118" s="431"/>
      <c r="S118" s="707"/>
      <c r="T118" s="230"/>
      <c r="U118" s="230"/>
      <c r="V118" s="231"/>
      <c r="W118" s="424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441"/>
      <c r="J119" s="181"/>
      <c r="K119" s="235"/>
      <c r="L119" s="47"/>
      <c r="M119" s="430"/>
      <c r="N119" s="182"/>
      <c r="O119" s="228"/>
      <c r="P119" s="168"/>
      <c r="Q119" s="49"/>
      <c r="R119" s="431"/>
      <c r="S119" s="707"/>
      <c r="T119" s="230"/>
      <c r="U119" s="230"/>
      <c r="V119" s="231"/>
      <c r="W119" s="424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441"/>
      <c r="J120" s="181"/>
      <c r="K120" s="235"/>
      <c r="L120" s="47"/>
      <c r="M120" s="430"/>
      <c r="N120" s="182"/>
      <c r="O120" s="228"/>
      <c r="P120" s="168"/>
      <c r="Q120" s="49"/>
      <c r="R120" s="431"/>
      <c r="S120" s="707"/>
      <c r="T120" s="230"/>
      <c r="U120" s="230"/>
      <c r="V120" s="231"/>
      <c r="W120" s="424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367</v>
      </c>
      <c r="D121" s="236" t="s">
        <v>341</v>
      </c>
      <c r="E121" s="237"/>
      <c r="F121" s="370"/>
      <c r="G121" s="238"/>
      <c r="H121" s="239"/>
      <c r="I121" s="240"/>
      <c r="J121" s="205">
        <v>15.375</v>
      </c>
      <c r="K121" s="205">
        <v>1706.75</v>
      </c>
      <c r="L121" s="206">
        <v>160.43800125313282</v>
      </c>
      <c r="M121" s="205">
        <f t="shared" ref="M121:O121" si="78">AVERAGE(M109:M120)</f>
        <v>15.5</v>
      </c>
      <c r="N121" s="205">
        <f t="shared" si="78"/>
        <v>1479.1870428487091</v>
      </c>
      <c r="O121" s="206">
        <f t="shared" si="78"/>
        <v>144.99699485055351</v>
      </c>
      <c r="P121" s="48">
        <f t="shared" ref="P121:P129" si="79">M121-J121</f>
        <v>0.125</v>
      </c>
      <c r="Q121" s="49">
        <f t="shared" ref="Q121:Q129" si="80">O121-L121</f>
        <v>-15.441006402579319</v>
      </c>
      <c r="R121" s="175">
        <f t="shared" ref="R121:R129" si="81">O121/L121</f>
        <v>0.90375717546981216</v>
      </c>
      <c r="S121" s="686"/>
      <c r="T121" s="50"/>
      <c r="U121" s="50"/>
      <c r="V121" s="44"/>
      <c r="W121" s="42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1</v>
      </c>
      <c r="AE121" s="107">
        <f>SUM(AE109:AE120)</f>
        <v>0</v>
      </c>
      <c r="AF121" s="48">
        <f>N121-K121</f>
        <v>-227.5629571512909</v>
      </c>
      <c r="AG121" s="126">
        <f>N121/K121</f>
        <v>0.86666884010470724</v>
      </c>
      <c r="AH121" s="681"/>
    </row>
    <row r="122" spans="1:34" ht="19.2" customHeight="1">
      <c r="A122" s="708" t="s">
        <v>368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2135</v>
      </c>
      <c r="H122" s="45">
        <f t="shared" ref="H122:H132" si="82">F122*G122</f>
        <v>125260.45</v>
      </c>
      <c r="I122" s="427"/>
      <c r="J122" s="46">
        <v>19</v>
      </c>
      <c r="K122" s="44">
        <v>1440</v>
      </c>
      <c r="L122" s="47">
        <v>75.78947368421052</v>
      </c>
      <c r="M122" s="425">
        <v>19</v>
      </c>
      <c r="N122" s="177">
        <f t="shared" ref="N122:N129" si="83">G122/W122*60</f>
        <v>1362.7659574468087</v>
      </c>
      <c r="O122" s="241">
        <f t="shared" ref="O122:O129" si="84">N122/M122</f>
        <v>71.72452407614783</v>
      </c>
      <c r="P122" s="108">
        <f t="shared" si="79"/>
        <v>0</v>
      </c>
      <c r="Q122" s="185">
        <f t="shared" si="80"/>
        <v>-4.0649496080626903</v>
      </c>
      <c r="R122" s="109">
        <f t="shared" si="81"/>
        <v>0.94636524822695056</v>
      </c>
      <c r="S122" s="672">
        <f>R134</f>
        <v>0.8980813663196604</v>
      </c>
      <c r="T122" s="50">
        <v>0.5</v>
      </c>
      <c r="U122" s="50">
        <v>0.56527777777777777</v>
      </c>
      <c r="V122" s="231">
        <v>5</v>
      </c>
      <c r="W122" s="424">
        <f t="shared" si="70"/>
        <v>93.999999999999986</v>
      </c>
      <c r="X122" s="53"/>
      <c r="Y122" s="53"/>
      <c r="Z122" s="54"/>
      <c r="AA122" s="54"/>
      <c r="AB122" s="658"/>
      <c r="AC122" s="658"/>
      <c r="AD122" s="441"/>
      <c r="AE122" s="441">
        <v>1</v>
      </c>
      <c r="AF122" s="48">
        <f t="shared" si="61"/>
        <v>-77.23404255319133</v>
      </c>
      <c r="AG122" s="431">
        <f t="shared" si="62"/>
        <v>0.94636524822695045</v>
      </c>
      <c r="AH122" s="686">
        <f>AG134</f>
        <v>0.91272229647884739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2312.85</v>
      </c>
      <c r="H123" s="45">
        <f t="shared" si="82"/>
        <v>137660.83199999999</v>
      </c>
      <c r="I123" s="441"/>
      <c r="J123" s="87">
        <v>21</v>
      </c>
      <c r="K123" s="57">
        <v>1385</v>
      </c>
      <c r="L123" s="86">
        <v>65.952380952380949</v>
      </c>
      <c r="M123" s="430">
        <v>21</v>
      </c>
      <c r="N123" s="57">
        <f t="shared" si="83"/>
        <v>1309.1603773584914</v>
      </c>
      <c r="O123" s="86">
        <f t="shared" si="84"/>
        <v>62.340970350404348</v>
      </c>
      <c r="P123" s="54">
        <f t="shared" si="79"/>
        <v>0</v>
      </c>
      <c r="Q123" s="88">
        <f t="shared" si="80"/>
        <v>-3.6114106019766012</v>
      </c>
      <c r="R123" s="434">
        <f t="shared" si="81"/>
        <v>0.94524214971732234</v>
      </c>
      <c r="S123" s="672"/>
      <c r="T123" s="50">
        <v>0.57013888888888886</v>
      </c>
      <c r="U123" s="50">
        <v>0.64374999999999993</v>
      </c>
      <c r="V123" s="231">
        <v>7</v>
      </c>
      <c r="W123" s="424">
        <f>(U123-T123)*24*60</f>
        <v>105.99999999999994</v>
      </c>
      <c r="X123" s="53"/>
      <c r="Y123" s="53"/>
      <c r="Z123" s="54"/>
      <c r="AA123" s="54"/>
      <c r="AB123" s="658"/>
      <c r="AC123" s="658"/>
      <c r="AD123" s="441"/>
      <c r="AE123" s="441"/>
      <c r="AF123" s="48">
        <f t="shared" si="61"/>
        <v>-75.83962264150864</v>
      </c>
      <c r="AG123" s="431">
        <f t="shared" si="62"/>
        <v>0.94524214971732223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1357</v>
      </c>
      <c r="H124" s="45">
        <f t="shared" si="82"/>
        <v>77064.03</v>
      </c>
      <c r="I124" s="242"/>
      <c r="J124" s="87">
        <v>18</v>
      </c>
      <c r="K124" s="57">
        <v>1636</v>
      </c>
      <c r="L124" s="86">
        <v>90.888888888888886</v>
      </c>
      <c r="M124" s="425">
        <v>18</v>
      </c>
      <c r="N124" s="177">
        <f t="shared" si="83"/>
        <v>1536.2264150943404</v>
      </c>
      <c r="O124" s="241">
        <f t="shared" si="84"/>
        <v>85.345911949685572</v>
      </c>
      <c r="P124" s="108">
        <f t="shared" si="79"/>
        <v>0</v>
      </c>
      <c r="Q124" s="185">
        <f t="shared" si="80"/>
        <v>-5.5429769392033137</v>
      </c>
      <c r="R124" s="109">
        <f t="shared" si="81"/>
        <v>0.93901370115790972</v>
      </c>
      <c r="S124" s="709"/>
      <c r="T124" s="50">
        <v>0.70833333333333337</v>
      </c>
      <c r="U124" s="50">
        <v>0.74513888888888891</v>
      </c>
      <c r="V124" s="231">
        <v>5</v>
      </c>
      <c r="W124" s="243">
        <f>(U124-T124)*24*60</f>
        <v>52.999999999999972</v>
      </c>
      <c r="X124" s="191"/>
      <c r="Y124" s="191"/>
      <c r="Z124" s="54"/>
      <c r="AA124" s="54"/>
      <c r="AB124" s="658"/>
      <c r="AC124" s="658"/>
      <c r="AD124" s="441"/>
      <c r="AE124" s="441"/>
      <c r="AF124" s="108">
        <f t="shared" si="61"/>
        <v>-99.773584905659618</v>
      </c>
      <c r="AG124" s="109">
        <f t="shared" si="62"/>
        <v>0.93901370115790972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1056</v>
      </c>
      <c r="H125" s="45">
        <f t="shared" si="82"/>
        <v>60054.719999999994</v>
      </c>
      <c r="I125" s="427"/>
      <c r="J125" s="87">
        <v>18</v>
      </c>
      <c r="K125" s="57">
        <v>1636</v>
      </c>
      <c r="L125" s="86">
        <v>90.888888888888886</v>
      </c>
      <c r="M125" s="425">
        <v>18</v>
      </c>
      <c r="N125" s="57">
        <f t="shared" si="83"/>
        <v>1545.365853658536</v>
      </c>
      <c r="O125" s="86">
        <f t="shared" si="84"/>
        <v>85.853658536585328</v>
      </c>
      <c r="P125" s="54">
        <f t="shared" si="79"/>
        <v>0</v>
      </c>
      <c r="Q125" s="88">
        <f t="shared" si="80"/>
        <v>-5.0352303523035573</v>
      </c>
      <c r="R125" s="434">
        <f t="shared" si="81"/>
        <v>0.94460015504800487</v>
      </c>
      <c r="S125" s="709"/>
      <c r="T125" s="50">
        <v>0.75</v>
      </c>
      <c r="U125" s="50">
        <v>0.77847222222222223</v>
      </c>
      <c r="V125" s="231">
        <v>7</v>
      </c>
      <c r="W125" s="243">
        <f t="shared" ref="W125:W133" si="85">(U125-T125)*24*60</f>
        <v>41.000000000000014</v>
      </c>
      <c r="X125" s="64"/>
      <c r="Y125" s="64"/>
      <c r="Z125" s="54"/>
      <c r="AA125" s="54"/>
      <c r="AB125" s="658"/>
      <c r="AC125" s="658"/>
      <c r="AD125" s="441"/>
      <c r="AE125" s="441"/>
      <c r="AF125" s="48">
        <f t="shared" si="61"/>
        <v>-90.634146341463975</v>
      </c>
      <c r="AG125" s="431">
        <f t="shared" si="62"/>
        <v>0.94460015504800487</v>
      </c>
      <c r="AH125" s="673"/>
    </row>
    <row r="126" spans="1:34" ht="19.2" customHeight="1">
      <c r="A126" s="708"/>
      <c r="B126" s="131" t="s">
        <v>185</v>
      </c>
      <c r="C126" s="441"/>
      <c r="D126" s="42" t="s">
        <v>113</v>
      </c>
      <c r="E126" s="180"/>
      <c r="F126" s="361">
        <v>54.09</v>
      </c>
      <c r="G126" s="57">
        <v>1024</v>
      </c>
      <c r="H126" s="45">
        <f t="shared" si="82"/>
        <v>55388.160000000003</v>
      </c>
      <c r="I126" s="441"/>
      <c r="J126" s="87">
        <v>17</v>
      </c>
      <c r="K126" s="57">
        <v>1565</v>
      </c>
      <c r="L126" s="86">
        <v>92.058823529411768</v>
      </c>
      <c r="M126" s="430">
        <v>20</v>
      </c>
      <c r="N126" s="57">
        <f t="shared" si="83"/>
        <v>1365.3333333333335</v>
      </c>
      <c r="O126" s="86">
        <f t="shared" si="84"/>
        <v>68.26666666666668</v>
      </c>
      <c r="P126" s="54">
        <f t="shared" si="79"/>
        <v>3</v>
      </c>
      <c r="Q126" s="88">
        <f t="shared" si="80"/>
        <v>-23.792156862745088</v>
      </c>
      <c r="R126" s="434">
        <f t="shared" si="81"/>
        <v>0.74155484558040485</v>
      </c>
      <c r="S126" s="709"/>
      <c r="T126" s="50">
        <v>0.79374999999999996</v>
      </c>
      <c r="U126" s="50">
        <v>0.82499999999999996</v>
      </c>
      <c r="V126" s="231">
        <v>22</v>
      </c>
      <c r="W126" s="243">
        <f t="shared" si="85"/>
        <v>45</v>
      </c>
      <c r="X126" s="64">
        <v>0.78194444444444444</v>
      </c>
      <c r="Y126" s="64">
        <v>0.79166666666666663</v>
      </c>
      <c r="Z126" s="54"/>
      <c r="AA126" s="54"/>
      <c r="AB126" s="658"/>
      <c r="AC126" s="658"/>
      <c r="AD126" s="441"/>
      <c r="AE126" s="441"/>
      <c r="AF126" s="108">
        <f t="shared" si="61"/>
        <v>-199.66666666666652</v>
      </c>
      <c r="AG126" s="109">
        <f t="shared" si="62"/>
        <v>0.87241746538871145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1373</v>
      </c>
      <c r="H127" s="45">
        <f t="shared" si="82"/>
        <v>65354.8</v>
      </c>
      <c r="I127" s="224"/>
      <c r="J127" s="87">
        <v>19</v>
      </c>
      <c r="K127" s="57">
        <v>1440</v>
      </c>
      <c r="L127" s="86">
        <v>75.78947368421052</v>
      </c>
      <c r="M127" s="425">
        <v>19</v>
      </c>
      <c r="N127" s="177">
        <f t="shared" si="83"/>
        <v>1350.4918032786898</v>
      </c>
      <c r="O127" s="241">
        <f t="shared" si="84"/>
        <v>71.078515962036306</v>
      </c>
      <c r="P127" s="108">
        <f t="shared" si="79"/>
        <v>0</v>
      </c>
      <c r="Q127" s="185">
        <f t="shared" si="80"/>
        <v>-4.7109577221742143</v>
      </c>
      <c r="R127" s="109">
        <f t="shared" si="81"/>
        <v>0.93784153005464577</v>
      </c>
      <c r="S127" s="709"/>
      <c r="T127" s="50">
        <v>0.82986111111111105</v>
      </c>
      <c r="U127" s="50">
        <v>0.87222222222222212</v>
      </c>
      <c r="V127" s="427">
        <v>7</v>
      </c>
      <c r="W127" s="243">
        <f t="shared" si="85"/>
        <v>60.999999999999943</v>
      </c>
      <c r="X127" s="64"/>
      <c r="Y127" s="64"/>
      <c r="Z127" s="54"/>
      <c r="AA127" s="54"/>
      <c r="AB127" s="658"/>
      <c r="AC127" s="658"/>
      <c r="AD127" s="441"/>
      <c r="AE127" s="441"/>
      <c r="AF127" s="108">
        <f t="shared" si="61"/>
        <v>-89.508196721310242</v>
      </c>
      <c r="AG127" s="109">
        <f t="shared" si="62"/>
        <v>0.93784153005464566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323</v>
      </c>
      <c r="H128" s="45">
        <f t="shared" si="82"/>
        <v>16366.41</v>
      </c>
      <c r="I128" s="441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1292.0000000000045</v>
      </c>
      <c r="O128" s="86">
        <f t="shared" si="84"/>
        <v>61.523809523809739</v>
      </c>
      <c r="P128" s="54">
        <f t="shared" si="79"/>
        <v>0</v>
      </c>
      <c r="Q128" s="88">
        <f t="shared" si="80"/>
        <v>-16.380952380952159</v>
      </c>
      <c r="R128" s="434">
        <f t="shared" si="81"/>
        <v>0.78973105134474608</v>
      </c>
      <c r="S128" s="709"/>
      <c r="T128" s="50">
        <v>0.87638888888888877</v>
      </c>
      <c r="U128" s="50">
        <v>0.8868055555555554</v>
      </c>
      <c r="V128" s="427">
        <v>6</v>
      </c>
      <c r="W128" s="243">
        <f t="shared" si="85"/>
        <v>14.999999999999947</v>
      </c>
      <c r="X128" s="64"/>
      <c r="Y128" s="64"/>
      <c r="Z128" s="54"/>
      <c r="AA128" s="54"/>
      <c r="AB128" s="658"/>
      <c r="AC128" s="658"/>
      <c r="AD128" s="441"/>
      <c r="AE128" s="441"/>
      <c r="AF128" s="108">
        <f t="shared" si="61"/>
        <v>-343.99999999999545</v>
      </c>
      <c r="AG128" s="109">
        <f t="shared" si="62"/>
        <v>0.78973105134474608</v>
      </c>
      <c r="AH128" s="673"/>
    </row>
    <row r="129" spans="1:34" ht="19.2" customHeight="1">
      <c r="A129" s="708"/>
      <c r="B129" s="131" t="s">
        <v>184</v>
      </c>
      <c r="C129" s="160"/>
      <c r="D129" s="59" t="s">
        <v>309</v>
      </c>
      <c r="E129" s="60"/>
      <c r="F129" s="361">
        <v>19.41</v>
      </c>
      <c r="G129" s="57">
        <v>3404</v>
      </c>
      <c r="H129" s="45">
        <f t="shared" si="82"/>
        <v>66071.64</v>
      </c>
      <c r="I129" s="441">
        <v>1</v>
      </c>
      <c r="J129" s="87">
        <v>12</v>
      </c>
      <c r="K129" s="57">
        <v>1500</v>
      </c>
      <c r="L129" s="86">
        <v>125</v>
      </c>
      <c r="M129" s="430">
        <v>12</v>
      </c>
      <c r="N129" s="57">
        <f t="shared" si="83"/>
        <v>1408.5517241379314</v>
      </c>
      <c r="O129" s="86">
        <f t="shared" si="84"/>
        <v>117.37931034482762</v>
      </c>
      <c r="P129" s="54">
        <f t="shared" si="79"/>
        <v>0</v>
      </c>
      <c r="Q129" s="88">
        <f t="shared" si="80"/>
        <v>-7.6206896551723844</v>
      </c>
      <c r="R129" s="434">
        <f t="shared" si="81"/>
        <v>0.93903448275862089</v>
      </c>
      <c r="S129" s="709"/>
      <c r="T129" s="50">
        <v>0.8916666666666665</v>
      </c>
      <c r="U129" s="50">
        <v>0.99236111111111092</v>
      </c>
      <c r="V129" s="427">
        <v>7</v>
      </c>
      <c r="W129" s="243">
        <f t="shared" si="85"/>
        <v>144.99999999999997</v>
      </c>
      <c r="X129" s="64"/>
      <c r="Y129" s="64"/>
      <c r="Z129" s="54"/>
      <c r="AA129" s="54"/>
      <c r="AB129" s="658"/>
      <c r="AC129" s="658"/>
      <c r="AD129" s="441"/>
      <c r="AE129" s="441"/>
      <c r="AF129" s="108"/>
      <c r="AG129" s="109"/>
      <c r="AH129" s="673"/>
    </row>
    <row r="130" spans="1:34" ht="19.2" customHeight="1">
      <c r="A130" s="708"/>
      <c r="B130" s="203">
        <v>0</v>
      </c>
      <c r="C130" s="160"/>
      <c r="D130" s="59"/>
      <c r="E130" s="60"/>
      <c r="F130" s="361" t="s">
        <v>186</v>
      </c>
      <c r="G130" s="57"/>
      <c r="H130" s="45">
        <f t="shared" si="82"/>
        <v>0</v>
      </c>
      <c r="I130" s="441"/>
      <c r="J130" s="87"/>
      <c r="K130" s="57"/>
      <c r="L130" s="86"/>
      <c r="M130" s="430"/>
      <c r="N130" s="177"/>
      <c r="O130" s="241"/>
      <c r="P130" s="108"/>
      <c r="Q130" s="185"/>
      <c r="R130" s="109"/>
      <c r="S130" s="709"/>
      <c r="T130" s="50"/>
      <c r="U130" s="50"/>
      <c r="V130" s="427"/>
      <c r="W130" s="243"/>
      <c r="X130" s="64"/>
      <c r="Y130" s="64"/>
      <c r="Z130" s="54"/>
      <c r="AA130" s="54"/>
      <c r="AB130" s="658"/>
      <c r="AC130" s="658"/>
      <c r="AD130" s="441"/>
      <c r="AE130" s="441"/>
      <c r="AF130" s="65"/>
      <c r="AG130" s="432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34"/>
      <c r="S131" s="709"/>
      <c r="T131" s="50"/>
      <c r="U131" s="50"/>
      <c r="V131" s="427"/>
      <c r="W131" s="243"/>
      <c r="X131" s="64"/>
      <c r="Y131" s="64"/>
      <c r="Z131" s="54"/>
      <c r="AA131" s="54"/>
      <c r="AB131" s="658"/>
      <c r="AC131" s="658"/>
      <c r="AD131" s="441"/>
      <c r="AE131" s="441"/>
      <c r="AF131" s="65"/>
      <c r="AG131" s="432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441"/>
      <c r="J132" s="87"/>
      <c r="K132" s="57"/>
      <c r="L132" s="86"/>
      <c r="M132" s="430"/>
      <c r="N132" s="57"/>
      <c r="O132" s="86"/>
      <c r="P132" s="54"/>
      <c r="Q132" s="88"/>
      <c r="R132" s="434"/>
      <c r="S132" s="709"/>
      <c r="T132" s="50"/>
      <c r="U132" s="50"/>
      <c r="V132" s="427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441"/>
      <c r="AE132" s="441"/>
      <c r="AF132" s="65"/>
      <c r="AG132" s="432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441"/>
      <c r="J133" s="87"/>
      <c r="K133" s="57"/>
      <c r="L133" s="86"/>
      <c r="M133" s="430"/>
      <c r="N133" s="57"/>
      <c r="O133" s="86"/>
      <c r="P133" s="54"/>
      <c r="Q133" s="88"/>
      <c r="R133" s="434"/>
      <c r="S133" s="709"/>
      <c r="T133" s="50"/>
      <c r="U133" s="50"/>
      <c r="V133" s="427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441"/>
      <c r="AE133" s="441"/>
      <c r="AF133" s="65"/>
      <c r="AG133" s="432"/>
      <c r="AH133" s="673"/>
    </row>
    <row r="134" spans="1:34" ht="19.2" customHeight="1">
      <c r="A134" s="708"/>
      <c r="B134" s="171">
        <v>0</v>
      </c>
      <c r="C134" s="100" t="s">
        <v>369</v>
      </c>
      <c r="D134" s="687" t="s">
        <v>370</v>
      </c>
      <c r="E134" s="687"/>
      <c r="F134" s="371"/>
      <c r="G134" s="101"/>
      <c r="H134" s="102"/>
      <c r="I134" s="245"/>
      <c r="J134" s="246">
        <v>18.125</v>
      </c>
      <c r="K134" s="246">
        <v>1529.75</v>
      </c>
      <c r="L134" s="247">
        <v>86.784086441594184</v>
      </c>
      <c r="M134" s="246">
        <f t="shared" ref="M134:O134" si="86">AVERAGE(M122:M133)</f>
        <v>18.5</v>
      </c>
      <c r="N134" s="246">
        <f t="shared" si="86"/>
        <v>1396.2369330385168</v>
      </c>
      <c r="O134" s="247">
        <f t="shared" si="86"/>
        <v>77.939170926270421</v>
      </c>
      <c r="P134" s="51">
        <f t="shared" ref="P134:P142" si="87">M134-J134</f>
        <v>0.375</v>
      </c>
      <c r="Q134" s="142">
        <f t="shared" ref="Q134:Q142" si="88">O134-L134</f>
        <v>-8.8449155153237626</v>
      </c>
      <c r="R134" s="248">
        <f t="shared" ref="R134:R142" si="89">O134/L134</f>
        <v>0.8980813663196604</v>
      </c>
      <c r="S134" s="672"/>
      <c r="T134" s="50"/>
      <c r="U134" s="50"/>
      <c r="V134" s="427"/>
      <c r="W134" s="427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0</v>
      </c>
      <c r="AE134" s="107">
        <f>SUM(AE122:AE133)</f>
        <v>1</v>
      </c>
      <c r="AF134" s="48">
        <f t="shared" si="61"/>
        <v>-133.51306696148322</v>
      </c>
      <c r="AG134" s="431">
        <f t="shared" si="62"/>
        <v>0.91272229647884739</v>
      </c>
      <c r="AH134" s="673"/>
    </row>
    <row r="135" spans="1:34" ht="19.2" customHeight="1">
      <c r="A135" s="710" t="s">
        <v>371</v>
      </c>
      <c r="B135" s="427" t="s">
        <v>185</v>
      </c>
      <c r="C135" s="441"/>
      <c r="D135" s="82" t="s">
        <v>101</v>
      </c>
      <c r="E135" s="83"/>
      <c r="F135" s="361">
        <v>53.68</v>
      </c>
      <c r="G135" s="57">
        <v>962</v>
      </c>
      <c r="H135" s="249">
        <f t="shared" ref="H135:H146" si="90">F135*G135</f>
        <v>51640.159999999996</v>
      </c>
      <c r="I135" s="441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1374.2857142857138</v>
      </c>
      <c r="O135" s="116">
        <f t="shared" ref="O135:O142" si="92">N135/M135</f>
        <v>85.89285714285711</v>
      </c>
      <c r="P135" s="54">
        <f t="shared" si="87"/>
        <v>0</v>
      </c>
      <c r="Q135" s="88">
        <f t="shared" si="88"/>
        <v>-7.8571428571428896</v>
      </c>
      <c r="R135" s="434">
        <f t="shared" si="89"/>
        <v>0.91619047619047589</v>
      </c>
      <c r="S135" s="707">
        <f>R147</f>
        <v>0.91579939628949336</v>
      </c>
      <c r="T135" s="250">
        <v>0.5</v>
      </c>
      <c r="U135" s="50">
        <v>0.52916666666666667</v>
      </c>
      <c r="V135" s="145">
        <v>5</v>
      </c>
      <c r="W135" s="251">
        <f t="shared" ref="W135:W147" si="93">(U135-T135)*24*60</f>
        <v>42.000000000000014</v>
      </c>
      <c r="X135" s="429"/>
      <c r="Y135" s="429"/>
      <c r="Z135" s="54"/>
      <c r="AA135" s="54"/>
      <c r="AB135" s="658"/>
      <c r="AC135" s="658"/>
      <c r="AD135" s="441"/>
      <c r="AE135" s="441"/>
      <c r="AF135" s="117">
        <f t="shared" si="61"/>
        <v>-125.71428571428623</v>
      </c>
      <c r="AG135" s="121">
        <f t="shared" si="62"/>
        <v>0.91619047619047589</v>
      </c>
      <c r="AH135" s="681">
        <f>AG147</f>
        <v>0.92598452797258757</v>
      </c>
    </row>
    <row r="136" spans="1:34" ht="19.2" customHeight="1">
      <c r="A136" s="711"/>
      <c r="B136" s="427" t="s">
        <v>185</v>
      </c>
      <c r="C136" s="441"/>
      <c r="D136" s="82" t="s">
        <v>102</v>
      </c>
      <c r="E136" s="252"/>
      <c r="F136" s="361">
        <v>57.734999999999999</v>
      </c>
      <c r="G136" s="57">
        <v>1724</v>
      </c>
      <c r="H136" s="84">
        <f t="shared" si="90"/>
        <v>99535.14</v>
      </c>
      <c r="I136" s="441"/>
      <c r="J136" s="46">
        <v>16</v>
      </c>
      <c r="K136" s="57">
        <v>1565</v>
      </c>
      <c r="L136" s="86">
        <v>97.8125</v>
      </c>
      <c r="M136" s="430">
        <v>16</v>
      </c>
      <c r="N136" s="57">
        <f t="shared" si="91"/>
        <v>1379.1999999999989</v>
      </c>
      <c r="O136" s="86">
        <f t="shared" si="92"/>
        <v>86.199999999999932</v>
      </c>
      <c r="P136" s="54">
        <f t="shared" si="87"/>
        <v>0</v>
      </c>
      <c r="Q136" s="88">
        <f t="shared" si="88"/>
        <v>-11.612500000000068</v>
      </c>
      <c r="R136" s="434">
        <f t="shared" si="89"/>
        <v>0.88127795527156483</v>
      </c>
      <c r="S136" s="707"/>
      <c r="T136" s="250">
        <v>0.53402777777777777</v>
      </c>
      <c r="U136" s="50">
        <v>0.58611111111111114</v>
      </c>
      <c r="V136" s="145">
        <v>7</v>
      </c>
      <c r="W136" s="251">
        <f t="shared" si="93"/>
        <v>75.000000000000057</v>
      </c>
      <c r="X136" s="53"/>
      <c r="Y136" s="53"/>
      <c r="Z136" s="54"/>
      <c r="AA136" s="54"/>
      <c r="AB136" s="658"/>
      <c r="AC136" s="658"/>
      <c r="AD136" s="441"/>
      <c r="AE136" s="441"/>
      <c r="AF136" s="48">
        <f t="shared" si="61"/>
        <v>-185.80000000000109</v>
      </c>
      <c r="AG136" s="126">
        <f t="shared" si="62"/>
        <v>0.88127795527156483</v>
      </c>
      <c r="AH136" s="681"/>
    </row>
    <row r="137" spans="1:34" ht="19.2" customHeight="1">
      <c r="A137" s="711"/>
      <c r="B137" s="427" t="s">
        <v>185</v>
      </c>
      <c r="C137" s="441"/>
      <c r="D137" s="82" t="s">
        <v>116</v>
      </c>
      <c r="E137" s="83"/>
      <c r="F137" s="361">
        <v>50.67</v>
      </c>
      <c r="G137" s="212">
        <v>887</v>
      </c>
      <c r="H137" s="84">
        <f t="shared" si="90"/>
        <v>44944.29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1400.5263157894726</v>
      </c>
      <c r="O137" s="86">
        <f t="shared" si="92"/>
        <v>82.383900928792514</v>
      </c>
      <c r="P137" s="54">
        <f t="shared" si="87"/>
        <v>0</v>
      </c>
      <c r="Q137" s="88">
        <f t="shared" si="88"/>
        <v>-5.8513931888545443</v>
      </c>
      <c r="R137" s="434">
        <f t="shared" si="89"/>
        <v>0.93368421052631512</v>
      </c>
      <c r="S137" s="707"/>
      <c r="T137" s="50">
        <v>0.70833333333333337</v>
      </c>
      <c r="U137" s="50">
        <v>0.73472222222222228</v>
      </c>
      <c r="V137" s="253">
        <v>5</v>
      </c>
      <c r="W137" s="251">
        <f t="shared" si="93"/>
        <v>38.000000000000028</v>
      </c>
      <c r="X137" s="53"/>
      <c r="Y137" s="53"/>
      <c r="Z137" s="54"/>
      <c r="AA137" s="54"/>
      <c r="AB137" s="658"/>
      <c r="AC137" s="658"/>
      <c r="AD137" s="441"/>
      <c r="AE137" s="441"/>
      <c r="AF137" s="48">
        <f t="shared" si="61"/>
        <v>-99.473684210527381</v>
      </c>
      <c r="AG137" s="126">
        <f t="shared" si="62"/>
        <v>0.93368421052631512</v>
      </c>
      <c r="AH137" s="681"/>
    </row>
    <row r="138" spans="1:34" ht="19.2" customHeight="1">
      <c r="A138" s="711"/>
      <c r="B138" s="427" t="s">
        <v>185</v>
      </c>
      <c r="C138" s="226"/>
      <c r="D138" s="82" t="s">
        <v>117</v>
      </c>
      <c r="E138" s="83"/>
      <c r="F138" s="361">
        <v>50.98</v>
      </c>
      <c r="G138" s="57">
        <v>1577</v>
      </c>
      <c r="H138" s="84">
        <f t="shared" si="90"/>
        <v>80395.459999999992</v>
      </c>
      <c r="I138" s="441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1351.7142857142844</v>
      </c>
      <c r="O138" s="86">
        <f t="shared" si="92"/>
        <v>67.585714285714218</v>
      </c>
      <c r="P138" s="54">
        <f t="shared" si="87"/>
        <v>0</v>
      </c>
      <c r="Q138" s="88">
        <f t="shared" si="88"/>
        <v>-4.4142857142857821</v>
      </c>
      <c r="R138" s="440">
        <f t="shared" si="89"/>
        <v>0.9386904761904753</v>
      </c>
      <c r="S138" s="707"/>
      <c r="T138" s="50">
        <v>0.73819444444444449</v>
      </c>
      <c r="U138" s="50">
        <v>0.78680555555555565</v>
      </c>
      <c r="V138" s="253">
        <v>5</v>
      </c>
      <c r="W138" s="251">
        <f t="shared" si="93"/>
        <v>70.000000000000071</v>
      </c>
      <c r="X138" s="53"/>
      <c r="Y138" s="53"/>
      <c r="Z138" s="54"/>
      <c r="AA138" s="54"/>
      <c r="AB138" s="658"/>
      <c r="AC138" s="658"/>
      <c r="AD138" s="441"/>
      <c r="AE138" s="441"/>
      <c r="AF138" s="48">
        <f t="shared" si="61"/>
        <v>-88.285714285715585</v>
      </c>
      <c r="AG138" s="126">
        <f t="shared" si="62"/>
        <v>0.9386904761904753</v>
      </c>
      <c r="AH138" s="681"/>
    </row>
    <row r="139" spans="1:34" ht="19.2" customHeight="1">
      <c r="A139" s="711"/>
      <c r="B139" s="427" t="s">
        <v>185</v>
      </c>
      <c r="C139" s="437"/>
      <c r="D139" s="42" t="s">
        <v>118</v>
      </c>
      <c r="E139" s="43"/>
      <c r="F139" s="361">
        <v>54.09</v>
      </c>
      <c r="G139" s="57">
        <v>866</v>
      </c>
      <c r="H139" s="84">
        <f t="shared" si="90"/>
        <v>46841.94</v>
      </c>
      <c r="I139" s="441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1404.3243243243232</v>
      </c>
      <c r="O139" s="86">
        <f t="shared" si="92"/>
        <v>73.911806543385438</v>
      </c>
      <c r="P139" s="54">
        <f t="shared" si="87"/>
        <v>0</v>
      </c>
      <c r="Q139" s="88">
        <f t="shared" si="88"/>
        <v>-5.0355618776671918</v>
      </c>
      <c r="R139" s="434">
        <f t="shared" si="89"/>
        <v>0.93621621621621554</v>
      </c>
      <c r="S139" s="707"/>
      <c r="T139" s="50">
        <v>0.79236111111111118</v>
      </c>
      <c r="U139" s="50">
        <v>0.81805555555555565</v>
      </c>
      <c r="V139" s="254">
        <v>8</v>
      </c>
      <c r="W139" s="251">
        <f t="shared" si="93"/>
        <v>37.000000000000028</v>
      </c>
      <c r="X139" s="53"/>
      <c r="Y139" s="53"/>
      <c r="Z139" s="54"/>
      <c r="AA139" s="54"/>
      <c r="AB139" s="658"/>
      <c r="AC139" s="658"/>
      <c r="AD139" s="441"/>
      <c r="AE139" s="441"/>
      <c r="AF139" s="48">
        <f t="shared" si="61"/>
        <v>-95.675675675676757</v>
      </c>
      <c r="AG139" s="126">
        <f t="shared" si="62"/>
        <v>0.93621621621621554</v>
      </c>
      <c r="AH139" s="681"/>
    </row>
    <row r="140" spans="1:34" ht="19.2" customHeight="1">
      <c r="A140" s="712"/>
      <c r="B140" s="427" t="s">
        <v>185</v>
      </c>
      <c r="C140" s="437"/>
      <c r="D140" s="255" t="s">
        <v>119</v>
      </c>
      <c r="E140" s="83"/>
      <c r="F140" s="361">
        <v>50.92</v>
      </c>
      <c r="G140" s="57">
        <v>1823</v>
      </c>
      <c r="H140" s="84">
        <f t="shared" si="90"/>
        <v>92827.16</v>
      </c>
      <c r="I140" s="441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1367.2499999999995</v>
      </c>
      <c r="O140" s="86">
        <f t="shared" si="92"/>
        <v>71.960526315789451</v>
      </c>
      <c r="P140" s="54">
        <f t="shared" si="87"/>
        <v>0</v>
      </c>
      <c r="Q140" s="88">
        <f t="shared" si="88"/>
        <v>-3.8289473684210691</v>
      </c>
      <c r="R140" s="434">
        <f t="shared" si="89"/>
        <v>0.94947916666666643</v>
      </c>
      <c r="S140" s="714"/>
      <c r="T140" s="63">
        <v>0.83333333333333337</v>
      </c>
      <c r="U140" s="256">
        <v>0.88888888888888895</v>
      </c>
      <c r="V140" s="257">
        <v>22</v>
      </c>
      <c r="W140" s="251">
        <f t="shared" si="93"/>
        <v>80.000000000000028</v>
      </c>
      <c r="X140" s="53">
        <v>0.82152777777777775</v>
      </c>
      <c r="Y140" s="53">
        <v>0.8305555555555556</v>
      </c>
      <c r="Z140" s="54"/>
      <c r="AA140" s="54"/>
      <c r="AB140" s="658"/>
      <c r="AC140" s="658"/>
      <c r="AD140" s="441"/>
      <c r="AE140" s="441"/>
      <c r="AF140" s="48">
        <f t="shared" si="61"/>
        <v>-72.750000000000455</v>
      </c>
      <c r="AG140" s="126">
        <f t="shared" si="62"/>
        <v>0.94947916666666632</v>
      </c>
      <c r="AH140" s="681"/>
    </row>
    <row r="141" spans="1:34" ht="19.2" customHeight="1">
      <c r="A141" s="712"/>
      <c r="B141" s="427" t="s">
        <v>185</v>
      </c>
      <c r="C141" s="437"/>
      <c r="D141" s="42" t="s">
        <v>120</v>
      </c>
      <c r="E141" s="258"/>
      <c r="F141" s="361">
        <v>50.67</v>
      </c>
      <c r="G141" s="57">
        <v>1021</v>
      </c>
      <c r="H141" s="84">
        <f t="shared" si="90"/>
        <v>51734.07</v>
      </c>
      <c r="I141" s="441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1331.7391304347825</v>
      </c>
      <c r="O141" s="86">
        <f t="shared" si="92"/>
        <v>78.337595907928389</v>
      </c>
      <c r="P141" s="54">
        <f t="shared" si="87"/>
        <v>0</v>
      </c>
      <c r="Q141" s="88">
        <f t="shared" si="88"/>
        <v>-6.3682864450127852</v>
      </c>
      <c r="R141" s="434">
        <f t="shared" si="89"/>
        <v>0.9248188405797102</v>
      </c>
      <c r="S141" s="714"/>
      <c r="T141" s="63">
        <v>0.89375000000000004</v>
      </c>
      <c r="U141" s="256">
        <v>0.92569444444444449</v>
      </c>
      <c r="V141" s="55">
        <v>7</v>
      </c>
      <c r="W141" s="251">
        <f t="shared" si="93"/>
        <v>46</v>
      </c>
      <c r="X141" s="53"/>
      <c r="Y141" s="53"/>
      <c r="Z141" s="54"/>
      <c r="AA141" s="54"/>
      <c r="AB141" s="658"/>
      <c r="AC141" s="658"/>
      <c r="AD141" s="441"/>
      <c r="AE141" s="441"/>
      <c r="AF141" s="48">
        <f t="shared" si="61"/>
        <v>-108.26086956521749</v>
      </c>
      <c r="AG141" s="126">
        <f t="shared" si="62"/>
        <v>0.92481884057971009</v>
      </c>
      <c r="AH141" s="681"/>
    </row>
    <row r="142" spans="1:34" ht="19.2" customHeight="1">
      <c r="A142" s="712"/>
      <c r="B142" s="427" t="s">
        <v>185</v>
      </c>
      <c r="C142" s="437"/>
      <c r="D142" s="42" t="s">
        <v>121</v>
      </c>
      <c r="E142" s="258"/>
      <c r="F142" s="361">
        <v>50.49</v>
      </c>
      <c r="G142" s="57">
        <v>1229</v>
      </c>
      <c r="H142" s="84">
        <f t="shared" si="90"/>
        <v>62052.21</v>
      </c>
      <c r="I142" s="441"/>
      <c r="J142" s="87">
        <v>14</v>
      </c>
      <c r="K142" s="57">
        <v>1440</v>
      </c>
      <c r="L142" s="86">
        <v>102.85714285714286</v>
      </c>
      <c r="M142" s="232">
        <v>15</v>
      </c>
      <c r="N142" s="57">
        <f t="shared" si="91"/>
        <v>1340.7272727272734</v>
      </c>
      <c r="O142" s="86">
        <f t="shared" si="92"/>
        <v>89.381818181818232</v>
      </c>
      <c r="P142" s="54">
        <f t="shared" si="87"/>
        <v>1</v>
      </c>
      <c r="Q142" s="88">
        <f t="shared" si="88"/>
        <v>-13.475324675324629</v>
      </c>
      <c r="R142" s="434">
        <f t="shared" si="89"/>
        <v>0.86898989898989942</v>
      </c>
      <c r="S142" s="714"/>
      <c r="T142" s="63">
        <v>0.93125000000000002</v>
      </c>
      <c r="U142" s="256">
        <v>0.96944444444444444</v>
      </c>
      <c r="V142" s="55">
        <v>8</v>
      </c>
      <c r="W142" s="251">
        <f t="shared" si="93"/>
        <v>54.999999999999964</v>
      </c>
      <c r="X142" s="53"/>
      <c r="Y142" s="53"/>
      <c r="Z142" s="54"/>
      <c r="AA142" s="54"/>
      <c r="AB142" s="658"/>
      <c r="AC142" s="658"/>
      <c r="AD142" s="441">
        <v>1</v>
      </c>
      <c r="AE142" s="441"/>
      <c r="AF142" s="48">
        <f t="shared" si="61"/>
        <v>-99.27272727272657</v>
      </c>
      <c r="AG142" s="126">
        <f t="shared" si="62"/>
        <v>0.93106060606060659</v>
      </c>
      <c r="AH142" s="681"/>
    </row>
    <row r="143" spans="1:34" ht="19.2" customHeight="1">
      <c r="A143" s="712"/>
      <c r="B143" s="427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441"/>
      <c r="J143" s="46"/>
      <c r="K143" s="44"/>
      <c r="L143" s="47"/>
      <c r="M143" s="232"/>
      <c r="N143" s="57"/>
      <c r="O143" s="86"/>
      <c r="P143" s="54"/>
      <c r="Q143" s="88"/>
      <c r="R143" s="434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441"/>
      <c r="AE143" s="441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27">
        <v>0</v>
      </c>
      <c r="C144" s="437"/>
      <c r="D144" s="42"/>
      <c r="E144" s="258"/>
      <c r="F144" s="361" t="s">
        <v>186</v>
      </c>
      <c r="G144" s="57"/>
      <c r="H144" s="84">
        <f t="shared" si="90"/>
        <v>0</v>
      </c>
      <c r="I144" s="441"/>
      <c r="J144" s="46"/>
      <c r="K144" s="57"/>
      <c r="L144" s="86"/>
      <c r="M144" s="430"/>
      <c r="N144" s="57"/>
      <c r="O144" s="86"/>
      <c r="P144" s="54"/>
      <c r="Q144" s="88"/>
      <c r="R144" s="440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441"/>
      <c r="AE144" s="441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27">
        <v>0</v>
      </c>
      <c r="C145" s="437"/>
      <c r="D145" s="42"/>
      <c r="E145" s="258"/>
      <c r="F145" s="361" t="s">
        <v>186</v>
      </c>
      <c r="G145" s="57"/>
      <c r="H145" s="84">
        <f t="shared" si="90"/>
        <v>0</v>
      </c>
      <c r="I145" s="441"/>
      <c r="J145" s="87"/>
      <c r="K145" s="57"/>
      <c r="L145" s="86"/>
      <c r="M145" s="430"/>
      <c r="N145" s="57"/>
      <c r="O145" s="86"/>
      <c r="P145" s="54"/>
      <c r="Q145" s="88"/>
      <c r="R145" s="434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441"/>
      <c r="AE145" s="441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29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441"/>
      <c r="J146" s="87"/>
      <c r="K146" s="57"/>
      <c r="L146" s="86"/>
      <c r="M146" s="430"/>
      <c r="N146" s="57"/>
      <c r="O146" s="86"/>
      <c r="P146" s="54"/>
      <c r="Q146" s="88"/>
      <c r="R146" s="434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441"/>
      <c r="AE146" s="441"/>
      <c r="AF146" s="54"/>
      <c r="AG146" s="434"/>
      <c r="AH146" s="681"/>
    </row>
    <row r="147" spans="1:34" ht="19.2" customHeight="1">
      <c r="A147" s="713"/>
      <c r="B147" s="261">
        <v>0</v>
      </c>
      <c r="C147" s="100" t="s">
        <v>372</v>
      </c>
      <c r="D147" s="687" t="s">
        <v>373</v>
      </c>
      <c r="E147" s="687"/>
      <c r="F147" s="375"/>
      <c r="G147" s="101"/>
      <c r="H147" s="102"/>
      <c r="I147" s="103"/>
      <c r="J147" s="101">
        <v>17.25</v>
      </c>
      <c r="K147" s="101">
        <v>1478.125</v>
      </c>
      <c r="L147" s="104">
        <v>86.762207679124288</v>
      </c>
      <c r="M147" s="246">
        <f t="shared" ref="M147:O147" si="94">AVERAGE(M135:M146)</f>
        <v>17.375</v>
      </c>
      <c r="N147" s="246">
        <f t="shared" si="94"/>
        <v>1368.720880409481</v>
      </c>
      <c r="O147" s="247">
        <f t="shared" si="94"/>
        <v>79.456777413285664</v>
      </c>
      <c r="P147" s="51">
        <f t="shared" ref="P147:P152" si="95">M147-J147</f>
        <v>0.125</v>
      </c>
      <c r="Q147" s="142">
        <f t="shared" ref="Q147:Q152" si="96">O147-L147</f>
        <v>-7.3054302658386234</v>
      </c>
      <c r="R147" s="262">
        <f t="shared" ref="R147:R152" si="97">O147/L147</f>
        <v>0.91579939628949336</v>
      </c>
      <c r="S147" s="715"/>
      <c r="T147" s="63"/>
      <c r="U147" s="63"/>
      <c r="V147" s="55"/>
      <c r="W147" s="424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1</v>
      </c>
      <c r="AE147" s="107">
        <f>SUM(AE135:AE146)</f>
        <v>0</v>
      </c>
      <c r="AF147" s="207">
        <f t="shared" si="61"/>
        <v>-109.40411959051903</v>
      </c>
      <c r="AG147" s="263">
        <f t="shared" si="62"/>
        <v>0.92598452797258757</v>
      </c>
      <c r="AH147" s="681"/>
    </row>
    <row r="148" spans="1:34" ht="19.2" customHeight="1">
      <c r="A148" s="717" t="s">
        <v>374</v>
      </c>
      <c r="B148" s="441" t="s">
        <v>185</v>
      </c>
      <c r="C148" s="122"/>
      <c r="D148" s="176" t="s">
        <v>122</v>
      </c>
      <c r="E148" s="43"/>
      <c r="F148" s="368">
        <v>50.67</v>
      </c>
      <c r="G148" s="57">
        <v>230</v>
      </c>
      <c r="H148" s="84">
        <f t="shared" ref="H148:H172" si="98">F148*G148</f>
        <v>11654.1</v>
      </c>
      <c r="I148" s="264"/>
      <c r="J148" s="87">
        <v>16</v>
      </c>
      <c r="K148" s="57">
        <v>1440</v>
      </c>
      <c r="L148" s="86">
        <v>90</v>
      </c>
      <c r="M148" s="232">
        <v>17</v>
      </c>
      <c r="N148" s="44">
        <f>G148/W148*60</f>
        <v>1150.0000000000041</v>
      </c>
      <c r="O148" s="47">
        <f>N148/M148</f>
        <v>67.647058823529647</v>
      </c>
      <c r="P148" s="48">
        <f t="shared" si="95"/>
        <v>1</v>
      </c>
      <c r="Q148" s="49">
        <f t="shared" si="96"/>
        <v>-22.352941176470353</v>
      </c>
      <c r="R148" s="431">
        <f t="shared" si="97"/>
        <v>0.75163398692810723</v>
      </c>
      <c r="S148" s="718">
        <f>R160</f>
        <v>0.8470210238445991</v>
      </c>
      <c r="T148" s="250">
        <v>0.70833333333333337</v>
      </c>
      <c r="U148" s="50">
        <v>0.71666666666666667</v>
      </c>
      <c r="V148" s="427">
        <v>5</v>
      </c>
      <c r="W148" s="424">
        <f>(U148-T148)*24*60</f>
        <v>11.999999999999957</v>
      </c>
      <c r="X148" s="53"/>
      <c r="Y148" s="53"/>
      <c r="Z148" s="54"/>
      <c r="AA148" s="54"/>
      <c r="AB148" s="658"/>
      <c r="AC148" s="658"/>
      <c r="AD148" s="441"/>
      <c r="AE148" s="441"/>
      <c r="AF148" s="48">
        <f t="shared" si="61"/>
        <v>-289.99999999999591</v>
      </c>
      <c r="AG148" s="126">
        <f t="shared" si="62"/>
        <v>0.79861111111111394</v>
      </c>
      <c r="AH148" s="681">
        <f>AG160</f>
        <v>0.87083817676851016</v>
      </c>
    </row>
    <row r="149" spans="1:34" ht="19.2" customHeight="1">
      <c r="A149" s="717"/>
      <c r="B149" s="441" t="s">
        <v>185</v>
      </c>
      <c r="C149" s="224"/>
      <c r="D149" s="255" t="s">
        <v>123</v>
      </c>
      <c r="E149" s="60"/>
      <c r="F149" s="368">
        <v>57.3</v>
      </c>
      <c r="G149" s="57">
        <v>1352</v>
      </c>
      <c r="H149" s="84">
        <f t="shared" si="98"/>
        <v>77469.599999999991</v>
      </c>
      <c r="I149" s="264"/>
      <c r="J149" s="87">
        <v>18</v>
      </c>
      <c r="K149" s="57">
        <v>1500</v>
      </c>
      <c r="L149" s="86">
        <v>83.333333333333329</v>
      </c>
      <c r="M149" s="232">
        <v>18</v>
      </c>
      <c r="N149" s="44">
        <f>G149/W149*60</f>
        <v>1398.6206896551735</v>
      </c>
      <c r="O149" s="47">
        <f>N149/M149</f>
        <v>77.701149425287412</v>
      </c>
      <c r="P149" s="48">
        <f t="shared" si="95"/>
        <v>0</v>
      </c>
      <c r="Q149" s="49">
        <f t="shared" si="96"/>
        <v>-5.6321839080459171</v>
      </c>
      <c r="R149" s="431">
        <f t="shared" si="97"/>
        <v>0.93241379310344896</v>
      </c>
      <c r="S149" s="719"/>
      <c r="T149" s="250">
        <v>0.72152777777777777</v>
      </c>
      <c r="U149" s="50">
        <v>0.76180555555555551</v>
      </c>
      <c r="V149" s="427">
        <v>7</v>
      </c>
      <c r="W149" s="424">
        <f t="shared" ref="W149:W159" si="99">(U149-T149)*24*60</f>
        <v>57.999999999999957</v>
      </c>
      <c r="X149" s="53"/>
      <c r="Y149" s="53"/>
      <c r="Z149" s="54"/>
      <c r="AA149" s="54"/>
      <c r="AB149" s="658"/>
      <c r="AC149" s="658"/>
      <c r="AD149" s="441"/>
      <c r="AE149" s="441"/>
      <c r="AF149" s="48">
        <f t="shared" si="61"/>
        <v>-101.37931034482654</v>
      </c>
      <c r="AG149" s="126">
        <f t="shared" si="62"/>
        <v>0.93241379310344896</v>
      </c>
      <c r="AH149" s="721"/>
    </row>
    <row r="150" spans="1:34" ht="19.2" customHeight="1">
      <c r="A150" s="717"/>
      <c r="B150" s="441" t="s">
        <v>185</v>
      </c>
      <c r="C150" s="224"/>
      <c r="D150" s="179" t="s">
        <v>106</v>
      </c>
      <c r="E150" s="60"/>
      <c r="F150" s="368">
        <v>55.32</v>
      </c>
      <c r="G150" s="57">
        <v>573</v>
      </c>
      <c r="H150" s="84">
        <f t="shared" si="98"/>
        <v>31698.36</v>
      </c>
      <c r="I150" s="264"/>
      <c r="J150" s="87">
        <v>14</v>
      </c>
      <c r="K150" s="57">
        <v>1440</v>
      </c>
      <c r="L150" s="86">
        <v>102.85714285714286</v>
      </c>
      <c r="M150" s="232">
        <v>15</v>
      </c>
      <c r="N150" s="44">
        <f>G150/W150*60</f>
        <v>1145.999999999998</v>
      </c>
      <c r="O150" s="47">
        <f>N150/M150</f>
        <v>76.399999999999864</v>
      </c>
      <c r="P150" s="48">
        <f t="shared" si="95"/>
        <v>1</v>
      </c>
      <c r="Q150" s="49">
        <f t="shared" si="96"/>
        <v>-26.457142857142998</v>
      </c>
      <c r="R150" s="431">
        <f t="shared" si="97"/>
        <v>0.74277777777777643</v>
      </c>
      <c r="S150" s="719"/>
      <c r="T150" s="250">
        <v>0.76736111111111105</v>
      </c>
      <c r="U150" s="50">
        <v>0.78819444444444442</v>
      </c>
      <c r="V150" s="427">
        <v>8</v>
      </c>
      <c r="W150" s="424">
        <f t="shared" si="99"/>
        <v>30.000000000000053</v>
      </c>
      <c r="X150" s="219"/>
      <c r="Y150" s="219"/>
      <c r="Z150" s="220"/>
      <c r="AA150" s="220"/>
      <c r="AB150" s="658"/>
      <c r="AC150" s="658"/>
      <c r="AD150" s="441"/>
      <c r="AE150" s="441"/>
      <c r="AF150" s="48">
        <f t="shared" si="61"/>
        <v>-294.00000000000205</v>
      </c>
      <c r="AG150" s="126">
        <f t="shared" si="62"/>
        <v>0.79583333333333195</v>
      </c>
      <c r="AH150" s="721"/>
    </row>
    <row r="151" spans="1:34" s="221" customFormat="1" ht="19.2" customHeight="1">
      <c r="A151" s="717"/>
      <c r="B151" s="441" t="s">
        <v>185</v>
      </c>
      <c r="C151" s="224"/>
      <c r="D151" s="59" t="s">
        <v>107</v>
      </c>
      <c r="E151" s="60"/>
      <c r="F151" s="368">
        <v>55.56</v>
      </c>
      <c r="G151" s="57">
        <v>827</v>
      </c>
      <c r="H151" s="84">
        <f t="shared" si="98"/>
        <v>45948.12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>G151/W151*60</f>
        <v>1305.7894736842095</v>
      </c>
      <c r="O151" s="47">
        <f>N151/M151</f>
        <v>81.611842105263094</v>
      </c>
      <c r="P151" s="48">
        <f t="shared" si="95"/>
        <v>0</v>
      </c>
      <c r="Q151" s="49">
        <f t="shared" si="96"/>
        <v>-8.3881578947369064</v>
      </c>
      <c r="R151" s="431">
        <f t="shared" si="97"/>
        <v>0.90679824561403433</v>
      </c>
      <c r="S151" s="719"/>
      <c r="T151" s="250">
        <v>0.8027777777777777</v>
      </c>
      <c r="U151" s="50">
        <v>0.82916666666666661</v>
      </c>
      <c r="V151" s="427">
        <v>21</v>
      </c>
      <c r="W151" s="424">
        <f t="shared" si="99"/>
        <v>38.000000000000028</v>
      </c>
      <c r="X151" s="219">
        <v>0.79166666666666663</v>
      </c>
      <c r="Y151" s="219">
        <v>0.79999999999999993</v>
      </c>
      <c r="Z151" s="220"/>
      <c r="AA151" s="220"/>
      <c r="AB151" s="658"/>
      <c r="AC151" s="658"/>
      <c r="AD151" s="224"/>
      <c r="AE151" s="224"/>
      <c r="AF151" s="48">
        <f t="shared" si="61"/>
        <v>-134.2105263157905</v>
      </c>
      <c r="AG151" s="126">
        <f t="shared" si="62"/>
        <v>0.90679824561403433</v>
      </c>
      <c r="AH151" s="721"/>
    </row>
    <row r="152" spans="1:34" s="221" customFormat="1" ht="19.2" customHeight="1">
      <c r="A152" s="717"/>
      <c r="B152" s="441" t="s">
        <v>185</v>
      </c>
      <c r="C152" s="224"/>
      <c r="D152" s="255" t="s">
        <v>105</v>
      </c>
      <c r="E152" s="60"/>
      <c r="F152" s="368">
        <v>54.29</v>
      </c>
      <c r="G152" s="57">
        <v>705</v>
      </c>
      <c r="H152" s="84">
        <f t="shared" si="98"/>
        <v>38274.449999999997</v>
      </c>
      <c r="I152" s="264"/>
      <c r="J152" s="87">
        <v>15</v>
      </c>
      <c r="K152" s="57">
        <v>1440</v>
      </c>
      <c r="L152" s="86">
        <v>96</v>
      </c>
      <c r="M152" s="232">
        <v>15</v>
      </c>
      <c r="N152" s="44">
        <f>G152/W152*60</f>
        <v>1321.8749999999982</v>
      </c>
      <c r="O152" s="47">
        <f>N152/M152</f>
        <v>88.124999999999872</v>
      </c>
      <c r="P152" s="48">
        <f t="shared" si="95"/>
        <v>0</v>
      </c>
      <c r="Q152" s="49">
        <f t="shared" si="96"/>
        <v>-7.8750000000001279</v>
      </c>
      <c r="R152" s="431">
        <f t="shared" si="97"/>
        <v>0.91796874999999867</v>
      </c>
      <c r="S152" s="719"/>
      <c r="T152" s="265">
        <v>0.83263888888888882</v>
      </c>
      <c r="U152" s="63">
        <v>0.85486111111111107</v>
      </c>
      <c r="V152" s="428">
        <v>5</v>
      </c>
      <c r="W152" s="424">
        <f t="shared" si="99"/>
        <v>32.000000000000043</v>
      </c>
      <c r="X152" s="222"/>
      <c r="Y152" s="222"/>
      <c r="Z152" s="220"/>
      <c r="AA152" s="220"/>
      <c r="AB152" s="658"/>
      <c r="AC152" s="658"/>
      <c r="AD152" s="224"/>
      <c r="AE152" s="224"/>
      <c r="AF152" s="48">
        <f t="shared" si="61"/>
        <v>-118.12500000000182</v>
      </c>
      <c r="AG152" s="126">
        <f t="shared" si="62"/>
        <v>0.91796874999999878</v>
      </c>
      <c r="AH152" s="721"/>
    </row>
    <row r="153" spans="1:34" s="221" customFormat="1" ht="19.2" customHeight="1">
      <c r="A153" s="717"/>
      <c r="B153" s="441">
        <v>0</v>
      </c>
      <c r="C153" s="224"/>
      <c r="D153" s="255"/>
      <c r="E153" s="60"/>
      <c r="F153" s="368" t="s">
        <v>186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31"/>
      <c r="S153" s="719"/>
      <c r="T153" s="265"/>
      <c r="U153" s="63"/>
      <c r="V153" s="428"/>
      <c r="W153" s="424">
        <f t="shared" si="99"/>
        <v>0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0</v>
      </c>
      <c r="AG153" s="126" t="e">
        <f t="shared" si="62"/>
        <v>#DIV/0!</v>
      </c>
      <c r="AH153" s="721"/>
    </row>
    <row r="154" spans="1:34" s="221" customFormat="1" ht="19.2" customHeight="1">
      <c r="A154" s="717"/>
      <c r="B154" s="441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28"/>
      <c r="W154" s="424">
        <f t="shared" si="99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441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28"/>
      <c r="W155" s="424">
        <f t="shared" si="99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28"/>
      <c r="W156" s="269">
        <f t="shared" si="99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28"/>
      <c r="W157" s="269">
        <f t="shared" si="99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28"/>
      <c r="W158" s="269">
        <f t="shared" si="99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30"/>
      <c r="N159" s="182"/>
      <c r="O159" s="228"/>
      <c r="P159" s="267"/>
      <c r="Q159" s="74"/>
      <c r="R159" s="130"/>
      <c r="S159" s="719"/>
      <c r="T159" s="265"/>
      <c r="U159" s="63"/>
      <c r="V159" s="428"/>
      <c r="W159" s="270">
        <f t="shared" si="99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375</v>
      </c>
      <c r="D160" s="716" t="s">
        <v>376</v>
      </c>
      <c r="E160" s="678"/>
      <c r="F160" s="362"/>
      <c r="G160" s="205"/>
      <c r="H160" s="204"/>
      <c r="I160" s="72"/>
      <c r="J160" s="273">
        <v>15.8</v>
      </c>
      <c r="K160" s="273">
        <v>1452</v>
      </c>
      <c r="L160" s="274">
        <v>92.438095238095229</v>
      </c>
      <c r="M160" s="273">
        <f t="shared" ref="M160:O160" si="100">AVERAGE(M148:M159)</f>
        <v>16.2</v>
      </c>
      <c r="N160" s="273">
        <f t="shared" si="100"/>
        <v>1264.4570326678768</v>
      </c>
      <c r="O160" s="274">
        <f t="shared" si="100"/>
        <v>78.297010070815986</v>
      </c>
      <c r="P160" s="65">
        <f t="shared" ref="P160:P165" si="101">M160-J160</f>
        <v>0.39999999999999858</v>
      </c>
      <c r="Q160" s="74">
        <f t="shared" ref="Q160:Q165" si="102">O160-L160</f>
        <v>-14.141085167279243</v>
      </c>
      <c r="R160" s="275">
        <f>O160/L160</f>
        <v>0.8470210238445991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0</v>
      </c>
      <c r="AF160" s="65">
        <f t="shared" si="61"/>
        <v>-187.54296733212323</v>
      </c>
      <c r="AG160" s="130">
        <f t="shared" si="62"/>
        <v>0.87083817676851016</v>
      </c>
      <c r="AH160" s="721"/>
    </row>
    <row r="161" spans="1:36" ht="19.2" customHeight="1">
      <c r="A161" s="680" t="s">
        <v>377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2129</v>
      </c>
      <c r="H161" s="84">
        <f t="shared" ref="H161:H170" si="103">F161*G161</f>
        <v>63796.535541752921</v>
      </c>
      <c r="I161" s="441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4">G161/W161*60</f>
        <v>1205.0943396226417</v>
      </c>
      <c r="O161" s="86">
        <f t="shared" ref="O161:O165" si="105">N161/M161</f>
        <v>66.949685534591197</v>
      </c>
      <c r="P161" s="54">
        <f t="shared" si="101"/>
        <v>0</v>
      </c>
      <c r="Q161" s="88">
        <f t="shared" si="102"/>
        <v>0.28301886792452535</v>
      </c>
      <c r="R161" s="434">
        <f t="shared" ref="R161:R165" si="106">O161/L161</f>
        <v>1.004245283018868</v>
      </c>
      <c r="S161" s="681">
        <f>R173</f>
        <v>0.94430537570360751</v>
      </c>
      <c r="T161" s="89">
        <v>0.16666666666666666</v>
      </c>
      <c r="U161" s="89">
        <v>0.24027777777777776</v>
      </c>
      <c r="V161" s="441">
        <v>5</v>
      </c>
      <c r="W161" s="90">
        <f t="shared" ref="W161:W172" si="107">(U161-T161)*24*60</f>
        <v>105.99999999999999</v>
      </c>
      <c r="X161" s="96"/>
      <c r="Y161" s="96"/>
      <c r="Z161" s="54"/>
      <c r="AA161" s="54"/>
      <c r="AB161" s="658"/>
      <c r="AC161" s="658"/>
      <c r="AD161" s="441"/>
      <c r="AE161" s="441"/>
      <c r="AF161" s="54">
        <f t="shared" si="61"/>
        <v>5.0943396226416553</v>
      </c>
      <c r="AG161" s="434">
        <f t="shared" si="62"/>
        <v>1.004245283018868</v>
      </c>
      <c r="AH161" s="681">
        <f>AG173</f>
        <v>0.95134098730812411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3355</v>
      </c>
      <c r="H162" s="84">
        <f t="shared" si="103"/>
        <v>114841.65</v>
      </c>
      <c r="I162" s="44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4"/>
        <v>2212.0879120879113</v>
      </c>
      <c r="O162" s="86">
        <f t="shared" si="105"/>
        <v>170.16060862214701</v>
      </c>
      <c r="P162" s="54">
        <f t="shared" si="101"/>
        <v>0</v>
      </c>
      <c r="Q162" s="88">
        <f t="shared" si="102"/>
        <v>-2.9163144547760567</v>
      </c>
      <c r="R162" s="434">
        <f t="shared" si="106"/>
        <v>0.98315018315018277</v>
      </c>
      <c r="S162" s="681"/>
      <c r="T162" s="89">
        <v>0.24513888888888888</v>
      </c>
      <c r="U162" s="89">
        <v>0.30833333333333335</v>
      </c>
      <c r="V162" s="441">
        <v>7</v>
      </c>
      <c r="W162" s="90">
        <f t="shared" si="107"/>
        <v>91.000000000000043</v>
      </c>
      <c r="X162" s="96"/>
      <c r="Y162" s="96"/>
      <c r="Z162" s="54"/>
      <c r="AA162" s="54"/>
      <c r="AB162" s="658"/>
      <c r="AC162" s="658"/>
      <c r="AD162" s="441"/>
      <c r="AE162" s="441"/>
      <c r="AF162" s="54">
        <f t="shared" si="61"/>
        <v>-37.912087912088737</v>
      </c>
      <c r="AG162" s="434">
        <f t="shared" si="62"/>
        <v>0.98315018315018277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3980</v>
      </c>
      <c r="H163" s="84">
        <f t="shared" si="103"/>
        <v>136235.4</v>
      </c>
      <c r="I163" s="441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4"/>
        <v>2190.8256880733943</v>
      </c>
      <c r="O163" s="86">
        <f t="shared" si="105"/>
        <v>168.52505292872263</v>
      </c>
      <c r="P163" s="54">
        <f t="shared" si="101"/>
        <v>0</v>
      </c>
      <c r="Q163" s="88">
        <f t="shared" si="102"/>
        <v>-4.551870148200436</v>
      </c>
      <c r="R163" s="434">
        <f t="shared" si="106"/>
        <v>0.97370030581039746</v>
      </c>
      <c r="S163" s="681"/>
      <c r="T163" s="89">
        <v>0.32361111111111113</v>
      </c>
      <c r="U163" s="89">
        <v>0.39930555555555558</v>
      </c>
      <c r="V163" s="441">
        <v>22</v>
      </c>
      <c r="W163" s="90">
        <f t="shared" si="107"/>
        <v>109.00000000000001</v>
      </c>
      <c r="X163" s="96">
        <v>0.31180555555555556</v>
      </c>
      <c r="Y163" s="96">
        <v>0.32083333333333336</v>
      </c>
      <c r="Z163" s="54"/>
      <c r="AA163" s="54"/>
      <c r="AB163" s="658"/>
      <c r="AC163" s="658"/>
      <c r="AD163" s="441"/>
      <c r="AE163" s="441"/>
      <c r="AF163" s="54">
        <f t="shared" si="61"/>
        <v>-59.174311926605696</v>
      </c>
      <c r="AG163" s="434">
        <f t="shared" si="62"/>
        <v>0.97370030581039746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5569</v>
      </c>
      <c r="H164" s="84">
        <f t="shared" si="103"/>
        <v>199537.27</v>
      </c>
      <c r="I164" s="441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4"/>
        <v>2212.8476821192057</v>
      </c>
      <c r="O164" s="86">
        <f t="shared" si="105"/>
        <v>201.16797110174596</v>
      </c>
      <c r="P164" s="54">
        <f t="shared" si="101"/>
        <v>0</v>
      </c>
      <c r="Q164" s="88">
        <f t="shared" si="102"/>
        <v>-3.3774834437085701</v>
      </c>
      <c r="R164" s="434">
        <f t="shared" si="106"/>
        <v>0.98348785871964695</v>
      </c>
      <c r="S164" s="681"/>
      <c r="T164" s="89">
        <v>0.43958333333333333</v>
      </c>
      <c r="U164" s="89">
        <v>0.5444444444444444</v>
      </c>
      <c r="V164" s="441">
        <v>5</v>
      </c>
      <c r="W164" s="90">
        <f t="shared" si="107"/>
        <v>150.99999999999994</v>
      </c>
      <c r="X164" s="96"/>
      <c r="Y164" s="96"/>
      <c r="Z164" s="54"/>
      <c r="AA164" s="54"/>
      <c r="AB164" s="658"/>
      <c r="AC164" s="658"/>
      <c r="AD164" s="441"/>
      <c r="AE164" s="441"/>
      <c r="AF164" s="54">
        <f t="shared" si="61"/>
        <v>-37.152317880794271</v>
      </c>
      <c r="AG164" s="434">
        <f t="shared" si="62"/>
        <v>0.98348785871964695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1505.1599999999999</v>
      </c>
      <c r="H165" s="84">
        <f t="shared" si="103"/>
        <v>54802.875599999992</v>
      </c>
      <c r="I165" s="44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4"/>
        <v>2376.5684210526297</v>
      </c>
      <c r="O165" s="86">
        <f t="shared" si="105"/>
        <v>237.65684210526297</v>
      </c>
      <c r="P165" s="54">
        <f t="shared" si="101"/>
        <v>0</v>
      </c>
      <c r="Q165" s="88">
        <f t="shared" si="102"/>
        <v>-39.24315789473701</v>
      </c>
      <c r="R165" s="434">
        <f t="shared" si="106"/>
        <v>0.85827678622341275</v>
      </c>
      <c r="S165" s="681"/>
      <c r="T165" s="89">
        <v>0.54930555555555549</v>
      </c>
      <c r="U165" s="89">
        <v>0.5756944444444444</v>
      </c>
      <c r="V165" s="441">
        <v>7</v>
      </c>
      <c r="W165" s="90">
        <f t="shared" si="107"/>
        <v>38.000000000000028</v>
      </c>
      <c r="X165" s="96"/>
      <c r="Y165" s="96"/>
      <c r="Z165" s="54"/>
      <c r="AA165" s="54"/>
      <c r="AB165" s="658"/>
      <c r="AC165" s="658"/>
      <c r="AD165" s="441"/>
      <c r="AE165" s="441"/>
      <c r="AF165" s="54">
        <f t="shared" si="61"/>
        <v>-392.43157894737033</v>
      </c>
      <c r="AG165" s="434">
        <f t="shared" si="62"/>
        <v>0.85827678622341264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3"/>
        <v>0</v>
      </c>
      <c r="I166" s="441"/>
      <c r="J166" s="87"/>
      <c r="K166" s="57"/>
      <c r="L166" s="86"/>
      <c r="M166" s="87"/>
      <c r="N166" s="57"/>
      <c r="O166" s="86"/>
      <c r="P166" s="54"/>
      <c r="Q166" s="88"/>
      <c r="R166" s="434"/>
      <c r="S166" s="681"/>
      <c r="T166" s="89"/>
      <c r="U166" s="89"/>
      <c r="V166" s="441"/>
      <c r="W166" s="90">
        <f t="shared" si="107"/>
        <v>0</v>
      </c>
      <c r="X166" s="96"/>
      <c r="Y166" s="96"/>
      <c r="Z166" s="54"/>
      <c r="AA166" s="54"/>
      <c r="AB166" s="658"/>
      <c r="AC166" s="658"/>
      <c r="AD166" s="441"/>
      <c r="AE166" s="441"/>
      <c r="AF166" s="54">
        <f t="shared" si="61"/>
        <v>0</v>
      </c>
      <c r="AG166" s="434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3"/>
        <v>0</v>
      </c>
      <c r="I167" s="441"/>
      <c r="J167" s="87"/>
      <c r="K167" s="57"/>
      <c r="L167" s="86"/>
      <c r="M167" s="87"/>
      <c r="N167" s="57"/>
      <c r="O167" s="86"/>
      <c r="P167" s="54"/>
      <c r="Q167" s="88"/>
      <c r="R167" s="434"/>
      <c r="S167" s="681"/>
      <c r="T167" s="89"/>
      <c r="U167" s="89"/>
      <c r="V167" s="441"/>
      <c r="W167" s="90">
        <f t="shared" si="107"/>
        <v>0</v>
      </c>
      <c r="X167" s="96"/>
      <c r="Y167" s="96"/>
      <c r="Z167" s="54"/>
      <c r="AA167" s="54"/>
      <c r="AB167" s="658"/>
      <c r="AC167" s="658"/>
      <c r="AD167" s="441"/>
      <c r="AE167" s="441"/>
      <c r="AF167" s="54">
        <f t="shared" si="61"/>
        <v>0</v>
      </c>
      <c r="AG167" s="434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3"/>
        <v>0</v>
      </c>
      <c r="I168" s="441"/>
      <c r="J168" s="87"/>
      <c r="K168" s="57"/>
      <c r="L168" s="86"/>
      <c r="M168" s="87"/>
      <c r="N168" s="57"/>
      <c r="O168" s="86"/>
      <c r="P168" s="54"/>
      <c r="Q168" s="88"/>
      <c r="R168" s="434"/>
      <c r="S168" s="681"/>
      <c r="T168" s="89"/>
      <c r="U168" s="89"/>
      <c r="V168" s="441"/>
      <c r="W168" s="90">
        <f t="shared" si="107"/>
        <v>0</v>
      </c>
      <c r="X168" s="96"/>
      <c r="Y168" s="96"/>
      <c r="Z168" s="54"/>
      <c r="AA168" s="54"/>
      <c r="AB168" s="658"/>
      <c r="AC168" s="658"/>
      <c r="AD168" s="441"/>
      <c r="AE168" s="441"/>
      <c r="AF168" s="54">
        <f t="shared" si="61"/>
        <v>0</v>
      </c>
      <c r="AG168" s="434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3"/>
        <v>0</v>
      </c>
      <c r="I169" s="441"/>
      <c r="J169" s="87"/>
      <c r="K169" s="57"/>
      <c r="L169" s="86"/>
      <c r="M169" s="87"/>
      <c r="N169" s="57"/>
      <c r="O169" s="86"/>
      <c r="P169" s="54"/>
      <c r="Q169" s="88"/>
      <c r="R169" s="434"/>
      <c r="S169" s="681"/>
      <c r="T169" s="89"/>
      <c r="U169" s="89"/>
      <c r="V169" s="441" t="s">
        <v>30</v>
      </c>
      <c r="W169" s="90">
        <f t="shared" si="107"/>
        <v>0</v>
      </c>
      <c r="X169" s="96"/>
      <c r="Y169" s="96"/>
      <c r="Z169" s="54"/>
      <c r="AA169" s="54"/>
      <c r="AB169" s="658"/>
      <c r="AC169" s="658"/>
      <c r="AD169" s="441"/>
      <c r="AE169" s="441"/>
      <c r="AF169" s="54">
        <f t="shared" si="61"/>
        <v>0</v>
      </c>
      <c r="AG169" s="434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3"/>
        <v>0</v>
      </c>
      <c r="I170" s="441"/>
      <c r="J170" s="87"/>
      <c r="K170" s="57"/>
      <c r="L170" s="86"/>
      <c r="M170" s="87"/>
      <c r="N170" s="57"/>
      <c r="O170" s="86"/>
      <c r="P170" s="54"/>
      <c r="Q170" s="88"/>
      <c r="R170" s="434"/>
      <c r="S170" s="681"/>
      <c r="T170" s="89"/>
      <c r="U170" s="89"/>
      <c r="V170" s="441"/>
      <c r="W170" s="90">
        <f t="shared" si="107"/>
        <v>0</v>
      </c>
      <c r="X170" s="96"/>
      <c r="Y170" s="96"/>
      <c r="Z170" s="54"/>
      <c r="AA170" s="54"/>
      <c r="AB170" s="658"/>
      <c r="AC170" s="658"/>
      <c r="AD170" s="441"/>
      <c r="AE170" s="441"/>
      <c r="AF170" s="54">
        <f t="shared" si="61"/>
        <v>0</v>
      </c>
      <c r="AG170" s="434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441"/>
      <c r="J171" s="87"/>
      <c r="K171" s="57"/>
      <c r="L171" s="86"/>
      <c r="M171" s="87"/>
      <c r="N171" s="57"/>
      <c r="O171" s="86"/>
      <c r="P171" s="54"/>
      <c r="Q171" s="88"/>
      <c r="R171" s="434"/>
      <c r="S171" s="681"/>
      <c r="T171" s="89"/>
      <c r="U171" s="89"/>
      <c r="V171" s="441"/>
      <c r="W171" s="90">
        <f t="shared" si="107"/>
        <v>0</v>
      </c>
      <c r="X171" s="96"/>
      <c r="Y171" s="96"/>
      <c r="Z171" s="54"/>
      <c r="AA171" s="54"/>
      <c r="AB171" s="658"/>
      <c r="AC171" s="658"/>
      <c r="AD171" s="441"/>
      <c r="AE171" s="441"/>
      <c r="AF171" s="54"/>
      <c r="AG171" s="434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441"/>
      <c r="J172" s="87"/>
      <c r="K172" s="57"/>
      <c r="L172" s="86"/>
      <c r="M172" s="87"/>
      <c r="N172" s="57"/>
      <c r="O172" s="86"/>
      <c r="P172" s="54"/>
      <c r="Q172" s="88"/>
      <c r="R172" s="434"/>
      <c r="S172" s="681"/>
      <c r="T172" s="89"/>
      <c r="U172" s="89"/>
      <c r="V172" s="441"/>
      <c r="W172" s="90">
        <f t="shared" si="107"/>
        <v>0</v>
      </c>
      <c r="X172" s="96"/>
      <c r="Y172" s="96"/>
      <c r="Z172" s="54"/>
      <c r="AA172" s="54"/>
      <c r="AB172" s="658"/>
      <c r="AC172" s="658"/>
      <c r="AD172" s="441"/>
      <c r="AE172" s="441"/>
      <c r="AF172" s="54"/>
      <c r="AG172" s="434"/>
      <c r="AH172" s="681"/>
    </row>
    <row r="173" spans="1:36" ht="19.2" customHeight="1">
      <c r="A173" s="680"/>
      <c r="B173" s="122">
        <v>0</v>
      </c>
      <c r="C173" s="100" t="s">
        <v>378</v>
      </c>
      <c r="D173" s="687" t="s">
        <v>355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08">AVERAGE(M161:M172)</f>
        <v>13</v>
      </c>
      <c r="N173" s="101">
        <f t="shared" si="108"/>
        <v>2039.4848085911567</v>
      </c>
      <c r="O173" s="104">
        <f t="shared" si="108"/>
        <v>168.89203205849395</v>
      </c>
      <c r="P173" s="54">
        <f>M173-J173</f>
        <v>0</v>
      </c>
      <c r="Q173" s="88">
        <f>O173-L173</f>
        <v>-9.961161414699518</v>
      </c>
      <c r="R173" s="105">
        <f>O173/L173</f>
        <v>0.94430537570360751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0</v>
      </c>
      <c r="AE173" s="107">
        <f>SUM(AE161:AE172)</f>
        <v>0</v>
      </c>
      <c r="AF173" s="54">
        <f t="shared" si="61"/>
        <v>-104.31519140884348</v>
      </c>
      <c r="AG173" s="434">
        <f t="shared" si="62"/>
        <v>0.95134098730812411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379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380</v>
      </c>
    </row>
    <row r="186" spans="23:36">
      <c r="W186" s="33"/>
      <c r="AJ186" s="279" t="s">
        <v>381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 Q109:Q117">
    <cfRule type="cellIs" dxfId="22815" priority="3256" operator="lessThan">
      <formula>0</formula>
    </cfRule>
  </conditionalFormatting>
  <conditionalFormatting sqref="AH57 AH70 S43 S123 S95 AH95 S5:S9 AH5:AH9 S134 AH17:AH18 S17:S18 S32 S82 AH82 S57:S70">
    <cfRule type="cellIs" dxfId="22814" priority="3255" operator="lessThan">
      <formula>0.8</formula>
    </cfRule>
  </conditionalFormatting>
  <conditionalFormatting sqref="R147 R173 R30 R121 R95 R43 R134 R82 R154:R159 R17:R18 R57:R70 R109:R117">
    <cfRule type="cellIs" dxfId="22813" priority="3253" operator="lessThan">
      <formula>0.8</formula>
    </cfRule>
    <cfRule type="cellIs" dxfId="22812" priority="325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 R109:R117">
    <cfRule type="cellIs" dxfId="22811" priority="3251" operator="greaterThan">
      <formula>1</formula>
    </cfRule>
    <cfRule type="cellIs" dxfId="22810" priority="3252" operator="lessThan">
      <formula>0.8</formula>
    </cfRule>
  </conditionalFormatting>
  <conditionalFormatting sqref="P147 P30 P121 P95 P43 P134 P82 P154:P159 P17:P18 P57:P70 P109:P117">
    <cfRule type="cellIs" dxfId="22809" priority="3250" operator="greaterThan">
      <formula>0</formula>
    </cfRule>
  </conditionalFormatting>
  <conditionalFormatting sqref="S161">
    <cfRule type="cellIs" dxfId="22808" priority="3249" operator="lessThan">
      <formula>0.8</formula>
    </cfRule>
  </conditionalFormatting>
  <conditionalFormatting sqref="Q161:Q166">
    <cfRule type="cellIs" dxfId="22807" priority="3248" operator="lessThan">
      <formula>0</formula>
    </cfRule>
  </conditionalFormatting>
  <conditionalFormatting sqref="R161:R166">
    <cfRule type="cellIs" dxfId="22806" priority="3246" operator="lessThan">
      <formula>0.8</formula>
    </cfRule>
    <cfRule type="cellIs" dxfId="22805" priority="3247" operator="greaterThan">
      <formula>1</formula>
    </cfRule>
  </conditionalFormatting>
  <conditionalFormatting sqref="R161:R166">
    <cfRule type="cellIs" dxfId="22804" priority="3244" operator="greaterThan">
      <formula>1</formula>
    </cfRule>
    <cfRule type="cellIs" dxfId="22803" priority="3245" operator="lessThan">
      <formula>0.8</formula>
    </cfRule>
  </conditionalFormatting>
  <conditionalFormatting sqref="P161:P166">
    <cfRule type="cellIs" dxfId="22802" priority="3243" operator="greaterThan">
      <formula>0</formula>
    </cfRule>
  </conditionalFormatting>
  <conditionalFormatting sqref="Q169:Q172 AF161:AF172">
    <cfRule type="cellIs" dxfId="22801" priority="3242" operator="lessThan">
      <formula>0</formula>
    </cfRule>
  </conditionalFormatting>
  <conditionalFormatting sqref="R169:R172">
    <cfRule type="cellIs" dxfId="22800" priority="3240" operator="lessThan">
      <formula>0.8</formula>
    </cfRule>
    <cfRule type="cellIs" dxfId="22799" priority="3241" operator="greaterThan">
      <formula>1</formula>
    </cfRule>
  </conditionalFormatting>
  <conditionalFormatting sqref="R169:R172 AG161:AG172">
    <cfRule type="cellIs" dxfId="22798" priority="3238" operator="greaterThan">
      <formula>1</formula>
    </cfRule>
    <cfRule type="cellIs" dxfId="22797" priority="3239" operator="lessThan">
      <formula>0.8</formula>
    </cfRule>
  </conditionalFormatting>
  <conditionalFormatting sqref="P169:P172">
    <cfRule type="cellIs" dxfId="22796" priority="3237" operator="greaterThan">
      <formula>0</formula>
    </cfRule>
  </conditionalFormatting>
  <conditionalFormatting sqref="AF145">
    <cfRule type="cellIs" dxfId="22795" priority="3236" operator="lessThan">
      <formula>0</formula>
    </cfRule>
  </conditionalFormatting>
  <conditionalFormatting sqref="AG145">
    <cfRule type="cellIs" dxfId="22794" priority="3234" operator="greaterThan">
      <formula>1</formula>
    </cfRule>
    <cfRule type="cellIs" dxfId="22793" priority="3235" operator="lessThan">
      <formula>0.8</formula>
    </cfRule>
  </conditionalFormatting>
  <conditionalFormatting sqref="AF44:AF54">
    <cfRule type="cellIs" dxfId="22792" priority="3233" operator="lessThan">
      <formula>0</formula>
    </cfRule>
  </conditionalFormatting>
  <conditionalFormatting sqref="AG44:AG54">
    <cfRule type="cellIs" dxfId="22791" priority="3231" operator="greaterThan">
      <formula>1</formula>
    </cfRule>
    <cfRule type="cellIs" dxfId="22790" priority="3232" operator="lessThan">
      <formula>0.8</formula>
    </cfRule>
  </conditionalFormatting>
  <conditionalFormatting sqref="AF83:AF94">
    <cfRule type="cellIs" dxfId="22789" priority="3230" operator="lessThan">
      <formula>0</formula>
    </cfRule>
  </conditionalFormatting>
  <conditionalFormatting sqref="AH83">
    <cfRule type="cellIs" dxfId="22788" priority="3229" operator="lessThan">
      <formula>0.8</formula>
    </cfRule>
  </conditionalFormatting>
  <conditionalFormatting sqref="AG83:AG94">
    <cfRule type="cellIs" dxfId="22787" priority="3227" operator="greaterThan">
      <formula>1</formula>
    </cfRule>
    <cfRule type="cellIs" dxfId="22786" priority="3228" operator="lessThan">
      <formula>0.8</formula>
    </cfRule>
  </conditionalFormatting>
  <conditionalFormatting sqref="S83">
    <cfRule type="cellIs" dxfId="22785" priority="3226" operator="lessThan">
      <formula>0.8</formula>
    </cfRule>
  </conditionalFormatting>
  <conditionalFormatting sqref="AH84">
    <cfRule type="cellIs" dxfId="22784" priority="3225" operator="lessThan">
      <formula>0.8</formula>
    </cfRule>
  </conditionalFormatting>
  <conditionalFormatting sqref="S84">
    <cfRule type="cellIs" dxfId="22783" priority="3224" operator="lessThan">
      <formula>0.8</formula>
    </cfRule>
  </conditionalFormatting>
  <conditionalFormatting sqref="S90">
    <cfRule type="cellIs" dxfId="22782" priority="3223" operator="lessThan">
      <formula>0.8</formula>
    </cfRule>
  </conditionalFormatting>
  <conditionalFormatting sqref="AH90">
    <cfRule type="cellIs" dxfId="22781" priority="3222" operator="lessThan">
      <formula>0.8</formula>
    </cfRule>
  </conditionalFormatting>
  <conditionalFormatting sqref="AF122">
    <cfRule type="cellIs" dxfId="22780" priority="3221" operator="lessThan">
      <formula>0</formula>
    </cfRule>
  </conditionalFormatting>
  <conditionalFormatting sqref="S122">
    <cfRule type="cellIs" dxfId="22779" priority="3220" operator="lessThan">
      <formula>0.8</formula>
    </cfRule>
  </conditionalFormatting>
  <conditionalFormatting sqref="AG122">
    <cfRule type="cellIs" dxfId="22778" priority="3218" operator="greaterThan">
      <formula>1</formula>
    </cfRule>
    <cfRule type="cellIs" dxfId="22777" priority="3219" operator="lessThan">
      <formula>0.8</formula>
    </cfRule>
  </conditionalFormatting>
  <conditionalFormatting sqref="P162:P168">
    <cfRule type="cellIs" dxfId="22776" priority="3212" operator="greaterThan">
      <formula>0</formula>
    </cfRule>
  </conditionalFormatting>
  <conditionalFormatting sqref="R162:R168">
    <cfRule type="cellIs" dxfId="22775" priority="3215" operator="lessThan">
      <formula>0.8</formula>
    </cfRule>
    <cfRule type="cellIs" dxfId="22774" priority="3216" operator="greaterThan">
      <formula>1</formula>
    </cfRule>
  </conditionalFormatting>
  <conditionalFormatting sqref="R162:R168">
    <cfRule type="cellIs" dxfId="22773" priority="3213" operator="greaterThan">
      <formula>1</formula>
    </cfRule>
    <cfRule type="cellIs" dxfId="22772" priority="3214" operator="lessThan">
      <formula>0.8</formula>
    </cfRule>
  </conditionalFormatting>
  <conditionalFormatting sqref="Q162:Q168">
    <cfRule type="cellIs" dxfId="22771" priority="3217" operator="lessThan">
      <formula>0</formula>
    </cfRule>
  </conditionalFormatting>
  <conditionalFormatting sqref="P132:P133">
    <cfRule type="cellIs" dxfId="22770" priority="3205" operator="greaterThan">
      <formula>0</formula>
    </cfRule>
  </conditionalFormatting>
  <conditionalFormatting sqref="AF124 Q132:Q133 AF126:AF133">
    <cfRule type="cellIs" dxfId="22769" priority="3211" operator="lessThan">
      <formula>0</formula>
    </cfRule>
  </conditionalFormatting>
  <conditionalFormatting sqref="S124:S133">
    <cfRule type="cellIs" dxfId="22768" priority="3210" operator="lessThan">
      <formula>0.8</formula>
    </cfRule>
  </conditionalFormatting>
  <conditionalFormatting sqref="R132:R133">
    <cfRule type="cellIs" dxfId="22767" priority="3208" operator="lessThan">
      <formula>0.8</formula>
    </cfRule>
    <cfRule type="cellIs" dxfId="22766" priority="3209" operator="greaterThan">
      <formula>1</formula>
    </cfRule>
  </conditionalFormatting>
  <conditionalFormatting sqref="AG124 R132:R133 AG126:AG133">
    <cfRule type="cellIs" dxfId="22765" priority="3206" operator="greaterThan">
      <formula>1</formula>
    </cfRule>
    <cfRule type="cellIs" dxfId="22764" priority="3207" operator="lessThan">
      <formula>0.8</formula>
    </cfRule>
  </conditionalFormatting>
  <conditionalFormatting sqref="AH109">
    <cfRule type="cellIs" dxfId="22763" priority="3204" operator="lessThan">
      <formula>0.8</formula>
    </cfRule>
  </conditionalFormatting>
  <conditionalFormatting sqref="R160 AG160">
    <cfRule type="cellIs" dxfId="22762" priority="3199" operator="greaterThan">
      <formula>1</formula>
    </cfRule>
    <cfRule type="cellIs" dxfId="22761" priority="3200" operator="lessThan">
      <formula>0.8</formula>
    </cfRule>
  </conditionalFormatting>
  <conditionalFormatting sqref="R160">
    <cfRule type="cellIs" dxfId="22760" priority="3201" operator="lessThan">
      <formula>0.8</formula>
    </cfRule>
    <cfRule type="cellIs" dxfId="22759" priority="3202" operator="greaterThan">
      <formula>1</formula>
    </cfRule>
  </conditionalFormatting>
  <conditionalFormatting sqref="P160">
    <cfRule type="cellIs" dxfId="22758" priority="3198" operator="greaterThan">
      <formula>0</formula>
    </cfRule>
  </conditionalFormatting>
  <conditionalFormatting sqref="AH148">
    <cfRule type="cellIs" dxfId="22757" priority="3197" operator="lessThan">
      <formula>0.8</formula>
    </cfRule>
  </conditionalFormatting>
  <conditionalFormatting sqref="Q160 AF160">
    <cfRule type="cellIs" dxfId="22756" priority="3203" operator="lessThan">
      <formula>0</formula>
    </cfRule>
  </conditionalFormatting>
  <conditionalFormatting sqref="AF148:AF154">
    <cfRule type="cellIs" dxfId="22755" priority="3196" operator="lessThan">
      <formula>0</formula>
    </cfRule>
  </conditionalFormatting>
  <conditionalFormatting sqref="S148">
    <cfRule type="cellIs" dxfId="22754" priority="3195" operator="lessThan">
      <formula>0.8</formula>
    </cfRule>
  </conditionalFormatting>
  <conditionalFormatting sqref="AG148:AG154">
    <cfRule type="cellIs" dxfId="22753" priority="3193" operator="greaterThan">
      <formula>1</formula>
    </cfRule>
    <cfRule type="cellIs" dxfId="22752" priority="3194" operator="lessThan">
      <formula>0.8</formula>
    </cfRule>
  </conditionalFormatting>
  <conditionalFormatting sqref="S86">
    <cfRule type="cellIs" dxfId="22751" priority="3192" operator="lessThan">
      <formula>0.8</formula>
    </cfRule>
  </conditionalFormatting>
  <conditionalFormatting sqref="S88 AH88">
    <cfRule type="cellIs" dxfId="22750" priority="3187" operator="lessThan">
      <formula>0.8</formula>
    </cfRule>
  </conditionalFormatting>
  <conditionalFormatting sqref="AH86">
    <cfRule type="cellIs" dxfId="22749" priority="3191" operator="lessThan">
      <formula>0.8</formula>
    </cfRule>
  </conditionalFormatting>
  <conditionalFormatting sqref="S87">
    <cfRule type="cellIs" dxfId="22748" priority="3190" operator="lessThan">
      <formula>0.8</formula>
    </cfRule>
  </conditionalFormatting>
  <conditionalFormatting sqref="AH87">
    <cfRule type="cellIs" dxfId="22747" priority="3189" operator="lessThan">
      <formula>0.8</formula>
    </cfRule>
  </conditionalFormatting>
  <conditionalFormatting sqref="S89 AH89">
    <cfRule type="cellIs" dxfId="22746" priority="3188" operator="lessThan">
      <formula>0.8</formula>
    </cfRule>
  </conditionalFormatting>
  <conditionalFormatting sqref="AF31 AF35 AF39">
    <cfRule type="cellIs" dxfId="22745" priority="3186" operator="lessThan">
      <formula>0</formula>
    </cfRule>
  </conditionalFormatting>
  <conditionalFormatting sqref="AH31 S31">
    <cfRule type="cellIs" dxfId="22744" priority="3185" operator="lessThan">
      <formula>0.8</formula>
    </cfRule>
  </conditionalFormatting>
  <conditionalFormatting sqref="AG31 AG35 AG39">
    <cfRule type="cellIs" dxfId="22743" priority="3183" operator="greaterThan">
      <formula>1</formula>
    </cfRule>
    <cfRule type="cellIs" dxfId="22742" priority="3184" operator="lessThan">
      <formula>0.8</formula>
    </cfRule>
  </conditionalFormatting>
  <conditionalFormatting sqref="AF135">
    <cfRule type="cellIs" dxfId="22741" priority="3182" operator="lessThan">
      <formula>0</formula>
    </cfRule>
  </conditionalFormatting>
  <conditionalFormatting sqref="AH135 S135">
    <cfRule type="cellIs" dxfId="22740" priority="3181" operator="lessThan">
      <formula>0.8</formula>
    </cfRule>
  </conditionalFormatting>
  <conditionalFormatting sqref="AG135">
    <cfRule type="cellIs" dxfId="22739" priority="3179" operator="greaterThan">
      <formula>1</formula>
    </cfRule>
    <cfRule type="cellIs" dxfId="22738" priority="3180" operator="lessThan">
      <formula>0.8</formula>
    </cfRule>
  </conditionalFormatting>
  <conditionalFormatting sqref="AF108 Q108">
    <cfRule type="cellIs" dxfId="22737" priority="3178" operator="lessThan">
      <formula>0</formula>
    </cfRule>
  </conditionalFormatting>
  <conditionalFormatting sqref="R108">
    <cfRule type="cellIs" dxfId="22736" priority="3176" operator="lessThan">
      <formula>0.8</formula>
    </cfRule>
    <cfRule type="cellIs" dxfId="22735" priority="3177" operator="greaterThan">
      <formula>1</formula>
    </cfRule>
  </conditionalFormatting>
  <conditionalFormatting sqref="AG108 R108">
    <cfRule type="cellIs" dxfId="22734" priority="3174" operator="greaterThan">
      <formula>1</formula>
    </cfRule>
    <cfRule type="cellIs" dxfId="22733" priority="3175" operator="lessThan">
      <formula>0.8</formula>
    </cfRule>
  </conditionalFormatting>
  <conditionalFormatting sqref="P108">
    <cfRule type="cellIs" dxfId="22732" priority="3173" operator="greaterThan">
      <formula>0</formula>
    </cfRule>
  </conditionalFormatting>
  <conditionalFormatting sqref="AH97">
    <cfRule type="cellIs" dxfId="22731" priority="3168" operator="lessThan">
      <formula>0.8</formula>
    </cfRule>
  </conditionalFormatting>
  <conditionalFormatting sqref="AG96 AG98 AG100 AG102 AG104">
    <cfRule type="cellIs" dxfId="22730" priority="3170" operator="greaterThan">
      <formula>1</formula>
    </cfRule>
    <cfRule type="cellIs" dxfId="22729" priority="3171" operator="lessThan">
      <formula>0.8</formula>
    </cfRule>
  </conditionalFormatting>
  <conditionalFormatting sqref="AF96 AF98 AF100 AF102 AF104">
    <cfRule type="cellIs" dxfId="22728" priority="3172" operator="lessThan">
      <formula>0</formula>
    </cfRule>
  </conditionalFormatting>
  <conditionalFormatting sqref="AG97 AG99 AG101 AG103 AG105">
    <cfRule type="cellIs" dxfId="22727" priority="3166" operator="greaterThan">
      <formula>1</formula>
    </cfRule>
    <cfRule type="cellIs" dxfId="22726" priority="3167" operator="lessThan">
      <formula>0.8</formula>
    </cfRule>
  </conditionalFormatting>
  <conditionalFormatting sqref="AF97 AF99 AF101 AF103 AF105">
    <cfRule type="cellIs" dxfId="22725" priority="3169" operator="lessThan">
      <formula>0</formula>
    </cfRule>
  </conditionalFormatting>
  <conditionalFormatting sqref="AF71 AF73 AF75 AF79 AF77">
    <cfRule type="cellIs" dxfId="22724" priority="3163" operator="lessThan">
      <formula>0</formula>
    </cfRule>
  </conditionalFormatting>
  <conditionalFormatting sqref="S71 AH71">
    <cfRule type="cellIs" dxfId="22723" priority="3162" operator="lessThan">
      <formula>0.8</formula>
    </cfRule>
  </conditionalFormatting>
  <conditionalFormatting sqref="AG71 AG73 AG75 AG79 AG77">
    <cfRule type="cellIs" dxfId="22722" priority="3160" operator="greaterThan">
      <formula>1</formula>
    </cfRule>
    <cfRule type="cellIs" dxfId="22721" priority="3161" operator="lessThan">
      <formula>0.8</formula>
    </cfRule>
  </conditionalFormatting>
  <conditionalFormatting sqref="AF72 AF76 AF80">
    <cfRule type="cellIs" dxfId="22720" priority="3159" operator="lessThan">
      <formula>0</formula>
    </cfRule>
  </conditionalFormatting>
  <conditionalFormatting sqref="S72 AH72">
    <cfRule type="cellIs" dxfId="22719" priority="3158" operator="lessThan">
      <formula>0.8</formula>
    </cfRule>
  </conditionalFormatting>
  <conditionalFormatting sqref="S11">
    <cfRule type="cellIs" dxfId="22718" priority="3165" operator="lessThan">
      <formula>0.8</formula>
    </cfRule>
  </conditionalFormatting>
  <conditionalFormatting sqref="S10">
    <cfRule type="cellIs" dxfId="22717" priority="3164" operator="lessThan">
      <formula>0.8</formula>
    </cfRule>
  </conditionalFormatting>
  <conditionalFormatting sqref="AG72 AG76 AG80">
    <cfRule type="cellIs" dxfId="22716" priority="3156" operator="greaterThan">
      <formula>1</formula>
    </cfRule>
    <cfRule type="cellIs" dxfId="22715" priority="3157" operator="lessThan">
      <formula>0.8</formula>
    </cfRule>
  </conditionalFormatting>
  <conditionalFormatting sqref="AF14:AF16 Q15:Q16">
    <cfRule type="cellIs" dxfId="22714" priority="3155" operator="lessThan">
      <formula>0</formula>
    </cfRule>
  </conditionalFormatting>
  <conditionalFormatting sqref="R15:R16">
    <cfRule type="cellIs" dxfId="22713" priority="3153" operator="lessThan">
      <formula>0.8</formula>
    </cfRule>
    <cfRule type="cellIs" dxfId="22712" priority="3154" operator="greaterThan">
      <formula>1</formula>
    </cfRule>
  </conditionalFormatting>
  <conditionalFormatting sqref="AG14:AG16 R15:R16">
    <cfRule type="cellIs" dxfId="22711" priority="3151" operator="greaterThan">
      <formula>1</formula>
    </cfRule>
    <cfRule type="cellIs" dxfId="22710" priority="3152" operator="lessThan">
      <formula>0.8</formula>
    </cfRule>
  </conditionalFormatting>
  <conditionalFormatting sqref="P15:P16">
    <cfRule type="cellIs" dxfId="22709" priority="3150" operator="greaterThan">
      <formula>0</formula>
    </cfRule>
  </conditionalFormatting>
  <conditionalFormatting sqref="AH98">
    <cfRule type="cellIs" dxfId="22708" priority="3149" operator="lessThan">
      <formula>0.8</formula>
    </cfRule>
  </conditionalFormatting>
  <conditionalFormatting sqref="AF33 AF37">
    <cfRule type="cellIs" dxfId="22707" priority="3148" operator="lessThan">
      <formula>0</formula>
    </cfRule>
  </conditionalFormatting>
  <conditionalFormatting sqref="AG33 AG37">
    <cfRule type="cellIs" dxfId="22706" priority="3146" operator="greaterThan">
      <formula>1</formula>
    </cfRule>
    <cfRule type="cellIs" dxfId="22705" priority="3147" operator="lessThan">
      <formula>0.8</formula>
    </cfRule>
  </conditionalFormatting>
  <conditionalFormatting sqref="P41:P42">
    <cfRule type="cellIs" dxfId="22704" priority="3140" operator="greaterThan">
      <formula>0</formula>
    </cfRule>
  </conditionalFormatting>
  <conditionalFormatting sqref="Q41:Q42 AF34 AF41:AF42 AF38">
    <cfRule type="cellIs" dxfId="22703" priority="3145" operator="lessThan">
      <formula>0</formula>
    </cfRule>
  </conditionalFormatting>
  <conditionalFormatting sqref="R41:R42">
    <cfRule type="cellIs" dxfId="22702" priority="3143" operator="lessThan">
      <formula>0.8</formula>
    </cfRule>
    <cfRule type="cellIs" dxfId="22701" priority="3144" operator="greaterThan">
      <formula>1</formula>
    </cfRule>
  </conditionalFormatting>
  <conditionalFormatting sqref="R41:R42 AG34 AG41:AG42 AG38">
    <cfRule type="cellIs" dxfId="22700" priority="3141" operator="greaterThan">
      <formula>1</formula>
    </cfRule>
    <cfRule type="cellIs" dxfId="22699" priority="3142" operator="lessThan">
      <formula>0.8</formula>
    </cfRule>
  </conditionalFormatting>
  <conditionalFormatting sqref="AF137:AF144">
    <cfRule type="cellIs" dxfId="22698" priority="3139" operator="lessThan">
      <formula>0</formula>
    </cfRule>
  </conditionalFormatting>
  <conditionalFormatting sqref="AH137 S137">
    <cfRule type="cellIs" dxfId="22697" priority="3138" operator="lessThan">
      <formula>0.8</formula>
    </cfRule>
  </conditionalFormatting>
  <conditionalFormatting sqref="AG137:AG144">
    <cfRule type="cellIs" dxfId="22696" priority="3136" operator="greaterThan">
      <formula>1</formula>
    </cfRule>
    <cfRule type="cellIs" dxfId="22695" priority="3137" operator="lessThan">
      <formula>0.8</formula>
    </cfRule>
  </conditionalFormatting>
  <conditionalFormatting sqref="AF55">
    <cfRule type="cellIs" dxfId="22694" priority="3135" operator="lessThan">
      <formula>0</formula>
    </cfRule>
  </conditionalFormatting>
  <conditionalFormatting sqref="AG55">
    <cfRule type="cellIs" dxfId="22693" priority="3133" operator="greaterThan">
      <formula>1</formula>
    </cfRule>
    <cfRule type="cellIs" dxfId="22692" priority="3134" operator="lessThan">
      <formula>0.8</formula>
    </cfRule>
  </conditionalFormatting>
  <conditionalFormatting sqref="AF56 Q56">
    <cfRule type="cellIs" dxfId="22691" priority="3132" operator="lessThan">
      <formula>0</formula>
    </cfRule>
  </conditionalFormatting>
  <conditionalFormatting sqref="R56">
    <cfRule type="cellIs" dxfId="22690" priority="3130" operator="lessThan">
      <formula>0.8</formula>
    </cfRule>
    <cfRule type="cellIs" dxfId="22689" priority="3131" operator="greaterThan">
      <formula>1</formula>
    </cfRule>
  </conditionalFormatting>
  <conditionalFormatting sqref="AG56 R56">
    <cfRule type="cellIs" dxfId="22688" priority="3128" operator="greaterThan">
      <formula>1</formula>
    </cfRule>
    <cfRule type="cellIs" dxfId="22687" priority="3129" operator="lessThan">
      <formula>0.8</formula>
    </cfRule>
  </conditionalFormatting>
  <conditionalFormatting sqref="P56">
    <cfRule type="cellIs" dxfId="22686" priority="3127" operator="greaterThan">
      <formula>0</formula>
    </cfRule>
  </conditionalFormatting>
  <conditionalFormatting sqref="P52:P55">
    <cfRule type="cellIs" dxfId="22685" priority="3121" operator="greaterThan">
      <formula>0</formula>
    </cfRule>
  </conditionalFormatting>
  <conditionalFormatting sqref="Q52:Q55">
    <cfRule type="cellIs" dxfId="22684" priority="3126" operator="lessThan">
      <formula>0</formula>
    </cfRule>
  </conditionalFormatting>
  <conditionalFormatting sqref="R52:R55">
    <cfRule type="cellIs" dxfId="22683" priority="3124" operator="lessThan">
      <formula>0.8</formula>
    </cfRule>
    <cfRule type="cellIs" dxfId="22682" priority="3125" operator="greaterThan">
      <formula>1</formula>
    </cfRule>
  </conditionalFormatting>
  <conditionalFormatting sqref="R52:R55">
    <cfRule type="cellIs" dxfId="22681" priority="3122" operator="greaterThan">
      <formula>1</formula>
    </cfRule>
    <cfRule type="cellIs" dxfId="22680" priority="3123" operator="lessThan">
      <formula>0.8</formula>
    </cfRule>
  </conditionalFormatting>
  <conditionalFormatting sqref="P80:P81">
    <cfRule type="cellIs" dxfId="22679" priority="3115" operator="greaterThan">
      <formula>0</formula>
    </cfRule>
  </conditionalFormatting>
  <conditionalFormatting sqref="AF81 Q80:Q81">
    <cfRule type="cellIs" dxfId="22678" priority="3120" operator="lessThan">
      <formula>0</formula>
    </cfRule>
  </conditionalFormatting>
  <conditionalFormatting sqref="R80:R81">
    <cfRule type="cellIs" dxfId="22677" priority="3118" operator="lessThan">
      <formula>0.8</formula>
    </cfRule>
    <cfRule type="cellIs" dxfId="22676" priority="3119" operator="greaterThan">
      <formula>1</formula>
    </cfRule>
  </conditionalFormatting>
  <conditionalFormatting sqref="AG81 R80:R81">
    <cfRule type="cellIs" dxfId="22675" priority="3116" operator="greaterThan">
      <formula>1</formula>
    </cfRule>
    <cfRule type="cellIs" dxfId="22674" priority="3117" operator="lessThan">
      <formula>0.8</formula>
    </cfRule>
  </conditionalFormatting>
  <conditionalFormatting sqref="AH85">
    <cfRule type="cellIs" dxfId="22673" priority="3114" operator="lessThan">
      <formula>0.8</formula>
    </cfRule>
  </conditionalFormatting>
  <conditionalFormatting sqref="S85">
    <cfRule type="cellIs" dxfId="22672" priority="3113" operator="lessThan">
      <formula>0.8</formula>
    </cfRule>
  </conditionalFormatting>
  <conditionalFormatting sqref="AF106:AF107">
    <cfRule type="cellIs" dxfId="22671" priority="3112" operator="lessThan">
      <formula>0</formula>
    </cfRule>
  </conditionalFormatting>
  <conditionalFormatting sqref="AH100:AH107">
    <cfRule type="cellIs" dxfId="22670" priority="3111" operator="lessThan">
      <formula>0.8</formula>
    </cfRule>
  </conditionalFormatting>
  <conditionalFormatting sqref="AG106:AG107">
    <cfRule type="cellIs" dxfId="22669" priority="3109" operator="greaterThan">
      <formula>1</formula>
    </cfRule>
    <cfRule type="cellIs" dxfId="22668" priority="3110" operator="lessThan">
      <formula>0.8</formula>
    </cfRule>
  </conditionalFormatting>
  <conditionalFormatting sqref="P106:P107">
    <cfRule type="cellIs" dxfId="22667" priority="3103" operator="greaterThan">
      <formula>0</formula>
    </cfRule>
  </conditionalFormatting>
  <conditionalFormatting sqref="Q106:Q107">
    <cfRule type="cellIs" dxfId="22666" priority="3108" operator="lessThan">
      <formula>0</formula>
    </cfRule>
  </conditionalFormatting>
  <conditionalFormatting sqref="R106:R107">
    <cfRule type="cellIs" dxfId="22665" priority="3106" operator="lessThan">
      <formula>0.8</formula>
    </cfRule>
    <cfRule type="cellIs" dxfId="22664" priority="3107" operator="greaterThan">
      <formula>1</formula>
    </cfRule>
  </conditionalFormatting>
  <conditionalFormatting sqref="R106:R107">
    <cfRule type="cellIs" dxfId="22663" priority="3104" operator="greaterThan">
      <formula>1</formula>
    </cfRule>
    <cfRule type="cellIs" dxfId="22662" priority="3105" operator="lessThan">
      <formula>0.8</formula>
    </cfRule>
  </conditionalFormatting>
  <conditionalFormatting sqref="AF109:AF120">
    <cfRule type="cellIs" dxfId="22661" priority="3102" operator="lessThan">
      <formula>0</formula>
    </cfRule>
  </conditionalFormatting>
  <conditionalFormatting sqref="S109">
    <cfRule type="cellIs" dxfId="22660" priority="3101" operator="lessThan">
      <formula>0.8</formula>
    </cfRule>
  </conditionalFormatting>
  <conditionalFormatting sqref="AG109:AG120">
    <cfRule type="cellIs" dxfId="22659" priority="3099" operator="greaterThan">
      <formula>1</formula>
    </cfRule>
    <cfRule type="cellIs" dxfId="22658" priority="3100" operator="lessThan">
      <formula>0.8</formula>
    </cfRule>
  </conditionalFormatting>
  <conditionalFormatting sqref="S150">
    <cfRule type="cellIs" dxfId="22657" priority="3098" operator="lessThan">
      <formula>0.8</formula>
    </cfRule>
  </conditionalFormatting>
  <conditionalFormatting sqref="AH150">
    <cfRule type="cellIs" dxfId="22656" priority="3097" operator="lessThan">
      <formula>0.8</formula>
    </cfRule>
  </conditionalFormatting>
  <conditionalFormatting sqref="S149">
    <cfRule type="cellIs" dxfId="22655" priority="3096" operator="lessThan">
      <formula>0.8</formula>
    </cfRule>
  </conditionalFormatting>
  <conditionalFormatting sqref="Q26:Q29">
    <cfRule type="cellIs" dxfId="22654" priority="3095" operator="lessThan">
      <formula>0</formula>
    </cfRule>
  </conditionalFormatting>
  <conditionalFormatting sqref="S21:S29 AH21:AH29">
    <cfRule type="cellIs" dxfId="22653" priority="3094" operator="lessThan">
      <formula>0.8</formula>
    </cfRule>
  </conditionalFormatting>
  <conditionalFormatting sqref="R26:R29">
    <cfRule type="cellIs" dxfId="22652" priority="3092" operator="lessThan">
      <formula>0.8</formula>
    </cfRule>
    <cfRule type="cellIs" dxfId="22651" priority="3093" operator="greaterThan">
      <formula>1</formula>
    </cfRule>
  </conditionalFormatting>
  <conditionalFormatting sqref="R26:R29">
    <cfRule type="cellIs" dxfId="22650" priority="3090" operator="greaterThan">
      <formula>1</formula>
    </cfRule>
    <cfRule type="cellIs" dxfId="22649" priority="3091" operator="lessThan">
      <formula>0.8</formula>
    </cfRule>
  </conditionalFormatting>
  <conditionalFormatting sqref="P26:P29">
    <cfRule type="cellIs" dxfId="22648" priority="3089" operator="greaterThan">
      <formula>0</formula>
    </cfRule>
  </conditionalFormatting>
  <conditionalFormatting sqref="AH91 S91">
    <cfRule type="cellIs" dxfId="22647" priority="3088" operator="lessThan">
      <formula>0.8</formula>
    </cfRule>
  </conditionalFormatting>
  <conditionalFormatting sqref="P92:P94">
    <cfRule type="cellIs" dxfId="22646" priority="3082" operator="greaterThan">
      <formula>0</formula>
    </cfRule>
  </conditionalFormatting>
  <conditionalFormatting sqref="Q92:Q94">
    <cfRule type="cellIs" dxfId="22645" priority="3087" operator="lessThan">
      <formula>0</formula>
    </cfRule>
  </conditionalFormatting>
  <conditionalFormatting sqref="R92:R94">
    <cfRule type="cellIs" dxfId="22644" priority="3085" operator="lessThan">
      <formula>0.8</formula>
    </cfRule>
    <cfRule type="cellIs" dxfId="22643" priority="3086" operator="greaterThan">
      <formula>1</formula>
    </cfRule>
  </conditionalFormatting>
  <conditionalFormatting sqref="R92:R94">
    <cfRule type="cellIs" dxfId="22642" priority="3083" operator="greaterThan">
      <formula>1</formula>
    </cfRule>
    <cfRule type="cellIs" dxfId="22641" priority="3084" operator="lessThan">
      <formula>0.8</formula>
    </cfRule>
  </conditionalFormatting>
  <conditionalFormatting sqref="AF146 Q145:Q146">
    <cfRule type="cellIs" dxfId="22640" priority="3081" operator="lessThan">
      <formula>0</formula>
    </cfRule>
  </conditionalFormatting>
  <conditionalFormatting sqref="AH139:AH146 S139:S146">
    <cfRule type="cellIs" dxfId="22639" priority="3080" operator="lessThan">
      <formula>0.8</formula>
    </cfRule>
  </conditionalFormatting>
  <conditionalFormatting sqref="R145:R146">
    <cfRule type="cellIs" dxfId="22638" priority="3078" operator="lessThan">
      <formula>0.8</formula>
    </cfRule>
    <cfRule type="cellIs" dxfId="22637" priority="3079" operator="greaterThan">
      <formula>1</formula>
    </cfRule>
  </conditionalFormatting>
  <conditionalFormatting sqref="AG146 R145:R146">
    <cfRule type="cellIs" dxfId="22636" priority="3076" operator="greaterThan">
      <formula>1</formula>
    </cfRule>
    <cfRule type="cellIs" dxfId="22635" priority="3077" operator="lessThan">
      <formula>0.8</formula>
    </cfRule>
  </conditionalFormatting>
  <conditionalFormatting sqref="P145:P146">
    <cfRule type="cellIs" dxfId="22634" priority="3075" operator="greaterThan">
      <formula>0</formula>
    </cfRule>
  </conditionalFormatting>
  <conditionalFormatting sqref="Q119:Q120">
    <cfRule type="cellIs" dxfId="22633" priority="3074" operator="lessThan">
      <formula>0</formula>
    </cfRule>
  </conditionalFormatting>
  <conditionalFormatting sqref="R119:R120">
    <cfRule type="cellIs" dxfId="22632" priority="3072" operator="lessThan">
      <formula>0.8</formula>
    </cfRule>
    <cfRule type="cellIs" dxfId="22631" priority="3073" operator="greaterThan">
      <formula>1</formula>
    </cfRule>
  </conditionalFormatting>
  <conditionalFormatting sqref="R119:R120">
    <cfRule type="cellIs" dxfId="22630" priority="3070" operator="greaterThan">
      <formula>1</formula>
    </cfRule>
    <cfRule type="cellIs" dxfId="22629" priority="3071" operator="lessThan">
      <formula>0.8</formula>
    </cfRule>
  </conditionalFormatting>
  <conditionalFormatting sqref="P119:P120">
    <cfRule type="cellIs" dxfId="22628" priority="3069" operator="greaterThan">
      <formula>0</formula>
    </cfRule>
  </conditionalFormatting>
  <conditionalFormatting sqref="S44:S56">
    <cfRule type="cellIs" dxfId="22627" priority="3068" operator="lessThan">
      <formula>0.8</formula>
    </cfRule>
  </conditionalFormatting>
  <conditionalFormatting sqref="S108">
    <cfRule type="cellIs" dxfId="22626" priority="3067" operator="lessThan">
      <formula>0.8</formula>
    </cfRule>
  </conditionalFormatting>
  <conditionalFormatting sqref="S96">
    <cfRule type="cellIs" dxfId="22625" priority="3066" operator="lessThan">
      <formula>0.8</formula>
    </cfRule>
  </conditionalFormatting>
  <conditionalFormatting sqref="S97">
    <cfRule type="cellIs" dxfId="22624" priority="3065" operator="lessThan">
      <formula>0.8</formula>
    </cfRule>
  </conditionalFormatting>
  <conditionalFormatting sqref="S103">
    <cfRule type="cellIs" dxfId="22623" priority="3064" operator="lessThan">
      <formula>0.8</formula>
    </cfRule>
  </conditionalFormatting>
  <conditionalFormatting sqref="S99">
    <cfRule type="cellIs" dxfId="22622" priority="3063" operator="lessThan">
      <formula>0.8</formula>
    </cfRule>
  </conditionalFormatting>
  <conditionalFormatting sqref="S101">
    <cfRule type="cellIs" dxfId="22621" priority="3060" operator="lessThan">
      <formula>0.8</formula>
    </cfRule>
  </conditionalFormatting>
  <conditionalFormatting sqref="S100">
    <cfRule type="cellIs" dxfId="22620" priority="3062" operator="lessThan">
      <formula>0.8</formula>
    </cfRule>
  </conditionalFormatting>
  <conditionalFormatting sqref="S102">
    <cfRule type="cellIs" dxfId="22619" priority="3061" operator="lessThan">
      <formula>0.8</formula>
    </cfRule>
  </conditionalFormatting>
  <conditionalFormatting sqref="S98">
    <cfRule type="cellIs" dxfId="22618" priority="3059" operator="lessThan">
      <formula>0.8</formula>
    </cfRule>
  </conditionalFormatting>
  <conditionalFormatting sqref="S104">
    <cfRule type="cellIs" dxfId="22617" priority="3058" operator="lessThan">
      <formula>0.8</formula>
    </cfRule>
  </conditionalFormatting>
  <conditionalFormatting sqref="P118">
    <cfRule type="cellIs" dxfId="22616" priority="3052" operator="greaterThan">
      <formula>0</formula>
    </cfRule>
  </conditionalFormatting>
  <conditionalFormatting sqref="Q118">
    <cfRule type="cellIs" dxfId="22615" priority="3057" operator="lessThan">
      <formula>0</formula>
    </cfRule>
  </conditionalFormatting>
  <conditionalFormatting sqref="R118">
    <cfRule type="cellIs" dxfId="22614" priority="3055" operator="lessThan">
      <formula>0.8</formula>
    </cfRule>
    <cfRule type="cellIs" dxfId="22613" priority="3056" operator="greaterThan">
      <formula>1</formula>
    </cfRule>
  </conditionalFormatting>
  <conditionalFormatting sqref="R118">
    <cfRule type="cellIs" dxfId="22612" priority="3053" operator="greaterThan">
      <formula>1</formula>
    </cfRule>
    <cfRule type="cellIs" dxfId="22611" priority="3054" operator="lessThan">
      <formula>0.8</formula>
    </cfRule>
  </conditionalFormatting>
  <conditionalFormatting sqref="Q162:Q166">
    <cfRule type="cellIs" dxfId="22610" priority="3051" operator="lessThan">
      <formula>0</formula>
    </cfRule>
  </conditionalFormatting>
  <conditionalFormatting sqref="R162:R166">
    <cfRule type="cellIs" dxfId="22609" priority="3049" operator="lessThan">
      <formula>0.8</formula>
    </cfRule>
    <cfRule type="cellIs" dxfId="22608" priority="3050" operator="greaterThan">
      <formula>1</formula>
    </cfRule>
  </conditionalFormatting>
  <conditionalFormatting sqref="R162:R166">
    <cfRule type="cellIs" dxfId="22607" priority="3047" operator="greaterThan">
      <formula>1</formula>
    </cfRule>
    <cfRule type="cellIs" dxfId="22606" priority="3048" operator="lessThan">
      <formula>0.8</formula>
    </cfRule>
  </conditionalFormatting>
  <conditionalFormatting sqref="P162:P166">
    <cfRule type="cellIs" dxfId="22605" priority="3046" operator="greaterThan">
      <formula>0</formula>
    </cfRule>
  </conditionalFormatting>
  <conditionalFormatting sqref="P167:P168">
    <cfRule type="cellIs" dxfId="22604" priority="3040" operator="greaterThan">
      <formula>0</formula>
    </cfRule>
  </conditionalFormatting>
  <conditionalFormatting sqref="R167:R168">
    <cfRule type="cellIs" dxfId="22603" priority="3043" operator="lessThan">
      <formula>0.8</formula>
    </cfRule>
    <cfRule type="cellIs" dxfId="22602" priority="3044" operator="greaterThan">
      <formula>1</formula>
    </cfRule>
  </conditionalFormatting>
  <conditionalFormatting sqref="R167:R168">
    <cfRule type="cellIs" dxfId="22601" priority="3041" operator="greaterThan">
      <formula>1</formula>
    </cfRule>
    <cfRule type="cellIs" dxfId="22600" priority="3042" operator="lessThan">
      <formula>0.8</formula>
    </cfRule>
  </conditionalFormatting>
  <conditionalFormatting sqref="Q167:Q168">
    <cfRule type="cellIs" dxfId="22599" priority="3045" operator="lessThan">
      <formula>0</formula>
    </cfRule>
  </conditionalFormatting>
  <conditionalFormatting sqref="Q83">
    <cfRule type="cellIs" dxfId="22598" priority="3039" operator="lessThan">
      <formula>0</formula>
    </cfRule>
  </conditionalFormatting>
  <conditionalFormatting sqref="R83">
    <cfRule type="cellIs" dxfId="22597" priority="3037" operator="lessThan">
      <formula>0.8</formula>
    </cfRule>
    <cfRule type="cellIs" dxfId="22596" priority="3038" operator="greaterThan">
      <formula>1</formula>
    </cfRule>
  </conditionalFormatting>
  <conditionalFormatting sqref="R83">
    <cfRule type="cellIs" dxfId="22595" priority="3035" operator="greaterThan">
      <formula>1</formula>
    </cfRule>
    <cfRule type="cellIs" dxfId="22594" priority="3036" operator="lessThan">
      <formula>0.8</formula>
    </cfRule>
  </conditionalFormatting>
  <conditionalFormatting sqref="P83">
    <cfRule type="cellIs" dxfId="22593" priority="3034" operator="greaterThan">
      <formula>0</formula>
    </cfRule>
  </conditionalFormatting>
  <conditionalFormatting sqref="Q83">
    <cfRule type="cellIs" dxfId="22592" priority="3033" operator="lessThan">
      <formula>0</formula>
    </cfRule>
  </conditionalFormatting>
  <conditionalFormatting sqref="R83">
    <cfRule type="cellIs" dxfId="22591" priority="3031" operator="lessThan">
      <formula>0.8</formula>
    </cfRule>
    <cfRule type="cellIs" dxfId="22590" priority="3032" operator="greaterThan">
      <formula>1</formula>
    </cfRule>
  </conditionalFormatting>
  <conditionalFormatting sqref="R83">
    <cfRule type="cellIs" dxfId="22589" priority="3029" operator="greaterThan">
      <formula>1</formula>
    </cfRule>
    <cfRule type="cellIs" dxfId="22588" priority="3030" operator="lessThan">
      <formula>0.8</formula>
    </cfRule>
  </conditionalFormatting>
  <conditionalFormatting sqref="P83">
    <cfRule type="cellIs" dxfId="22587" priority="3028" operator="greaterThan">
      <formula>0</formula>
    </cfRule>
  </conditionalFormatting>
  <conditionalFormatting sqref="Q83">
    <cfRule type="cellIs" dxfId="22586" priority="3027" operator="lessThan">
      <formula>0</formula>
    </cfRule>
  </conditionalFormatting>
  <conditionalFormatting sqref="R83">
    <cfRule type="cellIs" dxfId="22585" priority="3025" operator="lessThan">
      <formula>0.8</formula>
    </cfRule>
    <cfRule type="cellIs" dxfId="22584" priority="3026" operator="greaterThan">
      <formula>1</formula>
    </cfRule>
  </conditionalFormatting>
  <conditionalFormatting sqref="R83">
    <cfRule type="cellIs" dxfId="22583" priority="3023" operator="greaterThan">
      <formula>1</formula>
    </cfRule>
    <cfRule type="cellIs" dxfId="22582" priority="3024" operator="lessThan">
      <formula>0.8</formula>
    </cfRule>
  </conditionalFormatting>
  <conditionalFormatting sqref="P83">
    <cfRule type="cellIs" dxfId="22581" priority="3022" operator="greaterThan">
      <formula>0</formula>
    </cfRule>
  </conditionalFormatting>
  <conditionalFormatting sqref="Q83">
    <cfRule type="cellIs" dxfId="22580" priority="3021" operator="lessThan">
      <formula>0</formula>
    </cfRule>
  </conditionalFormatting>
  <conditionalFormatting sqref="R83">
    <cfRule type="cellIs" dxfId="22579" priority="3019" operator="lessThan">
      <formula>0.8</formula>
    </cfRule>
    <cfRule type="cellIs" dxfId="22578" priority="3020" operator="greaterThan">
      <formula>1</formula>
    </cfRule>
  </conditionalFormatting>
  <conditionalFormatting sqref="R83">
    <cfRule type="cellIs" dxfId="22577" priority="3017" operator="greaterThan">
      <formula>1</formula>
    </cfRule>
    <cfRule type="cellIs" dxfId="22576" priority="3018" operator="lessThan">
      <formula>0.8</formula>
    </cfRule>
  </conditionalFormatting>
  <conditionalFormatting sqref="P83">
    <cfRule type="cellIs" dxfId="22575" priority="3016" operator="greaterThan">
      <formula>0</formula>
    </cfRule>
  </conditionalFormatting>
  <conditionalFormatting sqref="P83">
    <cfRule type="cellIs" dxfId="22574" priority="3010" operator="greaterThan">
      <formula>0</formula>
    </cfRule>
  </conditionalFormatting>
  <conditionalFormatting sqref="Q83">
    <cfRule type="cellIs" dxfId="22573" priority="3015" operator="lessThan">
      <formula>0</formula>
    </cfRule>
  </conditionalFormatting>
  <conditionalFormatting sqref="R83">
    <cfRule type="cellIs" dxfId="22572" priority="3013" operator="lessThan">
      <formula>0.8</formula>
    </cfRule>
    <cfRule type="cellIs" dxfId="22571" priority="3014" operator="greaterThan">
      <formula>1</formula>
    </cfRule>
  </conditionalFormatting>
  <conditionalFormatting sqref="R83">
    <cfRule type="cellIs" dxfId="22570" priority="3011" operator="greaterThan">
      <formula>1</formula>
    </cfRule>
    <cfRule type="cellIs" dxfId="22569" priority="3012" operator="lessThan">
      <formula>0.8</formula>
    </cfRule>
  </conditionalFormatting>
  <conditionalFormatting sqref="P83">
    <cfRule type="cellIs" dxfId="22568" priority="3004" operator="greaterThan">
      <formula>0</formula>
    </cfRule>
  </conditionalFormatting>
  <conditionalFormatting sqref="Q83">
    <cfRule type="cellIs" dxfId="22567" priority="3009" operator="lessThan">
      <formula>0</formula>
    </cfRule>
  </conditionalFormatting>
  <conditionalFormatting sqref="R83">
    <cfRule type="cellIs" dxfId="22566" priority="3007" operator="lessThan">
      <formula>0.8</formula>
    </cfRule>
    <cfRule type="cellIs" dxfId="22565" priority="3008" operator="greaterThan">
      <formula>1</formula>
    </cfRule>
  </conditionalFormatting>
  <conditionalFormatting sqref="R83">
    <cfRule type="cellIs" dxfId="22564" priority="3005" operator="greaterThan">
      <formula>1</formula>
    </cfRule>
    <cfRule type="cellIs" dxfId="22563" priority="3006" operator="lessThan">
      <formula>0.8</formula>
    </cfRule>
  </conditionalFormatting>
  <conditionalFormatting sqref="R83">
    <cfRule type="cellIs" dxfId="22562" priority="3001" operator="lessThan">
      <formula>0.8</formula>
    </cfRule>
    <cfRule type="cellIs" dxfId="22561" priority="3002" operator="greaterThan">
      <formula>1</formula>
    </cfRule>
  </conditionalFormatting>
  <conditionalFormatting sqref="R83">
    <cfRule type="cellIs" dxfId="22560" priority="2999" operator="greaterThan">
      <formula>1</formula>
    </cfRule>
    <cfRule type="cellIs" dxfId="22559" priority="3000" operator="lessThan">
      <formula>0.8</formula>
    </cfRule>
  </conditionalFormatting>
  <conditionalFormatting sqref="P83">
    <cfRule type="cellIs" dxfId="22558" priority="2998" operator="greaterThan">
      <formula>0</formula>
    </cfRule>
  </conditionalFormatting>
  <conditionalFormatting sqref="Q83">
    <cfRule type="cellIs" dxfId="22557" priority="3003" operator="lessThan">
      <formula>0</formula>
    </cfRule>
  </conditionalFormatting>
  <conditionalFormatting sqref="Q83">
    <cfRule type="cellIs" dxfId="22556" priority="2997" operator="lessThan">
      <formula>0</formula>
    </cfRule>
  </conditionalFormatting>
  <conditionalFormatting sqref="R83">
    <cfRule type="cellIs" dxfId="22555" priority="2995" operator="lessThan">
      <formula>0.8</formula>
    </cfRule>
    <cfRule type="cellIs" dxfId="22554" priority="2996" operator="greaterThan">
      <formula>1</formula>
    </cfRule>
  </conditionalFormatting>
  <conditionalFormatting sqref="R83">
    <cfRule type="cellIs" dxfId="22553" priority="2993" operator="greaterThan">
      <formula>1</formula>
    </cfRule>
    <cfRule type="cellIs" dxfId="22552" priority="2994" operator="lessThan">
      <formula>0.8</formula>
    </cfRule>
  </conditionalFormatting>
  <conditionalFormatting sqref="P83">
    <cfRule type="cellIs" dxfId="22551" priority="2992" operator="greaterThan">
      <formula>0</formula>
    </cfRule>
  </conditionalFormatting>
  <conditionalFormatting sqref="P83">
    <cfRule type="cellIs" dxfId="22550" priority="2986" operator="greaterThan">
      <formula>0</formula>
    </cfRule>
  </conditionalFormatting>
  <conditionalFormatting sqref="Q83">
    <cfRule type="cellIs" dxfId="22549" priority="2991" operator="lessThan">
      <formula>0</formula>
    </cfRule>
  </conditionalFormatting>
  <conditionalFormatting sqref="R83">
    <cfRule type="cellIs" dxfId="22548" priority="2989" operator="lessThan">
      <formula>0.8</formula>
    </cfRule>
    <cfRule type="cellIs" dxfId="22547" priority="2990" operator="greaterThan">
      <formula>1</formula>
    </cfRule>
  </conditionalFormatting>
  <conditionalFormatting sqref="R83">
    <cfRule type="cellIs" dxfId="22546" priority="2987" operator="greaterThan">
      <formula>1</formula>
    </cfRule>
    <cfRule type="cellIs" dxfId="22545" priority="2988" operator="lessThan">
      <formula>0.8</formula>
    </cfRule>
  </conditionalFormatting>
  <conditionalFormatting sqref="P83">
    <cfRule type="cellIs" dxfId="22544" priority="2980" operator="greaterThan">
      <formula>0</formula>
    </cfRule>
  </conditionalFormatting>
  <conditionalFormatting sqref="Q83">
    <cfRule type="cellIs" dxfId="22543" priority="2985" operator="lessThan">
      <formula>0</formula>
    </cfRule>
  </conditionalFormatting>
  <conditionalFormatting sqref="R83">
    <cfRule type="cellIs" dxfId="22542" priority="2983" operator="lessThan">
      <formula>0.8</formula>
    </cfRule>
    <cfRule type="cellIs" dxfId="22541" priority="2984" operator="greaterThan">
      <formula>1</formula>
    </cfRule>
  </conditionalFormatting>
  <conditionalFormatting sqref="R83">
    <cfRule type="cellIs" dxfId="22540" priority="2981" operator="greaterThan">
      <formula>1</formula>
    </cfRule>
    <cfRule type="cellIs" dxfId="22539" priority="2982" operator="lessThan">
      <formula>0.8</formula>
    </cfRule>
  </conditionalFormatting>
  <conditionalFormatting sqref="R83">
    <cfRule type="cellIs" dxfId="22538" priority="2977" operator="lessThan">
      <formula>0.8</formula>
    </cfRule>
    <cfRule type="cellIs" dxfId="22537" priority="2978" operator="greaterThan">
      <formula>1</formula>
    </cfRule>
  </conditionalFormatting>
  <conditionalFormatting sqref="R83">
    <cfRule type="cellIs" dxfId="22536" priority="2975" operator="greaterThan">
      <formula>1</formula>
    </cfRule>
    <cfRule type="cellIs" dxfId="22535" priority="2976" operator="lessThan">
      <formula>0.8</formula>
    </cfRule>
  </conditionalFormatting>
  <conditionalFormatting sqref="P83">
    <cfRule type="cellIs" dxfId="22534" priority="2974" operator="greaterThan">
      <formula>0</formula>
    </cfRule>
  </conditionalFormatting>
  <conditionalFormatting sqref="Q83">
    <cfRule type="cellIs" dxfId="22533" priority="2979" operator="lessThan">
      <formula>0</formula>
    </cfRule>
  </conditionalFormatting>
  <conditionalFormatting sqref="P83">
    <cfRule type="cellIs" dxfId="22532" priority="2968" operator="greaterThan">
      <formula>0</formula>
    </cfRule>
  </conditionalFormatting>
  <conditionalFormatting sqref="Q83">
    <cfRule type="cellIs" dxfId="22531" priority="2973" operator="lessThan">
      <formula>0</formula>
    </cfRule>
  </conditionalFormatting>
  <conditionalFormatting sqref="R83">
    <cfRule type="cellIs" dxfId="22530" priority="2971" operator="lessThan">
      <formula>0.8</formula>
    </cfRule>
    <cfRule type="cellIs" dxfId="22529" priority="2972" operator="greaterThan">
      <formula>1</formula>
    </cfRule>
  </conditionalFormatting>
  <conditionalFormatting sqref="R83">
    <cfRule type="cellIs" dxfId="22528" priority="2969" operator="greaterThan">
      <formula>1</formula>
    </cfRule>
    <cfRule type="cellIs" dxfId="22527" priority="2970" operator="lessThan">
      <formula>0.8</formula>
    </cfRule>
  </conditionalFormatting>
  <conditionalFormatting sqref="R83">
    <cfRule type="cellIs" dxfId="22526" priority="2965" operator="lessThan">
      <formula>0.8</formula>
    </cfRule>
    <cfRule type="cellIs" dxfId="22525" priority="2966" operator="greaterThan">
      <formula>1</formula>
    </cfRule>
  </conditionalFormatting>
  <conditionalFormatting sqref="R83">
    <cfRule type="cellIs" dxfId="22524" priority="2963" operator="greaterThan">
      <formula>1</formula>
    </cfRule>
    <cfRule type="cellIs" dxfId="22523" priority="2964" operator="lessThan">
      <formula>0.8</formula>
    </cfRule>
  </conditionalFormatting>
  <conditionalFormatting sqref="P83">
    <cfRule type="cellIs" dxfId="22522" priority="2962" operator="greaterThan">
      <formula>0</formula>
    </cfRule>
  </conditionalFormatting>
  <conditionalFormatting sqref="Q83">
    <cfRule type="cellIs" dxfId="22521" priority="2967" operator="lessThan">
      <formula>0</formula>
    </cfRule>
  </conditionalFormatting>
  <conditionalFormatting sqref="R83">
    <cfRule type="cellIs" dxfId="22520" priority="2959" operator="lessThan">
      <formula>0.8</formula>
    </cfRule>
    <cfRule type="cellIs" dxfId="22519" priority="2960" operator="greaterThan">
      <formula>1</formula>
    </cfRule>
  </conditionalFormatting>
  <conditionalFormatting sqref="R83">
    <cfRule type="cellIs" dxfId="22518" priority="2957" operator="greaterThan">
      <formula>1</formula>
    </cfRule>
    <cfRule type="cellIs" dxfId="22517" priority="2958" operator="lessThan">
      <formula>0.8</formula>
    </cfRule>
  </conditionalFormatting>
  <conditionalFormatting sqref="P83">
    <cfRule type="cellIs" dxfId="22516" priority="2956" operator="greaterThan">
      <formula>0</formula>
    </cfRule>
  </conditionalFormatting>
  <conditionalFormatting sqref="Q83">
    <cfRule type="cellIs" dxfId="22515" priority="2961" operator="lessThan">
      <formula>0</formula>
    </cfRule>
  </conditionalFormatting>
  <conditionalFormatting sqref="Q83">
    <cfRule type="cellIs" dxfId="22514" priority="2955" operator="lessThan">
      <formula>0</formula>
    </cfRule>
  </conditionalFormatting>
  <conditionalFormatting sqref="R83">
    <cfRule type="cellIs" dxfId="22513" priority="2953" operator="lessThan">
      <formula>0.8</formula>
    </cfRule>
    <cfRule type="cellIs" dxfId="22512" priority="2954" operator="greaterThan">
      <formula>1</formula>
    </cfRule>
  </conditionalFormatting>
  <conditionalFormatting sqref="R83">
    <cfRule type="cellIs" dxfId="22511" priority="2951" operator="greaterThan">
      <formula>1</formula>
    </cfRule>
    <cfRule type="cellIs" dxfId="22510" priority="2952" operator="lessThan">
      <formula>0.8</formula>
    </cfRule>
  </conditionalFormatting>
  <conditionalFormatting sqref="P83">
    <cfRule type="cellIs" dxfId="22509" priority="2950" operator="greaterThan">
      <formula>0</formula>
    </cfRule>
  </conditionalFormatting>
  <conditionalFormatting sqref="Q83">
    <cfRule type="cellIs" dxfId="22508" priority="2944" operator="lessThan">
      <formula>0</formula>
    </cfRule>
  </conditionalFormatting>
  <conditionalFormatting sqref="R83">
    <cfRule type="cellIs" dxfId="22507" priority="2948" operator="lessThan">
      <formula>0.8</formula>
    </cfRule>
    <cfRule type="cellIs" dxfId="22506" priority="2949" operator="greaterThan">
      <formula>1</formula>
    </cfRule>
  </conditionalFormatting>
  <conditionalFormatting sqref="R83">
    <cfRule type="cellIs" dxfId="22505" priority="2946" operator="greaterThan">
      <formula>1</formula>
    </cfRule>
    <cfRule type="cellIs" dxfId="22504" priority="2947" operator="lessThan">
      <formula>0.8</formula>
    </cfRule>
  </conditionalFormatting>
  <conditionalFormatting sqref="P83">
    <cfRule type="cellIs" dxfId="22503" priority="2945" operator="greaterThan">
      <formula>0</formula>
    </cfRule>
  </conditionalFormatting>
  <conditionalFormatting sqref="Q83">
    <cfRule type="cellIs" dxfId="22502" priority="2943" operator="lessThan">
      <formula>0</formula>
    </cfRule>
  </conditionalFormatting>
  <conditionalFormatting sqref="R83">
    <cfRule type="cellIs" dxfId="22501" priority="2941" operator="lessThan">
      <formula>0.8</formula>
    </cfRule>
    <cfRule type="cellIs" dxfId="22500" priority="2942" operator="greaterThan">
      <formula>1</formula>
    </cfRule>
  </conditionalFormatting>
  <conditionalFormatting sqref="R83">
    <cfRule type="cellIs" dxfId="22499" priority="2939" operator="greaterThan">
      <formula>1</formula>
    </cfRule>
    <cfRule type="cellIs" dxfId="22498" priority="2940" operator="lessThan">
      <formula>0.8</formula>
    </cfRule>
  </conditionalFormatting>
  <conditionalFormatting sqref="P83">
    <cfRule type="cellIs" dxfId="22497" priority="2938" operator="greaterThan">
      <formula>0</formula>
    </cfRule>
  </conditionalFormatting>
  <conditionalFormatting sqref="Q83">
    <cfRule type="cellIs" dxfId="22496" priority="2937" operator="lessThan">
      <formula>0</formula>
    </cfRule>
  </conditionalFormatting>
  <conditionalFormatting sqref="R83">
    <cfRule type="cellIs" dxfId="22495" priority="2935" operator="lessThan">
      <formula>0.8</formula>
    </cfRule>
    <cfRule type="cellIs" dxfId="22494" priority="2936" operator="greaterThan">
      <formula>1</formula>
    </cfRule>
  </conditionalFormatting>
  <conditionalFormatting sqref="R83">
    <cfRule type="cellIs" dxfId="22493" priority="2933" operator="greaterThan">
      <formula>1</formula>
    </cfRule>
    <cfRule type="cellIs" dxfId="22492" priority="2934" operator="lessThan">
      <formula>0.8</formula>
    </cfRule>
  </conditionalFormatting>
  <conditionalFormatting sqref="P83">
    <cfRule type="cellIs" dxfId="22491" priority="2932" operator="greaterThan">
      <formula>0</formula>
    </cfRule>
  </conditionalFormatting>
  <conditionalFormatting sqref="Q83">
    <cfRule type="cellIs" dxfId="22490" priority="2931" operator="lessThan">
      <formula>0</formula>
    </cfRule>
  </conditionalFormatting>
  <conditionalFormatting sqref="R83">
    <cfRule type="cellIs" dxfId="22489" priority="2929" operator="lessThan">
      <formula>0.8</formula>
    </cfRule>
    <cfRule type="cellIs" dxfId="22488" priority="2930" operator="greaterThan">
      <formula>1</formula>
    </cfRule>
  </conditionalFormatting>
  <conditionalFormatting sqref="R83">
    <cfRule type="cellIs" dxfId="22487" priority="2927" operator="greaterThan">
      <formula>1</formula>
    </cfRule>
    <cfRule type="cellIs" dxfId="22486" priority="2928" operator="lessThan">
      <formula>0.8</formula>
    </cfRule>
  </conditionalFormatting>
  <conditionalFormatting sqref="P83">
    <cfRule type="cellIs" dxfId="22485" priority="2926" operator="greaterThan">
      <formula>0</formula>
    </cfRule>
  </conditionalFormatting>
  <conditionalFormatting sqref="Q83">
    <cfRule type="cellIs" dxfId="22484" priority="2925" operator="lessThan">
      <formula>0</formula>
    </cfRule>
  </conditionalFormatting>
  <conditionalFormatting sqref="R83">
    <cfRule type="cellIs" dxfId="22483" priority="2923" operator="lessThan">
      <formula>0.8</formula>
    </cfRule>
    <cfRule type="cellIs" dxfId="22482" priority="2924" operator="greaterThan">
      <formula>1</formula>
    </cfRule>
  </conditionalFormatting>
  <conditionalFormatting sqref="R83">
    <cfRule type="cellIs" dxfId="22481" priority="2921" operator="greaterThan">
      <formula>1</formula>
    </cfRule>
    <cfRule type="cellIs" dxfId="22480" priority="2922" operator="lessThan">
      <formula>0.8</formula>
    </cfRule>
  </conditionalFormatting>
  <conditionalFormatting sqref="P83">
    <cfRule type="cellIs" dxfId="22479" priority="2920" operator="greaterThan">
      <formula>0</formula>
    </cfRule>
  </conditionalFormatting>
  <conditionalFormatting sqref="Q83">
    <cfRule type="cellIs" dxfId="22478" priority="2919" operator="lessThan">
      <formula>0</formula>
    </cfRule>
  </conditionalFormatting>
  <conditionalFormatting sqref="R83">
    <cfRule type="cellIs" dxfId="22477" priority="2917" operator="lessThan">
      <formula>0.8</formula>
    </cfRule>
    <cfRule type="cellIs" dxfId="22476" priority="2918" operator="greaterThan">
      <formula>1</formula>
    </cfRule>
  </conditionalFormatting>
  <conditionalFormatting sqref="R83">
    <cfRule type="cellIs" dxfId="22475" priority="2915" operator="greaterThan">
      <formula>1</formula>
    </cfRule>
    <cfRule type="cellIs" dxfId="22474" priority="2916" operator="lessThan">
      <formula>0.8</formula>
    </cfRule>
  </conditionalFormatting>
  <conditionalFormatting sqref="P83">
    <cfRule type="cellIs" dxfId="22473" priority="2914" operator="greaterThan">
      <formula>0</formula>
    </cfRule>
  </conditionalFormatting>
  <conditionalFormatting sqref="P83">
    <cfRule type="cellIs" dxfId="22472" priority="2908" operator="greaterThan">
      <formula>0</formula>
    </cfRule>
  </conditionalFormatting>
  <conditionalFormatting sqref="Q83">
    <cfRule type="cellIs" dxfId="22471" priority="2913" operator="lessThan">
      <formula>0</formula>
    </cfRule>
  </conditionalFormatting>
  <conditionalFormatting sqref="R83">
    <cfRule type="cellIs" dxfId="22470" priority="2911" operator="lessThan">
      <formula>0.8</formula>
    </cfRule>
    <cfRule type="cellIs" dxfId="22469" priority="2912" operator="greaterThan">
      <formula>1</formula>
    </cfRule>
  </conditionalFormatting>
  <conditionalFormatting sqref="R83">
    <cfRule type="cellIs" dxfId="22468" priority="2909" operator="greaterThan">
      <formula>1</formula>
    </cfRule>
    <cfRule type="cellIs" dxfId="22467" priority="2910" operator="lessThan">
      <formula>0.8</formula>
    </cfRule>
  </conditionalFormatting>
  <conditionalFormatting sqref="P83">
    <cfRule type="cellIs" dxfId="22466" priority="2902" operator="greaterThan">
      <formula>0</formula>
    </cfRule>
  </conditionalFormatting>
  <conditionalFormatting sqref="Q83">
    <cfRule type="cellIs" dxfId="22465" priority="2907" operator="lessThan">
      <formula>0</formula>
    </cfRule>
  </conditionalFormatting>
  <conditionalFormatting sqref="R83">
    <cfRule type="cellIs" dxfId="22464" priority="2905" operator="lessThan">
      <formula>0.8</formula>
    </cfRule>
    <cfRule type="cellIs" dxfId="22463" priority="2906" operator="greaterThan">
      <formula>1</formula>
    </cfRule>
  </conditionalFormatting>
  <conditionalFormatting sqref="R83">
    <cfRule type="cellIs" dxfId="22462" priority="2903" operator="greaterThan">
      <formula>1</formula>
    </cfRule>
    <cfRule type="cellIs" dxfId="22461" priority="2904" operator="lessThan">
      <formula>0.8</formula>
    </cfRule>
  </conditionalFormatting>
  <conditionalFormatting sqref="R83">
    <cfRule type="cellIs" dxfId="22460" priority="2899" operator="lessThan">
      <formula>0.8</formula>
    </cfRule>
    <cfRule type="cellIs" dxfId="22459" priority="2900" operator="greaterThan">
      <formula>1</formula>
    </cfRule>
  </conditionalFormatting>
  <conditionalFormatting sqref="R83">
    <cfRule type="cellIs" dxfId="22458" priority="2897" operator="greaterThan">
      <formula>1</formula>
    </cfRule>
    <cfRule type="cellIs" dxfId="22457" priority="2898" operator="lessThan">
      <formula>0.8</formula>
    </cfRule>
  </conditionalFormatting>
  <conditionalFormatting sqref="P83">
    <cfRule type="cellIs" dxfId="22456" priority="2896" operator="greaterThan">
      <formula>0</formula>
    </cfRule>
  </conditionalFormatting>
  <conditionalFormatting sqref="Q83">
    <cfRule type="cellIs" dxfId="22455" priority="2901" operator="lessThan">
      <formula>0</formula>
    </cfRule>
  </conditionalFormatting>
  <conditionalFormatting sqref="Q83">
    <cfRule type="cellIs" dxfId="22454" priority="2895" operator="lessThan">
      <formula>0</formula>
    </cfRule>
  </conditionalFormatting>
  <conditionalFormatting sqref="R83">
    <cfRule type="cellIs" dxfId="22453" priority="2893" operator="lessThan">
      <formula>0.8</formula>
    </cfRule>
    <cfRule type="cellIs" dxfId="22452" priority="2894" operator="greaterThan">
      <formula>1</formula>
    </cfRule>
  </conditionalFormatting>
  <conditionalFormatting sqref="R83">
    <cfRule type="cellIs" dxfId="22451" priority="2891" operator="greaterThan">
      <formula>1</formula>
    </cfRule>
    <cfRule type="cellIs" dxfId="22450" priority="2892" operator="lessThan">
      <formula>0.8</formula>
    </cfRule>
  </conditionalFormatting>
  <conditionalFormatting sqref="P83">
    <cfRule type="cellIs" dxfId="22449" priority="2890" operator="greaterThan">
      <formula>0</formula>
    </cfRule>
  </conditionalFormatting>
  <conditionalFormatting sqref="Q83">
    <cfRule type="cellIs" dxfId="22448" priority="2889" operator="lessThan">
      <formula>0</formula>
    </cfRule>
  </conditionalFormatting>
  <conditionalFormatting sqref="R83">
    <cfRule type="cellIs" dxfId="22447" priority="2887" operator="lessThan">
      <formula>0.8</formula>
    </cfRule>
    <cfRule type="cellIs" dxfId="22446" priority="2888" operator="greaterThan">
      <formula>1</formula>
    </cfRule>
  </conditionalFormatting>
  <conditionalFormatting sqref="R83">
    <cfRule type="cellIs" dxfId="22445" priority="2885" operator="greaterThan">
      <formula>1</formula>
    </cfRule>
    <cfRule type="cellIs" dxfId="22444" priority="2886" operator="lessThan">
      <formula>0.8</formula>
    </cfRule>
  </conditionalFormatting>
  <conditionalFormatting sqref="P83">
    <cfRule type="cellIs" dxfId="22443" priority="2884" operator="greaterThan">
      <formula>0</formula>
    </cfRule>
  </conditionalFormatting>
  <conditionalFormatting sqref="Q83">
    <cfRule type="cellIs" dxfId="22442" priority="2883" operator="lessThan">
      <formula>0</formula>
    </cfRule>
  </conditionalFormatting>
  <conditionalFormatting sqref="R83">
    <cfRule type="cellIs" dxfId="22441" priority="2881" operator="lessThan">
      <formula>0.8</formula>
    </cfRule>
    <cfRule type="cellIs" dxfId="22440" priority="2882" operator="greaterThan">
      <formula>1</formula>
    </cfRule>
  </conditionalFormatting>
  <conditionalFormatting sqref="R83">
    <cfRule type="cellIs" dxfId="22439" priority="2879" operator="greaterThan">
      <formula>1</formula>
    </cfRule>
    <cfRule type="cellIs" dxfId="22438" priority="2880" operator="lessThan">
      <formula>0.8</formula>
    </cfRule>
  </conditionalFormatting>
  <conditionalFormatting sqref="P83">
    <cfRule type="cellIs" dxfId="22437" priority="2878" operator="greaterThan">
      <formula>0</formula>
    </cfRule>
  </conditionalFormatting>
  <conditionalFormatting sqref="Q83">
    <cfRule type="cellIs" dxfId="22436" priority="2877" operator="lessThan">
      <formula>0</formula>
    </cfRule>
  </conditionalFormatting>
  <conditionalFormatting sqref="R83">
    <cfRule type="cellIs" dxfId="22435" priority="2875" operator="lessThan">
      <formula>0.8</formula>
    </cfRule>
    <cfRule type="cellIs" dxfId="22434" priority="2876" operator="greaterThan">
      <formula>1</formula>
    </cfRule>
  </conditionalFormatting>
  <conditionalFormatting sqref="R83">
    <cfRule type="cellIs" dxfId="22433" priority="2873" operator="greaterThan">
      <formula>1</formula>
    </cfRule>
    <cfRule type="cellIs" dxfId="22432" priority="2874" operator="lessThan">
      <formula>0.8</formula>
    </cfRule>
  </conditionalFormatting>
  <conditionalFormatting sqref="P83">
    <cfRule type="cellIs" dxfId="22431" priority="2872" operator="greaterThan">
      <formula>0</formula>
    </cfRule>
  </conditionalFormatting>
  <conditionalFormatting sqref="P83">
    <cfRule type="cellIs" dxfId="22430" priority="2866" operator="greaterThan">
      <formula>0</formula>
    </cfRule>
  </conditionalFormatting>
  <conditionalFormatting sqref="Q83">
    <cfRule type="cellIs" dxfId="22429" priority="2871" operator="lessThan">
      <formula>0</formula>
    </cfRule>
  </conditionalFormatting>
  <conditionalFormatting sqref="R83">
    <cfRule type="cellIs" dxfId="22428" priority="2869" operator="lessThan">
      <formula>0.8</formula>
    </cfRule>
    <cfRule type="cellIs" dxfId="22427" priority="2870" operator="greaterThan">
      <formula>1</formula>
    </cfRule>
  </conditionalFormatting>
  <conditionalFormatting sqref="R83">
    <cfRule type="cellIs" dxfId="22426" priority="2867" operator="greaterThan">
      <formula>1</formula>
    </cfRule>
    <cfRule type="cellIs" dxfId="22425" priority="2868" operator="lessThan">
      <formula>0.8</formula>
    </cfRule>
  </conditionalFormatting>
  <conditionalFormatting sqref="P83">
    <cfRule type="cellIs" dxfId="22424" priority="2860" operator="greaterThan">
      <formula>0</formula>
    </cfRule>
  </conditionalFormatting>
  <conditionalFormatting sqref="Q83">
    <cfRule type="cellIs" dxfId="22423" priority="2865" operator="lessThan">
      <formula>0</formula>
    </cfRule>
  </conditionalFormatting>
  <conditionalFormatting sqref="R83">
    <cfRule type="cellIs" dxfId="22422" priority="2863" operator="lessThan">
      <formula>0.8</formula>
    </cfRule>
    <cfRule type="cellIs" dxfId="22421" priority="2864" operator="greaterThan">
      <formula>1</formula>
    </cfRule>
  </conditionalFormatting>
  <conditionalFormatting sqref="R83">
    <cfRule type="cellIs" dxfId="22420" priority="2861" operator="greaterThan">
      <formula>1</formula>
    </cfRule>
    <cfRule type="cellIs" dxfId="22419" priority="2862" operator="lessThan">
      <formula>0.8</formula>
    </cfRule>
  </conditionalFormatting>
  <conditionalFormatting sqref="R83">
    <cfRule type="cellIs" dxfId="22418" priority="2857" operator="lessThan">
      <formula>0.8</formula>
    </cfRule>
    <cfRule type="cellIs" dxfId="22417" priority="2858" operator="greaterThan">
      <formula>1</formula>
    </cfRule>
  </conditionalFormatting>
  <conditionalFormatting sqref="R83">
    <cfRule type="cellIs" dxfId="22416" priority="2855" operator="greaterThan">
      <formula>1</formula>
    </cfRule>
    <cfRule type="cellIs" dxfId="22415" priority="2856" operator="lessThan">
      <formula>0.8</formula>
    </cfRule>
  </conditionalFormatting>
  <conditionalFormatting sqref="P83">
    <cfRule type="cellIs" dxfId="22414" priority="2854" operator="greaterThan">
      <formula>0</formula>
    </cfRule>
  </conditionalFormatting>
  <conditionalFormatting sqref="Q83">
    <cfRule type="cellIs" dxfId="22413" priority="2859" operator="lessThan">
      <formula>0</formula>
    </cfRule>
  </conditionalFormatting>
  <conditionalFormatting sqref="Q83">
    <cfRule type="cellIs" dxfId="22412" priority="2853" operator="lessThan">
      <formula>0</formula>
    </cfRule>
  </conditionalFormatting>
  <conditionalFormatting sqref="R83">
    <cfRule type="cellIs" dxfId="22411" priority="2851" operator="lessThan">
      <formula>0.8</formula>
    </cfRule>
    <cfRule type="cellIs" dxfId="22410" priority="2852" operator="greaterThan">
      <formula>1</formula>
    </cfRule>
  </conditionalFormatting>
  <conditionalFormatting sqref="R83">
    <cfRule type="cellIs" dxfId="22409" priority="2849" operator="greaterThan">
      <formula>1</formula>
    </cfRule>
    <cfRule type="cellIs" dxfId="22408" priority="2850" operator="lessThan">
      <formula>0.8</formula>
    </cfRule>
  </conditionalFormatting>
  <conditionalFormatting sqref="P83">
    <cfRule type="cellIs" dxfId="22407" priority="2848" operator="greaterThan">
      <formula>0</formula>
    </cfRule>
  </conditionalFormatting>
  <conditionalFormatting sqref="P83">
    <cfRule type="cellIs" dxfId="22406" priority="2842" operator="greaterThan">
      <formula>0</formula>
    </cfRule>
  </conditionalFormatting>
  <conditionalFormatting sqref="Q83">
    <cfRule type="cellIs" dxfId="22405" priority="2847" operator="lessThan">
      <formula>0</formula>
    </cfRule>
  </conditionalFormatting>
  <conditionalFormatting sqref="R83">
    <cfRule type="cellIs" dxfId="22404" priority="2845" operator="lessThan">
      <formula>0.8</formula>
    </cfRule>
    <cfRule type="cellIs" dxfId="22403" priority="2846" operator="greaterThan">
      <formula>1</formula>
    </cfRule>
  </conditionalFormatting>
  <conditionalFormatting sqref="R83">
    <cfRule type="cellIs" dxfId="22402" priority="2843" operator="greaterThan">
      <formula>1</formula>
    </cfRule>
    <cfRule type="cellIs" dxfId="22401" priority="2844" operator="lessThan">
      <formula>0.8</formula>
    </cfRule>
  </conditionalFormatting>
  <conditionalFormatting sqref="P83">
    <cfRule type="cellIs" dxfId="22400" priority="2836" operator="greaterThan">
      <formula>0</formula>
    </cfRule>
  </conditionalFormatting>
  <conditionalFormatting sqref="Q83">
    <cfRule type="cellIs" dxfId="22399" priority="2841" operator="lessThan">
      <formula>0</formula>
    </cfRule>
  </conditionalFormatting>
  <conditionalFormatting sqref="R83">
    <cfRule type="cellIs" dxfId="22398" priority="2839" operator="lessThan">
      <formula>0.8</formula>
    </cfRule>
    <cfRule type="cellIs" dxfId="22397" priority="2840" operator="greaterThan">
      <formula>1</formula>
    </cfRule>
  </conditionalFormatting>
  <conditionalFormatting sqref="R83">
    <cfRule type="cellIs" dxfId="22396" priority="2837" operator="greaterThan">
      <formula>1</formula>
    </cfRule>
    <cfRule type="cellIs" dxfId="22395" priority="2838" operator="lessThan">
      <formula>0.8</formula>
    </cfRule>
  </conditionalFormatting>
  <conditionalFormatting sqref="R83">
    <cfRule type="cellIs" dxfId="22394" priority="2833" operator="lessThan">
      <formula>0.8</formula>
    </cfRule>
    <cfRule type="cellIs" dxfId="22393" priority="2834" operator="greaterThan">
      <formula>1</formula>
    </cfRule>
  </conditionalFormatting>
  <conditionalFormatting sqref="R83">
    <cfRule type="cellIs" dxfId="22392" priority="2831" operator="greaterThan">
      <formula>1</formula>
    </cfRule>
    <cfRule type="cellIs" dxfId="22391" priority="2832" operator="lessThan">
      <formula>0.8</formula>
    </cfRule>
  </conditionalFormatting>
  <conditionalFormatting sqref="P83">
    <cfRule type="cellIs" dxfId="22390" priority="2830" operator="greaterThan">
      <formula>0</formula>
    </cfRule>
  </conditionalFormatting>
  <conditionalFormatting sqref="Q83">
    <cfRule type="cellIs" dxfId="22389" priority="2835" operator="lessThan">
      <formula>0</formula>
    </cfRule>
  </conditionalFormatting>
  <conditionalFormatting sqref="P83">
    <cfRule type="cellIs" dxfId="22388" priority="2824" operator="greaterThan">
      <formula>0</formula>
    </cfRule>
  </conditionalFormatting>
  <conditionalFormatting sqref="Q83">
    <cfRule type="cellIs" dxfId="22387" priority="2829" operator="lessThan">
      <formula>0</formula>
    </cfRule>
  </conditionalFormatting>
  <conditionalFormatting sqref="R83">
    <cfRule type="cellIs" dxfId="22386" priority="2827" operator="lessThan">
      <formula>0.8</formula>
    </cfRule>
    <cfRule type="cellIs" dxfId="22385" priority="2828" operator="greaterThan">
      <formula>1</formula>
    </cfRule>
  </conditionalFormatting>
  <conditionalFormatting sqref="R83">
    <cfRule type="cellIs" dxfId="22384" priority="2825" operator="greaterThan">
      <formula>1</formula>
    </cfRule>
    <cfRule type="cellIs" dxfId="22383" priority="2826" operator="lessThan">
      <formula>0.8</formula>
    </cfRule>
  </conditionalFormatting>
  <conditionalFormatting sqref="R83">
    <cfRule type="cellIs" dxfId="22382" priority="2821" operator="lessThan">
      <formula>0.8</formula>
    </cfRule>
    <cfRule type="cellIs" dxfId="22381" priority="2822" operator="greaterThan">
      <formula>1</formula>
    </cfRule>
  </conditionalFormatting>
  <conditionalFormatting sqref="R83">
    <cfRule type="cellIs" dxfId="22380" priority="2819" operator="greaterThan">
      <formula>1</formula>
    </cfRule>
    <cfRule type="cellIs" dxfId="22379" priority="2820" operator="lessThan">
      <formula>0.8</formula>
    </cfRule>
  </conditionalFormatting>
  <conditionalFormatting sqref="P83">
    <cfRule type="cellIs" dxfId="22378" priority="2818" operator="greaterThan">
      <formula>0</formula>
    </cfRule>
  </conditionalFormatting>
  <conditionalFormatting sqref="Q83">
    <cfRule type="cellIs" dxfId="22377" priority="2823" operator="lessThan">
      <formula>0</formula>
    </cfRule>
  </conditionalFormatting>
  <conditionalFormatting sqref="R83">
    <cfRule type="cellIs" dxfId="22376" priority="2815" operator="lessThan">
      <formula>0.8</formula>
    </cfRule>
    <cfRule type="cellIs" dxfId="22375" priority="2816" operator="greaterThan">
      <formula>1</formula>
    </cfRule>
  </conditionalFormatting>
  <conditionalFormatting sqref="R83">
    <cfRule type="cellIs" dxfId="22374" priority="2813" operator="greaterThan">
      <formula>1</formula>
    </cfRule>
    <cfRule type="cellIs" dxfId="22373" priority="2814" operator="lessThan">
      <formula>0.8</formula>
    </cfRule>
  </conditionalFormatting>
  <conditionalFormatting sqref="P83">
    <cfRule type="cellIs" dxfId="22372" priority="2812" operator="greaterThan">
      <formula>0</formula>
    </cfRule>
  </conditionalFormatting>
  <conditionalFormatting sqref="Q83">
    <cfRule type="cellIs" dxfId="22371" priority="2817" operator="lessThan">
      <formula>0</formula>
    </cfRule>
  </conditionalFormatting>
  <conditionalFormatting sqref="Q83">
    <cfRule type="cellIs" dxfId="22370" priority="2811" operator="lessThan">
      <formula>0</formula>
    </cfRule>
  </conditionalFormatting>
  <conditionalFormatting sqref="R83">
    <cfRule type="cellIs" dxfId="22369" priority="2809" operator="lessThan">
      <formula>0.8</formula>
    </cfRule>
    <cfRule type="cellIs" dxfId="22368" priority="2810" operator="greaterThan">
      <formula>1</formula>
    </cfRule>
  </conditionalFormatting>
  <conditionalFormatting sqref="R83">
    <cfRule type="cellIs" dxfId="22367" priority="2807" operator="greaterThan">
      <formula>1</formula>
    </cfRule>
    <cfRule type="cellIs" dxfId="22366" priority="2808" operator="lessThan">
      <formula>0.8</formula>
    </cfRule>
  </conditionalFormatting>
  <conditionalFormatting sqref="P83">
    <cfRule type="cellIs" dxfId="22365" priority="2806" operator="greaterThan">
      <formula>0</formula>
    </cfRule>
  </conditionalFormatting>
  <conditionalFormatting sqref="Q83">
    <cfRule type="cellIs" dxfId="22364" priority="2800" operator="lessThan">
      <formula>0</formula>
    </cfRule>
  </conditionalFormatting>
  <conditionalFormatting sqref="R83">
    <cfRule type="cellIs" dxfId="22363" priority="2804" operator="lessThan">
      <formula>0.8</formula>
    </cfRule>
    <cfRule type="cellIs" dxfId="22362" priority="2805" operator="greaterThan">
      <formula>1</formula>
    </cfRule>
  </conditionalFormatting>
  <conditionalFormatting sqref="R83">
    <cfRule type="cellIs" dxfId="22361" priority="2802" operator="greaterThan">
      <formula>1</formula>
    </cfRule>
    <cfRule type="cellIs" dxfId="22360" priority="2803" operator="lessThan">
      <formula>0.8</formula>
    </cfRule>
  </conditionalFormatting>
  <conditionalFormatting sqref="P83">
    <cfRule type="cellIs" dxfId="22359" priority="2801" operator="greaterThan">
      <formula>0</formula>
    </cfRule>
  </conditionalFormatting>
  <conditionalFormatting sqref="Q83">
    <cfRule type="cellIs" dxfId="22358" priority="2799" operator="lessThan">
      <formula>0</formula>
    </cfRule>
  </conditionalFormatting>
  <conditionalFormatting sqref="R83">
    <cfRule type="cellIs" dxfId="22357" priority="2797" operator="lessThan">
      <formula>0.8</formula>
    </cfRule>
    <cfRule type="cellIs" dxfId="22356" priority="2798" operator="greaterThan">
      <formula>1</formula>
    </cfRule>
  </conditionalFormatting>
  <conditionalFormatting sqref="R83">
    <cfRule type="cellIs" dxfId="22355" priority="2795" operator="greaterThan">
      <formula>1</formula>
    </cfRule>
    <cfRule type="cellIs" dxfId="22354" priority="2796" operator="lessThan">
      <formula>0.8</formula>
    </cfRule>
  </conditionalFormatting>
  <conditionalFormatting sqref="P83">
    <cfRule type="cellIs" dxfId="22353" priority="2794" operator="greaterThan">
      <formula>0</formula>
    </cfRule>
  </conditionalFormatting>
  <conditionalFormatting sqref="Q83">
    <cfRule type="cellIs" dxfId="22352" priority="2793" operator="lessThan">
      <formula>0</formula>
    </cfRule>
  </conditionalFormatting>
  <conditionalFormatting sqref="R83">
    <cfRule type="cellIs" dxfId="22351" priority="2791" operator="lessThan">
      <formula>0.8</formula>
    </cfRule>
    <cfRule type="cellIs" dxfId="22350" priority="2792" operator="greaterThan">
      <formula>1</formula>
    </cfRule>
  </conditionalFormatting>
  <conditionalFormatting sqref="R83">
    <cfRule type="cellIs" dxfId="22349" priority="2789" operator="greaterThan">
      <formula>1</formula>
    </cfRule>
    <cfRule type="cellIs" dxfId="22348" priority="2790" operator="lessThan">
      <formula>0.8</formula>
    </cfRule>
  </conditionalFormatting>
  <conditionalFormatting sqref="P83">
    <cfRule type="cellIs" dxfId="22347" priority="2788" operator="greaterThan">
      <formula>0</formula>
    </cfRule>
  </conditionalFormatting>
  <conditionalFormatting sqref="Q83">
    <cfRule type="cellIs" dxfId="22346" priority="2787" operator="lessThan">
      <formula>0</formula>
    </cfRule>
  </conditionalFormatting>
  <conditionalFormatting sqref="R83">
    <cfRule type="cellIs" dxfId="22345" priority="2785" operator="lessThan">
      <formula>0.8</formula>
    </cfRule>
    <cfRule type="cellIs" dxfId="22344" priority="2786" operator="greaterThan">
      <formula>1</formula>
    </cfRule>
  </conditionalFormatting>
  <conditionalFormatting sqref="R83">
    <cfRule type="cellIs" dxfId="22343" priority="2783" operator="greaterThan">
      <formula>1</formula>
    </cfRule>
    <cfRule type="cellIs" dxfId="22342" priority="2784" operator="lessThan">
      <formula>0.8</formula>
    </cfRule>
  </conditionalFormatting>
  <conditionalFormatting sqref="P83">
    <cfRule type="cellIs" dxfId="22341" priority="2782" operator="greaterThan">
      <formula>0</formula>
    </cfRule>
  </conditionalFormatting>
  <conditionalFormatting sqref="Q83">
    <cfRule type="cellIs" dxfId="22340" priority="2781" operator="lessThan">
      <formula>0</formula>
    </cfRule>
  </conditionalFormatting>
  <conditionalFormatting sqref="R83">
    <cfRule type="cellIs" dxfId="22339" priority="2779" operator="lessThan">
      <formula>0.8</formula>
    </cfRule>
    <cfRule type="cellIs" dxfId="22338" priority="2780" operator="greaterThan">
      <formula>1</formula>
    </cfRule>
  </conditionalFormatting>
  <conditionalFormatting sqref="R83">
    <cfRule type="cellIs" dxfId="22337" priority="2777" operator="greaterThan">
      <formula>1</formula>
    </cfRule>
    <cfRule type="cellIs" dxfId="22336" priority="2778" operator="lessThan">
      <formula>0.8</formula>
    </cfRule>
  </conditionalFormatting>
  <conditionalFormatting sqref="P83">
    <cfRule type="cellIs" dxfId="22335" priority="2776" operator="greaterThan">
      <formula>0</formula>
    </cfRule>
  </conditionalFormatting>
  <conditionalFormatting sqref="Q83">
    <cfRule type="cellIs" dxfId="22334" priority="2775" operator="lessThan">
      <formula>0</formula>
    </cfRule>
  </conditionalFormatting>
  <conditionalFormatting sqref="R83">
    <cfRule type="cellIs" dxfId="22333" priority="2773" operator="lessThan">
      <formula>0.8</formula>
    </cfRule>
    <cfRule type="cellIs" dxfId="22332" priority="2774" operator="greaterThan">
      <formula>1</formula>
    </cfRule>
  </conditionalFormatting>
  <conditionalFormatting sqref="R83">
    <cfRule type="cellIs" dxfId="22331" priority="2771" operator="greaterThan">
      <formula>1</formula>
    </cfRule>
    <cfRule type="cellIs" dxfId="22330" priority="2772" operator="lessThan">
      <formula>0.8</formula>
    </cfRule>
  </conditionalFormatting>
  <conditionalFormatting sqref="P83">
    <cfRule type="cellIs" dxfId="22329" priority="2770" operator="greaterThan">
      <formula>0</formula>
    </cfRule>
  </conditionalFormatting>
  <conditionalFormatting sqref="P83">
    <cfRule type="cellIs" dxfId="22328" priority="2764" operator="greaterThan">
      <formula>0</formula>
    </cfRule>
  </conditionalFormatting>
  <conditionalFormatting sqref="Q83">
    <cfRule type="cellIs" dxfId="22327" priority="2769" operator="lessThan">
      <formula>0</formula>
    </cfRule>
  </conditionalFormatting>
  <conditionalFormatting sqref="R83">
    <cfRule type="cellIs" dxfId="22326" priority="2767" operator="lessThan">
      <formula>0.8</formula>
    </cfRule>
    <cfRule type="cellIs" dxfId="22325" priority="2768" operator="greaterThan">
      <formula>1</formula>
    </cfRule>
  </conditionalFormatting>
  <conditionalFormatting sqref="R83">
    <cfRule type="cellIs" dxfId="22324" priority="2765" operator="greaterThan">
      <formula>1</formula>
    </cfRule>
    <cfRule type="cellIs" dxfId="22323" priority="2766" operator="lessThan">
      <formula>0.8</formula>
    </cfRule>
  </conditionalFormatting>
  <conditionalFormatting sqref="P83">
    <cfRule type="cellIs" dxfId="22322" priority="2758" operator="greaterThan">
      <formula>0</formula>
    </cfRule>
  </conditionalFormatting>
  <conditionalFormatting sqref="Q83">
    <cfRule type="cellIs" dxfId="22321" priority="2763" operator="lessThan">
      <formula>0</formula>
    </cfRule>
  </conditionalFormatting>
  <conditionalFormatting sqref="R83">
    <cfRule type="cellIs" dxfId="22320" priority="2761" operator="lessThan">
      <formula>0.8</formula>
    </cfRule>
    <cfRule type="cellIs" dxfId="22319" priority="2762" operator="greaterThan">
      <formula>1</formula>
    </cfRule>
  </conditionalFormatting>
  <conditionalFormatting sqref="R83">
    <cfRule type="cellIs" dxfId="22318" priority="2759" operator="greaterThan">
      <formula>1</formula>
    </cfRule>
    <cfRule type="cellIs" dxfId="22317" priority="2760" operator="lessThan">
      <formula>0.8</formula>
    </cfRule>
  </conditionalFormatting>
  <conditionalFormatting sqref="R83">
    <cfRule type="cellIs" dxfId="22316" priority="2755" operator="lessThan">
      <formula>0.8</formula>
    </cfRule>
    <cfRule type="cellIs" dxfId="22315" priority="2756" operator="greaterThan">
      <formula>1</formula>
    </cfRule>
  </conditionalFormatting>
  <conditionalFormatting sqref="R83">
    <cfRule type="cellIs" dxfId="22314" priority="2753" operator="greaterThan">
      <formula>1</formula>
    </cfRule>
    <cfRule type="cellIs" dxfId="22313" priority="2754" operator="lessThan">
      <formula>0.8</formula>
    </cfRule>
  </conditionalFormatting>
  <conditionalFormatting sqref="P83">
    <cfRule type="cellIs" dxfId="22312" priority="2752" operator="greaterThan">
      <formula>0</formula>
    </cfRule>
  </conditionalFormatting>
  <conditionalFormatting sqref="Q83">
    <cfRule type="cellIs" dxfId="22311" priority="2757" operator="lessThan">
      <formula>0</formula>
    </cfRule>
  </conditionalFormatting>
  <conditionalFormatting sqref="Q83">
    <cfRule type="cellIs" dxfId="22310" priority="2746" operator="lessThan">
      <formula>0</formula>
    </cfRule>
  </conditionalFormatting>
  <conditionalFormatting sqref="P83">
    <cfRule type="cellIs" dxfId="22309" priority="2747" operator="greaterThan">
      <formula>0</formula>
    </cfRule>
  </conditionalFormatting>
  <conditionalFormatting sqref="R83">
    <cfRule type="cellIs" dxfId="22308" priority="2750" operator="lessThan">
      <formula>0.8</formula>
    </cfRule>
    <cfRule type="cellIs" dxfId="22307" priority="2751" operator="greaterThan">
      <formula>1</formula>
    </cfRule>
  </conditionalFormatting>
  <conditionalFormatting sqref="R83">
    <cfRule type="cellIs" dxfId="22306" priority="2748" operator="greaterThan">
      <formula>1</formula>
    </cfRule>
    <cfRule type="cellIs" dxfId="22305" priority="2749" operator="lessThan">
      <formula>0.8</formula>
    </cfRule>
  </conditionalFormatting>
  <conditionalFormatting sqref="Q83">
    <cfRule type="cellIs" dxfId="22304" priority="2740" operator="lessThan">
      <formula>0</formula>
    </cfRule>
  </conditionalFormatting>
  <conditionalFormatting sqref="R83">
    <cfRule type="cellIs" dxfId="22303" priority="2744" operator="lessThan">
      <formula>0.8</formula>
    </cfRule>
    <cfRule type="cellIs" dxfId="22302" priority="2745" operator="greaterThan">
      <formula>1</formula>
    </cfRule>
  </conditionalFormatting>
  <conditionalFormatting sqref="R83">
    <cfRule type="cellIs" dxfId="22301" priority="2742" operator="greaterThan">
      <formula>1</formula>
    </cfRule>
    <cfRule type="cellIs" dxfId="22300" priority="2743" operator="lessThan">
      <formula>0.8</formula>
    </cfRule>
  </conditionalFormatting>
  <conditionalFormatting sqref="P83">
    <cfRule type="cellIs" dxfId="22299" priority="2741" operator="greaterThan">
      <formula>0</formula>
    </cfRule>
  </conditionalFormatting>
  <conditionalFormatting sqref="Q83">
    <cfRule type="cellIs" dxfId="22298" priority="2739" operator="lessThan">
      <formula>0</formula>
    </cfRule>
  </conditionalFormatting>
  <conditionalFormatting sqref="R83">
    <cfRule type="cellIs" dxfId="22297" priority="2737" operator="lessThan">
      <formula>0.8</formula>
    </cfRule>
    <cfRule type="cellIs" dxfId="22296" priority="2738" operator="greaterThan">
      <formula>1</formula>
    </cfRule>
  </conditionalFormatting>
  <conditionalFormatting sqref="R83">
    <cfRule type="cellIs" dxfId="22295" priority="2735" operator="greaterThan">
      <formula>1</formula>
    </cfRule>
    <cfRule type="cellIs" dxfId="22294" priority="2736" operator="lessThan">
      <formula>0.8</formula>
    </cfRule>
  </conditionalFormatting>
  <conditionalFormatting sqref="P83">
    <cfRule type="cellIs" dxfId="22293" priority="2734" operator="greaterThan">
      <formula>0</formula>
    </cfRule>
  </conditionalFormatting>
  <conditionalFormatting sqref="Q83">
    <cfRule type="cellIs" dxfId="22292" priority="2733" operator="lessThan">
      <formula>0</formula>
    </cfRule>
  </conditionalFormatting>
  <conditionalFormatting sqref="R83">
    <cfRule type="cellIs" dxfId="22291" priority="2731" operator="lessThan">
      <formula>0.8</formula>
    </cfRule>
    <cfRule type="cellIs" dxfId="22290" priority="2732" operator="greaterThan">
      <formula>1</formula>
    </cfRule>
  </conditionalFormatting>
  <conditionalFormatting sqref="R83">
    <cfRule type="cellIs" dxfId="22289" priority="2729" operator="greaterThan">
      <formula>1</formula>
    </cfRule>
    <cfRule type="cellIs" dxfId="22288" priority="2730" operator="lessThan">
      <formula>0.8</formula>
    </cfRule>
  </conditionalFormatting>
  <conditionalFormatting sqref="P83">
    <cfRule type="cellIs" dxfId="22287" priority="2728" operator="greaterThan">
      <formula>0</formula>
    </cfRule>
  </conditionalFormatting>
  <conditionalFormatting sqref="Q83">
    <cfRule type="cellIs" dxfId="22286" priority="2727" operator="lessThan">
      <formula>0</formula>
    </cfRule>
  </conditionalFormatting>
  <conditionalFormatting sqref="R83">
    <cfRule type="cellIs" dxfId="22285" priority="2725" operator="lessThan">
      <formula>0.8</formula>
    </cfRule>
    <cfRule type="cellIs" dxfId="22284" priority="2726" operator="greaterThan">
      <formula>1</formula>
    </cfRule>
  </conditionalFormatting>
  <conditionalFormatting sqref="R83">
    <cfRule type="cellIs" dxfId="22283" priority="2723" operator="greaterThan">
      <formula>1</formula>
    </cfRule>
    <cfRule type="cellIs" dxfId="22282" priority="2724" operator="lessThan">
      <formula>0.8</formula>
    </cfRule>
  </conditionalFormatting>
  <conditionalFormatting sqref="P83">
    <cfRule type="cellIs" dxfId="22281" priority="2722" operator="greaterThan">
      <formula>0</formula>
    </cfRule>
  </conditionalFormatting>
  <conditionalFormatting sqref="Q83">
    <cfRule type="cellIs" dxfId="22280" priority="2721" operator="lessThan">
      <formula>0</formula>
    </cfRule>
  </conditionalFormatting>
  <conditionalFormatting sqref="R83">
    <cfRule type="cellIs" dxfId="22279" priority="2719" operator="lessThan">
      <formula>0.8</formula>
    </cfRule>
    <cfRule type="cellIs" dxfId="22278" priority="2720" operator="greaterThan">
      <formula>1</formula>
    </cfRule>
  </conditionalFormatting>
  <conditionalFormatting sqref="R83">
    <cfRule type="cellIs" dxfId="22277" priority="2717" operator="greaterThan">
      <formula>1</formula>
    </cfRule>
    <cfRule type="cellIs" dxfId="22276" priority="2718" operator="lessThan">
      <formula>0.8</formula>
    </cfRule>
  </conditionalFormatting>
  <conditionalFormatting sqref="P83">
    <cfRule type="cellIs" dxfId="22275" priority="2716" operator="greaterThan">
      <formula>0</formula>
    </cfRule>
  </conditionalFormatting>
  <conditionalFormatting sqref="Q83">
    <cfRule type="cellIs" dxfId="22274" priority="2715" operator="lessThan">
      <formula>0</formula>
    </cfRule>
  </conditionalFormatting>
  <conditionalFormatting sqref="R83">
    <cfRule type="cellIs" dxfId="22273" priority="2713" operator="lessThan">
      <formula>0.8</formula>
    </cfRule>
    <cfRule type="cellIs" dxfId="22272" priority="2714" operator="greaterThan">
      <formula>1</formula>
    </cfRule>
  </conditionalFormatting>
  <conditionalFormatting sqref="R83">
    <cfRule type="cellIs" dxfId="22271" priority="2711" operator="greaterThan">
      <formula>1</formula>
    </cfRule>
    <cfRule type="cellIs" dxfId="22270" priority="2712" operator="lessThan">
      <formula>0.8</formula>
    </cfRule>
  </conditionalFormatting>
  <conditionalFormatting sqref="P83">
    <cfRule type="cellIs" dxfId="22269" priority="2710" operator="greaterThan">
      <formula>0</formula>
    </cfRule>
  </conditionalFormatting>
  <conditionalFormatting sqref="Q83">
    <cfRule type="cellIs" dxfId="22268" priority="2709" operator="lessThan">
      <formula>0</formula>
    </cfRule>
  </conditionalFormatting>
  <conditionalFormatting sqref="R83">
    <cfRule type="cellIs" dxfId="22267" priority="2707" operator="lessThan">
      <formula>0.8</formula>
    </cfRule>
    <cfRule type="cellIs" dxfId="22266" priority="2708" operator="greaterThan">
      <formula>1</formula>
    </cfRule>
  </conditionalFormatting>
  <conditionalFormatting sqref="R83">
    <cfRule type="cellIs" dxfId="22265" priority="2705" operator="greaterThan">
      <formula>1</formula>
    </cfRule>
    <cfRule type="cellIs" dxfId="22264" priority="2706" operator="lessThan">
      <formula>0.8</formula>
    </cfRule>
  </conditionalFormatting>
  <conditionalFormatting sqref="P83">
    <cfRule type="cellIs" dxfId="22263" priority="2704" operator="greaterThan">
      <formula>0</formula>
    </cfRule>
  </conditionalFormatting>
  <conditionalFormatting sqref="Q83">
    <cfRule type="cellIs" dxfId="22262" priority="2703" operator="lessThan">
      <formula>0</formula>
    </cfRule>
  </conditionalFormatting>
  <conditionalFormatting sqref="R83">
    <cfRule type="cellIs" dxfId="22261" priority="2701" operator="lessThan">
      <formula>0.8</formula>
    </cfRule>
    <cfRule type="cellIs" dxfId="22260" priority="2702" operator="greaterThan">
      <formula>1</formula>
    </cfRule>
  </conditionalFormatting>
  <conditionalFormatting sqref="R83">
    <cfRule type="cellIs" dxfId="22259" priority="2699" operator="greaterThan">
      <formula>1</formula>
    </cfRule>
    <cfRule type="cellIs" dxfId="22258" priority="2700" operator="lessThan">
      <formula>0.8</formula>
    </cfRule>
  </conditionalFormatting>
  <conditionalFormatting sqref="P83">
    <cfRule type="cellIs" dxfId="22257" priority="2698" operator="greaterThan">
      <formula>0</formula>
    </cfRule>
  </conditionalFormatting>
  <conditionalFormatting sqref="P83">
    <cfRule type="cellIs" dxfId="22256" priority="2692" operator="greaterThan">
      <formula>0</formula>
    </cfRule>
  </conditionalFormatting>
  <conditionalFormatting sqref="Q83">
    <cfRule type="cellIs" dxfId="22255" priority="2697" operator="lessThan">
      <formula>0</formula>
    </cfRule>
  </conditionalFormatting>
  <conditionalFormatting sqref="R83">
    <cfRule type="cellIs" dxfId="22254" priority="2695" operator="lessThan">
      <formula>0.8</formula>
    </cfRule>
    <cfRule type="cellIs" dxfId="22253" priority="2696" operator="greaterThan">
      <formula>1</formula>
    </cfRule>
  </conditionalFormatting>
  <conditionalFormatting sqref="R83">
    <cfRule type="cellIs" dxfId="22252" priority="2693" operator="greaterThan">
      <formula>1</formula>
    </cfRule>
    <cfRule type="cellIs" dxfId="22251" priority="2694" operator="lessThan">
      <formula>0.8</formula>
    </cfRule>
  </conditionalFormatting>
  <conditionalFormatting sqref="P83">
    <cfRule type="cellIs" dxfId="22250" priority="2686" operator="greaterThan">
      <formula>0</formula>
    </cfRule>
  </conditionalFormatting>
  <conditionalFormatting sqref="Q83">
    <cfRule type="cellIs" dxfId="22249" priority="2691" operator="lessThan">
      <formula>0</formula>
    </cfRule>
  </conditionalFormatting>
  <conditionalFormatting sqref="R83">
    <cfRule type="cellIs" dxfId="22248" priority="2689" operator="lessThan">
      <formula>0.8</formula>
    </cfRule>
    <cfRule type="cellIs" dxfId="22247" priority="2690" operator="greaterThan">
      <formula>1</formula>
    </cfRule>
  </conditionalFormatting>
  <conditionalFormatting sqref="R83">
    <cfRule type="cellIs" dxfId="22246" priority="2687" operator="greaterThan">
      <formula>1</formula>
    </cfRule>
    <cfRule type="cellIs" dxfId="22245" priority="2688" operator="lessThan">
      <formula>0.8</formula>
    </cfRule>
  </conditionalFormatting>
  <conditionalFormatting sqref="R83">
    <cfRule type="cellIs" dxfId="22244" priority="2683" operator="lessThan">
      <formula>0.8</formula>
    </cfRule>
    <cfRule type="cellIs" dxfId="22243" priority="2684" operator="greaterThan">
      <formula>1</formula>
    </cfRule>
  </conditionalFormatting>
  <conditionalFormatting sqref="R83">
    <cfRule type="cellIs" dxfId="22242" priority="2681" operator="greaterThan">
      <formula>1</formula>
    </cfRule>
    <cfRule type="cellIs" dxfId="22241" priority="2682" operator="lessThan">
      <formula>0.8</formula>
    </cfRule>
  </conditionalFormatting>
  <conditionalFormatting sqref="P83">
    <cfRule type="cellIs" dxfId="22240" priority="2680" operator="greaterThan">
      <formula>0</formula>
    </cfRule>
  </conditionalFormatting>
  <conditionalFormatting sqref="Q83">
    <cfRule type="cellIs" dxfId="22239" priority="2685" operator="lessThan">
      <formula>0</formula>
    </cfRule>
  </conditionalFormatting>
  <conditionalFormatting sqref="Q83">
    <cfRule type="cellIs" dxfId="22238" priority="2679" operator="lessThan">
      <formula>0</formula>
    </cfRule>
  </conditionalFormatting>
  <conditionalFormatting sqref="R83">
    <cfRule type="cellIs" dxfId="22237" priority="2677" operator="lessThan">
      <formula>0.8</formula>
    </cfRule>
    <cfRule type="cellIs" dxfId="22236" priority="2678" operator="greaterThan">
      <formula>1</formula>
    </cfRule>
  </conditionalFormatting>
  <conditionalFormatting sqref="R83">
    <cfRule type="cellIs" dxfId="22235" priority="2675" operator="greaterThan">
      <formula>1</formula>
    </cfRule>
    <cfRule type="cellIs" dxfId="22234" priority="2676" operator="lessThan">
      <formula>0.8</formula>
    </cfRule>
  </conditionalFormatting>
  <conditionalFormatting sqref="P83">
    <cfRule type="cellIs" dxfId="22233" priority="2674" operator="greaterThan">
      <formula>0</formula>
    </cfRule>
  </conditionalFormatting>
  <conditionalFormatting sqref="P83">
    <cfRule type="cellIs" dxfId="22232" priority="2668" operator="greaterThan">
      <formula>0</formula>
    </cfRule>
  </conditionalFormatting>
  <conditionalFormatting sqref="Q83">
    <cfRule type="cellIs" dxfId="22231" priority="2673" operator="lessThan">
      <formula>0</formula>
    </cfRule>
  </conditionalFormatting>
  <conditionalFormatting sqref="R83">
    <cfRule type="cellIs" dxfId="22230" priority="2671" operator="lessThan">
      <formula>0.8</formula>
    </cfRule>
    <cfRule type="cellIs" dxfId="22229" priority="2672" operator="greaterThan">
      <formula>1</formula>
    </cfRule>
  </conditionalFormatting>
  <conditionalFormatting sqref="R83">
    <cfRule type="cellIs" dxfId="22228" priority="2669" operator="greaterThan">
      <formula>1</formula>
    </cfRule>
    <cfRule type="cellIs" dxfId="22227" priority="2670" operator="lessThan">
      <formula>0.8</formula>
    </cfRule>
  </conditionalFormatting>
  <conditionalFormatting sqref="P83">
    <cfRule type="cellIs" dxfId="22226" priority="2662" operator="greaterThan">
      <formula>0</formula>
    </cfRule>
  </conditionalFormatting>
  <conditionalFormatting sqref="Q83">
    <cfRule type="cellIs" dxfId="22225" priority="2667" operator="lessThan">
      <formula>0</formula>
    </cfRule>
  </conditionalFormatting>
  <conditionalFormatting sqref="R83">
    <cfRule type="cellIs" dxfId="22224" priority="2665" operator="lessThan">
      <formula>0.8</formula>
    </cfRule>
    <cfRule type="cellIs" dxfId="22223" priority="2666" operator="greaterThan">
      <formula>1</formula>
    </cfRule>
  </conditionalFormatting>
  <conditionalFormatting sqref="R83">
    <cfRule type="cellIs" dxfId="22222" priority="2663" operator="greaterThan">
      <formula>1</formula>
    </cfRule>
    <cfRule type="cellIs" dxfId="22221" priority="2664" operator="lessThan">
      <formula>0.8</formula>
    </cfRule>
  </conditionalFormatting>
  <conditionalFormatting sqref="R83">
    <cfRule type="cellIs" dxfId="22220" priority="2659" operator="lessThan">
      <formula>0.8</formula>
    </cfRule>
    <cfRule type="cellIs" dxfId="22219" priority="2660" operator="greaterThan">
      <formula>1</formula>
    </cfRule>
  </conditionalFormatting>
  <conditionalFormatting sqref="R83">
    <cfRule type="cellIs" dxfId="22218" priority="2657" operator="greaterThan">
      <formula>1</formula>
    </cfRule>
    <cfRule type="cellIs" dxfId="22217" priority="2658" operator="lessThan">
      <formula>0.8</formula>
    </cfRule>
  </conditionalFormatting>
  <conditionalFormatting sqref="P83">
    <cfRule type="cellIs" dxfId="22216" priority="2656" operator="greaterThan">
      <formula>0</formula>
    </cfRule>
  </conditionalFormatting>
  <conditionalFormatting sqref="Q83">
    <cfRule type="cellIs" dxfId="22215" priority="2661" operator="lessThan">
      <formula>0</formula>
    </cfRule>
  </conditionalFormatting>
  <conditionalFormatting sqref="P83">
    <cfRule type="cellIs" dxfId="22214" priority="2650" operator="greaterThan">
      <formula>0</formula>
    </cfRule>
  </conditionalFormatting>
  <conditionalFormatting sqref="Q83">
    <cfRule type="cellIs" dxfId="22213" priority="2655" operator="lessThan">
      <formula>0</formula>
    </cfRule>
  </conditionalFormatting>
  <conditionalFormatting sqref="R83">
    <cfRule type="cellIs" dxfId="22212" priority="2653" operator="lessThan">
      <formula>0.8</formula>
    </cfRule>
    <cfRule type="cellIs" dxfId="22211" priority="2654" operator="greaterThan">
      <formula>1</formula>
    </cfRule>
  </conditionalFormatting>
  <conditionalFormatting sqref="R83">
    <cfRule type="cellIs" dxfId="22210" priority="2651" operator="greaterThan">
      <formula>1</formula>
    </cfRule>
    <cfRule type="cellIs" dxfId="22209" priority="2652" operator="lessThan">
      <formula>0.8</formula>
    </cfRule>
  </conditionalFormatting>
  <conditionalFormatting sqref="R83">
    <cfRule type="cellIs" dxfId="22208" priority="2647" operator="lessThan">
      <formula>0.8</formula>
    </cfRule>
    <cfRule type="cellIs" dxfId="22207" priority="2648" operator="greaterThan">
      <formula>1</formula>
    </cfRule>
  </conditionalFormatting>
  <conditionalFormatting sqref="R83">
    <cfRule type="cellIs" dxfId="22206" priority="2645" operator="greaterThan">
      <formula>1</formula>
    </cfRule>
    <cfRule type="cellIs" dxfId="22205" priority="2646" operator="lessThan">
      <formula>0.8</formula>
    </cfRule>
  </conditionalFormatting>
  <conditionalFormatting sqref="P83">
    <cfRule type="cellIs" dxfId="22204" priority="2644" operator="greaterThan">
      <formula>0</formula>
    </cfRule>
  </conditionalFormatting>
  <conditionalFormatting sqref="Q83">
    <cfRule type="cellIs" dxfId="22203" priority="2649" operator="lessThan">
      <formula>0</formula>
    </cfRule>
  </conditionalFormatting>
  <conditionalFormatting sqref="R83">
    <cfRule type="cellIs" dxfId="22202" priority="2641" operator="lessThan">
      <formula>0.8</formula>
    </cfRule>
    <cfRule type="cellIs" dxfId="22201" priority="2642" operator="greaterThan">
      <formula>1</formula>
    </cfRule>
  </conditionalFormatting>
  <conditionalFormatting sqref="R83">
    <cfRule type="cellIs" dxfId="22200" priority="2639" operator="greaterThan">
      <formula>1</formula>
    </cfRule>
    <cfRule type="cellIs" dxfId="22199" priority="2640" operator="lessThan">
      <formula>0.8</formula>
    </cfRule>
  </conditionalFormatting>
  <conditionalFormatting sqref="P83">
    <cfRule type="cellIs" dxfId="22198" priority="2638" operator="greaterThan">
      <formula>0</formula>
    </cfRule>
  </conditionalFormatting>
  <conditionalFormatting sqref="Q83">
    <cfRule type="cellIs" dxfId="22197" priority="2643" operator="lessThan">
      <formula>0</formula>
    </cfRule>
  </conditionalFormatting>
  <conditionalFormatting sqref="Q83">
    <cfRule type="cellIs" dxfId="22196" priority="2637" operator="lessThan">
      <formula>0</formula>
    </cfRule>
  </conditionalFormatting>
  <conditionalFormatting sqref="R83">
    <cfRule type="cellIs" dxfId="22195" priority="2635" operator="lessThan">
      <formula>0.8</formula>
    </cfRule>
    <cfRule type="cellIs" dxfId="22194" priority="2636" operator="greaterThan">
      <formula>1</formula>
    </cfRule>
  </conditionalFormatting>
  <conditionalFormatting sqref="R83">
    <cfRule type="cellIs" dxfId="22193" priority="2633" operator="greaterThan">
      <formula>1</formula>
    </cfRule>
    <cfRule type="cellIs" dxfId="22192" priority="2634" operator="lessThan">
      <formula>0.8</formula>
    </cfRule>
  </conditionalFormatting>
  <conditionalFormatting sqref="P83">
    <cfRule type="cellIs" dxfId="22191" priority="2632" operator="greaterThan">
      <formula>0</formula>
    </cfRule>
  </conditionalFormatting>
  <conditionalFormatting sqref="Q83">
    <cfRule type="cellIs" dxfId="22190" priority="2626" operator="lessThan">
      <formula>0</formula>
    </cfRule>
  </conditionalFormatting>
  <conditionalFormatting sqref="R83">
    <cfRule type="cellIs" dxfId="22189" priority="2630" operator="lessThan">
      <formula>0.8</formula>
    </cfRule>
    <cfRule type="cellIs" dxfId="22188" priority="2631" operator="greaterThan">
      <formula>1</formula>
    </cfRule>
  </conditionalFormatting>
  <conditionalFormatting sqref="R83">
    <cfRule type="cellIs" dxfId="22187" priority="2628" operator="greaterThan">
      <formula>1</formula>
    </cfRule>
    <cfRule type="cellIs" dxfId="22186" priority="2629" operator="lessThan">
      <formula>0.8</formula>
    </cfRule>
  </conditionalFormatting>
  <conditionalFormatting sqref="P83">
    <cfRule type="cellIs" dxfId="22185" priority="2627" operator="greaterThan">
      <formula>0</formula>
    </cfRule>
  </conditionalFormatting>
  <conditionalFormatting sqref="Q83">
    <cfRule type="cellIs" dxfId="22184" priority="2625" operator="lessThan">
      <formula>0</formula>
    </cfRule>
  </conditionalFormatting>
  <conditionalFormatting sqref="R83">
    <cfRule type="cellIs" dxfId="22183" priority="2623" operator="lessThan">
      <formula>0.8</formula>
    </cfRule>
    <cfRule type="cellIs" dxfId="22182" priority="2624" operator="greaterThan">
      <formula>1</formula>
    </cfRule>
  </conditionalFormatting>
  <conditionalFormatting sqref="R83">
    <cfRule type="cellIs" dxfId="22181" priority="2621" operator="greaterThan">
      <formula>1</formula>
    </cfRule>
    <cfRule type="cellIs" dxfId="22180" priority="2622" operator="lessThan">
      <formula>0.8</formula>
    </cfRule>
  </conditionalFormatting>
  <conditionalFormatting sqref="P83">
    <cfRule type="cellIs" dxfId="22179" priority="2620" operator="greaterThan">
      <formula>0</formula>
    </cfRule>
  </conditionalFormatting>
  <conditionalFormatting sqref="Q83">
    <cfRule type="cellIs" dxfId="22178" priority="2619" operator="lessThan">
      <formula>0</formula>
    </cfRule>
  </conditionalFormatting>
  <conditionalFormatting sqref="R83">
    <cfRule type="cellIs" dxfId="22177" priority="2617" operator="lessThan">
      <formula>0.8</formula>
    </cfRule>
    <cfRule type="cellIs" dxfId="22176" priority="2618" operator="greaterThan">
      <formula>1</formula>
    </cfRule>
  </conditionalFormatting>
  <conditionalFormatting sqref="R83">
    <cfRule type="cellIs" dxfId="22175" priority="2615" operator="greaterThan">
      <formula>1</formula>
    </cfRule>
    <cfRule type="cellIs" dxfId="22174" priority="2616" operator="lessThan">
      <formula>0.8</formula>
    </cfRule>
  </conditionalFormatting>
  <conditionalFormatting sqref="P83">
    <cfRule type="cellIs" dxfId="22173" priority="2614" operator="greaterThan">
      <formula>0</formula>
    </cfRule>
  </conditionalFormatting>
  <conditionalFormatting sqref="Q83">
    <cfRule type="cellIs" dxfId="22172" priority="2613" operator="lessThan">
      <formula>0</formula>
    </cfRule>
  </conditionalFormatting>
  <conditionalFormatting sqref="R83">
    <cfRule type="cellIs" dxfId="22171" priority="2611" operator="lessThan">
      <formula>0.8</formula>
    </cfRule>
    <cfRule type="cellIs" dxfId="22170" priority="2612" operator="greaterThan">
      <formula>1</formula>
    </cfRule>
  </conditionalFormatting>
  <conditionalFormatting sqref="R83">
    <cfRule type="cellIs" dxfId="22169" priority="2609" operator="greaterThan">
      <formula>1</formula>
    </cfRule>
    <cfRule type="cellIs" dxfId="22168" priority="2610" operator="lessThan">
      <formula>0.8</formula>
    </cfRule>
  </conditionalFormatting>
  <conditionalFormatting sqref="P83">
    <cfRule type="cellIs" dxfId="22167" priority="2608" operator="greaterThan">
      <formula>0</formula>
    </cfRule>
  </conditionalFormatting>
  <conditionalFormatting sqref="Q83">
    <cfRule type="cellIs" dxfId="22166" priority="2607" operator="lessThan">
      <formula>0</formula>
    </cfRule>
  </conditionalFormatting>
  <conditionalFormatting sqref="R83">
    <cfRule type="cellIs" dxfId="22165" priority="2605" operator="lessThan">
      <formula>0.8</formula>
    </cfRule>
    <cfRule type="cellIs" dxfId="22164" priority="2606" operator="greaterThan">
      <formula>1</formula>
    </cfRule>
  </conditionalFormatting>
  <conditionalFormatting sqref="R83">
    <cfRule type="cellIs" dxfId="22163" priority="2603" operator="greaterThan">
      <formula>1</formula>
    </cfRule>
    <cfRule type="cellIs" dxfId="22162" priority="2604" operator="lessThan">
      <formula>0.8</formula>
    </cfRule>
  </conditionalFormatting>
  <conditionalFormatting sqref="P83">
    <cfRule type="cellIs" dxfId="22161" priority="2602" operator="greaterThan">
      <formula>0</formula>
    </cfRule>
  </conditionalFormatting>
  <conditionalFormatting sqref="Q83">
    <cfRule type="cellIs" dxfId="22160" priority="2601" operator="lessThan">
      <formula>0</formula>
    </cfRule>
  </conditionalFormatting>
  <conditionalFormatting sqref="R83">
    <cfRule type="cellIs" dxfId="22159" priority="2599" operator="lessThan">
      <formula>0.8</formula>
    </cfRule>
    <cfRule type="cellIs" dxfId="22158" priority="2600" operator="greaterThan">
      <formula>1</formula>
    </cfRule>
  </conditionalFormatting>
  <conditionalFormatting sqref="R83">
    <cfRule type="cellIs" dxfId="22157" priority="2597" operator="greaterThan">
      <formula>1</formula>
    </cfRule>
    <cfRule type="cellIs" dxfId="22156" priority="2598" operator="lessThan">
      <formula>0.8</formula>
    </cfRule>
  </conditionalFormatting>
  <conditionalFormatting sqref="P83">
    <cfRule type="cellIs" dxfId="22155" priority="2596" operator="greaterThan">
      <formula>0</formula>
    </cfRule>
  </conditionalFormatting>
  <conditionalFormatting sqref="P83">
    <cfRule type="cellIs" dxfId="22154" priority="2590" operator="greaterThan">
      <formula>0</formula>
    </cfRule>
  </conditionalFormatting>
  <conditionalFormatting sqref="Q83">
    <cfRule type="cellIs" dxfId="22153" priority="2595" operator="lessThan">
      <formula>0</formula>
    </cfRule>
  </conditionalFormatting>
  <conditionalFormatting sqref="R83">
    <cfRule type="cellIs" dxfId="22152" priority="2593" operator="lessThan">
      <formula>0.8</formula>
    </cfRule>
    <cfRule type="cellIs" dxfId="22151" priority="2594" operator="greaterThan">
      <formula>1</formula>
    </cfRule>
  </conditionalFormatting>
  <conditionalFormatting sqref="R83">
    <cfRule type="cellIs" dxfId="22150" priority="2591" operator="greaterThan">
      <formula>1</formula>
    </cfRule>
    <cfRule type="cellIs" dxfId="22149" priority="2592" operator="lessThan">
      <formula>0.8</formula>
    </cfRule>
  </conditionalFormatting>
  <conditionalFormatting sqref="P83">
    <cfRule type="cellIs" dxfId="22148" priority="2584" operator="greaterThan">
      <formula>0</formula>
    </cfRule>
  </conditionalFormatting>
  <conditionalFormatting sqref="Q83">
    <cfRule type="cellIs" dxfId="22147" priority="2589" operator="lessThan">
      <formula>0</formula>
    </cfRule>
  </conditionalFormatting>
  <conditionalFormatting sqref="R83">
    <cfRule type="cellIs" dxfId="22146" priority="2587" operator="lessThan">
      <formula>0.8</formula>
    </cfRule>
    <cfRule type="cellIs" dxfId="22145" priority="2588" operator="greaterThan">
      <formula>1</formula>
    </cfRule>
  </conditionalFormatting>
  <conditionalFormatting sqref="R83">
    <cfRule type="cellIs" dxfId="22144" priority="2585" operator="greaterThan">
      <formula>1</formula>
    </cfRule>
    <cfRule type="cellIs" dxfId="22143" priority="2586" operator="lessThan">
      <formula>0.8</formula>
    </cfRule>
  </conditionalFormatting>
  <conditionalFormatting sqref="R83">
    <cfRule type="cellIs" dxfId="22142" priority="2581" operator="lessThan">
      <formula>0.8</formula>
    </cfRule>
    <cfRule type="cellIs" dxfId="22141" priority="2582" operator="greaterThan">
      <formula>1</formula>
    </cfRule>
  </conditionalFormatting>
  <conditionalFormatting sqref="R83">
    <cfRule type="cellIs" dxfId="22140" priority="2579" operator="greaterThan">
      <formula>1</formula>
    </cfRule>
    <cfRule type="cellIs" dxfId="22139" priority="2580" operator="lessThan">
      <formula>0.8</formula>
    </cfRule>
  </conditionalFormatting>
  <conditionalFormatting sqref="P83">
    <cfRule type="cellIs" dxfId="22138" priority="2578" operator="greaterThan">
      <formula>0</formula>
    </cfRule>
  </conditionalFormatting>
  <conditionalFormatting sqref="Q83">
    <cfRule type="cellIs" dxfId="22137" priority="2583" operator="lessThan">
      <formula>0</formula>
    </cfRule>
  </conditionalFormatting>
  <conditionalFormatting sqref="P123 P125:P126 P131 P128:P129">
    <cfRule type="cellIs" dxfId="22136" priority="2572" operator="greaterThan">
      <formula>0</formula>
    </cfRule>
  </conditionalFormatting>
  <conditionalFormatting sqref="Q123 Q125:Q126 Q131 Q128:Q129">
    <cfRule type="cellIs" dxfId="22135" priority="2577" operator="lessThan">
      <formula>0</formula>
    </cfRule>
  </conditionalFormatting>
  <conditionalFormatting sqref="R123 R125:R126 R131 R128:R129">
    <cfRule type="cellIs" dxfId="22134" priority="2575" operator="lessThan">
      <formula>0.8</formula>
    </cfRule>
    <cfRule type="cellIs" dxfId="22133" priority="2576" operator="greaterThan">
      <formula>1</formula>
    </cfRule>
  </conditionalFormatting>
  <conditionalFormatting sqref="R123 R125:R126 R131 R128:R129">
    <cfRule type="cellIs" dxfId="22132" priority="2573" operator="greaterThan">
      <formula>1</formula>
    </cfRule>
    <cfRule type="cellIs" dxfId="22131" priority="2574" operator="lessThan">
      <formula>0.8</formula>
    </cfRule>
  </conditionalFormatting>
  <conditionalFormatting sqref="Q123 Q125:Q126 Q131 Q128:Q129">
    <cfRule type="cellIs" dxfId="22130" priority="2571" operator="lessThan">
      <formula>0</formula>
    </cfRule>
  </conditionalFormatting>
  <conditionalFormatting sqref="R123 R125:R126 R131 R128:R129">
    <cfRule type="cellIs" dxfId="22129" priority="2569" operator="lessThan">
      <formula>0.8</formula>
    </cfRule>
    <cfRule type="cellIs" dxfId="22128" priority="2570" operator="greaterThan">
      <formula>1</formula>
    </cfRule>
  </conditionalFormatting>
  <conditionalFormatting sqref="R123 R125:R126 R131 R128:R129">
    <cfRule type="cellIs" dxfId="22127" priority="2567" operator="greaterThan">
      <formula>1</formula>
    </cfRule>
    <cfRule type="cellIs" dxfId="22126" priority="2568" operator="lessThan">
      <formula>0.8</formula>
    </cfRule>
  </conditionalFormatting>
  <conditionalFormatting sqref="P123 P125:P126 P131 P128:P129">
    <cfRule type="cellIs" dxfId="22125" priority="2566" operator="greaterThan">
      <formula>0</formula>
    </cfRule>
  </conditionalFormatting>
  <conditionalFormatting sqref="Q31">
    <cfRule type="cellIs" dxfId="22124" priority="2565" operator="lessThan">
      <formula>0</formula>
    </cfRule>
  </conditionalFormatting>
  <conditionalFormatting sqref="R31">
    <cfRule type="cellIs" dxfId="22123" priority="2563" operator="lessThan">
      <formula>0.8</formula>
    </cfRule>
    <cfRule type="cellIs" dxfId="22122" priority="2564" operator="greaterThan">
      <formula>1</formula>
    </cfRule>
  </conditionalFormatting>
  <conditionalFormatting sqref="R31">
    <cfRule type="cellIs" dxfId="22121" priority="2561" operator="greaterThan">
      <formula>1</formula>
    </cfRule>
    <cfRule type="cellIs" dxfId="22120" priority="2562" operator="lessThan">
      <formula>0.8</formula>
    </cfRule>
  </conditionalFormatting>
  <conditionalFormatting sqref="P31">
    <cfRule type="cellIs" dxfId="22119" priority="2560" operator="greaterThan">
      <formula>0</formula>
    </cfRule>
  </conditionalFormatting>
  <conditionalFormatting sqref="Q31">
    <cfRule type="cellIs" dxfId="22118" priority="2559" operator="lessThan">
      <formula>0</formula>
    </cfRule>
  </conditionalFormatting>
  <conditionalFormatting sqref="R31">
    <cfRule type="cellIs" dxfId="22117" priority="2557" operator="lessThan">
      <formula>0.8</formula>
    </cfRule>
    <cfRule type="cellIs" dxfId="22116" priority="2558" operator="greaterThan">
      <formula>1</formula>
    </cfRule>
  </conditionalFormatting>
  <conditionalFormatting sqref="R31">
    <cfRule type="cellIs" dxfId="22115" priority="2555" operator="greaterThan">
      <formula>1</formula>
    </cfRule>
    <cfRule type="cellIs" dxfId="22114" priority="2556" operator="lessThan">
      <formula>0.8</formula>
    </cfRule>
  </conditionalFormatting>
  <conditionalFormatting sqref="P31">
    <cfRule type="cellIs" dxfId="22113" priority="2554" operator="greaterThan">
      <formula>0</formula>
    </cfRule>
  </conditionalFormatting>
  <conditionalFormatting sqref="Q31">
    <cfRule type="cellIs" dxfId="22112" priority="2553" operator="lessThan">
      <formula>0</formula>
    </cfRule>
  </conditionalFormatting>
  <conditionalFormatting sqref="R31">
    <cfRule type="cellIs" dxfId="22111" priority="2551" operator="lessThan">
      <formula>0.8</formula>
    </cfRule>
    <cfRule type="cellIs" dxfId="22110" priority="2552" operator="greaterThan">
      <formula>1</formula>
    </cfRule>
  </conditionalFormatting>
  <conditionalFormatting sqref="R31">
    <cfRule type="cellIs" dxfId="22109" priority="2549" operator="greaterThan">
      <formula>1</formula>
    </cfRule>
    <cfRule type="cellIs" dxfId="22108" priority="2550" operator="lessThan">
      <formula>0.8</formula>
    </cfRule>
  </conditionalFormatting>
  <conditionalFormatting sqref="P31">
    <cfRule type="cellIs" dxfId="22107" priority="2548" operator="greaterThan">
      <formula>0</formula>
    </cfRule>
  </conditionalFormatting>
  <conditionalFormatting sqref="Q31">
    <cfRule type="cellIs" dxfId="22106" priority="2547" operator="lessThan">
      <formula>0</formula>
    </cfRule>
  </conditionalFormatting>
  <conditionalFormatting sqref="R31">
    <cfRule type="cellIs" dxfId="22105" priority="2545" operator="lessThan">
      <formula>0.8</formula>
    </cfRule>
    <cfRule type="cellIs" dxfId="22104" priority="2546" operator="greaterThan">
      <formula>1</formula>
    </cfRule>
  </conditionalFormatting>
  <conditionalFormatting sqref="R31">
    <cfRule type="cellIs" dxfId="22103" priority="2543" operator="greaterThan">
      <formula>1</formula>
    </cfRule>
    <cfRule type="cellIs" dxfId="22102" priority="2544" operator="lessThan">
      <formula>0.8</formula>
    </cfRule>
  </conditionalFormatting>
  <conditionalFormatting sqref="P31">
    <cfRule type="cellIs" dxfId="22101" priority="2542" operator="greaterThan">
      <formula>0</formula>
    </cfRule>
  </conditionalFormatting>
  <conditionalFormatting sqref="P31">
    <cfRule type="cellIs" dxfId="22100" priority="2536" operator="greaterThan">
      <formula>0</formula>
    </cfRule>
  </conditionalFormatting>
  <conditionalFormatting sqref="Q31">
    <cfRule type="cellIs" dxfId="22099" priority="2541" operator="lessThan">
      <formula>0</formula>
    </cfRule>
  </conditionalFormatting>
  <conditionalFormatting sqref="R31">
    <cfRule type="cellIs" dxfId="22098" priority="2539" operator="lessThan">
      <formula>0.8</formula>
    </cfRule>
    <cfRule type="cellIs" dxfId="22097" priority="2540" operator="greaterThan">
      <formula>1</formula>
    </cfRule>
  </conditionalFormatting>
  <conditionalFormatting sqref="R31">
    <cfRule type="cellIs" dxfId="22096" priority="2537" operator="greaterThan">
      <formula>1</formula>
    </cfRule>
    <cfRule type="cellIs" dxfId="22095" priority="2538" operator="lessThan">
      <formula>0.8</formula>
    </cfRule>
  </conditionalFormatting>
  <conditionalFormatting sqref="P31">
    <cfRule type="cellIs" dxfId="22094" priority="2530" operator="greaterThan">
      <formula>0</formula>
    </cfRule>
  </conditionalFormatting>
  <conditionalFormatting sqref="Q31">
    <cfRule type="cellIs" dxfId="22093" priority="2535" operator="lessThan">
      <formula>0</formula>
    </cfRule>
  </conditionalFormatting>
  <conditionalFormatting sqref="R31">
    <cfRule type="cellIs" dxfId="22092" priority="2533" operator="lessThan">
      <formula>0.8</formula>
    </cfRule>
    <cfRule type="cellIs" dxfId="22091" priority="2534" operator="greaterThan">
      <formula>1</formula>
    </cfRule>
  </conditionalFormatting>
  <conditionalFormatting sqref="R31">
    <cfRule type="cellIs" dxfId="22090" priority="2531" operator="greaterThan">
      <formula>1</formula>
    </cfRule>
    <cfRule type="cellIs" dxfId="22089" priority="2532" operator="lessThan">
      <formula>0.8</formula>
    </cfRule>
  </conditionalFormatting>
  <conditionalFormatting sqref="R31">
    <cfRule type="cellIs" dxfId="22088" priority="2527" operator="lessThan">
      <formula>0.8</formula>
    </cfRule>
    <cfRule type="cellIs" dxfId="22087" priority="2528" operator="greaterThan">
      <formula>1</formula>
    </cfRule>
  </conditionalFormatting>
  <conditionalFormatting sqref="R31">
    <cfRule type="cellIs" dxfId="22086" priority="2525" operator="greaterThan">
      <formula>1</formula>
    </cfRule>
    <cfRule type="cellIs" dxfId="22085" priority="2526" operator="lessThan">
      <formula>0.8</formula>
    </cfRule>
  </conditionalFormatting>
  <conditionalFormatting sqref="P31">
    <cfRule type="cellIs" dxfId="22084" priority="2524" operator="greaterThan">
      <formula>0</formula>
    </cfRule>
  </conditionalFormatting>
  <conditionalFormatting sqref="Q31">
    <cfRule type="cellIs" dxfId="22083" priority="2529" operator="lessThan">
      <formula>0</formula>
    </cfRule>
  </conditionalFormatting>
  <conditionalFormatting sqref="Q31">
    <cfRule type="cellIs" dxfId="22082" priority="2523" operator="lessThan">
      <formula>0</formula>
    </cfRule>
  </conditionalFormatting>
  <conditionalFormatting sqref="R31">
    <cfRule type="cellIs" dxfId="22081" priority="2521" operator="lessThan">
      <formula>0.8</formula>
    </cfRule>
    <cfRule type="cellIs" dxfId="22080" priority="2522" operator="greaterThan">
      <formula>1</formula>
    </cfRule>
  </conditionalFormatting>
  <conditionalFormatting sqref="R31">
    <cfRule type="cellIs" dxfId="22079" priority="2519" operator="greaterThan">
      <formula>1</formula>
    </cfRule>
    <cfRule type="cellIs" dxfId="22078" priority="2520" operator="lessThan">
      <formula>0.8</formula>
    </cfRule>
  </conditionalFormatting>
  <conditionalFormatting sqref="P31">
    <cfRule type="cellIs" dxfId="22077" priority="2518" operator="greaterThan">
      <formula>0</formula>
    </cfRule>
  </conditionalFormatting>
  <conditionalFormatting sqref="P31">
    <cfRule type="cellIs" dxfId="22076" priority="2512" operator="greaterThan">
      <formula>0</formula>
    </cfRule>
  </conditionalFormatting>
  <conditionalFormatting sqref="Q31">
    <cfRule type="cellIs" dxfId="22075" priority="2517" operator="lessThan">
      <formula>0</formula>
    </cfRule>
  </conditionalFormatting>
  <conditionalFormatting sqref="R31">
    <cfRule type="cellIs" dxfId="22074" priority="2515" operator="lessThan">
      <formula>0.8</formula>
    </cfRule>
    <cfRule type="cellIs" dxfId="22073" priority="2516" operator="greaterThan">
      <formula>1</formula>
    </cfRule>
  </conditionalFormatting>
  <conditionalFormatting sqref="R31">
    <cfRule type="cellIs" dxfId="22072" priority="2513" operator="greaterThan">
      <formula>1</formula>
    </cfRule>
    <cfRule type="cellIs" dxfId="22071" priority="2514" operator="lessThan">
      <formula>0.8</formula>
    </cfRule>
  </conditionalFormatting>
  <conditionalFormatting sqref="P31">
    <cfRule type="cellIs" dxfId="22070" priority="2506" operator="greaterThan">
      <formula>0</formula>
    </cfRule>
  </conditionalFormatting>
  <conditionalFormatting sqref="Q31">
    <cfRule type="cellIs" dxfId="22069" priority="2511" operator="lessThan">
      <formula>0</formula>
    </cfRule>
  </conditionalFormatting>
  <conditionalFormatting sqref="R31">
    <cfRule type="cellIs" dxfId="22068" priority="2509" operator="lessThan">
      <formula>0.8</formula>
    </cfRule>
    <cfRule type="cellIs" dxfId="22067" priority="2510" operator="greaterThan">
      <formula>1</formula>
    </cfRule>
  </conditionalFormatting>
  <conditionalFormatting sqref="R31">
    <cfRule type="cellIs" dxfId="22066" priority="2507" operator="greaterThan">
      <formula>1</formula>
    </cfRule>
    <cfRule type="cellIs" dxfId="22065" priority="2508" operator="lessThan">
      <formula>0.8</formula>
    </cfRule>
  </conditionalFormatting>
  <conditionalFormatting sqref="R31">
    <cfRule type="cellIs" dxfId="22064" priority="2503" operator="lessThan">
      <formula>0.8</formula>
    </cfRule>
    <cfRule type="cellIs" dxfId="22063" priority="2504" operator="greaterThan">
      <formula>1</formula>
    </cfRule>
  </conditionalFormatting>
  <conditionalFormatting sqref="R31">
    <cfRule type="cellIs" dxfId="22062" priority="2501" operator="greaterThan">
      <formula>1</formula>
    </cfRule>
    <cfRule type="cellIs" dxfId="22061" priority="2502" operator="lessThan">
      <formula>0.8</formula>
    </cfRule>
  </conditionalFormatting>
  <conditionalFormatting sqref="P31">
    <cfRule type="cellIs" dxfId="22060" priority="2500" operator="greaterThan">
      <formula>0</formula>
    </cfRule>
  </conditionalFormatting>
  <conditionalFormatting sqref="Q31">
    <cfRule type="cellIs" dxfId="22059" priority="2505" operator="lessThan">
      <formula>0</formula>
    </cfRule>
  </conditionalFormatting>
  <conditionalFormatting sqref="P31">
    <cfRule type="cellIs" dxfId="22058" priority="2494" operator="greaterThan">
      <formula>0</formula>
    </cfRule>
  </conditionalFormatting>
  <conditionalFormatting sqref="Q31">
    <cfRule type="cellIs" dxfId="22057" priority="2499" operator="lessThan">
      <formula>0</formula>
    </cfRule>
  </conditionalFormatting>
  <conditionalFormatting sqref="R31">
    <cfRule type="cellIs" dxfId="22056" priority="2497" operator="lessThan">
      <formula>0.8</formula>
    </cfRule>
    <cfRule type="cellIs" dxfId="22055" priority="2498" operator="greaterThan">
      <formula>1</formula>
    </cfRule>
  </conditionalFormatting>
  <conditionalFormatting sqref="R31">
    <cfRule type="cellIs" dxfId="22054" priority="2495" operator="greaterThan">
      <formula>1</formula>
    </cfRule>
    <cfRule type="cellIs" dxfId="22053" priority="2496" operator="lessThan">
      <formula>0.8</formula>
    </cfRule>
  </conditionalFormatting>
  <conditionalFormatting sqref="R31">
    <cfRule type="cellIs" dxfId="22052" priority="2491" operator="lessThan">
      <formula>0.8</formula>
    </cfRule>
    <cfRule type="cellIs" dxfId="22051" priority="2492" operator="greaterThan">
      <formula>1</formula>
    </cfRule>
  </conditionalFormatting>
  <conditionalFormatting sqref="R31">
    <cfRule type="cellIs" dxfId="22050" priority="2489" operator="greaterThan">
      <formula>1</formula>
    </cfRule>
    <cfRule type="cellIs" dxfId="22049" priority="2490" operator="lessThan">
      <formula>0.8</formula>
    </cfRule>
  </conditionalFormatting>
  <conditionalFormatting sqref="P31">
    <cfRule type="cellIs" dxfId="22048" priority="2488" operator="greaterThan">
      <formula>0</formula>
    </cfRule>
  </conditionalFormatting>
  <conditionalFormatting sqref="Q31">
    <cfRule type="cellIs" dxfId="22047" priority="2493" operator="lessThan">
      <formula>0</formula>
    </cfRule>
  </conditionalFormatting>
  <conditionalFormatting sqref="R31">
    <cfRule type="cellIs" dxfId="22046" priority="2485" operator="lessThan">
      <formula>0.8</formula>
    </cfRule>
    <cfRule type="cellIs" dxfId="22045" priority="2486" operator="greaterThan">
      <formula>1</formula>
    </cfRule>
  </conditionalFormatting>
  <conditionalFormatting sqref="R31">
    <cfRule type="cellIs" dxfId="22044" priority="2483" operator="greaterThan">
      <formula>1</formula>
    </cfRule>
    <cfRule type="cellIs" dxfId="22043" priority="2484" operator="lessThan">
      <formula>0.8</formula>
    </cfRule>
  </conditionalFormatting>
  <conditionalFormatting sqref="P31">
    <cfRule type="cellIs" dxfId="22042" priority="2482" operator="greaterThan">
      <formula>0</formula>
    </cfRule>
  </conditionalFormatting>
  <conditionalFormatting sqref="Q31">
    <cfRule type="cellIs" dxfId="22041" priority="2487" operator="lessThan">
      <formula>0</formula>
    </cfRule>
  </conditionalFormatting>
  <conditionalFormatting sqref="Q31">
    <cfRule type="cellIs" dxfId="22040" priority="2481" operator="lessThan">
      <formula>0</formula>
    </cfRule>
  </conditionalFormatting>
  <conditionalFormatting sqref="R31">
    <cfRule type="cellIs" dxfId="22039" priority="2479" operator="lessThan">
      <formula>0.8</formula>
    </cfRule>
    <cfRule type="cellIs" dxfId="22038" priority="2480" operator="greaterThan">
      <formula>1</formula>
    </cfRule>
  </conditionalFormatting>
  <conditionalFormatting sqref="R31">
    <cfRule type="cellIs" dxfId="22037" priority="2477" operator="greaterThan">
      <formula>1</formula>
    </cfRule>
    <cfRule type="cellIs" dxfId="22036" priority="2478" operator="lessThan">
      <formula>0.8</formula>
    </cfRule>
  </conditionalFormatting>
  <conditionalFormatting sqref="P31">
    <cfRule type="cellIs" dxfId="22035" priority="2476" operator="greaterThan">
      <formula>0</formula>
    </cfRule>
  </conditionalFormatting>
  <conditionalFormatting sqref="Q31">
    <cfRule type="cellIs" dxfId="22034" priority="2470" operator="lessThan">
      <formula>0</formula>
    </cfRule>
  </conditionalFormatting>
  <conditionalFormatting sqref="R31">
    <cfRule type="cellIs" dxfId="22033" priority="2474" operator="lessThan">
      <formula>0.8</formula>
    </cfRule>
    <cfRule type="cellIs" dxfId="22032" priority="2475" operator="greaterThan">
      <formula>1</formula>
    </cfRule>
  </conditionalFormatting>
  <conditionalFormatting sqref="R31">
    <cfRule type="cellIs" dxfId="22031" priority="2472" operator="greaterThan">
      <formula>1</formula>
    </cfRule>
    <cfRule type="cellIs" dxfId="22030" priority="2473" operator="lessThan">
      <formula>0.8</formula>
    </cfRule>
  </conditionalFormatting>
  <conditionalFormatting sqref="P31">
    <cfRule type="cellIs" dxfId="22029" priority="2471" operator="greaterThan">
      <formula>0</formula>
    </cfRule>
  </conditionalFormatting>
  <conditionalFormatting sqref="Q31">
    <cfRule type="cellIs" dxfId="22028" priority="2469" operator="lessThan">
      <formula>0</formula>
    </cfRule>
  </conditionalFormatting>
  <conditionalFormatting sqref="R31">
    <cfRule type="cellIs" dxfId="22027" priority="2467" operator="lessThan">
      <formula>0.8</formula>
    </cfRule>
    <cfRule type="cellIs" dxfId="22026" priority="2468" operator="greaterThan">
      <formula>1</formula>
    </cfRule>
  </conditionalFormatting>
  <conditionalFormatting sqref="R31">
    <cfRule type="cellIs" dxfId="22025" priority="2465" operator="greaterThan">
      <formula>1</formula>
    </cfRule>
    <cfRule type="cellIs" dxfId="22024" priority="2466" operator="lessThan">
      <formula>0.8</formula>
    </cfRule>
  </conditionalFormatting>
  <conditionalFormatting sqref="P31">
    <cfRule type="cellIs" dxfId="22023" priority="2464" operator="greaterThan">
      <formula>0</formula>
    </cfRule>
  </conditionalFormatting>
  <conditionalFormatting sqref="Q31">
    <cfRule type="cellIs" dxfId="22022" priority="2463" operator="lessThan">
      <formula>0</formula>
    </cfRule>
  </conditionalFormatting>
  <conditionalFormatting sqref="R31">
    <cfRule type="cellIs" dxfId="22021" priority="2461" operator="lessThan">
      <formula>0.8</formula>
    </cfRule>
    <cfRule type="cellIs" dxfId="22020" priority="2462" operator="greaterThan">
      <formula>1</formula>
    </cfRule>
  </conditionalFormatting>
  <conditionalFormatting sqref="R31">
    <cfRule type="cellIs" dxfId="22019" priority="2459" operator="greaterThan">
      <formula>1</formula>
    </cfRule>
    <cfRule type="cellIs" dxfId="22018" priority="2460" operator="lessThan">
      <formula>0.8</formula>
    </cfRule>
  </conditionalFormatting>
  <conditionalFormatting sqref="P31">
    <cfRule type="cellIs" dxfId="22017" priority="2458" operator="greaterThan">
      <formula>0</formula>
    </cfRule>
  </conditionalFormatting>
  <conditionalFormatting sqref="Q31">
    <cfRule type="cellIs" dxfId="22016" priority="2457" operator="lessThan">
      <formula>0</formula>
    </cfRule>
  </conditionalFormatting>
  <conditionalFormatting sqref="R31">
    <cfRule type="cellIs" dxfId="22015" priority="2455" operator="lessThan">
      <formula>0.8</formula>
    </cfRule>
    <cfRule type="cellIs" dxfId="22014" priority="2456" operator="greaterThan">
      <formula>1</formula>
    </cfRule>
  </conditionalFormatting>
  <conditionalFormatting sqref="R31">
    <cfRule type="cellIs" dxfId="22013" priority="2453" operator="greaterThan">
      <formula>1</formula>
    </cfRule>
    <cfRule type="cellIs" dxfId="22012" priority="2454" operator="lessThan">
      <formula>0.8</formula>
    </cfRule>
  </conditionalFormatting>
  <conditionalFormatting sqref="P31">
    <cfRule type="cellIs" dxfId="22011" priority="2452" operator="greaterThan">
      <formula>0</formula>
    </cfRule>
  </conditionalFormatting>
  <conditionalFormatting sqref="Q31">
    <cfRule type="cellIs" dxfId="22010" priority="2451" operator="lessThan">
      <formula>0</formula>
    </cfRule>
  </conditionalFormatting>
  <conditionalFormatting sqref="R31">
    <cfRule type="cellIs" dxfId="22009" priority="2449" operator="lessThan">
      <formula>0.8</formula>
    </cfRule>
    <cfRule type="cellIs" dxfId="22008" priority="2450" operator="greaterThan">
      <formula>1</formula>
    </cfRule>
  </conditionalFormatting>
  <conditionalFormatting sqref="R31">
    <cfRule type="cellIs" dxfId="22007" priority="2447" operator="greaterThan">
      <formula>1</formula>
    </cfRule>
    <cfRule type="cellIs" dxfId="22006" priority="2448" operator="lessThan">
      <formula>0.8</formula>
    </cfRule>
  </conditionalFormatting>
  <conditionalFormatting sqref="P31">
    <cfRule type="cellIs" dxfId="22005" priority="2446" operator="greaterThan">
      <formula>0</formula>
    </cfRule>
  </conditionalFormatting>
  <conditionalFormatting sqref="Q31">
    <cfRule type="cellIs" dxfId="22004" priority="2445" operator="lessThan">
      <formula>0</formula>
    </cfRule>
  </conditionalFormatting>
  <conditionalFormatting sqref="R31">
    <cfRule type="cellIs" dxfId="22003" priority="2443" operator="lessThan">
      <formula>0.8</formula>
    </cfRule>
    <cfRule type="cellIs" dxfId="22002" priority="2444" operator="greaterThan">
      <formula>1</formula>
    </cfRule>
  </conditionalFormatting>
  <conditionalFormatting sqref="R31">
    <cfRule type="cellIs" dxfId="22001" priority="2441" operator="greaterThan">
      <formula>1</formula>
    </cfRule>
    <cfRule type="cellIs" dxfId="22000" priority="2442" operator="lessThan">
      <formula>0.8</formula>
    </cfRule>
  </conditionalFormatting>
  <conditionalFormatting sqref="P31">
    <cfRule type="cellIs" dxfId="21999" priority="2440" operator="greaterThan">
      <formula>0</formula>
    </cfRule>
  </conditionalFormatting>
  <conditionalFormatting sqref="P31">
    <cfRule type="cellIs" dxfId="21998" priority="2434" operator="greaterThan">
      <formula>0</formula>
    </cfRule>
  </conditionalFormatting>
  <conditionalFormatting sqref="Q31">
    <cfRule type="cellIs" dxfId="21997" priority="2439" operator="lessThan">
      <formula>0</formula>
    </cfRule>
  </conditionalFormatting>
  <conditionalFormatting sqref="R31">
    <cfRule type="cellIs" dxfId="21996" priority="2437" operator="lessThan">
      <formula>0.8</formula>
    </cfRule>
    <cfRule type="cellIs" dxfId="21995" priority="2438" operator="greaterThan">
      <formula>1</formula>
    </cfRule>
  </conditionalFormatting>
  <conditionalFormatting sqref="R31">
    <cfRule type="cellIs" dxfId="21994" priority="2435" operator="greaterThan">
      <formula>1</formula>
    </cfRule>
    <cfRule type="cellIs" dxfId="21993" priority="2436" operator="lessThan">
      <formula>0.8</formula>
    </cfRule>
  </conditionalFormatting>
  <conditionalFormatting sqref="P31">
    <cfRule type="cellIs" dxfId="21992" priority="2428" operator="greaterThan">
      <formula>0</formula>
    </cfRule>
  </conditionalFormatting>
  <conditionalFormatting sqref="Q31">
    <cfRule type="cellIs" dxfId="21991" priority="2433" operator="lessThan">
      <formula>0</formula>
    </cfRule>
  </conditionalFormatting>
  <conditionalFormatting sqref="R31">
    <cfRule type="cellIs" dxfId="21990" priority="2431" operator="lessThan">
      <formula>0.8</formula>
    </cfRule>
    <cfRule type="cellIs" dxfId="21989" priority="2432" operator="greaterThan">
      <formula>1</formula>
    </cfRule>
  </conditionalFormatting>
  <conditionalFormatting sqref="R31">
    <cfRule type="cellIs" dxfId="21988" priority="2429" operator="greaterThan">
      <formula>1</formula>
    </cfRule>
    <cfRule type="cellIs" dxfId="21987" priority="2430" operator="lessThan">
      <formula>0.8</formula>
    </cfRule>
  </conditionalFormatting>
  <conditionalFormatting sqref="R31">
    <cfRule type="cellIs" dxfId="21986" priority="2425" operator="lessThan">
      <formula>0.8</formula>
    </cfRule>
    <cfRule type="cellIs" dxfId="21985" priority="2426" operator="greaterThan">
      <formula>1</formula>
    </cfRule>
  </conditionalFormatting>
  <conditionalFormatting sqref="R31">
    <cfRule type="cellIs" dxfId="21984" priority="2423" operator="greaterThan">
      <formula>1</formula>
    </cfRule>
    <cfRule type="cellIs" dxfId="21983" priority="2424" operator="lessThan">
      <formula>0.8</formula>
    </cfRule>
  </conditionalFormatting>
  <conditionalFormatting sqref="P31">
    <cfRule type="cellIs" dxfId="21982" priority="2422" operator="greaterThan">
      <formula>0</formula>
    </cfRule>
  </conditionalFormatting>
  <conditionalFormatting sqref="Q31">
    <cfRule type="cellIs" dxfId="21981" priority="2427" operator="lessThan">
      <formula>0</formula>
    </cfRule>
  </conditionalFormatting>
  <conditionalFormatting sqref="Q31">
    <cfRule type="cellIs" dxfId="21980" priority="2421" operator="lessThan">
      <formula>0</formula>
    </cfRule>
  </conditionalFormatting>
  <conditionalFormatting sqref="R31">
    <cfRule type="cellIs" dxfId="21979" priority="2419" operator="lessThan">
      <formula>0.8</formula>
    </cfRule>
    <cfRule type="cellIs" dxfId="21978" priority="2420" operator="greaterThan">
      <formula>1</formula>
    </cfRule>
  </conditionalFormatting>
  <conditionalFormatting sqref="R31">
    <cfRule type="cellIs" dxfId="21977" priority="2417" operator="greaterThan">
      <formula>1</formula>
    </cfRule>
    <cfRule type="cellIs" dxfId="21976" priority="2418" operator="lessThan">
      <formula>0.8</formula>
    </cfRule>
  </conditionalFormatting>
  <conditionalFormatting sqref="P31">
    <cfRule type="cellIs" dxfId="21975" priority="2416" operator="greaterThan">
      <formula>0</formula>
    </cfRule>
  </conditionalFormatting>
  <conditionalFormatting sqref="Q31">
    <cfRule type="cellIs" dxfId="21974" priority="2415" operator="lessThan">
      <formula>0</formula>
    </cfRule>
  </conditionalFormatting>
  <conditionalFormatting sqref="R31">
    <cfRule type="cellIs" dxfId="21973" priority="2413" operator="lessThan">
      <formula>0.8</formula>
    </cfRule>
    <cfRule type="cellIs" dxfId="21972" priority="2414" operator="greaterThan">
      <formula>1</formula>
    </cfRule>
  </conditionalFormatting>
  <conditionalFormatting sqref="R31">
    <cfRule type="cellIs" dxfId="21971" priority="2411" operator="greaterThan">
      <formula>1</formula>
    </cfRule>
    <cfRule type="cellIs" dxfId="21970" priority="2412" operator="lessThan">
      <formula>0.8</formula>
    </cfRule>
  </conditionalFormatting>
  <conditionalFormatting sqref="P31">
    <cfRule type="cellIs" dxfId="21969" priority="2410" operator="greaterThan">
      <formula>0</formula>
    </cfRule>
  </conditionalFormatting>
  <conditionalFormatting sqref="Q31">
    <cfRule type="cellIs" dxfId="21968" priority="2409" operator="lessThan">
      <formula>0</formula>
    </cfRule>
  </conditionalFormatting>
  <conditionalFormatting sqref="R31">
    <cfRule type="cellIs" dxfId="21967" priority="2407" operator="lessThan">
      <formula>0.8</formula>
    </cfRule>
    <cfRule type="cellIs" dxfId="21966" priority="2408" operator="greaterThan">
      <formula>1</formula>
    </cfRule>
  </conditionalFormatting>
  <conditionalFormatting sqref="R31">
    <cfRule type="cellIs" dxfId="21965" priority="2405" operator="greaterThan">
      <formula>1</formula>
    </cfRule>
    <cfRule type="cellIs" dxfId="21964" priority="2406" operator="lessThan">
      <formula>0.8</formula>
    </cfRule>
  </conditionalFormatting>
  <conditionalFormatting sqref="P31">
    <cfRule type="cellIs" dxfId="21963" priority="2404" operator="greaterThan">
      <formula>0</formula>
    </cfRule>
  </conditionalFormatting>
  <conditionalFormatting sqref="Q31">
    <cfRule type="cellIs" dxfId="21962" priority="2403" operator="lessThan">
      <formula>0</formula>
    </cfRule>
  </conditionalFormatting>
  <conditionalFormatting sqref="R31">
    <cfRule type="cellIs" dxfId="21961" priority="2401" operator="lessThan">
      <formula>0.8</formula>
    </cfRule>
    <cfRule type="cellIs" dxfId="21960" priority="2402" operator="greaterThan">
      <formula>1</formula>
    </cfRule>
  </conditionalFormatting>
  <conditionalFormatting sqref="R31">
    <cfRule type="cellIs" dxfId="21959" priority="2399" operator="greaterThan">
      <formula>1</formula>
    </cfRule>
    <cfRule type="cellIs" dxfId="21958" priority="2400" operator="lessThan">
      <formula>0.8</formula>
    </cfRule>
  </conditionalFormatting>
  <conditionalFormatting sqref="P31">
    <cfRule type="cellIs" dxfId="21957" priority="2398" operator="greaterThan">
      <formula>0</formula>
    </cfRule>
  </conditionalFormatting>
  <conditionalFormatting sqref="P31">
    <cfRule type="cellIs" dxfId="21956" priority="2392" operator="greaterThan">
      <formula>0</formula>
    </cfRule>
  </conditionalFormatting>
  <conditionalFormatting sqref="Q31">
    <cfRule type="cellIs" dxfId="21955" priority="2397" operator="lessThan">
      <formula>0</formula>
    </cfRule>
  </conditionalFormatting>
  <conditionalFormatting sqref="R31">
    <cfRule type="cellIs" dxfId="21954" priority="2395" operator="lessThan">
      <formula>0.8</formula>
    </cfRule>
    <cfRule type="cellIs" dxfId="21953" priority="2396" operator="greaterThan">
      <formula>1</formula>
    </cfRule>
  </conditionalFormatting>
  <conditionalFormatting sqref="R31">
    <cfRule type="cellIs" dxfId="21952" priority="2393" operator="greaterThan">
      <formula>1</formula>
    </cfRule>
    <cfRule type="cellIs" dxfId="21951" priority="2394" operator="lessThan">
      <formula>0.8</formula>
    </cfRule>
  </conditionalFormatting>
  <conditionalFormatting sqref="P31">
    <cfRule type="cellIs" dxfId="21950" priority="2386" operator="greaterThan">
      <formula>0</formula>
    </cfRule>
  </conditionalFormatting>
  <conditionalFormatting sqref="Q31">
    <cfRule type="cellIs" dxfId="21949" priority="2391" operator="lessThan">
      <formula>0</formula>
    </cfRule>
  </conditionalFormatting>
  <conditionalFormatting sqref="R31">
    <cfRule type="cellIs" dxfId="21948" priority="2389" operator="lessThan">
      <formula>0.8</formula>
    </cfRule>
    <cfRule type="cellIs" dxfId="21947" priority="2390" operator="greaterThan">
      <formula>1</formula>
    </cfRule>
  </conditionalFormatting>
  <conditionalFormatting sqref="R31">
    <cfRule type="cellIs" dxfId="21946" priority="2387" operator="greaterThan">
      <formula>1</formula>
    </cfRule>
    <cfRule type="cellIs" dxfId="21945" priority="2388" operator="lessThan">
      <formula>0.8</formula>
    </cfRule>
  </conditionalFormatting>
  <conditionalFormatting sqref="R31">
    <cfRule type="cellIs" dxfId="21944" priority="2383" operator="lessThan">
      <formula>0.8</formula>
    </cfRule>
    <cfRule type="cellIs" dxfId="21943" priority="2384" operator="greaterThan">
      <formula>1</formula>
    </cfRule>
  </conditionalFormatting>
  <conditionalFormatting sqref="R31">
    <cfRule type="cellIs" dxfId="21942" priority="2381" operator="greaterThan">
      <formula>1</formula>
    </cfRule>
    <cfRule type="cellIs" dxfId="21941" priority="2382" operator="lessThan">
      <formula>0.8</formula>
    </cfRule>
  </conditionalFormatting>
  <conditionalFormatting sqref="P31">
    <cfRule type="cellIs" dxfId="21940" priority="2380" operator="greaterThan">
      <formula>0</formula>
    </cfRule>
  </conditionalFormatting>
  <conditionalFormatting sqref="Q31">
    <cfRule type="cellIs" dxfId="21939" priority="2385" operator="lessThan">
      <formula>0</formula>
    </cfRule>
  </conditionalFormatting>
  <conditionalFormatting sqref="Q31">
    <cfRule type="cellIs" dxfId="21938" priority="2379" operator="lessThan">
      <formula>0</formula>
    </cfRule>
  </conditionalFormatting>
  <conditionalFormatting sqref="R31">
    <cfRule type="cellIs" dxfId="21937" priority="2377" operator="lessThan">
      <formula>0.8</formula>
    </cfRule>
    <cfRule type="cellIs" dxfId="21936" priority="2378" operator="greaterThan">
      <formula>1</formula>
    </cfRule>
  </conditionalFormatting>
  <conditionalFormatting sqref="R31">
    <cfRule type="cellIs" dxfId="21935" priority="2375" operator="greaterThan">
      <formula>1</formula>
    </cfRule>
    <cfRule type="cellIs" dxfId="21934" priority="2376" operator="lessThan">
      <formula>0.8</formula>
    </cfRule>
  </conditionalFormatting>
  <conditionalFormatting sqref="P31">
    <cfRule type="cellIs" dxfId="21933" priority="2374" operator="greaterThan">
      <formula>0</formula>
    </cfRule>
  </conditionalFormatting>
  <conditionalFormatting sqref="P31">
    <cfRule type="cellIs" dxfId="21932" priority="2368" operator="greaterThan">
      <formula>0</formula>
    </cfRule>
  </conditionalFormatting>
  <conditionalFormatting sqref="Q31">
    <cfRule type="cellIs" dxfId="21931" priority="2373" operator="lessThan">
      <formula>0</formula>
    </cfRule>
  </conditionalFormatting>
  <conditionalFormatting sqref="R31">
    <cfRule type="cellIs" dxfId="21930" priority="2371" operator="lessThan">
      <formula>0.8</formula>
    </cfRule>
    <cfRule type="cellIs" dxfId="21929" priority="2372" operator="greaterThan">
      <formula>1</formula>
    </cfRule>
  </conditionalFormatting>
  <conditionalFormatting sqref="R31">
    <cfRule type="cellIs" dxfId="21928" priority="2369" operator="greaterThan">
      <formula>1</formula>
    </cfRule>
    <cfRule type="cellIs" dxfId="21927" priority="2370" operator="lessThan">
      <formula>0.8</formula>
    </cfRule>
  </conditionalFormatting>
  <conditionalFormatting sqref="P31">
    <cfRule type="cellIs" dxfId="21926" priority="2362" operator="greaterThan">
      <formula>0</formula>
    </cfRule>
  </conditionalFormatting>
  <conditionalFormatting sqref="Q31">
    <cfRule type="cellIs" dxfId="21925" priority="2367" operator="lessThan">
      <formula>0</formula>
    </cfRule>
  </conditionalFormatting>
  <conditionalFormatting sqref="R31">
    <cfRule type="cellIs" dxfId="21924" priority="2365" operator="lessThan">
      <formula>0.8</formula>
    </cfRule>
    <cfRule type="cellIs" dxfId="21923" priority="2366" operator="greaterThan">
      <formula>1</formula>
    </cfRule>
  </conditionalFormatting>
  <conditionalFormatting sqref="R31">
    <cfRule type="cellIs" dxfId="21922" priority="2363" operator="greaterThan">
      <formula>1</formula>
    </cfRule>
    <cfRule type="cellIs" dxfId="21921" priority="2364" operator="lessThan">
      <formula>0.8</formula>
    </cfRule>
  </conditionalFormatting>
  <conditionalFormatting sqref="R31">
    <cfRule type="cellIs" dxfId="21920" priority="2359" operator="lessThan">
      <formula>0.8</formula>
    </cfRule>
    <cfRule type="cellIs" dxfId="21919" priority="2360" operator="greaterThan">
      <formula>1</formula>
    </cfRule>
  </conditionalFormatting>
  <conditionalFormatting sqref="R31">
    <cfRule type="cellIs" dxfId="21918" priority="2357" operator="greaterThan">
      <formula>1</formula>
    </cfRule>
    <cfRule type="cellIs" dxfId="21917" priority="2358" operator="lessThan">
      <formula>0.8</formula>
    </cfRule>
  </conditionalFormatting>
  <conditionalFormatting sqref="P31">
    <cfRule type="cellIs" dxfId="21916" priority="2356" operator="greaterThan">
      <formula>0</formula>
    </cfRule>
  </conditionalFormatting>
  <conditionalFormatting sqref="Q31">
    <cfRule type="cellIs" dxfId="21915" priority="2361" operator="lessThan">
      <formula>0</formula>
    </cfRule>
  </conditionalFormatting>
  <conditionalFormatting sqref="P31">
    <cfRule type="cellIs" dxfId="21914" priority="2350" operator="greaterThan">
      <formula>0</formula>
    </cfRule>
  </conditionalFormatting>
  <conditionalFormatting sqref="Q31">
    <cfRule type="cellIs" dxfId="21913" priority="2355" operator="lessThan">
      <formula>0</formula>
    </cfRule>
  </conditionalFormatting>
  <conditionalFormatting sqref="R31">
    <cfRule type="cellIs" dxfId="21912" priority="2353" operator="lessThan">
      <formula>0.8</formula>
    </cfRule>
    <cfRule type="cellIs" dxfId="21911" priority="2354" operator="greaterThan">
      <formula>1</formula>
    </cfRule>
  </conditionalFormatting>
  <conditionalFormatting sqref="R31">
    <cfRule type="cellIs" dxfId="21910" priority="2351" operator="greaterThan">
      <formula>1</formula>
    </cfRule>
    <cfRule type="cellIs" dxfId="21909" priority="2352" operator="lessThan">
      <formula>0.8</formula>
    </cfRule>
  </conditionalFormatting>
  <conditionalFormatting sqref="R31">
    <cfRule type="cellIs" dxfId="21908" priority="2347" operator="lessThan">
      <formula>0.8</formula>
    </cfRule>
    <cfRule type="cellIs" dxfId="21907" priority="2348" operator="greaterThan">
      <formula>1</formula>
    </cfRule>
  </conditionalFormatting>
  <conditionalFormatting sqref="R31">
    <cfRule type="cellIs" dxfId="21906" priority="2345" operator="greaterThan">
      <formula>1</formula>
    </cfRule>
    <cfRule type="cellIs" dxfId="21905" priority="2346" operator="lessThan">
      <formula>0.8</formula>
    </cfRule>
  </conditionalFormatting>
  <conditionalFormatting sqref="P31">
    <cfRule type="cellIs" dxfId="21904" priority="2344" operator="greaterThan">
      <formula>0</formula>
    </cfRule>
  </conditionalFormatting>
  <conditionalFormatting sqref="Q31">
    <cfRule type="cellIs" dxfId="21903" priority="2349" operator="lessThan">
      <formula>0</formula>
    </cfRule>
  </conditionalFormatting>
  <conditionalFormatting sqref="R31">
    <cfRule type="cellIs" dxfId="21902" priority="2341" operator="lessThan">
      <formula>0.8</formula>
    </cfRule>
    <cfRule type="cellIs" dxfId="21901" priority="2342" operator="greaterThan">
      <formula>1</formula>
    </cfRule>
  </conditionalFormatting>
  <conditionalFormatting sqref="R31">
    <cfRule type="cellIs" dxfId="21900" priority="2339" operator="greaterThan">
      <formula>1</formula>
    </cfRule>
    <cfRule type="cellIs" dxfId="21899" priority="2340" operator="lessThan">
      <formula>0.8</formula>
    </cfRule>
  </conditionalFormatting>
  <conditionalFormatting sqref="P31">
    <cfRule type="cellIs" dxfId="21898" priority="2338" operator="greaterThan">
      <formula>0</formula>
    </cfRule>
  </conditionalFormatting>
  <conditionalFormatting sqref="Q31">
    <cfRule type="cellIs" dxfId="21897" priority="2343" operator="lessThan">
      <formula>0</formula>
    </cfRule>
  </conditionalFormatting>
  <conditionalFormatting sqref="Q31">
    <cfRule type="cellIs" dxfId="21896" priority="2337" operator="lessThan">
      <formula>0</formula>
    </cfRule>
  </conditionalFormatting>
  <conditionalFormatting sqref="R31">
    <cfRule type="cellIs" dxfId="21895" priority="2335" operator="lessThan">
      <formula>0.8</formula>
    </cfRule>
    <cfRule type="cellIs" dxfId="21894" priority="2336" operator="greaterThan">
      <formula>1</formula>
    </cfRule>
  </conditionalFormatting>
  <conditionalFormatting sqref="R31">
    <cfRule type="cellIs" dxfId="21893" priority="2333" operator="greaterThan">
      <formula>1</formula>
    </cfRule>
    <cfRule type="cellIs" dxfId="21892" priority="2334" operator="lessThan">
      <formula>0.8</formula>
    </cfRule>
  </conditionalFormatting>
  <conditionalFormatting sqref="P31">
    <cfRule type="cellIs" dxfId="21891" priority="2332" operator="greaterThan">
      <formula>0</formula>
    </cfRule>
  </conditionalFormatting>
  <conditionalFormatting sqref="Q31">
    <cfRule type="cellIs" dxfId="21890" priority="2326" operator="lessThan">
      <formula>0</formula>
    </cfRule>
  </conditionalFormatting>
  <conditionalFormatting sqref="R31">
    <cfRule type="cellIs" dxfId="21889" priority="2330" operator="lessThan">
      <formula>0.8</formula>
    </cfRule>
    <cfRule type="cellIs" dxfId="21888" priority="2331" operator="greaterThan">
      <formula>1</formula>
    </cfRule>
  </conditionalFormatting>
  <conditionalFormatting sqref="R31">
    <cfRule type="cellIs" dxfId="21887" priority="2328" operator="greaterThan">
      <formula>1</formula>
    </cfRule>
    <cfRule type="cellIs" dxfId="21886" priority="2329" operator="lessThan">
      <formula>0.8</formula>
    </cfRule>
  </conditionalFormatting>
  <conditionalFormatting sqref="P31">
    <cfRule type="cellIs" dxfId="21885" priority="2327" operator="greaterThan">
      <formula>0</formula>
    </cfRule>
  </conditionalFormatting>
  <conditionalFormatting sqref="Q31">
    <cfRule type="cellIs" dxfId="21884" priority="2325" operator="lessThan">
      <formula>0</formula>
    </cfRule>
  </conditionalFormatting>
  <conditionalFormatting sqref="R31">
    <cfRule type="cellIs" dxfId="21883" priority="2323" operator="lessThan">
      <formula>0.8</formula>
    </cfRule>
    <cfRule type="cellIs" dxfId="21882" priority="2324" operator="greaterThan">
      <formula>1</formula>
    </cfRule>
  </conditionalFormatting>
  <conditionalFormatting sqref="R31">
    <cfRule type="cellIs" dxfId="21881" priority="2321" operator="greaterThan">
      <formula>1</formula>
    </cfRule>
    <cfRule type="cellIs" dxfId="21880" priority="2322" operator="lessThan">
      <formula>0.8</formula>
    </cfRule>
  </conditionalFormatting>
  <conditionalFormatting sqref="P31">
    <cfRule type="cellIs" dxfId="21879" priority="2320" operator="greaterThan">
      <formula>0</formula>
    </cfRule>
  </conditionalFormatting>
  <conditionalFormatting sqref="Q31">
    <cfRule type="cellIs" dxfId="21878" priority="2319" operator="lessThan">
      <formula>0</formula>
    </cfRule>
  </conditionalFormatting>
  <conditionalFormatting sqref="R31">
    <cfRule type="cellIs" dxfId="21877" priority="2317" operator="lessThan">
      <formula>0.8</formula>
    </cfRule>
    <cfRule type="cellIs" dxfId="21876" priority="2318" operator="greaterThan">
      <formula>1</formula>
    </cfRule>
  </conditionalFormatting>
  <conditionalFormatting sqref="R31">
    <cfRule type="cellIs" dxfId="21875" priority="2315" operator="greaterThan">
      <formula>1</formula>
    </cfRule>
    <cfRule type="cellIs" dxfId="21874" priority="2316" operator="lessThan">
      <formula>0.8</formula>
    </cfRule>
  </conditionalFormatting>
  <conditionalFormatting sqref="P31">
    <cfRule type="cellIs" dxfId="21873" priority="2314" operator="greaterThan">
      <formula>0</formula>
    </cfRule>
  </conditionalFormatting>
  <conditionalFormatting sqref="Q31">
    <cfRule type="cellIs" dxfId="21872" priority="2313" operator="lessThan">
      <formula>0</formula>
    </cfRule>
  </conditionalFormatting>
  <conditionalFormatting sqref="R31">
    <cfRule type="cellIs" dxfId="21871" priority="2311" operator="lessThan">
      <formula>0.8</formula>
    </cfRule>
    <cfRule type="cellIs" dxfId="21870" priority="2312" operator="greaterThan">
      <formula>1</formula>
    </cfRule>
  </conditionalFormatting>
  <conditionalFormatting sqref="R31">
    <cfRule type="cellIs" dxfId="21869" priority="2309" operator="greaterThan">
      <formula>1</formula>
    </cfRule>
    <cfRule type="cellIs" dxfId="21868" priority="2310" operator="lessThan">
      <formula>0.8</formula>
    </cfRule>
  </conditionalFormatting>
  <conditionalFormatting sqref="P31">
    <cfRule type="cellIs" dxfId="21867" priority="2308" operator="greaterThan">
      <formula>0</formula>
    </cfRule>
  </conditionalFormatting>
  <conditionalFormatting sqref="Q31">
    <cfRule type="cellIs" dxfId="21866" priority="2307" operator="lessThan">
      <formula>0</formula>
    </cfRule>
  </conditionalFormatting>
  <conditionalFormatting sqref="R31">
    <cfRule type="cellIs" dxfId="21865" priority="2305" operator="lessThan">
      <formula>0.8</formula>
    </cfRule>
    <cfRule type="cellIs" dxfId="21864" priority="2306" operator="greaterThan">
      <formula>1</formula>
    </cfRule>
  </conditionalFormatting>
  <conditionalFormatting sqref="R31">
    <cfRule type="cellIs" dxfId="21863" priority="2303" operator="greaterThan">
      <formula>1</formula>
    </cfRule>
    <cfRule type="cellIs" dxfId="21862" priority="2304" operator="lessThan">
      <formula>0.8</formula>
    </cfRule>
  </conditionalFormatting>
  <conditionalFormatting sqref="P31">
    <cfRule type="cellIs" dxfId="21861" priority="2302" operator="greaterThan">
      <formula>0</formula>
    </cfRule>
  </conditionalFormatting>
  <conditionalFormatting sqref="Q31">
    <cfRule type="cellIs" dxfId="21860" priority="2301" operator="lessThan">
      <formula>0</formula>
    </cfRule>
  </conditionalFormatting>
  <conditionalFormatting sqref="R31">
    <cfRule type="cellIs" dxfId="21859" priority="2299" operator="lessThan">
      <formula>0.8</formula>
    </cfRule>
    <cfRule type="cellIs" dxfId="21858" priority="2300" operator="greaterThan">
      <formula>1</formula>
    </cfRule>
  </conditionalFormatting>
  <conditionalFormatting sqref="R31">
    <cfRule type="cellIs" dxfId="21857" priority="2297" operator="greaterThan">
      <formula>1</formula>
    </cfRule>
    <cfRule type="cellIs" dxfId="21856" priority="2298" operator="lessThan">
      <formula>0.8</formula>
    </cfRule>
  </conditionalFormatting>
  <conditionalFormatting sqref="P31">
    <cfRule type="cellIs" dxfId="21855" priority="2296" operator="greaterThan">
      <formula>0</formula>
    </cfRule>
  </conditionalFormatting>
  <conditionalFormatting sqref="P31">
    <cfRule type="cellIs" dxfId="21854" priority="2290" operator="greaterThan">
      <formula>0</formula>
    </cfRule>
  </conditionalFormatting>
  <conditionalFormatting sqref="Q31">
    <cfRule type="cellIs" dxfId="21853" priority="2295" operator="lessThan">
      <formula>0</formula>
    </cfRule>
  </conditionalFormatting>
  <conditionalFormatting sqref="R31">
    <cfRule type="cellIs" dxfId="21852" priority="2293" operator="lessThan">
      <formula>0.8</formula>
    </cfRule>
    <cfRule type="cellIs" dxfId="21851" priority="2294" operator="greaterThan">
      <formula>1</formula>
    </cfRule>
  </conditionalFormatting>
  <conditionalFormatting sqref="R31">
    <cfRule type="cellIs" dxfId="21850" priority="2291" operator="greaterThan">
      <formula>1</formula>
    </cfRule>
    <cfRule type="cellIs" dxfId="21849" priority="2292" operator="lessThan">
      <formula>0.8</formula>
    </cfRule>
  </conditionalFormatting>
  <conditionalFormatting sqref="P31">
    <cfRule type="cellIs" dxfId="21848" priority="2284" operator="greaterThan">
      <formula>0</formula>
    </cfRule>
  </conditionalFormatting>
  <conditionalFormatting sqref="Q31">
    <cfRule type="cellIs" dxfId="21847" priority="2289" operator="lessThan">
      <formula>0</formula>
    </cfRule>
  </conditionalFormatting>
  <conditionalFormatting sqref="R31">
    <cfRule type="cellIs" dxfId="21846" priority="2287" operator="lessThan">
      <formula>0.8</formula>
    </cfRule>
    <cfRule type="cellIs" dxfId="21845" priority="2288" operator="greaterThan">
      <formula>1</formula>
    </cfRule>
  </conditionalFormatting>
  <conditionalFormatting sqref="R31">
    <cfRule type="cellIs" dxfId="21844" priority="2285" operator="greaterThan">
      <formula>1</formula>
    </cfRule>
    <cfRule type="cellIs" dxfId="21843" priority="2286" operator="lessThan">
      <formula>0.8</formula>
    </cfRule>
  </conditionalFormatting>
  <conditionalFormatting sqref="R31">
    <cfRule type="cellIs" dxfId="21842" priority="2281" operator="lessThan">
      <formula>0.8</formula>
    </cfRule>
    <cfRule type="cellIs" dxfId="21841" priority="2282" operator="greaterThan">
      <formula>1</formula>
    </cfRule>
  </conditionalFormatting>
  <conditionalFormatting sqref="R31">
    <cfRule type="cellIs" dxfId="21840" priority="2279" operator="greaterThan">
      <formula>1</formula>
    </cfRule>
    <cfRule type="cellIs" dxfId="21839" priority="2280" operator="lessThan">
      <formula>0.8</formula>
    </cfRule>
  </conditionalFormatting>
  <conditionalFormatting sqref="P31">
    <cfRule type="cellIs" dxfId="21838" priority="2278" operator="greaterThan">
      <formula>0</formula>
    </cfRule>
  </conditionalFormatting>
  <conditionalFormatting sqref="Q31">
    <cfRule type="cellIs" dxfId="21837" priority="2283" operator="lessThan">
      <formula>0</formula>
    </cfRule>
  </conditionalFormatting>
  <conditionalFormatting sqref="P79">
    <cfRule type="cellIs" dxfId="21836" priority="2272" operator="greaterThan">
      <formula>0</formula>
    </cfRule>
  </conditionalFormatting>
  <conditionalFormatting sqref="Q79">
    <cfRule type="cellIs" dxfId="21835" priority="2277" operator="lessThan">
      <formula>0</formula>
    </cfRule>
  </conditionalFormatting>
  <conditionalFormatting sqref="R79">
    <cfRule type="cellIs" dxfId="21834" priority="2275" operator="lessThan">
      <formula>0.8</formula>
    </cfRule>
    <cfRule type="cellIs" dxfId="21833" priority="2276" operator="greaterThan">
      <formula>1</formula>
    </cfRule>
  </conditionalFormatting>
  <conditionalFormatting sqref="R79">
    <cfRule type="cellIs" dxfId="21832" priority="2273" operator="greaterThan">
      <formula>1</formula>
    </cfRule>
    <cfRule type="cellIs" dxfId="21831" priority="2274" operator="lessThan">
      <formula>0.8</formula>
    </cfRule>
  </conditionalFormatting>
  <conditionalFormatting sqref="Q79">
    <cfRule type="cellIs" dxfId="21830" priority="2271" operator="lessThan">
      <formula>0</formula>
    </cfRule>
  </conditionalFormatting>
  <conditionalFormatting sqref="R79">
    <cfRule type="cellIs" dxfId="21829" priority="2269" operator="lessThan">
      <formula>0.8</formula>
    </cfRule>
    <cfRule type="cellIs" dxfId="21828" priority="2270" operator="greaterThan">
      <formula>1</formula>
    </cfRule>
  </conditionalFormatting>
  <conditionalFormatting sqref="R79">
    <cfRule type="cellIs" dxfId="21827" priority="2267" operator="greaterThan">
      <formula>1</formula>
    </cfRule>
    <cfRule type="cellIs" dxfId="21826" priority="2268" operator="lessThan">
      <formula>0.8</formula>
    </cfRule>
  </conditionalFormatting>
  <conditionalFormatting sqref="P79">
    <cfRule type="cellIs" dxfId="21825" priority="2266" operator="greaterThan">
      <formula>0</formula>
    </cfRule>
  </conditionalFormatting>
  <conditionalFormatting sqref="P79">
    <cfRule type="cellIs" dxfId="21824" priority="2260" operator="greaterThan">
      <formula>0</formula>
    </cfRule>
  </conditionalFormatting>
  <conditionalFormatting sqref="Q79">
    <cfRule type="cellIs" dxfId="21823" priority="2265" operator="lessThan">
      <formula>0</formula>
    </cfRule>
  </conditionalFormatting>
  <conditionalFormatting sqref="R79">
    <cfRule type="cellIs" dxfId="21822" priority="2263" operator="lessThan">
      <formula>0.8</formula>
    </cfRule>
    <cfRule type="cellIs" dxfId="21821" priority="2264" operator="greaterThan">
      <formula>1</formula>
    </cfRule>
  </conditionalFormatting>
  <conditionalFormatting sqref="R79">
    <cfRule type="cellIs" dxfId="21820" priority="2261" operator="greaterThan">
      <formula>1</formula>
    </cfRule>
    <cfRule type="cellIs" dxfId="21819" priority="2262" operator="lessThan">
      <formula>0.8</formula>
    </cfRule>
  </conditionalFormatting>
  <conditionalFormatting sqref="Q79">
    <cfRule type="cellIs" dxfId="21818" priority="2254" operator="lessThan">
      <formula>0</formula>
    </cfRule>
  </conditionalFormatting>
  <conditionalFormatting sqref="P79">
    <cfRule type="cellIs" dxfId="21817" priority="2255" operator="greaterThan">
      <formula>0</formula>
    </cfRule>
  </conditionalFormatting>
  <conditionalFormatting sqref="R79">
    <cfRule type="cellIs" dxfId="21816" priority="2258" operator="lessThan">
      <formula>0.8</formula>
    </cfRule>
    <cfRule type="cellIs" dxfId="21815" priority="2259" operator="greaterThan">
      <formula>1</formula>
    </cfRule>
  </conditionalFormatting>
  <conditionalFormatting sqref="R79">
    <cfRule type="cellIs" dxfId="21814" priority="2256" operator="greaterThan">
      <formula>1</formula>
    </cfRule>
    <cfRule type="cellIs" dxfId="21813" priority="2257" operator="lessThan">
      <formula>0.8</formula>
    </cfRule>
  </conditionalFormatting>
  <conditionalFormatting sqref="Q79">
    <cfRule type="cellIs" dxfId="21812" priority="2248" operator="lessThan">
      <formula>0</formula>
    </cfRule>
  </conditionalFormatting>
  <conditionalFormatting sqref="R79">
    <cfRule type="cellIs" dxfId="21811" priority="2252" operator="lessThan">
      <formula>0.8</formula>
    </cfRule>
    <cfRule type="cellIs" dxfId="21810" priority="2253" operator="greaterThan">
      <formula>1</formula>
    </cfRule>
  </conditionalFormatting>
  <conditionalFormatting sqref="R79">
    <cfRule type="cellIs" dxfId="21809" priority="2250" operator="greaterThan">
      <formula>1</formula>
    </cfRule>
    <cfRule type="cellIs" dxfId="21808" priority="2251" operator="lessThan">
      <formula>0.8</formula>
    </cfRule>
  </conditionalFormatting>
  <conditionalFormatting sqref="P79">
    <cfRule type="cellIs" dxfId="21807" priority="2249" operator="greaterThan">
      <formula>0</formula>
    </cfRule>
  </conditionalFormatting>
  <conditionalFormatting sqref="Q79">
    <cfRule type="cellIs" dxfId="21806" priority="2247" operator="lessThan">
      <formula>0</formula>
    </cfRule>
  </conditionalFormatting>
  <conditionalFormatting sqref="R79">
    <cfRule type="cellIs" dxfId="21805" priority="2245" operator="lessThan">
      <formula>0.8</formula>
    </cfRule>
    <cfRule type="cellIs" dxfId="21804" priority="2246" operator="greaterThan">
      <formula>1</formula>
    </cfRule>
  </conditionalFormatting>
  <conditionalFormatting sqref="R79">
    <cfRule type="cellIs" dxfId="21803" priority="2243" operator="greaterThan">
      <formula>1</formula>
    </cfRule>
    <cfRule type="cellIs" dxfId="21802" priority="2244" operator="lessThan">
      <formula>0.8</formula>
    </cfRule>
  </conditionalFormatting>
  <conditionalFormatting sqref="P79">
    <cfRule type="cellIs" dxfId="21801" priority="2242" operator="greaterThan">
      <formula>0</formula>
    </cfRule>
  </conditionalFormatting>
  <conditionalFormatting sqref="Q79">
    <cfRule type="cellIs" dxfId="21800" priority="2241" operator="lessThan">
      <formula>0</formula>
    </cfRule>
  </conditionalFormatting>
  <conditionalFormatting sqref="R79">
    <cfRule type="cellIs" dxfId="21799" priority="2239" operator="lessThan">
      <formula>0.8</formula>
    </cfRule>
    <cfRule type="cellIs" dxfId="21798" priority="2240" operator="greaterThan">
      <formula>1</formula>
    </cfRule>
  </conditionalFormatting>
  <conditionalFormatting sqref="R79">
    <cfRule type="cellIs" dxfId="21797" priority="2237" operator="greaterThan">
      <formula>1</formula>
    </cfRule>
    <cfRule type="cellIs" dxfId="21796" priority="2238" operator="lessThan">
      <formula>0.8</formula>
    </cfRule>
  </conditionalFormatting>
  <conditionalFormatting sqref="P79">
    <cfRule type="cellIs" dxfId="21795" priority="2236" operator="greaterThan">
      <formula>0</formula>
    </cfRule>
  </conditionalFormatting>
  <conditionalFormatting sqref="P79">
    <cfRule type="cellIs" dxfId="21794" priority="2230" operator="greaterThan">
      <formula>0</formula>
    </cfRule>
  </conditionalFormatting>
  <conditionalFormatting sqref="Q79">
    <cfRule type="cellIs" dxfId="21793" priority="2235" operator="lessThan">
      <formula>0</formula>
    </cfRule>
  </conditionalFormatting>
  <conditionalFormatting sqref="R79">
    <cfRule type="cellIs" dxfId="21792" priority="2233" operator="lessThan">
      <formula>0.8</formula>
    </cfRule>
    <cfRule type="cellIs" dxfId="21791" priority="2234" operator="greaterThan">
      <formula>1</formula>
    </cfRule>
  </conditionalFormatting>
  <conditionalFormatting sqref="R79">
    <cfRule type="cellIs" dxfId="21790" priority="2231" operator="greaterThan">
      <formula>1</formula>
    </cfRule>
    <cfRule type="cellIs" dxfId="21789" priority="2232" operator="lessThan">
      <formula>0.8</formula>
    </cfRule>
  </conditionalFormatting>
  <conditionalFormatting sqref="P71:P78">
    <cfRule type="cellIs" dxfId="21788" priority="2224" operator="greaterThan">
      <formula>0</formula>
    </cfRule>
  </conditionalFormatting>
  <conditionalFormatting sqref="Q71:Q78">
    <cfRule type="cellIs" dxfId="21787" priority="2229" operator="lessThan">
      <formula>0</formula>
    </cfRule>
  </conditionalFormatting>
  <conditionalFormatting sqref="R71:R78">
    <cfRule type="cellIs" dxfId="21786" priority="2227" operator="lessThan">
      <formula>0.8</formula>
    </cfRule>
    <cfRule type="cellIs" dxfId="21785" priority="2228" operator="greaterThan">
      <formula>1</formula>
    </cfRule>
  </conditionalFormatting>
  <conditionalFormatting sqref="R71:R78">
    <cfRule type="cellIs" dxfId="21784" priority="2225" operator="greaterThan">
      <formula>1</formula>
    </cfRule>
    <cfRule type="cellIs" dxfId="21783" priority="2226" operator="lessThan">
      <formula>0.8</formula>
    </cfRule>
  </conditionalFormatting>
  <conditionalFormatting sqref="Q148:Q153">
    <cfRule type="cellIs" dxfId="21782" priority="2223" operator="lessThan">
      <formula>0</formula>
    </cfRule>
  </conditionalFormatting>
  <conditionalFormatting sqref="R148:R153">
    <cfRule type="cellIs" dxfId="21781" priority="2221" operator="lessThan">
      <formula>0.8</formula>
    </cfRule>
    <cfRule type="cellIs" dxfId="21780" priority="2222" operator="greaterThan">
      <formula>1</formula>
    </cfRule>
  </conditionalFormatting>
  <conditionalFormatting sqref="R148:R153">
    <cfRule type="cellIs" dxfId="21779" priority="2219" operator="greaterThan">
      <formula>1</formula>
    </cfRule>
    <cfRule type="cellIs" dxfId="21778" priority="2220" operator="lessThan">
      <formula>0.8</formula>
    </cfRule>
  </conditionalFormatting>
  <conditionalFormatting sqref="P148:P153">
    <cfRule type="cellIs" dxfId="21777" priority="2218" operator="greaterThan">
      <formula>0</formula>
    </cfRule>
  </conditionalFormatting>
  <conditionalFormatting sqref="Q148:Q153">
    <cfRule type="cellIs" dxfId="21776" priority="2217" operator="lessThan">
      <formula>0</formula>
    </cfRule>
  </conditionalFormatting>
  <conditionalFormatting sqref="R148:R153">
    <cfRule type="cellIs" dxfId="21775" priority="2215" operator="lessThan">
      <formula>0.8</formula>
    </cfRule>
    <cfRule type="cellIs" dxfId="21774" priority="2216" operator="greaterThan">
      <formula>1</formula>
    </cfRule>
  </conditionalFormatting>
  <conditionalFormatting sqref="R148:R153">
    <cfRule type="cellIs" dxfId="21773" priority="2213" operator="greaterThan">
      <formula>1</formula>
    </cfRule>
    <cfRule type="cellIs" dxfId="21772" priority="2214" operator="lessThan">
      <formula>0.8</formula>
    </cfRule>
  </conditionalFormatting>
  <conditionalFormatting sqref="P148:P153">
    <cfRule type="cellIs" dxfId="21771" priority="2212" operator="greaterThan">
      <formula>0</formula>
    </cfRule>
  </conditionalFormatting>
  <conditionalFormatting sqref="Q148:Q153">
    <cfRule type="cellIs" dxfId="21770" priority="2211" operator="lessThan">
      <formula>0</formula>
    </cfRule>
  </conditionalFormatting>
  <conditionalFormatting sqref="R148:R153">
    <cfRule type="cellIs" dxfId="21769" priority="2209" operator="lessThan">
      <formula>0.8</formula>
    </cfRule>
    <cfRule type="cellIs" dxfId="21768" priority="2210" operator="greaterThan">
      <formula>1</formula>
    </cfRule>
  </conditionalFormatting>
  <conditionalFormatting sqref="R148:R153">
    <cfRule type="cellIs" dxfId="21767" priority="2207" operator="greaterThan">
      <formula>1</formula>
    </cfRule>
    <cfRule type="cellIs" dxfId="21766" priority="2208" operator="lessThan">
      <formula>0.8</formula>
    </cfRule>
  </conditionalFormatting>
  <conditionalFormatting sqref="P148:P153">
    <cfRule type="cellIs" dxfId="21765" priority="2206" operator="greaterThan">
      <formula>0</formula>
    </cfRule>
  </conditionalFormatting>
  <conditionalFormatting sqref="Q148:Q153">
    <cfRule type="cellIs" dxfId="21764" priority="2205" operator="lessThan">
      <formula>0</formula>
    </cfRule>
  </conditionalFormatting>
  <conditionalFormatting sqref="R148:R153">
    <cfRule type="cellIs" dxfId="21763" priority="2203" operator="lessThan">
      <formula>0.8</formula>
    </cfRule>
    <cfRule type="cellIs" dxfId="21762" priority="2204" operator="greaterThan">
      <formula>1</formula>
    </cfRule>
  </conditionalFormatting>
  <conditionalFormatting sqref="R148:R153">
    <cfRule type="cellIs" dxfId="21761" priority="2201" operator="greaterThan">
      <formula>1</formula>
    </cfRule>
    <cfRule type="cellIs" dxfId="21760" priority="2202" operator="lessThan">
      <formula>0.8</formula>
    </cfRule>
  </conditionalFormatting>
  <conditionalFormatting sqref="P148:P153">
    <cfRule type="cellIs" dxfId="21759" priority="2200" operator="greaterThan">
      <formula>0</formula>
    </cfRule>
  </conditionalFormatting>
  <conditionalFormatting sqref="P148:P153">
    <cfRule type="cellIs" dxfId="21758" priority="2194" operator="greaterThan">
      <formula>0</formula>
    </cfRule>
  </conditionalFormatting>
  <conditionalFormatting sqref="Q148:Q153">
    <cfRule type="cellIs" dxfId="21757" priority="2199" operator="lessThan">
      <formula>0</formula>
    </cfRule>
  </conditionalFormatting>
  <conditionalFormatting sqref="R148:R153">
    <cfRule type="cellIs" dxfId="21756" priority="2197" operator="lessThan">
      <formula>0.8</formula>
    </cfRule>
    <cfRule type="cellIs" dxfId="21755" priority="2198" operator="greaterThan">
      <formula>1</formula>
    </cfRule>
  </conditionalFormatting>
  <conditionalFormatting sqref="R148:R153">
    <cfRule type="cellIs" dxfId="21754" priority="2195" operator="greaterThan">
      <formula>1</formula>
    </cfRule>
    <cfRule type="cellIs" dxfId="21753" priority="2196" operator="lessThan">
      <formula>0.8</formula>
    </cfRule>
  </conditionalFormatting>
  <conditionalFormatting sqref="P148:P153">
    <cfRule type="cellIs" dxfId="21752" priority="2188" operator="greaterThan">
      <formula>0</formula>
    </cfRule>
  </conditionalFormatting>
  <conditionalFormatting sqref="Q148:Q153">
    <cfRule type="cellIs" dxfId="21751" priority="2193" operator="lessThan">
      <formula>0</formula>
    </cfRule>
  </conditionalFormatting>
  <conditionalFormatting sqref="R148:R153">
    <cfRule type="cellIs" dxfId="21750" priority="2191" operator="lessThan">
      <formula>0.8</formula>
    </cfRule>
    <cfRule type="cellIs" dxfId="21749" priority="2192" operator="greaterThan">
      <formula>1</formula>
    </cfRule>
  </conditionalFormatting>
  <conditionalFormatting sqref="R148:R153">
    <cfRule type="cellIs" dxfId="21748" priority="2189" operator="greaterThan">
      <formula>1</formula>
    </cfRule>
    <cfRule type="cellIs" dxfId="21747" priority="2190" operator="lessThan">
      <formula>0.8</formula>
    </cfRule>
  </conditionalFormatting>
  <conditionalFormatting sqref="R148:R153">
    <cfRule type="cellIs" dxfId="21746" priority="2185" operator="lessThan">
      <formula>0.8</formula>
    </cfRule>
    <cfRule type="cellIs" dxfId="21745" priority="2186" operator="greaterThan">
      <formula>1</formula>
    </cfRule>
  </conditionalFormatting>
  <conditionalFormatting sqref="R148:R153">
    <cfRule type="cellIs" dxfId="21744" priority="2183" operator="greaterThan">
      <formula>1</formula>
    </cfRule>
    <cfRule type="cellIs" dxfId="21743" priority="2184" operator="lessThan">
      <formula>0.8</formula>
    </cfRule>
  </conditionalFormatting>
  <conditionalFormatting sqref="P148:P153">
    <cfRule type="cellIs" dxfId="21742" priority="2182" operator="greaterThan">
      <formula>0</formula>
    </cfRule>
  </conditionalFormatting>
  <conditionalFormatting sqref="Q148:Q153">
    <cfRule type="cellIs" dxfId="21741" priority="2187" operator="lessThan">
      <formula>0</formula>
    </cfRule>
  </conditionalFormatting>
  <conditionalFormatting sqref="Q148:Q153">
    <cfRule type="cellIs" dxfId="21740" priority="2181" operator="lessThan">
      <formula>0</formula>
    </cfRule>
  </conditionalFormatting>
  <conditionalFormatting sqref="R148:R153">
    <cfRule type="cellIs" dxfId="21739" priority="2179" operator="lessThan">
      <formula>0.8</formula>
    </cfRule>
    <cfRule type="cellIs" dxfId="21738" priority="2180" operator="greaterThan">
      <formula>1</formula>
    </cfRule>
  </conditionalFormatting>
  <conditionalFormatting sqref="R148:R153">
    <cfRule type="cellIs" dxfId="21737" priority="2177" operator="greaterThan">
      <formula>1</formula>
    </cfRule>
    <cfRule type="cellIs" dxfId="21736" priority="2178" operator="lessThan">
      <formula>0.8</formula>
    </cfRule>
  </conditionalFormatting>
  <conditionalFormatting sqref="P148:P153">
    <cfRule type="cellIs" dxfId="21735" priority="2176" operator="greaterThan">
      <formula>0</formula>
    </cfRule>
  </conditionalFormatting>
  <conditionalFormatting sqref="P148:P153">
    <cfRule type="cellIs" dxfId="21734" priority="2170" operator="greaterThan">
      <formula>0</formula>
    </cfRule>
  </conditionalFormatting>
  <conditionalFormatting sqref="Q148:Q153">
    <cfRule type="cellIs" dxfId="21733" priority="2175" operator="lessThan">
      <formula>0</formula>
    </cfRule>
  </conditionalFormatting>
  <conditionalFormatting sqref="R148:R153">
    <cfRule type="cellIs" dxfId="21732" priority="2173" operator="lessThan">
      <formula>0.8</formula>
    </cfRule>
    <cfRule type="cellIs" dxfId="21731" priority="2174" operator="greaterThan">
      <formula>1</formula>
    </cfRule>
  </conditionalFormatting>
  <conditionalFormatting sqref="R148:R153">
    <cfRule type="cellIs" dxfId="21730" priority="2171" operator="greaterThan">
      <formula>1</formula>
    </cfRule>
    <cfRule type="cellIs" dxfId="21729" priority="2172" operator="lessThan">
      <formula>0.8</formula>
    </cfRule>
  </conditionalFormatting>
  <conditionalFormatting sqref="P148:P153">
    <cfRule type="cellIs" dxfId="21728" priority="2164" operator="greaterThan">
      <formula>0</formula>
    </cfRule>
  </conditionalFormatting>
  <conditionalFormatting sqref="Q148:Q153">
    <cfRule type="cellIs" dxfId="21727" priority="2169" operator="lessThan">
      <formula>0</formula>
    </cfRule>
  </conditionalFormatting>
  <conditionalFormatting sqref="R148:R153">
    <cfRule type="cellIs" dxfId="21726" priority="2167" operator="lessThan">
      <formula>0.8</formula>
    </cfRule>
    <cfRule type="cellIs" dxfId="21725" priority="2168" operator="greaterThan">
      <formula>1</formula>
    </cfRule>
  </conditionalFormatting>
  <conditionalFormatting sqref="R148:R153">
    <cfRule type="cellIs" dxfId="21724" priority="2165" operator="greaterThan">
      <formula>1</formula>
    </cfRule>
    <cfRule type="cellIs" dxfId="21723" priority="2166" operator="lessThan">
      <formula>0.8</formula>
    </cfRule>
  </conditionalFormatting>
  <conditionalFormatting sqref="R148:R153">
    <cfRule type="cellIs" dxfId="21722" priority="2161" operator="lessThan">
      <formula>0.8</formula>
    </cfRule>
    <cfRule type="cellIs" dxfId="21721" priority="2162" operator="greaterThan">
      <formula>1</formula>
    </cfRule>
  </conditionalFormatting>
  <conditionalFormatting sqref="R148:R153">
    <cfRule type="cellIs" dxfId="21720" priority="2159" operator="greaterThan">
      <formula>1</formula>
    </cfRule>
    <cfRule type="cellIs" dxfId="21719" priority="2160" operator="lessThan">
      <formula>0.8</formula>
    </cfRule>
  </conditionalFormatting>
  <conditionalFormatting sqref="P148:P153">
    <cfRule type="cellIs" dxfId="21718" priority="2158" operator="greaterThan">
      <formula>0</formula>
    </cfRule>
  </conditionalFormatting>
  <conditionalFormatting sqref="Q148:Q153">
    <cfRule type="cellIs" dxfId="21717" priority="2163" operator="lessThan">
      <formula>0</formula>
    </cfRule>
  </conditionalFormatting>
  <conditionalFormatting sqref="P148:P153">
    <cfRule type="cellIs" dxfId="21716" priority="2152" operator="greaterThan">
      <formula>0</formula>
    </cfRule>
  </conditionalFormatting>
  <conditionalFormatting sqref="Q148:Q153">
    <cfRule type="cellIs" dxfId="21715" priority="2157" operator="lessThan">
      <formula>0</formula>
    </cfRule>
  </conditionalFormatting>
  <conditionalFormatting sqref="R148:R153">
    <cfRule type="cellIs" dxfId="21714" priority="2155" operator="lessThan">
      <formula>0.8</formula>
    </cfRule>
    <cfRule type="cellIs" dxfId="21713" priority="2156" operator="greaterThan">
      <formula>1</formula>
    </cfRule>
  </conditionalFormatting>
  <conditionalFormatting sqref="R148:R153">
    <cfRule type="cellIs" dxfId="21712" priority="2153" operator="greaterThan">
      <formula>1</formula>
    </cfRule>
    <cfRule type="cellIs" dxfId="21711" priority="2154" operator="lessThan">
      <formula>0.8</formula>
    </cfRule>
  </conditionalFormatting>
  <conditionalFormatting sqref="R148:R153">
    <cfRule type="cellIs" dxfId="21710" priority="2149" operator="lessThan">
      <formula>0.8</formula>
    </cfRule>
    <cfRule type="cellIs" dxfId="21709" priority="2150" operator="greaterThan">
      <formula>1</formula>
    </cfRule>
  </conditionalFormatting>
  <conditionalFormatting sqref="R148:R153">
    <cfRule type="cellIs" dxfId="21708" priority="2147" operator="greaterThan">
      <formula>1</formula>
    </cfRule>
    <cfRule type="cellIs" dxfId="21707" priority="2148" operator="lessThan">
      <formula>0.8</formula>
    </cfRule>
  </conditionalFormatting>
  <conditionalFormatting sqref="P148:P153">
    <cfRule type="cellIs" dxfId="21706" priority="2146" operator="greaterThan">
      <formula>0</formula>
    </cfRule>
  </conditionalFormatting>
  <conditionalFormatting sqref="Q148:Q153">
    <cfRule type="cellIs" dxfId="21705" priority="2151" operator="lessThan">
      <formula>0</formula>
    </cfRule>
  </conditionalFormatting>
  <conditionalFormatting sqref="R148:R153">
    <cfRule type="cellIs" dxfId="21704" priority="2143" operator="lessThan">
      <formula>0.8</formula>
    </cfRule>
    <cfRule type="cellIs" dxfId="21703" priority="2144" operator="greaterThan">
      <formula>1</formula>
    </cfRule>
  </conditionalFormatting>
  <conditionalFormatting sqref="R148:R153">
    <cfRule type="cellIs" dxfId="21702" priority="2141" operator="greaterThan">
      <formula>1</formula>
    </cfRule>
    <cfRule type="cellIs" dxfId="21701" priority="2142" operator="lessThan">
      <formula>0.8</formula>
    </cfRule>
  </conditionalFormatting>
  <conditionalFormatting sqref="P148:P153">
    <cfRule type="cellIs" dxfId="21700" priority="2140" operator="greaterThan">
      <formula>0</formula>
    </cfRule>
  </conditionalFormatting>
  <conditionalFormatting sqref="Q148:Q153">
    <cfRule type="cellIs" dxfId="21699" priority="2145" operator="lessThan">
      <formula>0</formula>
    </cfRule>
  </conditionalFormatting>
  <conditionalFormatting sqref="Q148:Q153">
    <cfRule type="cellIs" dxfId="21698" priority="2139" operator="lessThan">
      <formula>0</formula>
    </cfRule>
  </conditionalFormatting>
  <conditionalFormatting sqref="R148:R153">
    <cfRule type="cellIs" dxfId="21697" priority="2137" operator="lessThan">
      <formula>0.8</formula>
    </cfRule>
    <cfRule type="cellIs" dxfId="21696" priority="2138" operator="greaterThan">
      <formula>1</formula>
    </cfRule>
  </conditionalFormatting>
  <conditionalFormatting sqref="R148:R153">
    <cfRule type="cellIs" dxfId="21695" priority="2135" operator="greaterThan">
      <formula>1</formula>
    </cfRule>
    <cfRule type="cellIs" dxfId="21694" priority="2136" operator="lessThan">
      <formula>0.8</formula>
    </cfRule>
  </conditionalFormatting>
  <conditionalFormatting sqref="P148:P153">
    <cfRule type="cellIs" dxfId="21693" priority="2134" operator="greaterThan">
      <formula>0</formula>
    </cfRule>
  </conditionalFormatting>
  <conditionalFormatting sqref="Q148:Q153">
    <cfRule type="cellIs" dxfId="21692" priority="2128" operator="lessThan">
      <formula>0</formula>
    </cfRule>
  </conditionalFormatting>
  <conditionalFormatting sqref="R148:R153">
    <cfRule type="cellIs" dxfId="21691" priority="2132" operator="lessThan">
      <formula>0.8</formula>
    </cfRule>
    <cfRule type="cellIs" dxfId="21690" priority="2133" operator="greaterThan">
      <formula>1</formula>
    </cfRule>
  </conditionalFormatting>
  <conditionalFormatting sqref="R148:R153">
    <cfRule type="cellIs" dxfId="21689" priority="2130" operator="greaterThan">
      <formula>1</formula>
    </cfRule>
    <cfRule type="cellIs" dxfId="21688" priority="2131" operator="lessThan">
      <formula>0.8</formula>
    </cfRule>
  </conditionalFormatting>
  <conditionalFormatting sqref="P148:P153">
    <cfRule type="cellIs" dxfId="21687" priority="2129" operator="greaterThan">
      <formula>0</formula>
    </cfRule>
  </conditionalFormatting>
  <conditionalFormatting sqref="Q148:Q153">
    <cfRule type="cellIs" dxfId="21686" priority="2127" operator="lessThan">
      <formula>0</formula>
    </cfRule>
  </conditionalFormatting>
  <conditionalFormatting sqref="R148:R153">
    <cfRule type="cellIs" dxfId="21685" priority="2125" operator="lessThan">
      <formula>0.8</formula>
    </cfRule>
    <cfRule type="cellIs" dxfId="21684" priority="2126" operator="greaterThan">
      <formula>1</formula>
    </cfRule>
  </conditionalFormatting>
  <conditionalFormatting sqref="R148:R153">
    <cfRule type="cellIs" dxfId="21683" priority="2123" operator="greaterThan">
      <formula>1</formula>
    </cfRule>
    <cfRule type="cellIs" dxfId="21682" priority="2124" operator="lessThan">
      <formula>0.8</formula>
    </cfRule>
  </conditionalFormatting>
  <conditionalFormatting sqref="P148:P153">
    <cfRule type="cellIs" dxfId="21681" priority="2122" operator="greaterThan">
      <formula>0</formula>
    </cfRule>
  </conditionalFormatting>
  <conditionalFormatting sqref="Q148:Q153">
    <cfRule type="cellIs" dxfId="21680" priority="2121" operator="lessThan">
      <formula>0</formula>
    </cfRule>
  </conditionalFormatting>
  <conditionalFormatting sqref="R148:R153">
    <cfRule type="cellIs" dxfId="21679" priority="2119" operator="lessThan">
      <formula>0.8</formula>
    </cfRule>
    <cfRule type="cellIs" dxfId="21678" priority="2120" operator="greaterThan">
      <formula>1</formula>
    </cfRule>
  </conditionalFormatting>
  <conditionalFormatting sqref="R148:R153">
    <cfRule type="cellIs" dxfId="21677" priority="2117" operator="greaterThan">
      <formula>1</formula>
    </cfRule>
    <cfRule type="cellIs" dxfId="21676" priority="2118" operator="lessThan">
      <formula>0.8</formula>
    </cfRule>
  </conditionalFormatting>
  <conditionalFormatting sqref="P148:P153">
    <cfRule type="cellIs" dxfId="21675" priority="2116" operator="greaterThan">
      <formula>0</formula>
    </cfRule>
  </conditionalFormatting>
  <conditionalFormatting sqref="Q148:Q153">
    <cfRule type="cellIs" dxfId="21674" priority="2115" operator="lessThan">
      <formula>0</formula>
    </cfRule>
  </conditionalFormatting>
  <conditionalFormatting sqref="R148:R153">
    <cfRule type="cellIs" dxfId="21673" priority="2113" operator="lessThan">
      <formula>0.8</formula>
    </cfRule>
    <cfRule type="cellIs" dxfId="21672" priority="2114" operator="greaterThan">
      <formula>1</formula>
    </cfRule>
  </conditionalFormatting>
  <conditionalFormatting sqref="R148:R153">
    <cfRule type="cellIs" dxfId="21671" priority="2111" operator="greaterThan">
      <formula>1</formula>
    </cfRule>
    <cfRule type="cellIs" dxfId="21670" priority="2112" operator="lessThan">
      <formula>0.8</formula>
    </cfRule>
  </conditionalFormatting>
  <conditionalFormatting sqref="P148:P153">
    <cfRule type="cellIs" dxfId="21669" priority="2110" operator="greaterThan">
      <formula>0</formula>
    </cfRule>
  </conditionalFormatting>
  <conditionalFormatting sqref="Q148:Q153">
    <cfRule type="cellIs" dxfId="21668" priority="2109" operator="lessThan">
      <formula>0</formula>
    </cfRule>
  </conditionalFormatting>
  <conditionalFormatting sqref="R148:R153">
    <cfRule type="cellIs" dxfId="21667" priority="2107" operator="lessThan">
      <formula>0.8</formula>
    </cfRule>
    <cfRule type="cellIs" dxfId="21666" priority="2108" operator="greaterThan">
      <formula>1</formula>
    </cfRule>
  </conditionalFormatting>
  <conditionalFormatting sqref="R148:R153">
    <cfRule type="cellIs" dxfId="21665" priority="2105" operator="greaterThan">
      <formula>1</formula>
    </cfRule>
    <cfRule type="cellIs" dxfId="21664" priority="2106" operator="lessThan">
      <formula>0.8</formula>
    </cfRule>
  </conditionalFormatting>
  <conditionalFormatting sqref="P148:P153">
    <cfRule type="cellIs" dxfId="21663" priority="2104" operator="greaterThan">
      <formula>0</formula>
    </cfRule>
  </conditionalFormatting>
  <conditionalFormatting sqref="Q148:Q153">
    <cfRule type="cellIs" dxfId="21662" priority="2103" operator="lessThan">
      <formula>0</formula>
    </cfRule>
  </conditionalFormatting>
  <conditionalFormatting sqref="R148:R153">
    <cfRule type="cellIs" dxfId="21661" priority="2101" operator="lessThan">
      <formula>0.8</formula>
    </cfRule>
    <cfRule type="cellIs" dxfId="21660" priority="2102" operator="greaterThan">
      <formula>1</formula>
    </cfRule>
  </conditionalFormatting>
  <conditionalFormatting sqref="R148:R153">
    <cfRule type="cellIs" dxfId="21659" priority="2099" operator="greaterThan">
      <formula>1</formula>
    </cfRule>
    <cfRule type="cellIs" dxfId="21658" priority="2100" operator="lessThan">
      <formula>0.8</formula>
    </cfRule>
  </conditionalFormatting>
  <conditionalFormatting sqref="P148:P153">
    <cfRule type="cellIs" dxfId="21657" priority="2098" operator="greaterThan">
      <formula>0</formula>
    </cfRule>
  </conditionalFormatting>
  <conditionalFormatting sqref="P148:P153">
    <cfRule type="cellIs" dxfId="21656" priority="2092" operator="greaterThan">
      <formula>0</formula>
    </cfRule>
  </conditionalFormatting>
  <conditionalFormatting sqref="Q148:Q153">
    <cfRule type="cellIs" dxfId="21655" priority="2097" operator="lessThan">
      <formula>0</formula>
    </cfRule>
  </conditionalFormatting>
  <conditionalFormatting sqref="R148:R153">
    <cfRule type="cellIs" dxfId="21654" priority="2095" operator="lessThan">
      <formula>0.8</formula>
    </cfRule>
    <cfRule type="cellIs" dxfId="21653" priority="2096" operator="greaterThan">
      <formula>1</formula>
    </cfRule>
  </conditionalFormatting>
  <conditionalFormatting sqref="R148:R153">
    <cfRule type="cellIs" dxfId="21652" priority="2093" operator="greaterThan">
      <formula>1</formula>
    </cfRule>
    <cfRule type="cellIs" dxfId="21651" priority="2094" operator="lessThan">
      <formula>0.8</formula>
    </cfRule>
  </conditionalFormatting>
  <conditionalFormatting sqref="P148:P153">
    <cfRule type="cellIs" dxfId="21650" priority="2086" operator="greaterThan">
      <formula>0</formula>
    </cfRule>
  </conditionalFormatting>
  <conditionalFormatting sqref="Q148:Q153">
    <cfRule type="cellIs" dxfId="21649" priority="2091" operator="lessThan">
      <formula>0</formula>
    </cfRule>
  </conditionalFormatting>
  <conditionalFormatting sqref="R148:R153">
    <cfRule type="cellIs" dxfId="21648" priority="2089" operator="lessThan">
      <formula>0.8</formula>
    </cfRule>
    <cfRule type="cellIs" dxfId="21647" priority="2090" operator="greaterThan">
      <formula>1</formula>
    </cfRule>
  </conditionalFormatting>
  <conditionalFormatting sqref="R148:R153">
    <cfRule type="cellIs" dxfId="21646" priority="2087" operator="greaterThan">
      <formula>1</formula>
    </cfRule>
    <cfRule type="cellIs" dxfId="21645" priority="2088" operator="lessThan">
      <formula>0.8</formula>
    </cfRule>
  </conditionalFormatting>
  <conditionalFormatting sqref="R148:R153">
    <cfRule type="cellIs" dxfId="21644" priority="2083" operator="lessThan">
      <formula>0.8</formula>
    </cfRule>
    <cfRule type="cellIs" dxfId="21643" priority="2084" operator="greaterThan">
      <formula>1</formula>
    </cfRule>
  </conditionalFormatting>
  <conditionalFormatting sqref="R148:R153">
    <cfRule type="cellIs" dxfId="21642" priority="2081" operator="greaterThan">
      <formula>1</formula>
    </cfRule>
    <cfRule type="cellIs" dxfId="21641" priority="2082" operator="lessThan">
      <formula>0.8</formula>
    </cfRule>
  </conditionalFormatting>
  <conditionalFormatting sqref="P148:P153">
    <cfRule type="cellIs" dxfId="21640" priority="2080" operator="greaterThan">
      <formula>0</formula>
    </cfRule>
  </conditionalFormatting>
  <conditionalFormatting sqref="Q148:Q153">
    <cfRule type="cellIs" dxfId="21639" priority="2085" operator="lessThan">
      <formula>0</formula>
    </cfRule>
  </conditionalFormatting>
  <conditionalFormatting sqref="Q148:Q153">
    <cfRule type="cellIs" dxfId="21638" priority="2074" operator="lessThan">
      <formula>0</formula>
    </cfRule>
  </conditionalFormatting>
  <conditionalFormatting sqref="P148:P153">
    <cfRule type="cellIs" dxfId="21637" priority="2075" operator="greaterThan">
      <formula>0</formula>
    </cfRule>
  </conditionalFormatting>
  <conditionalFormatting sqref="R148:R153">
    <cfRule type="cellIs" dxfId="21636" priority="2078" operator="lessThan">
      <formula>0.8</formula>
    </cfRule>
    <cfRule type="cellIs" dxfId="21635" priority="2079" operator="greaterThan">
      <formula>1</formula>
    </cfRule>
  </conditionalFormatting>
  <conditionalFormatting sqref="R148:R153">
    <cfRule type="cellIs" dxfId="21634" priority="2076" operator="greaterThan">
      <formula>1</formula>
    </cfRule>
    <cfRule type="cellIs" dxfId="21633" priority="2077" operator="lessThan">
      <formula>0.8</formula>
    </cfRule>
  </conditionalFormatting>
  <conditionalFormatting sqref="Q148:Q153">
    <cfRule type="cellIs" dxfId="21632" priority="2068" operator="lessThan">
      <formula>0</formula>
    </cfRule>
  </conditionalFormatting>
  <conditionalFormatting sqref="R148:R153">
    <cfRule type="cellIs" dxfId="21631" priority="2072" operator="lessThan">
      <formula>0.8</formula>
    </cfRule>
    <cfRule type="cellIs" dxfId="21630" priority="2073" operator="greaterThan">
      <formula>1</formula>
    </cfRule>
  </conditionalFormatting>
  <conditionalFormatting sqref="R148:R153">
    <cfRule type="cellIs" dxfId="21629" priority="2070" operator="greaterThan">
      <formula>1</formula>
    </cfRule>
    <cfRule type="cellIs" dxfId="21628" priority="2071" operator="lessThan">
      <formula>0.8</formula>
    </cfRule>
  </conditionalFormatting>
  <conditionalFormatting sqref="P148:P153">
    <cfRule type="cellIs" dxfId="21627" priority="2069" operator="greaterThan">
      <formula>0</formula>
    </cfRule>
  </conditionalFormatting>
  <conditionalFormatting sqref="Q148:Q153">
    <cfRule type="cellIs" dxfId="21626" priority="2067" operator="lessThan">
      <formula>0</formula>
    </cfRule>
  </conditionalFormatting>
  <conditionalFormatting sqref="R148:R153">
    <cfRule type="cellIs" dxfId="21625" priority="2065" operator="lessThan">
      <formula>0.8</formula>
    </cfRule>
    <cfRule type="cellIs" dxfId="21624" priority="2066" operator="greaterThan">
      <formula>1</formula>
    </cfRule>
  </conditionalFormatting>
  <conditionalFormatting sqref="R148:R153">
    <cfRule type="cellIs" dxfId="21623" priority="2063" operator="greaterThan">
      <formula>1</formula>
    </cfRule>
    <cfRule type="cellIs" dxfId="21622" priority="2064" operator="lessThan">
      <formula>0.8</formula>
    </cfRule>
  </conditionalFormatting>
  <conditionalFormatting sqref="P148:P153">
    <cfRule type="cellIs" dxfId="21621" priority="2062" operator="greaterThan">
      <formula>0</formula>
    </cfRule>
  </conditionalFormatting>
  <conditionalFormatting sqref="Q148:Q153">
    <cfRule type="cellIs" dxfId="21620" priority="2061" operator="lessThan">
      <formula>0</formula>
    </cfRule>
  </conditionalFormatting>
  <conditionalFormatting sqref="R148:R153">
    <cfRule type="cellIs" dxfId="21619" priority="2059" operator="lessThan">
      <formula>0.8</formula>
    </cfRule>
    <cfRule type="cellIs" dxfId="21618" priority="2060" operator="greaterThan">
      <formula>1</formula>
    </cfRule>
  </conditionalFormatting>
  <conditionalFormatting sqref="R148:R153">
    <cfRule type="cellIs" dxfId="21617" priority="2057" operator="greaterThan">
      <formula>1</formula>
    </cfRule>
    <cfRule type="cellIs" dxfId="21616" priority="2058" operator="lessThan">
      <formula>0.8</formula>
    </cfRule>
  </conditionalFormatting>
  <conditionalFormatting sqref="P148:P153">
    <cfRule type="cellIs" dxfId="21615" priority="2056" operator="greaterThan">
      <formula>0</formula>
    </cfRule>
  </conditionalFormatting>
  <conditionalFormatting sqref="Q148:Q153">
    <cfRule type="cellIs" dxfId="21614" priority="2055" operator="lessThan">
      <formula>0</formula>
    </cfRule>
  </conditionalFormatting>
  <conditionalFormatting sqref="R148:R153">
    <cfRule type="cellIs" dxfId="21613" priority="2053" operator="lessThan">
      <formula>0.8</formula>
    </cfRule>
    <cfRule type="cellIs" dxfId="21612" priority="2054" operator="greaterThan">
      <formula>1</formula>
    </cfRule>
  </conditionalFormatting>
  <conditionalFormatting sqref="R148:R153">
    <cfRule type="cellIs" dxfId="21611" priority="2051" operator="greaterThan">
      <formula>1</formula>
    </cfRule>
    <cfRule type="cellIs" dxfId="21610" priority="2052" operator="lessThan">
      <formula>0.8</formula>
    </cfRule>
  </conditionalFormatting>
  <conditionalFormatting sqref="P148:P153">
    <cfRule type="cellIs" dxfId="21609" priority="2050" operator="greaterThan">
      <formula>0</formula>
    </cfRule>
  </conditionalFormatting>
  <conditionalFormatting sqref="Q148:Q153">
    <cfRule type="cellIs" dxfId="21608" priority="2049" operator="lessThan">
      <formula>0</formula>
    </cfRule>
  </conditionalFormatting>
  <conditionalFormatting sqref="R148:R153">
    <cfRule type="cellIs" dxfId="21607" priority="2047" operator="lessThan">
      <formula>0.8</formula>
    </cfRule>
    <cfRule type="cellIs" dxfId="21606" priority="2048" operator="greaterThan">
      <formula>1</formula>
    </cfRule>
  </conditionalFormatting>
  <conditionalFormatting sqref="R148:R153">
    <cfRule type="cellIs" dxfId="21605" priority="2045" operator="greaterThan">
      <formula>1</formula>
    </cfRule>
    <cfRule type="cellIs" dxfId="21604" priority="2046" operator="lessThan">
      <formula>0.8</formula>
    </cfRule>
  </conditionalFormatting>
  <conditionalFormatting sqref="P148:P153">
    <cfRule type="cellIs" dxfId="21603" priority="2044" operator="greaterThan">
      <formula>0</formula>
    </cfRule>
  </conditionalFormatting>
  <conditionalFormatting sqref="Q124 Q127 Q130">
    <cfRule type="cellIs" dxfId="21602" priority="2038" operator="lessThan">
      <formula>0</formula>
    </cfRule>
  </conditionalFormatting>
  <conditionalFormatting sqref="P124 P127 P130">
    <cfRule type="cellIs" dxfId="21601" priority="2039" operator="greaterThan">
      <formula>0</formula>
    </cfRule>
  </conditionalFormatting>
  <conditionalFormatting sqref="R124 R127 R130">
    <cfRule type="cellIs" dxfId="21600" priority="2042" operator="lessThan">
      <formula>0.8</formula>
    </cfRule>
    <cfRule type="cellIs" dxfId="21599" priority="2043" operator="greaterThan">
      <formula>1</formula>
    </cfRule>
  </conditionalFormatting>
  <conditionalFormatting sqref="R124 R127 R130">
    <cfRule type="cellIs" dxfId="21598" priority="2040" operator="greaterThan">
      <formula>1</formula>
    </cfRule>
    <cfRule type="cellIs" dxfId="21597" priority="2041" operator="lessThan">
      <formula>0.8</formula>
    </cfRule>
  </conditionalFormatting>
  <conditionalFormatting sqref="Q124 Q127 Q130">
    <cfRule type="cellIs" dxfId="21596" priority="2032" operator="lessThan">
      <formula>0</formula>
    </cfRule>
  </conditionalFormatting>
  <conditionalFormatting sqref="R124 R127 R130">
    <cfRule type="cellIs" dxfId="21595" priority="2036" operator="lessThan">
      <formula>0.8</formula>
    </cfRule>
    <cfRule type="cellIs" dxfId="21594" priority="2037" operator="greaterThan">
      <formula>1</formula>
    </cfRule>
  </conditionalFormatting>
  <conditionalFormatting sqref="R124 R127 R130">
    <cfRule type="cellIs" dxfId="21593" priority="2034" operator="greaterThan">
      <formula>1</formula>
    </cfRule>
    <cfRule type="cellIs" dxfId="21592" priority="2035" operator="lessThan">
      <formula>0.8</formula>
    </cfRule>
  </conditionalFormatting>
  <conditionalFormatting sqref="P124 P127 P130">
    <cfRule type="cellIs" dxfId="21591" priority="2033" operator="greaterThan">
      <formula>0</formula>
    </cfRule>
  </conditionalFormatting>
  <conditionalFormatting sqref="Q124 Q127 Q130">
    <cfRule type="cellIs" dxfId="21590" priority="2031" operator="lessThan">
      <formula>0</formula>
    </cfRule>
  </conditionalFormatting>
  <conditionalFormatting sqref="R124 R127 R130">
    <cfRule type="cellIs" dxfId="21589" priority="2029" operator="lessThan">
      <formula>0.8</formula>
    </cfRule>
    <cfRule type="cellIs" dxfId="21588" priority="2030" operator="greaterThan">
      <formula>1</formula>
    </cfRule>
  </conditionalFormatting>
  <conditionalFormatting sqref="R124 R127 R130">
    <cfRule type="cellIs" dxfId="21587" priority="2027" operator="greaterThan">
      <formula>1</formula>
    </cfRule>
    <cfRule type="cellIs" dxfId="21586" priority="2028" operator="lessThan">
      <formula>0.8</formula>
    </cfRule>
  </conditionalFormatting>
  <conditionalFormatting sqref="P124 P127 P130">
    <cfRule type="cellIs" dxfId="21585" priority="2026" operator="greaterThan">
      <formula>0</formula>
    </cfRule>
  </conditionalFormatting>
  <conditionalFormatting sqref="Q124 Q127 Q130">
    <cfRule type="cellIs" dxfId="21584" priority="2025" operator="lessThan">
      <formula>0</formula>
    </cfRule>
  </conditionalFormatting>
  <conditionalFormatting sqref="R124 R127 R130">
    <cfRule type="cellIs" dxfId="21583" priority="2023" operator="lessThan">
      <formula>0.8</formula>
    </cfRule>
    <cfRule type="cellIs" dxfId="21582" priority="2024" operator="greaterThan">
      <formula>1</formula>
    </cfRule>
  </conditionalFormatting>
  <conditionalFormatting sqref="R124 R127 R130">
    <cfRule type="cellIs" dxfId="21581" priority="2021" operator="greaterThan">
      <formula>1</formula>
    </cfRule>
    <cfRule type="cellIs" dxfId="21580" priority="2022" operator="lessThan">
      <formula>0.8</formula>
    </cfRule>
  </conditionalFormatting>
  <conditionalFormatting sqref="P124 P127 P130">
    <cfRule type="cellIs" dxfId="21579" priority="2020" operator="greaterThan">
      <formula>0</formula>
    </cfRule>
  </conditionalFormatting>
  <conditionalFormatting sqref="Q124 Q127 Q130">
    <cfRule type="cellIs" dxfId="21578" priority="2019" operator="lessThan">
      <formula>0</formula>
    </cfRule>
  </conditionalFormatting>
  <conditionalFormatting sqref="R124 R127 R130">
    <cfRule type="cellIs" dxfId="21577" priority="2017" operator="lessThan">
      <formula>0.8</formula>
    </cfRule>
    <cfRule type="cellIs" dxfId="21576" priority="2018" operator="greaterThan">
      <formula>1</formula>
    </cfRule>
  </conditionalFormatting>
  <conditionalFormatting sqref="R124 R127 R130">
    <cfRule type="cellIs" dxfId="21575" priority="2015" operator="greaterThan">
      <formula>1</formula>
    </cfRule>
    <cfRule type="cellIs" dxfId="21574" priority="2016" operator="lessThan">
      <formula>0.8</formula>
    </cfRule>
  </conditionalFormatting>
  <conditionalFormatting sqref="P124 P127 P130">
    <cfRule type="cellIs" dxfId="21573" priority="2014" operator="greaterThan">
      <formula>0</formula>
    </cfRule>
  </conditionalFormatting>
  <conditionalFormatting sqref="Q124 Q127 Q130">
    <cfRule type="cellIs" dxfId="21572" priority="2013" operator="lessThan">
      <formula>0</formula>
    </cfRule>
  </conditionalFormatting>
  <conditionalFormatting sqref="R124 R127 R130">
    <cfRule type="cellIs" dxfId="21571" priority="2011" operator="lessThan">
      <formula>0.8</formula>
    </cfRule>
    <cfRule type="cellIs" dxfId="21570" priority="2012" operator="greaterThan">
      <formula>1</formula>
    </cfRule>
  </conditionalFormatting>
  <conditionalFormatting sqref="R124 R127 R130">
    <cfRule type="cellIs" dxfId="21569" priority="2009" operator="greaterThan">
      <formula>1</formula>
    </cfRule>
    <cfRule type="cellIs" dxfId="21568" priority="2010" operator="lessThan">
      <formula>0.8</formula>
    </cfRule>
  </conditionalFormatting>
  <conditionalFormatting sqref="P124 P127 P130">
    <cfRule type="cellIs" dxfId="21567" priority="2008" operator="greaterThan">
      <formula>0</formula>
    </cfRule>
  </conditionalFormatting>
  <conditionalFormatting sqref="Q124 Q127 Q130">
    <cfRule type="cellIs" dxfId="21566" priority="2007" operator="lessThan">
      <formula>0</formula>
    </cfRule>
  </conditionalFormatting>
  <conditionalFormatting sqref="R124 R127 R130">
    <cfRule type="cellIs" dxfId="21565" priority="2005" operator="lessThan">
      <formula>0.8</formula>
    </cfRule>
    <cfRule type="cellIs" dxfId="21564" priority="2006" operator="greaterThan">
      <formula>1</formula>
    </cfRule>
  </conditionalFormatting>
  <conditionalFormatting sqref="R124 R127 R130">
    <cfRule type="cellIs" dxfId="21563" priority="2003" operator="greaterThan">
      <formula>1</formula>
    </cfRule>
    <cfRule type="cellIs" dxfId="21562" priority="2004" operator="lessThan">
      <formula>0.8</formula>
    </cfRule>
  </conditionalFormatting>
  <conditionalFormatting sqref="P124 P127 P130">
    <cfRule type="cellIs" dxfId="21561" priority="2002" operator="greaterThan">
      <formula>0</formula>
    </cfRule>
  </conditionalFormatting>
  <conditionalFormatting sqref="Q124 Q127 Q130">
    <cfRule type="cellIs" dxfId="21560" priority="2001" operator="lessThan">
      <formula>0</formula>
    </cfRule>
  </conditionalFormatting>
  <conditionalFormatting sqref="R124 R127 R130">
    <cfRule type="cellIs" dxfId="21559" priority="1999" operator="lessThan">
      <formula>0.8</formula>
    </cfRule>
    <cfRule type="cellIs" dxfId="21558" priority="2000" operator="greaterThan">
      <formula>1</formula>
    </cfRule>
  </conditionalFormatting>
  <conditionalFormatting sqref="R124 R127 R130">
    <cfRule type="cellIs" dxfId="21557" priority="1997" operator="greaterThan">
      <formula>1</formula>
    </cfRule>
    <cfRule type="cellIs" dxfId="21556" priority="1998" operator="lessThan">
      <formula>0.8</formula>
    </cfRule>
  </conditionalFormatting>
  <conditionalFormatting sqref="P124 P127 P130">
    <cfRule type="cellIs" dxfId="21555" priority="1996" operator="greaterThan">
      <formula>0</formula>
    </cfRule>
  </conditionalFormatting>
  <conditionalFormatting sqref="Q124 Q127 Q130">
    <cfRule type="cellIs" dxfId="21554" priority="1995" operator="lessThan">
      <formula>0</formula>
    </cfRule>
  </conditionalFormatting>
  <conditionalFormatting sqref="R124 R127 R130">
    <cfRule type="cellIs" dxfId="21553" priority="1993" operator="lessThan">
      <formula>0.8</formula>
    </cfRule>
    <cfRule type="cellIs" dxfId="21552" priority="1994" operator="greaterThan">
      <formula>1</formula>
    </cfRule>
  </conditionalFormatting>
  <conditionalFormatting sqref="R124 R127 R130">
    <cfRule type="cellIs" dxfId="21551" priority="1991" operator="greaterThan">
      <formula>1</formula>
    </cfRule>
    <cfRule type="cellIs" dxfId="21550" priority="1992" operator="lessThan">
      <formula>0.8</formula>
    </cfRule>
  </conditionalFormatting>
  <conditionalFormatting sqref="P124 P127 P130">
    <cfRule type="cellIs" dxfId="21549" priority="1990" operator="greaterThan">
      <formula>0</formula>
    </cfRule>
  </conditionalFormatting>
  <conditionalFormatting sqref="P124 P127 P130">
    <cfRule type="cellIs" dxfId="21548" priority="1984" operator="greaterThan">
      <formula>0</formula>
    </cfRule>
  </conditionalFormatting>
  <conditionalFormatting sqref="Q124 Q127 Q130">
    <cfRule type="cellIs" dxfId="21547" priority="1989" operator="lessThan">
      <formula>0</formula>
    </cfRule>
  </conditionalFormatting>
  <conditionalFormatting sqref="R124 R127 R130">
    <cfRule type="cellIs" dxfId="21546" priority="1987" operator="lessThan">
      <formula>0.8</formula>
    </cfRule>
    <cfRule type="cellIs" dxfId="21545" priority="1988" operator="greaterThan">
      <formula>1</formula>
    </cfRule>
  </conditionalFormatting>
  <conditionalFormatting sqref="R124 R127 R130">
    <cfRule type="cellIs" dxfId="21544" priority="1985" operator="greaterThan">
      <formula>1</formula>
    </cfRule>
    <cfRule type="cellIs" dxfId="21543" priority="1986" operator="lessThan">
      <formula>0.8</formula>
    </cfRule>
  </conditionalFormatting>
  <conditionalFormatting sqref="P124 P127 P130">
    <cfRule type="cellIs" dxfId="21542" priority="1978" operator="greaterThan">
      <formula>0</formula>
    </cfRule>
  </conditionalFormatting>
  <conditionalFormatting sqref="Q124 Q127 Q130">
    <cfRule type="cellIs" dxfId="21541" priority="1983" operator="lessThan">
      <formula>0</formula>
    </cfRule>
  </conditionalFormatting>
  <conditionalFormatting sqref="R124 R127 R130">
    <cfRule type="cellIs" dxfId="21540" priority="1981" operator="lessThan">
      <formula>0.8</formula>
    </cfRule>
    <cfRule type="cellIs" dxfId="21539" priority="1982" operator="greaterThan">
      <formula>1</formula>
    </cfRule>
  </conditionalFormatting>
  <conditionalFormatting sqref="R124 R127 R130">
    <cfRule type="cellIs" dxfId="21538" priority="1979" operator="greaterThan">
      <formula>1</formula>
    </cfRule>
    <cfRule type="cellIs" dxfId="21537" priority="1980" operator="lessThan">
      <formula>0.8</formula>
    </cfRule>
  </conditionalFormatting>
  <conditionalFormatting sqref="R124 R127 R130">
    <cfRule type="cellIs" dxfId="21536" priority="1975" operator="lessThan">
      <formula>0.8</formula>
    </cfRule>
    <cfRule type="cellIs" dxfId="21535" priority="1976" operator="greaterThan">
      <formula>1</formula>
    </cfRule>
  </conditionalFormatting>
  <conditionalFormatting sqref="R124 R127 R130">
    <cfRule type="cellIs" dxfId="21534" priority="1973" operator="greaterThan">
      <formula>1</formula>
    </cfRule>
    <cfRule type="cellIs" dxfId="21533" priority="1974" operator="lessThan">
      <formula>0.8</formula>
    </cfRule>
  </conditionalFormatting>
  <conditionalFormatting sqref="P124 P127 P130">
    <cfRule type="cellIs" dxfId="21532" priority="1972" operator="greaterThan">
      <formula>0</formula>
    </cfRule>
  </conditionalFormatting>
  <conditionalFormatting sqref="Q124 Q127 Q130">
    <cfRule type="cellIs" dxfId="21531" priority="1977" operator="lessThan">
      <formula>0</formula>
    </cfRule>
  </conditionalFormatting>
  <conditionalFormatting sqref="Q124 Q127 Q130">
    <cfRule type="cellIs" dxfId="21530" priority="1971" operator="lessThan">
      <formula>0</formula>
    </cfRule>
  </conditionalFormatting>
  <conditionalFormatting sqref="R124 R127 R130">
    <cfRule type="cellIs" dxfId="21529" priority="1969" operator="lessThan">
      <formula>0.8</formula>
    </cfRule>
    <cfRule type="cellIs" dxfId="21528" priority="1970" operator="greaterThan">
      <formula>1</formula>
    </cfRule>
  </conditionalFormatting>
  <conditionalFormatting sqref="R124 R127 R130">
    <cfRule type="cellIs" dxfId="21527" priority="1967" operator="greaterThan">
      <formula>1</formula>
    </cfRule>
    <cfRule type="cellIs" dxfId="21526" priority="1968" operator="lessThan">
      <formula>0.8</formula>
    </cfRule>
  </conditionalFormatting>
  <conditionalFormatting sqref="P124 P127 P130">
    <cfRule type="cellIs" dxfId="21525" priority="1966" operator="greaterThan">
      <formula>0</formula>
    </cfRule>
  </conditionalFormatting>
  <conditionalFormatting sqref="P124 P127 P130">
    <cfRule type="cellIs" dxfId="21524" priority="1960" operator="greaterThan">
      <formula>0</formula>
    </cfRule>
  </conditionalFormatting>
  <conditionalFormatting sqref="Q124 Q127 Q130">
    <cfRule type="cellIs" dxfId="21523" priority="1965" operator="lessThan">
      <formula>0</formula>
    </cfRule>
  </conditionalFormatting>
  <conditionalFormatting sqref="R124 R127 R130">
    <cfRule type="cellIs" dxfId="21522" priority="1963" operator="lessThan">
      <formula>0.8</formula>
    </cfRule>
    <cfRule type="cellIs" dxfId="21521" priority="1964" operator="greaterThan">
      <formula>1</formula>
    </cfRule>
  </conditionalFormatting>
  <conditionalFormatting sqref="R124 R127 R130">
    <cfRule type="cellIs" dxfId="21520" priority="1961" operator="greaterThan">
      <formula>1</formula>
    </cfRule>
    <cfRule type="cellIs" dxfId="21519" priority="1962" operator="lessThan">
      <formula>0.8</formula>
    </cfRule>
  </conditionalFormatting>
  <conditionalFormatting sqref="P124 P127 P130">
    <cfRule type="cellIs" dxfId="21518" priority="1954" operator="greaterThan">
      <formula>0</formula>
    </cfRule>
  </conditionalFormatting>
  <conditionalFormatting sqref="Q124 Q127 Q130">
    <cfRule type="cellIs" dxfId="21517" priority="1959" operator="lessThan">
      <formula>0</formula>
    </cfRule>
  </conditionalFormatting>
  <conditionalFormatting sqref="R124 R127 R130">
    <cfRule type="cellIs" dxfId="21516" priority="1957" operator="lessThan">
      <formula>0.8</formula>
    </cfRule>
    <cfRule type="cellIs" dxfId="21515" priority="1958" operator="greaterThan">
      <formula>1</formula>
    </cfRule>
  </conditionalFormatting>
  <conditionalFormatting sqref="R124 R127 R130">
    <cfRule type="cellIs" dxfId="21514" priority="1955" operator="greaterThan">
      <formula>1</formula>
    </cfRule>
    <cfRule type="cellIs" dxfId="21513" priority="1956" operator="lessThan">
      <formula>0.8</formula>
    </cfRule>
  </conditionalFormatting>
  <conditionalFormatting sqref="R124 R127 R130">
    <cfRule type="cellIs" dxfId="21512" priority="1951" operator="lessThan">
      <formula>0.8</formula>
    </cfRule>
    <cfRule type="cellIs" dxfId="21511" priority="1952" operator="greaterThan">
      <formula>1</formula>
    </cfRule>
  </conditionalFormatting>
  <conditionalFormatting sqref="R124 R127 R130">
    <cfRule type="cellIs" dxfId="21510" priority="1949" operator="greaterThan">
      <formula>1</formula>
    </cfRule>
    <cfRule type="cellIs" dxfId="21509" priority="1950" operator="lessThan">
      <formula>0.8</formula>
    </cfRule>
  </conditionalFormatting>
  <conditionalFormatting sqref="P124 P127 P130">
    <cfRule type="cellIs" dxfId="21508" priority="1948" operator="greaterThan">
      <formula>0</formula>
    </cfRule>
  </conditionalFormatting>
  <conditionalFormatting sqref="Q124 Q127 Q130">
    <cfRule type="cellIs" dxfId="21507" priority="1953" operator="lessThan">
      <formula>0</formula>
    </cfRule>
  </conditionalFormatting>
  <conditionalFormatting sqref="P124 P127 P130">
    <cfRule type="cellIs" dxfId="21506" priority="1942" operator="greaterThan">
      <formula>0</formula>
    </cfRule>
  </conditionalFormatting>
  <conditionalFormatting sqref="Q124 Q127 Q130">
    <cfRule type="cellIs" dxfId="21505" priority="1947" operator="lessThan">
      <formula>0</formula>
    </cfRule>
  </conditionalFormatting>
  <conditionalFormatting sqref="R124 R127 R130">
    <cfRule type="cellIs" dxfId="21504" priority="1945" operator="lessThan">
      <formula>0.8</formula>
    </cfRule>
    <cfRule type="cellIs" dxfId="21503" priority="1946" operator="greaterThan">
      <formula>1</formula>
    </cfRule>
  </conditionalFormatting>
  <conditionalFormatting sqref="R124 R127 R130">
    <cfRule type="cellIs" dxfId="21502" priority="1943" operator="greaterThan">
      <formula>1</formula>
    </cfRule>
    <cfRule type="cellIs" dxfId="21501" priority="1944" operator="lessThan">
      <formula>0.8</formula>
    </cfRule>
  </conditionalFormatting>
  <conditionalFormatting sqref="R124 R127 R130">
    <cfRule type="cellIs" dxfId="21500" priority="1939" operator="lessThan">
      <formula>0.8</formula>
    </cfRule>
    <cfRule type="cellIs" dxfId="21499" priority="1940" operator="greaterThan">
      <formula>1</formula>
    </cfRule>
  </conditionalFormatting>
  <conditionalFormatting sqref="R124 R127 R130">
    <cfRule type="cellIs" dxfId="21498" priority="1937" operator="greaterThan">
      <formula>1</formula>
    </cfRule>
    <cfRule type="cellIs" dxfId="21497" priority="1938" operator="lessThan">
      <formula>0.8</formula>
    </cfRule>
  </conditionalFormatting>
  <conditionalFormatting sqref="P124 P127 P130">
    <cfRule type="cellIs" dxfId="21496" priority="1936" operator="greaterThan">
      <formula>0</formula>
    </cfRule>
  </conditionalFormatting>
  <conditionalFormatting sqref="Q124 Q127 Q130">
    <cfRule type="cellIs" dxfId="21495" priority="1941" operator="lessThan">
      <formula>0</formula>
    </cfRule>
  </conditionalFormatting>
  <conditionalFormatting sqref="R124 R127 R130">
    <cfRule type="cellIs" dxfId="21494" priority="1933" operator="lessThan">
      <formula>0.8</formula>
    </cfRule>
    <cfRule type="cellIs" dxfId="21493" priority="1934" operator="greaterThan">
      <formula>1</formula>
    </cfRule>
  </conditionalFormatting>
  <conditionalFormatting sqref="R124 R127 R130">
    <cfRule type="cellIs" dxfId="21492" priority="1931" operator="greaterThan">
      <formula>1</formula>
    </cfRule>
    <cfRule type="cellIs" dxfId="21491" priority="1932" operator="lessThan">
      <formula>0.8</formula>
    </cfRule>
  </conditionalFormatting>
  <conditionalFormatting sqref="P124 P127 P130">
    <cfRule type="cellIs" dxfId="21490" priority="1930" operator="greaterThan">
      <formula>0</formula>
    </cfRule>
  </conditionalFormatting>
  <conditionalFormatting sqref="Q124 Q127 Q130">
    <cfRule type="cellIs" dxfId="21489" priority="1935" operator="lessThan">
      <formula>0</formula>
    </cfRule>
  </conditionalFormatting>
  <conditionalFormatting sqref="Q124 Q127 Q130">
    <cfRule type="cellIs" dxfId="21488" priority="1929" operator="lessThan">
      <formula>0</formula>
    </cfRule>
  </conditionalFormatting>
  <conditionalFormatting sqref="R124 R127 R130">
    <cfRule type="cellIs" dxfId="21487" priority="1927" operator="lessThan">
      <formula>0.8</formula>
    </cfRule>
    <cfRule type="cellIs" dxfId="21486" priority="1928" operator="greaterThan">
      <formula>1</formula>
    </cfRule>
  </conditionalFormatting>
  <conditionalFormatting sqref="R124 R127 R130">
    <cfRule type="cellIs" dxfId="21485" priority="1925" operator="greaterThan">
      <formula>1</formula>
    </cfRule>
    <cfRule type="cellIs" dxfId="21484" priority="1926" operator="lessThan">
      <formula>0.8</formula>
    </cfRule>
  </conditionalFormatting>
  <conditionalFormatting sqref="P124 P127 P130">
    <cfRule type="cellIs" dxfId="21483" priority="1924" operator="greaterThan">
      <formula>0</formula>
    </cfRule>
  </conditionalFormatting>
  <conditionalFormatting sqref="Q124 Q127 Q130">
    <cfRule type="cellIs" dxfId="21482" priority="1918" operator="lessThan">
      <formula>0</formula>
    </cfRule>
  </conditionalFormatting>
  <conditionalFormatting sqref="R124 R127 R130">
    <cfRule type="cellIs" dxfId="21481" priority="1922" operator="lessThan">
      <formula>0.8</formula>
    </cfRule>
    <cfRule type="cellIs" dxfId="21480" priority="1923" operator="greaterThan">
      <formula>1</formula>
    </cfRule>
  </conditionalFormatting>
  <conditionalFormatting sqref="R124 R127 R130">
    <cfRule type="cellIs" dxfId="21479" priority="1920" operator="greaterThan">
      <formula>1</formula>
    </cfRule>
    <cfRule type="cellIs" dxfId="21478" priority="1921" operator="lessThan">
      <formula>0.8</formula>
    </cfRule>
  </conditionalFormatting>
  <conditionalFormatting sqref="P124 P127 P130">
    <cfRule type="cellIs" dxfId="21477" priority="1919" operator="greaterThan">
      <formula>0</formula>
    </cfRule>
  </conditionalFormatting>
  <conditionalFormatting sqref="Q124 Q127 Q130">
    <cfRule type="cellIs" dxfId="21476" priority="1917" operator="lessThan">
      <formula>0</formula>
    </cfRule>
  </conditionalFormatting>
  <conditionalFormatting sqref="R124 R127 R130">
    <cfRule type="cellIs" dxfId="21475" priority="1915" operator="lessThan">
      <formula>0.8</formula>
    </cfRule>
    <cfRule type="cellIs" dxfId="21474" priority="1916" operator="greaterThan">
      <formula>1</formula>
    </cfRule>
  </conditionalFormatting>
  <conditionalFormatting sqref="R124 R127 R130">
    <cfRule type="cellIs" dxfId="21473" priority="1913" operator="greaterThan">
      <formula>1</formula>
    </cfRule>
    <cfRule type="cellIs" dxfId="21472" priority="1914" operator="lessThan">
      <formula>0.8</formula>
    </cfRule>
  </conditionalFormatting>
  <conditionalFormatting sqref="P124 P127 P130">
    <cfRule type="cellIs" dxfId="21471" priority="1912" operator="greaterThan">
      <formula>0</formula>
    </cfRule>
  </conditionalFormatting>
  <conditionalFormatting sqref="Q124 Q127 Q130">
    <cfRule type="cellIs" dxfId="21470" priority="1911" operator="lessThan">
      <formula>0</formula>
    </cfRule>
  </conditionalFormatting>
  <conditionalFormatting sqref="R124 R127 R130">
    <cfRule type="cellIs" dxfId="21469" priority="1909" operator="lessThan">
      <formula>0.8</formula>
    </cfRule>
    <cfRule type="cellIs" dxfId="21468" priority="1910" operator="greaterThan">
      <formula>1</formula>
    </cfRule>
  </conditionalFormatting>
  <conditionalFormatting sqref="R124 R127 R130">
    <cfRule type="cellIs" dxfId="21467" priority="1907" operator="greaterThan">
      <formula>1</formula>
    </cfRule>
    <cfRule type="cellIs" dxfId="21466" priority="1908" operator="lessThan">
      <formula>0.8</formula>
    </cfRule>
  </conditionalFormatting>
  <conditionalFormatting sqref="P124 P127 P130">
    <cfRule type="cellIs" dxfId="21465" priority="1906" operator="greaterThan">
      <formula>0</formula>
    </cfRule>
  </conditionalFormatting>
  <conditionalFormatting sqref="Q124 Q127 Q130">
    <cfRule type="cellIs" dxfId="21464" priority="1905" operator="lessThan">
      <formula>0</formula>
    </cfRule>
  </conditionalFormatting>
  <conditionalFormatting sqref="R124 R127 R130">
    <cfRule type="cellIs" dxfId="21463" priority="1903" operator="lessThan">
      <formula>0.8</formula>
    </cfRule>
    <cfRule type="cellIs" dxfId="21462" priority="1904" operator="greaterThan">
      <formula>1</formula>
    </cfRule>
  </conditionalFormatting>
  <conditionalFormatting sqref="R124 R127 R130">
    <cfRule type="cellIs" dxfId="21461" priority="1901" operator="greaterThan">
      <formula>1</formula>
    </cfRule>
    <cfRule type="cellIs" dxfId="21460" priority="1902" operator="lessThan">
      <formula>0.8</formula>
    </cfRule>
  </conditionalFormatting>
  <conditionalFormatting sqref="P124 P127 P130">
    <cfRule type="cellIs" dxfId="21459" priority="1900" operator="greaterThan">
      <formula>0</formula>
    </cfRule>
  </conditionalFormatting>
  <conditionalFormatting sqref="Q124 Q127 Q130">
    <cfRule type="cellIs" dxfId="21458" priority="1899" operator="lessThan">
      <formula>0</formula>
    </cfRule>
  </conditionalFormatting>
  <conditionalFormatting sqref="R124 R127 R130">
    <cfRule type="cellIs" dxfId="21457" priority="1897" operator="lessThan">
      <formula>0.8</formula>
    </cfRule>
    <cfRule type="cellIs" dxfId="21456" priority="1898" operator="greaterThan">
      <formula>1</formula>
    </cfRule>
  </conditionalFormatting>
  <conditionalFormatting sqref="R124 R127 R130">
    <cfRule type="cellIs" dxfId="21455" priority="1895" operator="greaterThan">
      <formula>1</formula>
    </cfRule>
    <cfRule type="cellIs" dxfId="21454" priority="1896" operator="lessThan">
      <formula>0.8</formula>
    </cfRule>
  </conditionalFormatting>
  <conditionalFormatting sqref="P124 P127 P130">
    <cfRule type="cellIs" dxfId="21453" priority="1894" operator="greaterThan">
      <formula>0</formula>
    </cfRule>
  </conditionalFormatting>
  <conditionalFormatting sqref="Q124 Q127 Q130">
    <cfRule type="cellIs" dxfId="21452" priority="1893" operator="lessThan">
      <formula>0</formula>
    </cfRule>
  </conditionalFormatting>
  <conditionalFormatting sqref="R124 R127 R130">
    <cfRule type="cellIs" dxfId="21451" priority="1891" operator="lessThan">
      <formula>0.8</formula>
    </cfRule>
    <cfRule type="cellIs" dxfId="21450" priority="1892" operator="greaterThan">
      <formula>1</formula>
    </cfRule>
  </conditionalFormatting>
  <conditionalFormatting sqref="R124 R127 R130">
    <cfRule type="cellIs" dxfId="21449" priority="1889" operator="greaterThan">
      <formula>1</formula>
    </cfRule>
    <cfRule type="cellIs" dxfId="21448" priority="1890" operator="lessThan">
      <formula>0.8</formula>
    </cfRule>
  </conditionalFormatting>
  <conditionalFormatting sqref="P124 P127 P130">
    <cfRule type="cellIs" dxfId="21447" priority="1888" operator="greaterThan">
      <formula>0</formula>
    </cfRule>
  </conditionalFormatting>
  <conditionalFormatting sqref="P124 P127 P130">
    <cfRule type="cellIs" dxfId="21446" priority="1882" operator="greaterThan">
      <formula>0</formula>
    </cfRule>
  </conditionalFormatting>
  <conditionalFormatting sqref="Q124 Q127 Q130">
    <cfRule type="cellIs" dxfId="21445" priority="1887" operator="lessThan">
      <formula>0</formula>
    </cfRule>
  </conditionalFormatting>
  <conditionalFormatting sqref="R124 R127 R130">
    <cfRule type="cellIs" dxfId="21444" priority="1885" operator="lessThan">
      <formula>0.8</formula>
    </cfRule>
    <cfRule type="cellIs" dxfId="21443" priority="1886" operator="greaterThan">
      <formula>1</formula>
    </cfRule>
  </conditionalFormatting>
  <conditionalFormatting sqref="R124 R127 R130">
    <cfRule type="cellIs" dxfId="21442" priority="1883" operator="greaterThan">
      <formula>1</formula>
    </cfRule>
    <cfRule type="cellIs" dxfId="21441" priority="1884" operator="lessThan">
      <formula>0.8</formula>
    </cfRule>
  </conditionalFormatting>
  <conditionalFormatting sqref="P124 P127 P130">
    <cfRule type="cellIs" dxfId="21440" priority="1876" operator="greaterThan">
      <formula>0</formula>
    </cfRule>
  </conditionalFormatting>
  <conditionalFormatting sqref="Q124 Q127 Q130">
    <cfRule type="cellIs" dxfId="21439" priority="1881" operator="lessThan">
      <formula>0</formula>
    </cfRule>
  </conditionalFormatting>
  <conditionalFormatting sqref="R124 R127 R130">
    <cfRule type="cellIs" dxfId="21438" priority="1879" operator="lessThan">
      <formula>0.8</formula>
    </cfRule>
    <cfRule type="cellIs" dxfId="21437" priority="1880" operator="greaterThan">
      <formula>1</formula>
    </cfRule>
  </conditionalFormatting>
  <conditionalFormatting sqref="R124 R127 R130">
    <cfRule type="cellIs" dxfId="21436" priority="1877" operator="greaterThan">
      <formula>1</formula>
    </cfRule>
    <cfRule type="cellIs" dxfId="21435" priority="1878" operator="lessThan">
      <formula>0.8</formula>
    </cfRule>
  </conditionalFormatting>
  <conditionalFormatting sqref="R124 R127 R130">
    <cfRule type="cellIs" dxfId="21434" priority="1873" operator="lessThan">
      <formula>0.8</formula>
    </cfRule>
    <cfRule type="cellIs" dxfId="21433" priority="1874" operator="greaterThan">
      <formula>1</formula>
    </cfRule>
  </conditionalFormatting>
  <conditionalFormatting sqref="R124 R127 R130">
    <cfRule type="cellIs" dxfId="21432" priority="1871" operator="greaterThan">
      <formula>1</formula>
    </cfRule>
    <cfRule type="cellIs" dxfId="21431" priority="1872" operator="lessThan">
      <formula>0.8</formula>
    </cfRule>
  </conditionalFormatting>
  <conditionalFormatting sqref="P124 P127 P130">
    <cfRule type="cellIs" dxfId="21430" priority="1870" operator="greaterThan">
      <formula>0</formula>
    </cfRule>
  </conditionalFormatting>
  <conditionalFormatting sqref="Q124 Q127 Q130">
    <cfRule type="cellIs" dxfId="21429" priority="1875" operator="lessThan">
      <formula>0</formula>
    </cfRule>
  </conditionalFormatting>
  <conditionalFormatting sqref="Q5:Q14">
    <cfRule type="cellIs" dxfId="21428" priority="1869" operator="lessThan">
      <formula>0</formula>
    </cfRule>
  </conditionalFormatting>
  <conditionalFormatting sqref="R5:R14">
    <cfRule type="cellIs" dxfId="21427" priority="1867" operator="lessThan">
      <formula>0.8</formula>
    </cfRule>
    <cfRule type="cellIs" dxfId="21426" priority="1868" operator="greaterThan">
      <formula>1</formula>
    </cfRule>
  </conditionalFormatting>
  <conditionalFormatting sqref="R5:R14">
    <cfRule type="cellIs" dxfId="21425" priority="1865" operator="greaterThan">
      <formula>1</formula>
    </cfRule>
    <cfRule type="cellIs" dxfId="21424" priority="1866" operator="lessThan">
      <formula>0.8</formula>
    </cfRule>
  </conditionalFormatting>
  <conditionalFormatting sqref="P5:P14">
    <cfRule type="cellIs" dxfId="21423" priority="1864" operator="greaterThan">
      <formula>0</formula>
    </cfRule>
  </conditionalFormatting>
  <conditionalFormatting sqref="Q83">
    <cfRule type="cellIs" dxfId="21422" priority="1863" operator="lessThan">
      <formula>0</formula>
    </cfRule>
  </conditionalFormatting>
  <conditionalFormatting sqref="R83">
    <cfRule type="cellIs" dxfId="21421" priority="1861" operator="lessThan">
      <formula>0.8</formula>
    </cfRule>
    <cfRule type="cellIs" dxfId="21420" priority="1862" operator="greaterThan">
      <formula>1</formula>
    </cfRule>
  </conditionalFormatting>
  <conditionalFormatting sqref="R83">
    <cfRule type="cellIs" dxfId="21419" priority="1859" operator="greaterThan">
      <formula>1</formula>
    </cfRule>
    <cfRule type="cellIs" dxfId="21418" priority="1860" operator="lessThan">
      <formula>0.8</formula>
    </cfRule>
  </conditionalFormatting>
  <conditionalFormatting sqref="P83">
    <cfRule type="cellIs" dxfId="21417" priority="1858" operator="greaterThan">
      <formula>0</formula>
    </cfRule>
  </conditionalFormatting>
  <conditionalFormatting sqref="Q83">
    <cfRule type="cellIs" dxfId="21416" priority="1857" operator="lessThan">
      <formula>0</formula>
    </cfRule>
  </conditionalFormatting>
  <conditionalFormatting sqref="R83">
    <cfRule type="cellIs" dxfId="21415" priority="1855" operator="lessThan">
      <formula>0.8</formula>
    </cfRule>
    <cfRule type="cellIs" dxfId="21414" priority="1856" operator="greaterThan">
      <formula>1</formula>
    </cfRule>
  </conditionalFormatting>
  <conditionalFormatting sqref="R83">
    <cfRule type="cellIs" dxfId="21413" priority="1853" operator="greaterThan">
      <formula>1</formula>
    </cfRule>
    <cfRule type="cellIs" dxfId="21412" priority="1854" operator="lessThan">
      <formula>0.8</formula>
    </cfRule>
  </conditionalFormatting>
  <conditionalFormatting sqref="P83">
    <cfRule type="cellIs" dxfId="21411" priority="1852" operator="greaterThan">
      <formula>0</formula>
    </cfRule>
  </conditionalFormatting>
  <conditionalFormatting sqref="Q83">
    <cfRule type="cellIs" dxfId="21410" priority="1851" operator="lessThan">
      <formula>0</formula>
    </cfRule>
  </conditionalFormatting>
  <conditionalFormatting sqref="R83">
    <cfRule type="cellIs" dxfId="21409" priority="1849" operator="lessThan">
      <formula>0.8</formula>
    </cfRule>
    <cfRule type="cellIs" dxfId="21408" priority="1850" operator="greaterThan">
      <formula>1</formula>
    </cfRule>
  </conditionalFormatting>
  <conditionalFormatting sqref="R83">
    <cfRule type="cellIs" dxfId="21407" priority="1847" operator="greaterThan">
      <formula>1</formula>
    </cfRule>
    <cfRule type="cellIs" dxfId="21406" priority="1848" operator="lessThan">
      <formula>0.8</formula>
    </cfRule>
  </conditionalFormatting>
  <conditionalFormatting sqref="P83">
    <cfRule type="cellIs" dxfId="21405" priority="1846" operator="greaterThan">
      <formula>0</formula>
    </cfRule>
  </conditionalFormatting>
  <conditionalFormatting sqref="Q83">
    <cfRule type="cellIs" dxfId="21404" priority="1845" operator="lessThan">
      <formula>0</formula>
    </cfRule>
  </conditionalFormatting>
  <conditionalFormatting sqref="R83">
    <cfRule type="cellIs" dxfId="21403" priority="1843" operator="lessThan">
      <formula>0.8</formula>
    </cfRule>
    <cfRule type="cellIs" dxfId="21402" priority="1844" operator="greaterThan">
      <formula>1</formula>
    </cfRule>
  </conditionalFormatting>
  <conditionalFormatting sqref="R83">
    <cfRule type="cellIs" dxfId="21401" priority="1841" operator="greaterThan">
      <formula>1</formula>
    </cfRule>
    <cfRule type="cellIs" dxfId="21400" priority="1842" operator="lessThan">
      <formula>0.8</formula>
    </cfRule>
  </conditionalFormatting>
  <conditionalFormatting sqref="P83">
    <cfRule type="cellIs" dxfId="21399" priority="1840" operator="greaterThan">
      <formula>0</formula>
    </cfRule>
  </conditionalFormatting>
  <conditionalFormatting sqref="P83">
    <cfRule type="cellIs" dxfId="21398" priority="1834" operator="greaterThan">
      <formula>0</formula>
    </cfRule>
  </conditionalFormatting>
  <conditionalFormatting sqref="Q83">
    <cfRule type="cellIs" dxfId="21397" priority="1839" operator="lessThan">
      <formula>0</formula>
    </cfRule>
  </conditionalFormatting>
  <conditionalFormatting sqref="R83">
    <cfRule type="cellIs" dxfId="21396" priority="1837" operator="lessThan">
      <formula>0.8</formula>
    </cfRule>
    <cfRule type="cellIs" dxfId="21395" priority="1838" operator="greaterThan">
      <formula>1</formula>
    </cfRule>
  </conditionalFormatting>
  <conditionalFormatting sqref="R83">
    <cfRule type="cellIs" dxfId="21394" priority="1835" operator="greaterThan">
      <formula>1</formula>
    </cfRule>
    <cfRule type="cellIs" dxfId="21393" priority="1836" operator="lessThan">
      <formula>0.8</formula>
    </cfRule>
  </conditionalFormatting>
  <conditionalFormatting sqref="P83">
    <cfRule type="cellIs" dxfId="21392" priority="1828" operator="greaterThan">
      <formula>0</formula>
    </cfRule>
  </conditionalFormatting>
  <conditionalFormatting sqref="Q83">
    <cfRule type="cellIs" dxfId="21391" priority="1833" operator="lessThan">
      <formula>0</formula>
    </cfRule>
  </conditionalFormatting>
  <conditionalFormatting sqref="R83">
    <cfRule type="cellIs" dxfId="21390" priority="1831" operator="lessThan">
      <formula>0.8</formula>
    </cfRule>
    <cfRule type="cellIs" dxfId="21389" priority="1832" operator="greaterThan">
      <formula>1</formula>
    </cfRule>
  </conditionalFormatting>
  <conditionalFormatting sqref="R83">
    <cfRule type="cellIs" dxfId="21388" priority="1829" operator="greaterThan">
      <formula>1</formula>
    </cfRule>
    <cfRule type="cellIs" dxfId="21387" priority="1830" operator="lessThan">
      <formula>0.8</formula>
    </cfRule>
  </conditionalFormatting>
  <conditionalFormatting sqref="R83">
    <cfRule type="cellIs" dxfId="21386" priority="1825" operator="lessThan">
      <formula>0.8</formula>
    </cfRule>
    <cfRule type="cellIs" dxfId="21385" priority="1826" operator="greaterThan">
      <formula>1</formula>
    </cfRule>
  </conditionalFormatting>
  <conditionalFormatting sqref="R83">
    <cfRule type="cellIs" dxfId="21384" priority="1823" operator="greaterThan">
      <formula>1</formula>
    </cfRule>
    <cfRule type="cellIs" dxfId="21383" priority="1824" operator="lessThan">
      <formula>0.8</formula>
    </cfRule>
  </conditionalFormatting>
  <conditionalFormatting sqref="P83">
    <cfRule type="cellIs" dxfId="21382" priority="1822" operator="greaterThan">
      <formula>0</formula>
    </cfRule>
  </conditionalFormatting>
  <conditionalFormatting sqref="Q83">
    <cfRule type="cellIs" dxfId="21381" priority="1827" operator="lessThan">
      <formula>0</formula>
    </cfRule>
  </conditionalFormatting>
  <conditionalFormatting sqref="Q83">
    <cfRule type="cellIs" dxfId="21380" priority="1821" operator="lessThan">
      <formula>0</formula>
    </cfRule>
  </conditionalFormatting>
  <conditionalFormatting sqref="R83">
    <cfRule type="cellIs" dxfId="21379" priority="1819" operator="lessThan">
      <formula>0.8</formula>
    </cfRule>
    <cfRule type="cellIs" dxfId="21378" priority="1820" operator="greaterThan">
      <formula>1</formula>
    </cfRule>
  </conditionalFormatting>
  <conditionalFormatting sqref="R83">
    <cfRule type="cellIs" dxfId="21377" priority="1817" operator="greaterThan">
      <formula>1</formula>
    </cfRule>
    <cfRule type="cellIs" dxfId="21376" priority="1818" operator="lessThan">
      <formula>0.8</formula>
    </cfRule>
  </conditionalFormatting>
  <conditionalFormatting sqref="P83">
    <cfRule type="cellIs" dxfId="21375" priority="1816" operator="greaterThan">
      <formula>0</formula>
    </cfRule>
  </conditionalFormatting>
  <conditionalFormatting sqref="P83">
    <cfRule type="cellIs" dxfId="21374" priority="1810" operator="greaterThan">
      <formula>0</formula>
    </cfRule>
  </conditionalFormatting>
  <conditionalFormatting sqref="Q83">
    <cfRule type="cellIs" dxfId="21373" priority="1815" operator="lessThan">
      <formula>0</formula>
    </cfRule>
  </conditionalFormatting>
  <conditionalFormatting sqref="R83">
    <cfRule type="cellIs" dxfId="21372" priority="1813" operator="lessThan">
      <formula>0.8</formula>
    </cfRule>
    <cfRule type="cellIs" dxfId="21371" priority="1814" operator="greaterThan">
      <formula>1</formula>
    </cfRule>
  </conditionalFormatting>
  <conditionalFormatting sqref="R83">
    <cfRule type="cellIs" dxfId="21370" priority="1811" operator="greaterThan">
      <formula>1</formula>
    </cfRule>
    <cfRule type="cellIs" dxfId="21369" priority="1812" operator="lessThan">
      <formula>0.8</formula>
    </cfRule>
  </conditionalFormatting>
  <conditionalFormatting sqref="P83">
    <cfRule type="cellIs" dxfId="21368" priority="1804" operator="greaterThan">
      <formula>0</formula>
    </cfRule>
  </conditionalFormatting>
  <conditionalFormatting sqref="Q83">
    <cfRule type="cellIs" dxfId="21367" priority="1809" operator="lessThan">
      <formula>0</formula>
    </cfRule>
  </conditionalFormatting>
  <conditionalFormatting sqref="R83">
    <cfRule type="cellIs" dxfId="21366" priority="1807" operator="lessThan">
      <formula>0.8</formula>
    </cfRule>
    <cfRule type="cellIs" dxfId="21365" priority="1808" operator="greaterThan">
      <formula>1</formula>
    </cfRule>
  </conditionalFormatting>
  <conditionalFormatting sqref="R83">
    <cfRule type="cellIs" dxfId="21364" priority="1805" operator="greaterThan">
      <formula>1</formula>
    </cfRule>
    <cfRule type="cellIs" dxfId="21363" priority="1806" operator="lessThan">
      <formula>0.8</formula>
    </cfRule>
  </conditionalFormatting>
  <conditionalFormatting sqref="R83">
    <cfRule type="cellIs" dxfId="21362" priority="1801" operator="lessThan">
      <formula>0.8</formula>
    </cfRule>
    <cfRule type="cellIs" dxfId="21361" priority="1802" operator="greaterThan">
      <formula>1</formula>
    </cfRule>
  </conditionalFormatting>
  <conditionalFormatting sqref="R83">
    <cfRule type="cellIs" dxfId="21360" priority="1799" operator="greaterThan">
      <formula>1</formula>
    </cfRule>
    <cfRule type="cellIs" dxfId="21359" priority="1800" operator="lessThan">
      <formula>0.8</formula>
    </cfRule>
  </conditionalFormatting>
  <conditionalFormatting sqref="P83">
    <cfRule type="cellIs" dxfId="21358" priority="1798" operator="greaterThan">
      <formula>0</formula>
    </cfRule>
  </conditionalFormatting>
  <conditionalFormatting sqref="Q83">
    <cfRule type="cellIs" dxfId="21357" priority="1803" operator="lessThan">
      <formula>0</formula>
    </cfRule>
  </conditionalFormatting>
  <conditionalFormatting sqref="P83">
    <cfRule type="cellIs" dxfId="21356" priority="1792" operator="greaterThan">
      <formula>0</formula>
    </cfRule>
  </conditionalFormatting>
  <conditionalFormatting sqref="Q83">
    <cfRule type="cellIs" dxfId="21355" priority="1797" operator="lessThan">
      <formula>0</formula>
    </cfRule>
  </conditionalFormatting>
  <conditionalFormatting sqref="R83">
    <cfRule type="cellIs" dxfId="21354" priority="1795" operator="lessThan">
      <formula>0.8</formula>
    </cfRule>
    <cfRule type="cellIs" dxfId="21353" priority="1796" operator="greaterThan">
      <formula>1</formula>
    </cfRule>
  </conditionalFormatting>
  <conditionalFormatting sqref="R83">
    <cfRule type="cellIs" dxfId="21352" priority="1793" operator="greaterThan">
      <formula>1</formula>
    </cfRule>
    <cfRule type="cellIs" dxfId="21351" priority="1794" operator="lessThan">
      <formula>0.8</formula>
    </cfRule>
  </conditionalFormatting>
  <conditionalFormatting sqref="R83">
    <cfRule type="cellIs" dxfId="21350" priority="1789" operator="lessThan">
      <formula>0.8</formula>
    </cfRule>
    <cfRule type="cellIs" dxfId="21349" priority="1790" operator="greaterThan">
      <formula>1</formula>
    </cfRule>
  </conditionalFormatting>
  <conditionalFormatting sqref="R83">
    <cfRule type="cellIs" dxfId="21348" priority="1787" operator="greaterThan">
      <formula>1</formula>
    </cfRule>
    <cfRule type="cellIs" dxfId="21347" priority="1788" operator="lessThan">
      <formula>0.8</formula>
    </cfRule>
  </conditionalFormatting>
  <conditionalFormatting sqref="P83">
    <cfRule type="cellIs" dxfId="21346" priority="1786" operator="greaterThan">
      <formula>0</formula>
    </cfRule>
  </conditionalFormatting>
  <conditionalFormatting sqref="Q83">
    <cfRule type="cellIs" dxfId="21345" priority="1791" operator="lessThan">
      <formula>0</formula>
    </cfRule>
  </conditionalFormatting>
  <conditionalFormatting sqref="R83">
    <cfRule type="cellIs" dxfId="21344" priority="1783" operator="lessThan">
      <formula>0.8</formula>
    </cfRule>
    <cfRule type="cellIs" dxfId="21343" priority="1784" operator="greaterThan">
      <formula>1</formula>
    </cfRule>
  </conditionalFormatting>
  <conditionalFormatting sqref="R83">
    <cfRule type="cellIs" dxfId="21342" priority="1781" operator="greaterThan">
      <formula>1</formula>
    </cfRule>
    <cfRule type="cellIs" dxfId="21341" priority="1782" operator="lessThan">
      <formula>0.8</formula>
    </cfRule>
  </conditionalFormatting>
  <conditionalFormatting sqref="P83">
    <cfRule type="cellIs" dxfId="21340" priority="1780" operator="greaterThan">
      <formula>0</formula>
    </cfRule>
  </conditionalFormatting>
  <conditionalFormatting sqref="Q83">
    <cfRule type="cellIs" dxfId="21339" priority="1785" operator="lessThan">
      <formula>0</formula>
    </cfRule>
  </conditionalFormatting>
  <conditionalFormatting sqref="Q83">
    <cfRule type="cellIs" dxfId="21338" priority="1779" operator="lessThan">
      <formula>0</formula>
    </cfRule>
  </conditionalFormatting>
  <conditionalFormatting sqref="R83">
    <cfRule type="cellIs" dxfId="21337" priority="1777" operator="lessThan">
      <formula>0.8</formula>
    </cfRule>
    <cfRule type="cellIs" dxfId="21336" priority="1778" operator="greaterThan">
      <formula>1</formula>
    </cfRule>
  </conditionalFormatting>
  <conditionalFormatting sqref="R83">
    <cfRule type="cellIs" dxfId="21335" priority="1775" operator="greaterThan">
      <formula>1</formula>
    </cfRule>
    <cfRule type="cellIs" dxfId="21334" priority="1776" operator="lessThan">
      <formula>0.8</formula>
    </cfRule>
  </conditionalFormatting>
  <conditionalFormatting sqref="P83">
    <cfRule type="cellIs" dxfId="21333" priority="1774" operator="greaterThan">
      <formula>0</formula>
    </cfRule>
  </conditionalFormatting>
  <conditionalFormatting sqref="Q83">
    <cfRule type="cellIs" dxfId="21332" priority="1768" operator="lessThan">
      <formula>0</formula>
    </cfRule>
  </conditionalFormatting>
  <conditionalFormatting sqref="R83">
    <cfRule type="cellIs" dxfId="21331" priority="1772" operator="lessThan">
      <formula>0.8</formula>
    </cfRule>
    <cfRule type="cellIs" dxfId="21330" priority="1773" operator="greaterThan">
      <formula>1</formula>
    </cfRule>
  </conditionalFormatting>
  <conditionalFormatting sqref="R83">
    <cfRule type="cellIs" dxfId="21329" priority="1770" operator="greaterThan">
      <formula>1</formula>
    </cfRule>
    <cfRule type="cellIs" dxfId="21328" priority="1771" operator="lessThan">
      <formula>0.8</formula>
    </cfRule>
  </conditionalFormatting>
  <conditionalFormatting sqref="P83">
    <cfRule type="cellIs" dxfId="21327" priority="1769" operator="greaterThan">
      <formula>0</formula>
    </cfRule>
  </conditionalFormatting>
  <conditionalFormatting sqref="Q83">
    <cfRule type="cellIs" dxfId="21326" priority="1767" operator="lessThan">
      <formula>0</formula>
    </cfRule>
  </conditionalFormatting>
  <conditionalFormatting sqref="R83">
    <cfRule type="cellIs" dxfId="21325" priority="1765" operator="lessThan">
      <formula>0.8</formula>
    </cfRule>
    <cfRule type="cellIs" dxfId="21324" priority="1766" operator="greaterThan">
      <formula>1</formula>
    </cfRule>
  </conditionalFormatting>
  <conditionalFormatting sqref="R83">
    <cfRule type="cellIs" dxfId="21323" priority="1763" operator="greaterThan">
      <formula>1</formula>
    </cfRule>
    <cfRule type="cellIs" dxfId="21322" priority="1764" operator="lessThan">
      <formula>0.8</formula>
    </cfRule>
  </conditionalFormatting>
  <conditionalFormatting sqref="P83">
    <cfRule type="cellIs" dxfId="21321" priority="1762" operator="greaterThan">
      <formula>0</formula>
    </cfRule>
  </conditionalFormatting>
  <conditionalFormatting sqref="Q83">
    <cfRule type="cellIs" dxfId="21320" priority="1761" operator="lessThan">
      <formula>0</formula>
    </cfRule>
  </conditionalFormatting>
  <conditionalFormatting sqref="R83">
    <cfRule type="cellIs" dxfId="21319" priority="1759" operator="lessThan">
      <formula>0.8</formula>
    </cfRule>
    <cfRule type="cellIs" dxfId="21318" priority="1760" operator="greaterThan">
      <formula>1</formula>
    </cfRule>
  </conditionalFormatting>
  <conditionalFormatting sqref="R83">
    <cfRule type="cellIs" dxfId="21317" priority="1757" operator="greaterThan">
      <formula>1</formula>
    </cfRule>
    <cfRule type="cellIs" dxfId="21316" priority="1758" operator="lessThan">
      <formula>0.8</formula>
    </cfRule>
  </conditionalFormatting>
  <conditionalFormatting sqref="P83">
    <cfRule type="cellIs" dxfId="21315" priority="1756" operator="greaterThan">
      <formula>0</formula>
    </cfRule>
  </conditionalFormatting>
  <conditionalFormatting sqref="Q83">
    <cfRule type="cellIs" dxfId="21314" priority="1755" operator="lessThan">
      <formula>0</formula>
    </cfRule>
  </conditionalFormatting>
  <conditionalFormatting sqref="R83">
    <cfRule type="cellIs" dxfId="21313" priority="1753" operator="lessThan">
      <formula>0.8</formula>
    </cfRule>
    <cfRule type="cellIs" dxfId="21312" priority="1754" operator="greaterThan">
      <formula>1</formula>
    </cfRule>
  </conditionalFormatting>
  <conditionalFormatting sqref="R83">
    <cfRule type="cellIs" dxfId="21311" priority="1751" operator="greaterThan">
      <formula>1</formula>
    </cfRule>
    <cfRule type="cellIs" dxfId="21310" priority="1752" operator="lessThan">
      <formula>0.8</formula>
    </cfRule>
  </conditionalFormatting>
  <conditionalFormatting sqref="P83">
    <cfRule type="cellIs" dxfId="21309" priority="1750" operator="greaterThan">
      <formula>0</formula>
    </cfRule>
  </conditionalFormatting>
  <conditionalFormatting sqref="Q83">
    <cfRule type="cellIs" dxfId="21308" priority="1749" operator="lessThan">
      <formula>0</formula>
    </cfRule>
  </conditionalFormatting>
  <conditionalFormatting sqref="R83">
    <cfRule type="cellIs" dxfId="21307" priority="1747" operator="lessThan">
      <formula>0.8</formula>
    </cfRule>
    <cfRule type="cellIs" dxfId="21306" priority="1748" operator="greaterThan">
      <formula>1</formula>
    </cfRule>
  </conditionalFormatting>
  <conditionalFormatting sqref="R83">
    <cfRule type="cellIs" dxfId="21305" priority="1745" operator="greaterThan">
      <formula>1</formula>
    </cfRule>
    <cfRule type="cellIs" dxfId="21304" priority="1746" operator="lessThan">
      <formula>0.8</formula>
    </cfRule>
  </conditionalFormatting>
  <conditionalFormatting sqref="P83">
    <cfRule type="cellIs" dxfId="21303" priority="1744" operator="greaterThan">
      <formula>0</formula>
    </cfRule>
  </conditionalFormatting>
  <conditionalFormatting sqref="Q83">
    <cfRule type="cellIs" dxfId="21302" priority="1743" operator="lessThan">
      <formula>0</formula>
    </cfRule>
  </conditionalFormatting>
  <conditionalFormatting sqref="R83">
    <cfRule type="cellIs" dxfId="21301" priority="1741" operator="lessThan">
      <formula>0.8</formula>
    </cfRule>
    <cfRule type="cellIs" dxfId="21300" priority="1742" operator="greaterThan">
      <formula>1</formula>
    </cfRule>
  </conditionalFormatting>
  <conditionalFormatting sqref="R83">
    <cfRule type="cellIs" dxfId="21299" priority="1739" operator="greaterThan">
      <formula>1</formula>
    </cfRule>
    <cfRule type="cellIs" dxfId="21298" priority="1740" operator="lessThan">
      <formula>0.8</formula>
    </cfRule>
  </conditionalFormatting>
  <conditionalFormatting sqref="P83">
    <cfRule type="cellIs" dxfId="21297" priority="1738" operator="greaterThan">
      <formula>0</formula>
    </cfRule>
  </conditionalFormatting>
  <conditionalFormatting sqref="P83">
    <cfRule type="cellIs" dxfId="21296" priority="1732" operator="greaterThan">
      <formula>0</formula>
    </cfRule>
  </conditionalFormatting>
  <conditionalFormatting sqref="Q83">
    <cfRule type="cellIs" dxfId="21295" priority="1737" operator="lessThan">
      <formula>0</formula>
    </cfRule>
  </conditionalFormatting>
  <conditionalFormatting sqref="R83">
    <cfRule type="cellIs" dxfId="21294" priority="1735" operator="lessThan">
      <formula>0.8</formula>
    </cfRule>
    <cfRule type="cellIs" dxfId="21293" priority="1736" operator="greaterThan">
      <formula>1</formula>
    </cfRule>
  </conditionalFormatting>
  <conditionalFormatting sqref="R83">
    <cfRule type="cellIs" dxfId="21292" priority="1733" operator="greaterThan">
      <formula>1</formula>
    </cfRule>
    <cfRule type="cellIs" dxfId="21291" priority="1734" operator="lessThan">
      <formula>0.8</formula>
    </cfRule>
  </conditionalFormatting>
  <conditionalFormatting sqref="P83">
    <cfRule type="cellIs" dxfId="21290" priority="1726" operator="greaterThan">
      <formula>0</formula>
    </cfRule>
  </conditionalFormatting>
  <conditionalFormatting sqref="Q83">
    <cfRule type="cellIs" dxfId="21289" priority="1731" operator="lessThan">
      <formula>0</formula>
    </cfRule>
  </conditionalFormatting>
  <conditionalFormatting sqref="R83">
    <cfRule type="cellIs" dxfId="21288" priority="1729" operator="lessThan">
      <formula>0.8</formula>
    </cfRule>
    <cfRule type="cellIs" dxfId="21287" priority="1730" operator="greaterThan">
      <formula>1</formula>
    </cfRule>
  </conditionalFormatting>
  <conditionalFormatting sqref="R83">
    <cfRule type="cellIs" dxfId="21286" priority="1727" operator="greaterThan">
      <formula>1</formula>
    </cfRule>
    <cfRule type="cellIs" dxfId="21285" priority="1728" operator="lessThan">
      <formula>0.8</formula>
    </cfRule>
  </conditionalFormatting>
  <conditionalFormatting sqref="R83">
    <cfRule type="cellIs" dxfId="21284" priority="1723" operator="lessThan">
      <formula>0.8</formula>
    </cfRule>
    <cfRule type="cellIs" dxfId="21283" priority="1724" operator="greaterThan">
      <formula>1</formula>
    </cfRule>
  </conditionalFormatting>
  <conditionalFormatting sqref="R83">
    <cfRule type="cellIs" dxfId="21282" priority="1721" operator="greaterThan">
      <formula>1</formula>
    </cfRule>
    <cfRule type="cellIs" dxfId="21281" priority="1722" operator="lessThan">
      <formula>0.8</formula>
    </cfRule>
  </conditionalFormatting>
  <conditionalFormatting sqref="P83">
    <cfRule type="cellIs" dxfId="21280" priority="1720" operator="greaterThan">
      <formula>0</formula>
    </cfRule>
  </conditionalFormatting>
  <conditionalFormatting sqref="Q83">
    <cfRule type="cellIs" dxfId="21279" priority="1725" operator="lessThan">
      <formula>0</formula>
    </cfRule>
  </conditionalFormatting>
  <conditionalFormatting sqref="Q83">
    <cfRule type="cellIs" dxfId="21278" priority="1714" operator="lessThan">
      <formula>0</formula>
    </cfRule>
  </conditionalFormatting>
  <conditionalFormatting sqref="P83">
    <cfRule type="cellIs" dxfId="21277" priority="1715" operator="greaterThan">
      <formula>0</formula>
    </cfRule>
  </conditionalFormatting>
  <conditionalFormatting sqref="R83">
    <cfRule type="cellIs" dxfId="21276" priority="1718" operator="lessThan">
      <formula>0.8</formula>
    </cfRule>
    <cfRule type="cellIs" dxfId="21275" priority="1719" operator="greaterThan">
      <formula>1</formula>
    </cfRule>
  </conditionalFormatting>
  <conditionalFormatting sqref="R83">
    <cfRule type="cellIs" dxfId="21274" priority="1716" operator="greaterThan">
      <formula>1</formula>
    </cfRule>
    <cfRule type="cellIs" dxfId="21273" priority="1717" operator="lessThan">
      <formula>0.8</formula>
    </cfRule>
  </conditionalFormatting>
  <conditionalFormatting sqref="Q83">
    <cfRule type="cellIs" dxfId="21272" priority="1708" operator="lessThan">
      <formula>0</formula>
    </cfRule>
  </conditionalFormatting>
  <conditionalFormatting sqref="R83">
    <cfRule type="cellIs" dxfId="21271" priority="1712" operator="lessThan">
      <formula>0.8</formula>
    </cfRule>
    <cfRule type="cellIs" dxfId="21270" priority="1713" operator="greaterThan">
      <formula>1</formula>
    </cfRule>
  </conditionalFormatting>
  <conditionalFormatting sqref="R83">
    <cfRule type="cellIs" dxfId="21269" priority="1710" operator="greaterThan">
      <formula>1</formula>
    </cfRule>
    <cfRule type="cellIs" dxfId="21268" priority="1711" operator="lessThan">
      <formula>0.8</formula>
    </cfRule>
  </conditionalFormatting>
  <conditionalFormatting sqref="P83">
    <cfRule type="cellIs" dxfId="21267" priority="1709" operator="greaterThan">
      <formula>0</formula>
    </cfRule>
  </conditionalFormatting>
  <conditionalFormatting sqref="Q83">
    <cfRule type="cellIs" dxfId="21266" priority="1707" operator="lessThan">
      <formula>0</formula>
    </cfRule>
  </conditionalFormatting>
  <conditionalFormatting sqref="R83">
    <cfRule type="cellIs" dxfId="21265" priority="1705" operator="lessThan">
      <formula>0.8</formula>
    </cfRule>
    <cfRule type="cellIs" dxfId="21264" priority="1706" operator="greaterThan">
      <formula>1</formula>
    </cfRule>
  </conditionalFormatting>
  <conditionalFormatting sqref="R83">
    <cfRule type="cellIs" dxfId="21263" priority="1703" operator="greaterThan">
      <formula>1</formula>
    </cfRule>
    <cfRule type="cellIs" dxfId="21262" priority="1704" operator="lessThan">
      <formula>0.8</formula>
    </cfRule>
  </conditionalFormatting>
  <conditionalFormatting sqref="P83">
    <cfRule type="cellIs" dxfId="21261" priority="1702" operator="greaterThan">
      <formula>0</formula>
    </cfRule>
  </conditionalFormatting>
  <conditionalFormatting sqref="Q83">
    <cfRule type="cellIs" dxfId="21260" priority="1701" operator="lessThan">
      <formula>0</formula>
    </cfRule>
  </conditionalFormatting>
  <conditionalFormatting sqref="R83">
    <cfRule type="cellIs" dxfId="21259" priority="1699" operator="lessThan">
      <formula>0.8</formula>
    </cfRule>
    <cfRule type="cellIs" dxfId="21258" priority="1700" operator="greaterThan">
      <formula>1</formula>
    </cfRule>
  </conditionalFormatting>
  <conditionalFormatting sqref="R83">
    <cfRule type="cellIs" dxfId="21257" priority="1697" operator="greaterThan">
      <formula>1</formula>
    </cfRule>
    <cfRule type="cellIs" dxfId="21256" priority="1698" operator="lessThan">
      <formula>0.8</formula>
    </cfRule>
  </conditionalFormatting>
  <conditionalFormatting sqref="P83">
    <cfRule type="cellIs" dxfId="21255" priority="1696" operator="greaterThan">
      <formula>0</formula>
    </cfRule>
  </conditionalFormatting>
  <conditionalFormatting sqref="Q83">
    <cfRule type="cellIs" dxfId="21254" priority="1695" operator="lessThan">
      <formula>0</formula>
    </cfRule>
  </conditionalFormatting>
  <conditionalFormatting sqref="R83">
    <cfRule type="cellIs" dxfId="21253" priority="1693" operator="lessThan">
      <formula>0.8</formula>
    </cfRule>
    <cfRule type="cellIs" dxfId="21252" priority="1694" operator="greaterThan">
      <formula>1</formula>
    </cfRule>
  </conditionalFormatting>
  <conditionalFormatting sqref="R83">
    <cfRule type="cellIs" dxfId="21251" priority="1691" operator="greaterThan">
      <formula>1</formula>
    </cfRule>
    <cfRule type="cellIs" dxfId="21250" priority="1692" operator="lessThan">
      <formula>0.8</formula>
    </cfRule>
  </conditionalFormatting>
  <conditionalFormatting sqref="P83">
    <cfRule type="cellIs" dxfId="21249" priority="1690" operator="greaterThan">
      <formula>0</formula>
    </cfRule>
  </conditionalFormatting>
  <conditionalFormatting sqref="Q32:Q39">
    <cfRule type="cellIs" dxfId="21248" priority="1684" operator="lessThan">
      <formula>0</formula>
    </cfRule>
  </conditionalFormatting>
  <conditionalFormatting sqref="P32:P39">
    <cfRule type="cellIs" dxfId="21247" priority="1685" operator="greaterThan">
      <formula>0</formula>
    </cfRule>
  </conditionalFormatting>
  <conditionalFormatting sqref="R32:R39">
    <cfRule type="cellIs" dxfId="21246" priority="1688" operator="lessThan">
      <formula>0.8</formula>
    </cfRule>
    <cfRule type="cellIs" dxfId="21245" priority="1689" operator="greaterThan">
      <formula>1</formula>
    </cfRule>
  </conditionalFormatting>
  <conditionalFormatting sqref="R32:R39">
    <cfRule type="cellIs" dxfId="21244" priority="1686" operator="greaterThan">
      <formula>1</formula>
    </cfRule>
    <cfRule type="cellIs" dxfId="21243" priority="1687" operator="lessThan">
      <formula>0.8</formula>
    </cfRule>
  </conditionalFormatting>
  <conditionalFormatting sqref="Q32:Q39">
    <cfRule type="cellIs" dxfId="21242" priority="1678" operator="lessThan">
      <formula>0</formula>
    </cfRule>
  </conditionalFormatting>
  <conditionalFormatting sqref="R32:R39">
    <cfRule type="cellIs" dxfId="21241" priority="1682" operator="lessThan">
      <formula>0.8</formula>
    </cfRule>
    <cfRule type="cellIs" dxfId="21240" priority="1683" operator="greaterThan">
      <formula>1</formula>
    </cfRule>
  </conditionalFormatting>
  <conditionalFormatting sqref="R32:R39">
    <cfRule type="cellIs" dxfId="21239" priority="1680" operator="greaterThan">
      <formula>1</formula>
    </cfRule>
    <cfRule type="cellIs" dxfId="21238" priority="1681" operator="lessThan">
      <formula>0.8</formula>
    </cfRule>
  </conditionalFormatting>
  <conditionalFormatting sqref="P32:P39">
    <cfRule type="cellIs" dxfId="21237" priority="1679" operator="greaterThan">
      <formula>0</formula>
    </cfRule>
  </conditionalFormatting>
  <conditionalFormatting sqref="Q32:Q39">
    <cfRule type="cellIs" dxfId="21236" priority="1677" operator="lessThan">
      <formula>0</formula>
    </cfRule>
  </conditionalFormatting>
  <conditionalFormatting sqref="R32:R39">
    <cfRule type="cellIs" dxfId="21235" priority="1675" operator="lessThan">
      <formula>0.8</formula>
    </cfRule>
    <cfRule type="cellIs" dxfId="21234" priority="1676" operator="greaterThan">
      <formula>1</formula>
    </cfRule>
  </conditionalFormatting>
  <conditionalFormatting sqref="R32:R39">
    <cfRule type="cellIs" dxfId="21233" priority="1673" operator="greaterThan">
      <formula>1</formula>
    </cfRule>
    <cfRule type="cellIs" dxfId="21232" priority="1674" operator="lessThan">
      <formula>0.8</formula>
    </cfRule>
  </conditionalFormatting>
  <conditionalFormatting sqref="P32:P39">
    <cfRule type="cellIs" dxfId="21231" priority="1672" operator="greaterThan">
      <formula>0</formula>
    </cfRule>
  </conditionalFormatting>
  <conditionalFormatting sqref="Q32:Q39">
    <cfRule type="cellIs" dxfId="21230" priority="1671" operator="lessThan">
      <formula>0</formula>
    </cfRule>
  </conditionalFormatting>
  <conditionalFormatting sqref="R32:R39">
    <cfRule type="cellIs" dxfId="21229" priority="1669" operator="lessThan">
      <formula>0.8</formula>
    </cfRule>
    <cfRule type="cellIs" dxfId="21228" priority="1670" operator="greaterThan">
      <formula>1</formula>
    </cfRule>
  </conditionalFormatting>
  <conditionalFormatting sqref="R32:R39">
    <cfRule type="cellIs" dxfId="21227" priority="1667" operator="greaterThan">
      <formula>1</formula>
    </cfRule>
    <cfRule type="cellIs" dxfId="21226" priority="1668" operator="lessThan">
      <formula>0.8</formula>
    </cfRule>
  </conditionalFormatting>
  <conditionalFormatting sqref="P32:P39">
    <cfRule type="cellIs" dxfId="21225" priority="1666" operator="greaterThan">
      <formula>0</formula>
    </cfRule>
  </conditionalFormatting>
  <conditionalFormatting sqref="Q32:Q39">
    <cfRule type="cellIs" dxfId="21224" priority="1660" operator="lessThan">
      <formula>0</formula>
    </cfRule>
  </conditionalFormatting>
  <conditionalFormatting sqref="R32:R39">
    <cfRule type="cellIs" dxfId="21223" priority="1664" operator="lessThan">
      <formula>0.8</formula>
    </cfRule>
    <cfRule type="cellIs" dxfId="21222" priority="1665" operator="greaterThan">
      <formula>1</formula>
    </cfRule>
  </conditionalFormatting>
  <conditionalFormatting sqref="R32:R39">
    <cfRule type="cellIs" dxfId="21221" priority="1662" operator="greaterThan">
      <formula>1</formula>
    </cfRule>
    <cfRule type="cellIs" dxfId="21220" priority="1663" operator="lessThan">
      <formula>0.8</formula>
    </cfRule>
  </conditionalFormatting>
  <conditionalFormatting sqref="P32:P39">
    <cfRule type="cellIs" dxfId="21219" priority="1661" operator="greaterThan">
      <formula>0</formula>
    </cfRule>
  </conditionalFormatting>
  <conditionalFormatting sqref="Q32:Q39">
    <cfRule type="cellIs" dxfId="21218" priority="1659" operator="lessThan">
      <formula>0</formula>
    </cfRule>
  </conditionalFormatting>
  <conditionalFormatting sqref="R32:R39">
    <cfRule type="cellIs" dxfId="21217" priority="1657" operator="lessThan">
      <formula>0.8</formula>
    </cfRule>
    <cfRule type="cellIs" dxfId="21216" priority="1658" operator="greaterThan">
      <formula>1</formula>
    </cfRule>
  </conditionalFormatting>
  <conditionalFormatting sqref="R32:R39">
    <cfRule type="cellIs" dxfId="21215" priority="1655" operator="greaterThan">
      <formula>1</formula>
    </cfRule>
    <cfRule type="cellIs" dxfId="21214" priority="1656" operator="lessThan">
      <formula>0.8</formula>
    </cfRule>
  </conditionalFormatting>
  <conditionalFormatting sqref="P32:P39">
    <cfRule type="cellIs" dxfId="21213" priority="1654" operator="greaterThan">
      <formula>0</formula>
    </cfRule>
  </conditionalFormatting>
  <conditionalFormatting sqref="Q32:Q39">
    <cfRule type="cellIs" dxfId="21212" priority="1653" operator="lessThan">
      <formula>0</formula>
    </cfRule>
  </conditionalFormatting>
  <conditionalFormatting sqref="R32:R39">
    <cfRule type="cellIs" dxfId="21211" priority="1651" operator="lessThan">
      <formula>0.8</formula>
    </cfRule>
    <cfRule type="cellIs" dxfId="21210" priority="1652" operator="greaterThan">
      <formula>1</formula>
    </cfRule>
  </conditionalFormatting>
  <conditionalFormatting sqref="R32:R39">
    <cfRule type="cellIs" dxfId="21209" priority="1649" operator="greaterThan">
      <formula>1</formula>
    </cfRule>
    <cfRule type="cellIs" dxfId="21208" priority="1650" operator="lessThan">
      <formula>0.8</formula>
    </cfRule>
  </conditionalFormatting>
  <conditionalFormatting sqref="P32:P39">
    <cfRule type="cellIs" dxfId="21207" priority="1648" operator="greaterThan">
      <formula>0</formula>
    </cfRule>
  </conditionalFormatting>
  <conditionalFormatting sqref="Q32:Q39">
    <cfRule type="cellIs" dxfId="21206" priority="1647" operator="lessThan">
      <formula>0</formula>
    </cfRule>
  </conditionalFormatting>
  <conditionalFormatting sqref="R32:R39">
    <cfRule type="cellIs" dxfId="21205" priority="1645" operator="lessThan">
      <formula>0.8</formula>
    </cfRule>
    <cfRule type="cellIs" dxfId="21204" priority="1646" operator="greaterThan">
      <formula>1</formula>
    </cfRule>
  </conditionalFormatting>
  <conditionalFormatting sqref="R32:R39">
    <cfRule type="cellIs" dxfId="21203" priority="1643" operator="greaterThan">
      <formula>1</formula>
    </cfRule>
    <cfRule type="cellIs" dxfId="21202" priority="1644" operator="lessThan">
      <formula>0.8</formula>
    </cfRule>
  </conditionalFormatting>
  <conditionalFormatting sqref="P32:P39">
    <cfRule type="cellIs" dxfId="21201" priority="1642" operator="greaterThan">
      <formula>0</formula>
    </cfRule>
  </conditionalFormatting>
  <conditionalFormatting sqref="Q32:Q39">
    <cfRule type="cellIs" dxfId="21200" priority="1641" operator="lessThan">
      <formula>0</formula>
    </cfRule>
  </conditionalFormatting>
  <conditionalFormatting sqref="R32:R39">
    <cfRule type="cellIs" dxfId="21199" priority="1639" operator="lessThan">
      <formula>0.8</formula>
    </cfRule>
    <cfRule type="cellIs" dxfId="21198" priority="1640" operator="greaterThan">
      <formula>1</formula>
    </cfRule>
  </conditionalFormatting>
  <conditionalFormatting sqref="R32:R39">
    <cfRule type="cellIs" dxfId="21197" priority="1637" operator="greaterThan">
      <formula>1</formula>
    </cfRule>
    <cfRule type="cellIs" dxfId="21196" priority="1638" operator="lessThan">
      <formula>0.8</formula>
    </cfRule>
  </conditionalFormatting>
  <conditionalFormatting sqref="P32:P39">
    <cfRule type="cellIs" dxfId="21195" priority="1636" operator="greaterThan">
      <formula>0</formula>
    </cfRule>
  </conditionalFormatting>
  <conditionalFormatting sqref="Q32:Q39">
    <cfRule type="cellIs" dxfId="21194" priority="1635" operator="lessThan">
      <formula>0</formula>
    </cfRule>
  </conditionalFormatting>
  <conditionalFormatting sqref="R32:R39">
    <cfRule type="cellIs" dxfId="21193" priority="1633" operator="lessThan">
      <formula>0.8</formula>
    </cfRule>
    <cfRule type="cellIs" dxfId="21192" priority="1634" operator="greaterThan">
      <formula>1</formula>
    </cfRule>
  </conditionalFormatting>
  <conditionalFormatting sqref="R32:R39">
    <cfRule type="cellIs" dxfId="21191" priority="1631" operator="greaterThan">
      <formula>1</formula>
    </cfRule>
    <cfRule type="cellIs" dxfId="21190" priority="1632" operator="lessThan">
      <formula>0.8</formula>
    </cfRule>
  </conditionalFormatting>
  <conditionalFormatting sqref="P32:P39">
    <cfRule type="cellIs" dxfId="21189" priority="1630" operator="greaterThan">
      <formula>0</formula>
    </cfRule>
  </conditionalFormatting>
  <conditionalFormatting sqref="P32:P39">
    <cfRule type="cellIs" dxfId="21188" priority="1624" operator="greaterThan">
      <formula>0</formula>
    </cfRule>
  </conditionalFormatting>
  <conditionalFormatting sqref="Q32:Q39">
    <cfRule type="cellIs" dxfId="21187" priority="1629" operator="lessThan">
      <formula>0</formula>
    </cfRule>
  </conditionalFormatting>
  <conditionalFormatting sqref="R32:R39">
    <cfRule type="cellIs" dxfId="21186" priority="1627" operator="lessThan">
      <formula>0.8</formula>
    </cfRule>
    <cfRule type="cellIs" dxfId="21185" priority="1628" operator="greaterThan">
      <formula>1</formula>
    </cfRule>
  </conditionalFormatting>
  <conditionalFormatting sqref="R32:R39">
    <cfRule type="cellIs" dxfId="21184" priority="1625" operator="greaterThan">
      <formula>1</formula>
    </cfRule>
    <cfRule type="cellIs" dxfId="21183" priority="1626" operator="lessThan">
      <formula>0.8</formula>
    </cfRule>
  </conditionalFormatting>
  <conditionalFormatting sqref="P32:P39">
    <cfRule type="cellIs" dxfId="21182" priority="1618" operator="greaterThan">
      <formula>0</formula>
    </cfRule>
  </conditionalFormatting>
  <conditionalFormatting sqref="Q32:Q39">
    <cfRule type="cellIs" dxfId="21181" priority="1623" operator="lessThan">
      <formula>0</formula>
    </cfRule>
  </conditionalFormatting>
  <conditionalFormatting sqref="R32:R39">
    <cfRule type="cellIs" dxfId="21180" priority="1621" operator="lessThan">
      <formula>0.8</formula>
    </cfRule>
    <cfRule type="cellIs" dxfId="21179" priority="1622" operator="greaterThan">
      <formula>1</formula>
    </cfRule>
  </conditionalFormatting>
  <conditionalFormatting sqref="R32:R39">
    <cfRule type="cellIs" dxfId="21178" priority="1619" operator="greaterThan">
      <formula>1</formula>
    </cfRule>
    <cfRule type="cellIs" dxfId="21177" priority="1620" operator="lessThan">
      <formula>0.8</formula>
    </cfRule>
  </conditionalFormatting>
  <conditionalFormatting sqref="R32:R39">
    <cfRule type="cellIs" dxfId="21176" priority="1615" operator="lessThan">
      <formula>0.8</formula>
    </cfRule>
    <cfRule type="cellIs" dxfId="21175" priority="1616" operator="greaterThan">
      <formula>1</formula>
    </cfRule>
  </conditionalFormatting>
  <conditionalFormatting sqref="R32:R39">
    <cfRule type="cellIs" dxfId="21174" priority="1613" operator="greaterThan">
      <formula>1</formula>
    </cfRule>
    <cfRule type="cellIs" dxfId="21173" priority="1614" operator="lessThan">
      <formula>0.8</formula>
    </cfRule>
  </conditionalFormatting>
  <conditionalFormatting sqref="P32:P39">
    <cfRule type="cellIs" dxfId="21172" priority="1612" operator="greaterThan">
      <formula>0</formula>
    </cfRule>
  </conditionalFormatting>
  <conditionalFormatting sqref="Q32:Q39">
    <cfRule type="cellIs" dxfId="21171" priority="1617" operator="lessThan">
      <formula>0</formula>
    </cfRule>
  </conditionalFormatting>
  <conditionalFormatting sqref="Q32:Q39">
    <cfRule type="cellIs" dxfId="21170" priority="1606" operator="lessThan">
      <formula>0</formula>
    </cfRule>
  </conditionalFormatting>
  <conditionalFormatting sqref="P32:P39">
    <cfRule type="cellIs" dxfId="21169" priority="1607" operator="greaterThan">
      <formula>0</formula>
    </cfRule>
  </conditionalFormatting>
  <conditionalFormatting sqref="R32:R39">
    <cfRule type="cellIs" dxfId="21168" priority="1610" operator="lessThan">
      <formula>0.8</formula>
    </cfRule>
    <cfRule type="cellIs" dxfId="21167" priority="1611" operator="greaterThan">
      <formula>1</formula>
    </cfRule>
  </conditionalFormatting>
  <conditionalFormatting sqref="R32:R39">
    <cfRule type="cellIs" dxfId="21166" priority="1608" operator="greaterThan">
      <formula>1</formula>
    </cfRule>
    <cfRule type="cellIs" dxfId="21165" priority="1609" operator="lessThan">
      <formula>0.8</formula>
    </cfRule>
  </conditionalFormatting>
  <conditionalFormatting sqref="Q32:Q39">
    <cfRule type="cellIs" dxfId="21164" priority="1600" operator="lessThan">
      <formula>0</formula>
    </cfRule>
  </conditionalFormatting>
  <conditionalFormatting sqref="R32:R39">
    <cfRule type="cellIs" dxfId="21163" priority="1604" operator="lessThan">
      <formula>0.8</formula>
    </cfRule>
    <cfRule type="cellIs" dxfId="21162" priority="1605" operator="greaterThan">
      <formula>1</formula>
    </cfRule>
  </conditionalFormatting>
  <conditionalFormatting sqref="R32:R39">
    <cfRule type="cellIs" dxfId="21161" priority="1602" operator="greaterThan">
      <formula>1</formula>
    </cfRule>
    <cfRule type="cellIs" dxfId="21160" priority="1603" operator="lessThan">
      <formula>0.8</formula>
    </cfRule>
  </conditionalFormatting>
  <conditionalFormatting sqref="P32:P39">
    <cfRule type="cellIs" dxfId="21159" priority="1601" operator="greaterThan">
      <formula>0</formula>
    </cfRule>
  </conditionalFormatting>
  <conditionalFormatting sqref="Q32:Q39">
    <cfRule type="cellIs" dxfId="21158" priority="1599" operator="lessThan">
      <formula>0</formula>
    </cfRule>
  </conditionalFormatting>
  <conditionalFormatting sqref="R32:R39">
    <cfRule type="cellIs" dxfId="21157" priority="1597" operator="lessThan">
      <formula>0.8</formula>
    </cfRule>
    <cfRule type="cellIs" dxfId="21156" priority="1598" operator="greaterThan">
      <formula>1</formula>
    </cfRule>
  </conditionalFormatting>
  <conditionalFormatting sqref="R32:R39">
    <cfRule type="cellIs" dxfId="21155" priority="1595" operator="greaterThan">
      <formula>1</formula>
    </cfRule>
    <cfRule type="cellIs" dxfId="21154" priority="1596" operator="lessThan">
      <formula>0.8</formula>
    </cfRule>
  </conditionalFormatting>
  <conditionalFormatting sqref="P32:P39">
    <cfRule type="cellIs" dxfId="21153" priority="1594" operator="greaterThan">
      <formula>0</formula>
    </cfRule>
  </conditionalFormatting>
  <conditionalFormatting sqref="Q32:Q39">
    <cfRule type="cellIs" dxfId="21152" priority="1593" operator="lessThan">
      <formula>0</formula>
    </cfRule>
  </conditionalFormatting>
  <conditionalFormatting sqref="R32:R39">
    <cfRule type="cellIs" dxfId="21151" priority="1591" operator="lessThan">
      <formula>0.8</formula>
    </cfRule>
    <cfRule type="cellIs" dxfId="21150" priority="1592" operator="greaterThan">
      <formula>1</formula>
    </cfRule>
  </conditionalFormatting>
  <conditionalFormatting sqref="R32:R39">
    <cfRule type="cellIs" dxfId="21149" priority="1589" operator="greaterThan">
      <formula>1</formula>
    </cfRule>
    <cfRule type="cellIs" dxfId="21148" priority="1590" operator="lessThan">
      <formula>0.8</formula>
    </cfRule>
  </conditionalFormatting>
  <conditionalFormatting sqref="P32:P39">
    <cfRule type="cellIs" dxfId="21147" priority="1588" operator="greaterThan">
      <formula>0</formula>
    </cfRule>
  </conditionalFormatting>
  <conditionalFormatting sqref="Q32:Q39">
    <cfRule type="cellIs" dxfId="21146" priority="1582" operator="lessThan">
      <formula>0</formula>
    </cfRule>
  </conditionalFormatting>
  <conditionalFormatting sqref="P32:P39">
    <cfRule type="cellIs" dxfId="21145" priority="1583" operator="greaterThan">
      <formula>0</formula>
    </cfRule>
  </conditionalFormatting>
  <conditionalFormatting sqref="R32:R39">
    <cfRule type="cellIs" dxfId="21144" priority="1586" operator="lessThan">
      <formula>0.8</formula>
    </cfRule>
    <cfRule type="cellIs" dxfId="21143" priority="1587" operator="greaterThan">
      <formula>1</formula>
    </cfRule>
  </conditionalFormatting>
  <conditionalFormatting sqref="R32:R39">
    <cfRule type="cellIs" dxfId="21142" priority="1584" operator="greaterThan">
      <formula>1</formula>
    </cfRule>
    <cfRule type="cellIs" dxfId="21141" priority="1585" operator="lessThan">
      <formula>0.8</formula>
    </cfRule>
  </conditionalFormatting>
  <conditionalFormatting sqref="Q32:Q39">
    <cfRule type="cellIs" dxfId="21140" priority="1576" operator="lessThan">
      <formula>0</formula>
    </cfRule>
  </conditionalFormatting>
  <conditionalFormatting sqref="R32:R39">
    <cfRule type="cellIs" dxfId="21139" priority="1580" operator="lessThan">
      <formula>0.8</formula>
    </cfRule>
    <cfRule type="cellIs" dxfId="21138" priority="1581" operator="greaterThan">
      <formula>1</formula>
    </cfRule>
  </conditionalFormatting>
  <conditionalFormatting sqref="R32:R39">
    <cfRule type="cellIs" dxfId="21137" priority="1578" operator="greaterThan">
      <formula>1</formula>
    </cfRule>
    <cfRule type="cellIs" dxfId="21136" priority="1579" operator="lessThan">
      <formula>0.8</formula>
    </cfRule>
  </conditionalFormatting>
  <conditionalFormatting sqref="P32:P39">
    <cfRule type="cellIs" dxfId="21135" priority="1577" operator="greaterThan">
      <formula>0</formula>
    </cfRule>
  </conditionalFormatting>
  <conditionalFormatting sqref="Q32:Q39">
    <cfRule type="cellIs" dxfId="21134" priority="1575" operator="lessThan">
      <formula>0</formula>
    </cfRule>
  </conditionalFormatting>
  <conditionalFormatting sqref="R32:R39">
    <cfRule type="cellIs" dxfId="21133" priority="1573" operator="lessThan">
      <formula>0.8</formula>
    </cfRule>
    <cfRule type="cellIs" dxfId="21132" priority="1574" operator="greaterThan">
      <formula>1</formula>
    </cfRule>
  </conditionalFormatting>
  <conditionalFormatting sqref="R32:R39">
    <cfRule type="cellIs" dxfId="21131" priority="1571" operator="greaterThan">
      <formula>1</formula>
    </cfRule>
    <cfRule type="cellIs" dxfId="21130" priority="1572" operator="lessThan">
      <formula>0.8</formula>
    </cfRule>
  </conditionalFormatting>
  <conditionalFormatting sqref="P32:P39">
    <cfRule type="cellIs" dxfId="21129" priority="1570" operator="greaterThan">
      <formula>0</formula>
    </cfRule>
  </conditionalFormatting>
  <conditionalFormatting sqref="Q32:Q39">
    <cfRule type="cellIs" dxfId="21128" priority="1569" operator="lessThan">
      <formula>0</formula>
    </cfRule>
  </conditionalFormatting>
  <conditionalFormatting sqref="R32:R39">
    <cfRule type="cellIs" dxfId="21127" priority="1567" operator="lessThan">
      <formula>0.8</formula>
    </cfRule>
    <cfRule type="cellIs" dxfId="21126" priority="1568" operator="greaterThan">
      <formula>1</formula>
    </cfRule>
  </conditionalFormatting>
  <conditionalFormatting sqref="R32:R39">
    <cfRule type="cellIs" dxfId="21125" priority="1565" operator="greaterThan">
      <formula>1</formula>
    </cfRule>
    <cfRule type="cellIs" dxfId="21124" priority="1566" operator="lessThan">
      <formula>0.8</formula>
    </cfRule>
  </conditionalFormatting>
  <conditionalFormatting sqref="P32:P39">
    <cfRule type="cellIs" dxfId="21123" priority="1564" operator="greaterThan">
      <formula>0</formula>
    </cfRule>
  </conditionalFormatting>
  <conditionalFormatting sqref="Q19:Q25">
    <cfRule type="cellIs" dxfId="21122" priority="1563" operator="lessThan">
      <formula>0</formula>
    </cfRule>
  </conditionalFormatting>
  <conditionalFormatting sqref="R19:R25">
    <cfRule type="cellIs" dxfId="21121" priority="1561" operator="lessThan">
      <formula>0.8</formula>
    </cfRule>
    <cfRule type="cellIs" dxfId="21120" priority="1562" operator="greaterThan">
      <formula>1</formula>
    </cfRule>
  </conditionalFormatting>
  <conditionalFormatting sqref="R19:R25">
    <cfRule type="cellIs" dxfId="21119" priority="1559" operator="greaterThan">
      <formula>1</formula>
    </cfRule>
    <cfRule type="cellIs" dxfId="21118" priority="1560" operator="lessThan">
      <formula>0.8</formula>
    </cfRule>
  </conditionalFormatting>
  <conditionalFormatting sqref="P19:P25">
    <cfRule type="cellIs" dxfId="21117" priority="1558" operator="greaterThan">
      <formula>0</formula>
    </cfRule>
  </conditionalFormatting>
  <conditionalFormatting sqref="R19:R25">
    <cfRule type="cellIs" dxfId="21116" priority="1555" operator="lessThan">
      <formula>0.8</formula>
    </cfRule>
    <cfRule type="cellIs" dxfId="21115" priority="1556" operator="greaterThan">
      <formula>1</formula>
    </cfRule>
  </conditionalFormatting>
  <conditionalFormatting sqref="R19:R25">
    <cfRule type="cellIs" dxfId="21114" priority="1553" operator="greaterThan">
      <formula>1</formula>
    </cfRule>
    <cfRule type="cellIs" dxfId="21113" priority="1554" operator="lessThan">
      <formula>0.8</formula>
    </cfRule>
  </conditionalFormatting>
  <conditionalFormatting sqref="P19:P25">
    <cfRule type="cellIs" dxfId="21112" priority="1552" operator="greaterThan">
      <formula>0</formula>
    </cfRule>
  </conditionalFormatting>
  <conditionalFormatting sqref="Q19:Q25">
    <cfRule type="cellIs" dxfId="21111" priority="1557" operator="lessThan">
      <formula>0</formula>
    </cfRule>
  </conditionalFormatting>
  <conditionalFormatting sqref="R19:R25">
    <cfRule type="cellIs" dxfId="21110" priority="1549" operator="lessThan">
      <formula>0.8</formula>
    </cfRule>
    <cfRule type="cellIs" dxfId="21109" priority="1550" operator="greaterThan">
      <formula>1</formula>
    </cfRule>
  </conditionalFormatting>
  <conditionalFormatting sqref="R19:R25">
    <cfRule type="cellIs" dxfId="21108" priority="1547" operator="greaterThan">
      <formula>1</formula>
    </cfRule>
    <cfRule type="cellIs" dxfId="21107" priority="1548" operator="lessThan">
      <formula>0.8</formula>
    </cfRule>
  </conditionalFormatting>
  <conditionalFormatting sqref="P19:P25">
    <cfRule type="cellIs" dxfId="21106" priority="1546" operator="greaterThan">
      <formula>0</formula>
    </cfRule>
  </conditionalFormatting>
  <conditionalFormatting sqref="Q19:Q25">
    <cfRule type="cellIs" dxfId="21105" priority="1551" operator="lessThan">
      <formula>0</formula>
    </cfRule>
  </conditionalFormatting>
  <conditionalFormatting sqref="Q19:Q25">
    <cfRule type="cellIs" dxfId="21104" priority="1545" operator="lessThan">
      <formula>0</formula>
    </cfRule>
  </conditionalFormatting>
  <conditionalFormatting sqref="R19:R25">
    <cfRule type="cellIs" dxfId="21103" priority="1543" operator="lessThan">
      <formula>0.8</formula>
    </cfRule>
    <cfRule type="cellIs" dxfId="21102" priority="1544" operator="greaterThan">
      <formula>1</formula>
    </cfRule>
  </conditionalFormatting>
  <conditionalFormatting sqref="R19:R25">
    <cfRule type="cellIs" dxfId="21101" priority="1541" operator="greaterThan">
      <formula>1</formula>
    </cfRule>
    <cfRule type="cellIs" dxfId="21100" priority="1542" operator="lessThan">
      <formula>0.8</formula>
    </cfRule>
  </conditionalFormatting>
  <conditionalFormatting sqref="P19:P25">
    <cfRule type="cellIs" dxfId="21099" priority="1540" operator="greaterThan">
      <formula>0</formula>
    </cfRule>
  </conditionalFormatting>
  <conditionalFormatting sqref="Q135:Q136">
    <cfRule type="cellIs" dxfId="21098" priority="1539" operator="lessThan">
      <formula>0</formula>
    </cfRule>
  </conditionalFormatting>
  <conditionalFormatting sqref="R135:R136 R139:R142">
    <cfRule type="cellIs" dxfId="21097" priority="1537" operator="lessThan">
      <formula>0.8</formula>
    </cfRule>
    <cfRule type="cellIs" dxfId="21096" priority="1538" operator="greaterThan">
      <formula>1</formula>
    </cfRule>
  </conditionalFormatting>
  <conditionalFormatting sqref="R135:R136 R139:R142">
    <cfRule type="cellIs" dxfId="21095" priority="1535" operator="greaterThan">
      <formula>1</formula>
    </cfRule>
    <cfRule type="cellIs" dxfId="21094" priority="1536" operator="lessThan">
      <formula>0.8</formula>
    </cfRule>
  </conditionalFormatting>
  <conditionalFormatting sqref="P135:P136 P139 P142">
    <cfRule type="cellIs" dxfId="21093" priority="1534" operator="greaterThan">
      <formula>0</formula>
    </cfRule>
  </conditionalFormatting>
  <conditionalFormatting sqref="P135:P136 P139 P142">
    <cfRule type="cellIs" dxfId="21092" priority="1528" operator="greaterThan">
      <formula>0</formula>
    </cfRule>
  </conditionalFormatting>
  <conditionalFormatting sqref="Q135:Q136">
    <cfRule type="cellIs" dxfId="21091" priority="1533" operator="lessThan">
      <formula>0</formula>
    </cfRule>
  </conditionalFormatting>
  <conditionalFormatting sqref="R135:R136 R139:R142">
    <cfRule type="cellIs" dxfId="21090" priority="1531" operator="lessThan">
      <formula>0.8</formula>
    </cfRule>
    <cfRule type="cellIs" dxfId="21089" priority="1532" operator="greaterThan">
      <formula>1</formula>
    </cfRule>
  </conditionalFormatting>
  <conditionalFormatting sqref="R135:R136 R139:R142">
    <cfRule type="cellIs" dxfId="21088" priority="1529" operator="greaterThan">
      <formula>1</formula>
    </cfRule>
    <cfRule type="cellIs" dxfId="21087" priority="1530" operator="lessThan">
      <formula>0.8</formula>
    </cfRule>
  </conditionalFormatting>
  <conditionalFormatting sqref="P19:P25">
    <cfRule type="cellIs" dxfId="21086" priority="1522" operator="greaterThan">
      <formula>0</formula>
    </cfRule>
  </conditionalFormatting>
  <conditionalFormatting sqref="Q19:Q25">
    <cfRule type="cellIs" dxfId="21085" priority="1527" operator="lessThan">
      <formula>0</formula>
    </cfRule>
  </conditionalFormatting>
  <conditionalFormatting sqref="R19:R25">
    <cfRule type="cellIs" dxfId="21084" priority="1525" operator="lessThan">
      <formula>0.8</formula>
    </cfRule>
    <cfRule type="cellIs" dxfId="21083" priority="1526" operator="greaterThan">
      <formula>1</formula>
    </cfRule>
  </conditionalFormatting>
  <conditionalFormatting sqref="R19:R25">
    <cfRule type="cellIs" dxfId="21082" priority="1523" operator="greaterThan">
      <formula>1</formula>
    </cfRule>
    <cfRule type="cellIs" dxfId="21081" priority="1524" operator="lessThan">
      <formula>0.8</formula>
    </cfRule>
  </conditionalFormatting>
  <conditionalFormatting sqref="Q19:Q25">
    <cfRule type="cellIs" dxfId="21080" priority="1521" operator="lessThan">
      <formula>0</formula>
    </cfRule>
  </conditionalFormatting>
  <conditionalFormatting sqref="R19:R25">
    <cfRule type="cellIs" dxfId="21079" priority="1519" operator="lessThan">
      <formula>0.8</formula>
    </cfRule>
    <cfRule type="cellIs" dxfId="21078" priority="1520" operator="greaterThan">
      <formula>1</formula>
    </cfRule>
  </conditionalFormatting>
  <conditionalFormatting sqref="R19:R25">
    <cfRule type="cellIs" dxfId="21077" priority="1517" operator="greaterThan">
      <formula>1</formula>
    </cfRule>
    <cfRule type="cellIs" dxfId="21076" priority="1518" operator="lessThan">
      <formula>0.8</formula>
    </cfRule>
  </conditionalFormatting>
  <conditionalFormatting sqref="P19:P25">
    <cfRule type="cellIs" dxfId="21075" priority="1516" operator="greaterThan">
      <formula>0</formula>
    </cfRule>
  </conditionalFormatting>
  <conditionalFormatting sqref="Q19:Q25">
    <cfRule type="cellIs" dxfId="21074" priority="1515" operator="lessThan">
      <formula>0</formula>
    </cfRule>
  </conditionalFormatting>
  <conditionalFormatting sqref="R19:R25">
    <cfRule type="cellIs" dxfId="21073" priority="1513" operator="lessThan">
      <formula>0.8</formula>
    </cfRule>
    <cfRule type="cellIs" dxfId="21072" priority="1514" operator="greaterThan">
      <formula>1</formula>
    </cfRule>
  </conditionalFormatting>
  <conditionalFormatting sqref="R19:R25">
    <cfRule type="cellIs" dxfId="21071" priority="1511" operator="greaterThan">
      <formula>1</formula>
    </cfRule>
    <cfRule type="cellIs" dxfId="21070" priority="1512" operator="lessThan">
      <formula>0.8</formula>
    </cfRule>
  </conditionalFormatting>
  <conditionalFormatting sqref="P19:P25">
    <cfRule type="cellIs" dxfId="21069" priority="1510" operator="greaterThan">
      <formula>0</formula>
    </cfRule>
  </conditionalFormatting>
  <conditionalFormatting sqref="Q19:Q25">
    <cfRule type="cellIs" dxfId="21068" priority="1509" operator="lessThan">
      <formula>0</formula>
    </cfRule>
  </conditionalFormatting>
  <conditionalFormatting sqref="R19:R25">
    <cfRule type="cellIs" dxfId="21067" priority="1507" operator="lessThan">
      <formula>0.8</formula>
    </cfRule>
    <cfRule type="cellIs" dxfId="21066" priority="1508" operator="greaterThan">
      <formula>1</formula>
    </cfRule>
  </conditionalFormatting>
  <conditionalFormatting sqref="R19:R25">
    <cfRule type="cellIs" dxfId="21065" priority="1505" operator="greaterThan">
      <formula>1</formula>
    </cfRule>
    <cfRule type="cellIs" dxfId="21064" priority="1506" operator="lessThan">
      <formula>0.8</formula>
    </cfRule>
  </conditionalFormatting>
  <conditionalFormatting sqref="P19:P25">
    <cfRule type="cellIs" dxfId="21063" priority="1504" operator="greaterThan">
      <formula>0</formula>
    </cfRule>
  </conditionalFormatting>
  <conditionalFormatting sqref="R19:R25">
    <cfRule type="cellIs" dxfId="21062" priority="1501" operator="lessThan">
      <formula>0.8</formula>
    </cfRule>
    <cfRule type="cellIs" dxfId="21061" priority="1502" operator="greaterThan">
      <formula>1</formula>
    </cfRule>
  </conditionalFormatting>
  <conditionalFormatting sqref="R19:R25">
    <cfRule type="cellIs" dxfId="21060" priority="1499" operator="greaterThan">
      <formula>1</formula>
    </cfRule>
    <cfRule type="cellIs" dxfId="21059" priority="1500" operator="lessThan">
      <formula>0.8</formula>
    </cfRule>
  </conditionalFormatting>
  <conditionalFormatting sqref="P19:P25">
    <cfRule type="cellIs" dxfId="21058" priority="1498" operator="greaterThan">
      <formula>0</formula>
    </cfRule>
  </conditionalFormatting>
  <conditionalFormatting sqref="Q19:Q25">
    <cfRule type="cellIs" dxfId="21057" priority="1503" operator="lessThan">
      <formula>0</formula>
    </cfRule>
  </conditionalFormatting>
  <conditionalFormatting sqref="Q19:Q25">
    <cfRule type="cellIs" dxfId="21056" priority="1497" operator="lessThan">
      <formula>0</formula>
    </cfRule>
  </conditionalFormatting>
  <conditionalFormatting sqref="R19:R25">
    <cfRule type="cellIs" dxfId="21055" priority="1495" operator="lessThan">
      <formula>0.8</formula>
    </cfRule>
    <cfRule type="cellIs" dxfId="21054" priority="1496" operator="greaterThan">
      <formula>1</formula>
    </cfRule>
  </conditionalFormatting>
  <conditionalFormatting sqref="R19:R25">
    <cfRule type="cellIs" dxfId="21053" priority="1493" operator="greaterThan">
      <formula>1</formula>
    </cfRule>
    <cfRule type="cellIs" dxfId="21052" priority="1494" operator="lessThan">
      <formula>0.8</formula>
    </cfRule>
  </conditionalFormatting>
  <conditionalFormatting sqref="P19:P25">
    <cfRule type="cellIs" dxfId="21051" priority="1492" operator="greaterThan">
      <formula>0</formula>
    </cfRule>
  </conditionalFormatting>
  <conditionalFormatting sqref="P19:P25">
    <cfRule type="cellIs" dxfId="21050" priority="1486" operator="greaterThan">
      <formula>0</formula>
    </cfRule>
  </conditionalFormatting>
  <conditionalFormatting sqref="Q19:Q25">
    <cfRule type="cellIs" dxfId="21049" priority="1491" operator="lessThan">
      <formula>0</formula>
    </cfRule>
  </conditionalFormatting>
  <conditionalFormatting sqref="R19:R25">
    <cfRule type="cellIs" dxfId="21048" priority="1489" operator="lessThan">
      <formula>0.8</formula>
    </cfRule>
    <cfRule type="cellIs" dxfId="21047" priority="1490" operator="greaterThan">
      <formula>1</formula>
    </cfRule>
  </conditionalFormatting>
  <conditionalFormatting sqref="R19:R25">
    <cfRule type="cellIs" dxfId="21046" priority="1487" operator="greaterThan">
      <formula>1</formula>
    </cfRule>
    <cfRule type="cellIs" dxfId="21045" priority="1488" operator="lessThan">
      <formula>0.8</formula>
    </cfRule>
  </conditionalFormatting>
  <conditionalFormatting sqref="P19:P25">
    <cfRule type="cellIs" dxfId="21044" priority="1480" operator="greaterThan">
      <formula>0</formula>
    </cfRule>
  </conditionalFormatting>
  <conditionalFormatting sqref="Q19:Q25">
    <cfRule type="cellIs" dxfId="21043" priority="1485" operator="lessThan">
      <formula>0</formula>
    </cfRule>
  </conditionalFormatting>
  <conditionalFormatting sqref="R19:R25">
    <cfRule type="cellIs" dxfId="21042" priority="1483" operator="lessThan">
      <formula>0.8</formula>
    </cfRule>
    <cfRule type="cellIs" dxfId="21041" priority="1484" operator="greaterThan">
      <formula>1</formula>
    </cfRule>
  </conditionalFormatting>
  <conditionalFormatting sqref="R19:R25">
    <cfRule type="cellIs" dxfId="21040" priority="1481" operator="greaterThan">
      <formula>1</formula>
    </cfRule>
    <cfRule type="cellIs" dxfId="21039" priority="1482" operator="lessThan">
      <formula>0.8</formula>
    </cfRule>
  </conditionalFormatting>
  <conditionalFormatting sqref="Q19:Q25">
    <cfRule type="cellIs" dxfId="21038" priority="1479" operator="lessThan">
      <formula>0</formula>
    </cfRule>
  </conditionalFormatting>
  <conditionalFormatting sqref="R19:R25">
    <cfRule type="cellIs" dxfId="21037" priority="1477" operator="lessThan">
      <formula>0.8</formula>
    </cfRule>
    <cfRule type="cellIs" dxfId="21036" priority="1478" operator="greaterThan">
      <formula>1</formula>
    </cfRule>
  </conditionalFormatting>
  <conditionalFormatting sqref="R19:R25">
    <cfRule type="cellIs" dxfId="21035" priority="1475" operator="greaterThan">
      <formula>1</formula>
    </cfRule>
    <cfRule type="cellIs" dxfId="21034" priority="1476" operator="lessThan">
      <formula>0.8</formula>
    </cfRule>
  </conditionalFormatting>
  <conditionalFormatting sqref="P19:P25">
    <cfRule type="cellIs" dxfId="21033" priority="1474" operator="greaterThan">
      <formula>0</formula>
    </cfRule>
  </conditionalFormatting>
  <conditionalFormatting sqref="Q19:Q25">
    <cfRule type="cellIs" dxfId="21032" priority="1473" operator="lessThan">
      <formula>0</formula>
    </cfRule>
  </conditionalFormatting>
  <conditionalFormatting sqref="R19:R25">
    <cfRule type="cellIs" dxfId="21031" priority="1471" operator="lessThan">
      <formula>0.8</formula>
    </cfRule>
    <cfRule type="cellIs" dxfId="21030" priority="1472" operator="greaterThan">
      <formula>1</formula>
    </cfRule>
  </conditionalFormatting>
  <conditionalFormatting sqref="R19:R25">
    <cfRule type="cellIs" dxfId="21029" priority="1469" operator="greaterThan">
      <formula>1</formula>
    </cfRule>
    <cfRule type="cellIs" dxfId="21028" priority="1470" operator="lessThan">
      <formula>0.8</formula>
    </cfRule>
  </conditionalFormatting>
  <conditionalFormatting sqref="P19:P25">
    <cfRule type="cellIs" dxfId="21027" priority="1468" operator="greaterThan">
      <formula>0</formula>
    </cfRule>
  </conditionalFormatting>
  <conditionalFormatting sqref="P19:P25">
    <cfRule type="cellIs" dxfId="21026" priority="1462" operator="greaterThan">
      <formula>0</formula>
    </cfRule>
  </conditionalFormatting>
  <conditionalFormatting sqref="Q19:Q25">
    <cfRule type="cellIs" dxfId="21025" priority="1467" operator="lessThan">
      <formula>0</formula>
    </cfRule>
  </conditionalFormatting>
  <conditionalFormatting sqref="R19:R25">
    <cfRule type="cellIs" dxfId="21024" priority="1465" operator="lessThan">
      <formula>0.8</formula>
    </cfRule>
    <cfRule type="cellIs" dxfId="21023" priority="1466" operator="greaterThan">
      <formula>1</formula>
    </cfRule>
  </conditionalFormatting>
  <conditionalFormatting sqref="R19:R25">
    <cfRule type="cellIs" dxfId="21022" priority="1463" operator="greaterThan">
      <formula>1</formula>
    </cfRule>
    <cfRule type="cellIs" dxfId="21021" priority="1464" operator="lessThan">
      <formula>0.8</formula>
    </cfRule>
  </conditionalFormatting>
  <conditionalFormatting sqref="Q19:Q25">
    <cfRule type="cellIs" dxfId="21020" priority="1461" operator="lessThan">
      <formula>0</formula>
    </cfRule>
  </conditionalFormatting>
  <conditionalFormatting sqref="R19:R25">
    <cfRule type="cellIs" dxfId="21019" priority="1459" operator="lessThan">
      <formula>0.8</formula>
    </cfRule>
    <cfRule type="cellIs" dxfId="21018" priority="1460" operator="greaterThan">
      <formula>1</formula>
    </cfRule>
  </conditionalFormatting>
  <conditionalFormatting sqref="R19:R25">
    <cfRule type="cellIs" dxfId="21017" priority="1457" operator="greaterThan">
      <formula>1</formula>
    </cfRule>
    <cfRule type="cellIs" dxfId="21016" priority="1458" operator="lessThan">
      <formula>0.8</formula>
    </cfRule>
  </conditionalFormatting>
  <conditionalFormatting sqref="P19:P25">
    <cfRule type="cellIs" dxfId="21015" priority="1456" operator="greaterThan">
      <formula>0</formula>
    </cfRule>
  </conditionalFormatting>
  <conditionalFormatting sqref="Q19:Q25">
    <cfRule type="cellIs" dxfId="21014" priority="1455" operator="lessThan">
      <formula>0</formula>
    </cfRule>
  </conditionalFormatting>
  <conditionalFormatting sqref="R19:R25">
    <cfRule type="cellIs" dxfId="21013" priority="1453" operator="lessThan">
      <formula>0.8</formula>
    </cfRule>
    <cfRule type="cellIs" dxfId="21012" priority="1454" operator="greaterThan">
      <formula>1</formula>
    </cfRule>
  </conditionalFormatting>
  <conditionalFormatting sqref="R19:R25">
    <cfRule type="cellIs" dxfId="21011" priority="1451" operator="greaterThan">
      <formula>1</formula>
    </cfRule>
    <cfRule type="cellIs" dxfId="21010" priority="1452" operator="lessThan">
      <formula>0.8</formula>
    </cfRule>
  </conditionalFormatting>
  <conditionalFormatting sqref="P19:P25">
    <cfRule type="cellIs" dxfId="21009" priority="1450" operator="greaterThan">
      <formula>0</formula>
    </cfRule>
  </conditionalFormatting>
  <conditionalFormatting sqref="Q19:Q25">
    <cfRule type="cellIs" dxfId="21008" priority="1449" operator="lessThan">
      <formula>0</formula>
    </cfRule>
  </conditionalFormatting>
  <conditionalFormatting sqref="R19:R25">
    <cfRule type="cellIs" dxfId="21007" priority="1447" operator="lessThan">
      <formula>0.8</formula>
    </cfRule>
    <cfRule type="cellIs" dxfId="21006" priority="1448" operator="greaterThan">
      <formula>1</formula>
    </cfRule>
  </conditionalFormatting>
  <conditionalFormatting sqref="R19:R25">
    <cfRule type="cellIs" dxfId="21005" priority="1445" operator="greaterThan">
      <formula>1</formula>
    </cfRule>
    <cfRule type="cellIs" dxfId="21004" priority="1446" operator="lessThan">
      <formula>0.8</formula>
    </cfRule>
  </conditionalFormatting>
  <conditionalFormatting sqref="P19:P25">
    <cfRule type="cellIs" dxfId="21003" priority="1444" operator="greaterThan">
      <formula>0</formula>
    </cfRule>
  </conditionalFormatting>
  <conditionalFormatting sqref="R19:R25">
    <cfRule type="cellIs" dxfId="21002" priority="1441" operator="lessThan">
      <formula>0.8</formula>
    </cfRule>
    <cfRule type="cellIs" dxfId="21001" priority="1442" operator="greaterThan">
      <formula>1</formula>
    </cfRule>
  </conditionalFormatting>
  <conditionalFormatting sqref="R19:R25">
    <cfRule type="cellIs" dxfId="21000" priority="1439" operator="greaterThan">
      <formula>1</formula>
    </cfRule>
    <cfRule type="cellIs" dxfId="20999" priority="1440" operator="lessThan">
      <formula>0.8</formula>
    </cfRule>
  </conditionalFormatting>
  <conditionalFormatting sqref="P19:P25">
    <cfRule type="cellIs" dxfId="20998" priority="1438" operator="greaterThan">
      <formula>0</formula>
    </cfRule>
  </conditionalFormatting>
  <conditionalFormatting sqref="Q19:Q25">
    <cfRule type="cellIs" dxfId="20997" priority="1443" operator="lessThan">
      <formula>0</formula>
    </cfRule>
  </conditionalFormatting>
  <conditionalFormatting sqref="Q40">
    <cfRule type="cellIs" dxfId="20996" priority="1437" operator="lessThan">
      <formula>0</formula>
    </cfRule>
  </conditionalFormatting>
  <conditionalFormatting sqref="R40">
    <cfRule type="cellIs" dxfId="20995" priority="1435" operator="lessThan">
      <formula>0.8</formula>
    </cfRule>
    <cfRule type="cellIs" dxfId="20994" priority="1436" operator="greaterThan">
      <formula>1</formula>
    </cfRule>
  </conditionalFormatting>
  <conditionalFormatting sqref="R40">
    <cfRule type="cellIs" dxfId="20993" priority="1433" operator="greaterThan">
      <formula>1</formula>
    </cfRule>
    <cfRule type="cellIs" dxfId="20992" priority="1434" operator="lessThan">
      <formula>0.8</formula>
    </cfRule>
  </conditionalFormatting>
  <conditionalFormatting sqref="P40">
    <cfRule type="cellIs" dxfId="20991" priority="1432" operator="greaterThan">
      <formula>0</formula>
    </cfRule>
  </conditionalFormatting>
  <conditionalFormatting sqref="P40">
    <cfRule type="cellIs" dxfId="20990" priority="1426" operator="greaterThan">
      <formula>0</formula>
    </cfRule>
  </conditionalFormatting>
  <conditionalFormatting sqref="Q40">
    <cfRule type="cellIs" dxfId="20989" priority="1431" operator="lessThan">
      <formula>0</formula>
    </cfRule>
  </conditionalFormatting>
  <conditionalFormatting sqref="R40">
    <cfRule type="cellIs" dxfId="20988" priority="1429" operator="lessThan">
      <formula>0.8</formula>
    </cfRule>
    <cfRule type="cellIs" dxfId="20987" priority="1430" operator="greaterThan">
      <formula>1</formula>
    </cfRule>
  </conditionalFormatting>
  <conditionalFormatting sqref="R40">
    <cfRule type="cellIs" dxfId="20986" priority="1427" operator="greaterThan">
      <formula>1</formula>
    </cfRule>
    <cfRule type="cellIs" dxfId="20985" priority="1428" operator="lessThan">
      <formula>0.8</formula>
    </cfRule>
  </conditionalFormatting>
  <conditionalFormatting sqref="P40">
    <cfRule type="cellIs" dxfId="20984" priority="1420" operator="greaterThan">
      <formula>0</formula>
    </cfRule>
  </conditionalFormatting>
  <conditionalFormatting sqref="Q40">
    <cfRule type="cellIs" dxfId="20983" priority="1425" operator="lessThan">
      <formula>0</formula>
    </cfRule>
  </conditionalFormatting>
  <conditionalFormatting sqref="R40">
    <cfRule type="cellIs" dxfId="20982" priority="1423" operator="lessThan">
      <formula>0.8</formula>
    </cfRule>
    <cfRule type="cellIs" dxfId="20981" priority="1424" operator="greaterThan">
      <formula>1</formula>
    </cfRule>
  </conditionalFormatting>
  <conditionalFormatting sqref="R40">
    <cfRule type="cellIs" dxfId="20980" priority="1421" operator="greaterThan">
      <formula>1</formula>
    </cfRule>
    <cfRule type="cellIs" dxfId="20979" priority="1422" operator="lessThan">
      <formula>0.8</formula>
    </cfRule>
  </conditionalFormatting>
  <conditionalFormatting sqref="Q40">
    <cfRule type="cellIs" dxfId="20978" priority="1419" operator="lessThan">
      <formula>0</formula>
    </cfRule>
  </conditionalFormatting>
  <conditionalFormatting sqref="R40">
    <cfRule type="cellIs" dxfId="20977" priority="1417" operator="lessThan">
      <formula>0.8</formula>
    </cfRule>
    <cfRule type="cellIs" dxfId="20976" priority="1418" operator="greaterThan">
      <formula>1</formula>
    </cfRule>
  </conditionalFormatting>
  <conditionalFormatting sqref="R40">
    <cfRule type="cellIs" dxfId="20975" priority="1415" operator="greaterThan">
      <formula>1</formula>
    </cfRule>
    <cfRule type="cellIs" dxfId="20974" priority="1416" operator="lessThan">
      <formula>0.8</formula>
    </cfRule>
  </conditionalFormatting>
  <conditionalFormatting sqref="P40">
    <cfRule type="cellIs" dxfId="20973" priority="1414" operator="greaterThan">
      <formula>0</formula>
    </cfRule>
  </conditionalFormatting>
  <conditionalFormatting sqref="P40">
    <cfRule type="cellIs" dxfId="20972" priority="1408" operator="greaterThan">
      <formula>0</formula>
    </cfRule>
  </conditionalFormatting>
  <conditionalFormatting sqref="Q40">
    <cfRule type="cellIs" dxfId="20971" priority="1413" operator="lessThan">
      <formula>0</formula>
    </cfRule>
  </conditionalFormatting>
  <conditionalFormatting sqref="R40">
    <cfRule type="cellIs" dxfId="20970" priority="1411" operator="lessThan">
      <formula>0.8</formula>
    </cfRule>
    <cfRule type="cellIs" dxfId="20969" priority="1412" operator="greaterThan">
      <formula>1</formula>
    </cfRule>
  </conditionalFormatting>
  <conditionalFormatting sqref="R40">
    <cfRule type="cellIs" dxfId="20968" priority="1409" operator="greaterThan">
      <formula>1</formula>
    </cfRule>
    <cfRule type="cellIs" dxfId="20967" priority="1410" operator="lessThan">
      <formula>0.8</formula>
    </cfRule>
  </conditionalFormatting>
  <conditionalFormatting sqref="P40">
    <cfRule type="cellIs" dxfId="20966" priority="1402" operator="greaterThan">
      <formula>0</formula>
    </cfRule>
  </conditionalFormatting>
  <conditionalFormatting sqref="Q40">
    <cfRule type="cellIs" dxfId="20965" priority="1407" operator="lessThan">
      <formula>0</formula>
    </cfRule>
  </conditionalFormatting>
  <conditionalFormatting sqref="R40">
    <cfRule type="cellIs" dxfId="20964" priority="1405" operator="lessThan">
      <formula>0.8</formula>
    </cfRule>
    <cfRule type="cellIs" dxfId="20963" priority="1406" operator="greaterThan">
      <formula>1</formula>
    </cfRule>
  </conditionalFormatting>
  <conditionalFormatting sqref="R40">
    <cfRule type="cellIs" dxfId="20962" priority="1403" operator="greaterThan">
      <formula>1</formula>
    </cfRule>
    <cfRule type="cellIs" dxfId="20961" priority="1404" operator="lessThan">
      <formula>0.8</formula>
    </cfRule>
  </conditionalFormatting>
  <conditionalFormatting sqref="P40">
    <cfRule type="cellIs" dxfId="20960" priority="1396" operator="greaterThan">
      <formula>0</formula>
    </cfRule>
  </conditionalFormatting>
  <conditionalFormatting sqref="Q40">
    <cfRule type="cellIs" dxfId="20959" priority="1401" operator="lessThan">
      <formula>0</formula>
    </cfRule>
  </conditionalFormatting>
  <conditionalFormatting sqref="R40">
    <cfRule type="cellIs" dxfId="20958" priority="1399" operator="lessThan">
      <formula>0.8</formula>
    </cfRule>
    <cfRule type="cellIs" dxfId="20957" priority="1400" operator="greaterThan">
      <formula>1</formula>
    </cfRule>
  </conditionalFormatting>
  <conditionalFormatting sqref="R40">
    <cfRule type="cellIs" dxfId="20956" priority="1397" operator="greaterThan">
      <formula>1</formula>
    </cfRule>
    <cfRule type="cellIs" dxfId="20955" priority="1398" operator="lessThan">
      <formula>0.8</formula>
    </cfRule>
  </conditionalFormatting>
  <conditionalFormatting sqref="Q40">
    <cfRule type="cellIs" dxfId="20954" priority="1390" operator="lessThan">
      <formula>0</formula>
    </cfRule>
  </conditionalFormatting>
  <conditionalFormatting sqref="P40">
    <cfRule type="cellIs" dxfId="20953" priority="1391" operator="greaterThan">
      <formula>0</formula>
    </cfRule>
  </conditionalFormatting>
  <conditionalFormatting sqref="R40">
    <cfRule type="cellIs" dxfId="20952" priority="1394" operator="lessThan">
      <formula>0.8</formula>
    </cfRule>
    <cfRule type="cellIs" dxfId="20951" priority="1395" operator="greaterThan">
      <formula>1</formula>
    </cfRule>
  </conditionalFormatting>
  <conditionalFormatting sqref="R40">
    <cfRule type="cellIs" dxfId="20950" priority="1392" operator="greaterThan">
      <formula>1</formula>
    </cfRule>
    <cfRule type="cellIs" dxfId="20949" priority="1393" operator="lessThan">
      <formula>0.8</formula>
    </cfRule>
  </conditionalFormatting>
  <conditionalFormatting sqref="Q40">
    <cfRule type="cellIs" dxfId="20948" priority="1384" operator="lessThan">
      <formula>0</formula>
    </cfRule>
  </conditionalFormatting>
  <conditionalFormatting sqref="R40">
    <cfRule type="cellIs" dxfId="20947" priority="1388" operator="lessThan">
      <formula>0.8</formula>
    </cfRule>
    <cfRule type="cellIs" dxfId="20946" priority="1389" operator="greaterThan">
      <formula>1</formula>
    </cfRule>
  </conditionalFormatting>
  <conditionalFormatting sqref="R40">
    <cfRule type="cellIs" dxfId="20945" priority="1386" operator="greaterThan">
      <formula>1</formula>
    </cfRule>
    <cfRule type="cellIs" dxfId="20944" priority="1387" operator="lessThan">
      <formula>0.8</formula>
    </cfRule>
  </conditionalFormatting>
  <conditionalFormatting sqref="P40">
    <cfRule type="cellIs" dxfId="20943" priority="1385" operator="greaterThan">
      <formula>0</formula>
    </cfRule>
  </conditionalFormatting>
  <conditionalFormatting sqref="Q40">
    <cfRule type="cellIs" dxfId="20942" priority="1383" operator="lessThan">
      <formula>0</formula>
    </cfRule>
  </conditionalFormatting>
  <conditionalFormatting sqref="R40">
    <cfRule type="cellIs" dxfId="20941" priority="1381" operator="lessThan">
      <formula>0.8</formula>
    </cfRule>
    <cfRule type="cellIs" dxfId="20940" priority="1382" operator="greaterThan">
      <formula>1</formula>
    </cfRule>
  </conditionalFormatting>
  <conditionalFormatting sqref="R40">
    <cfRule type="cellIs" dxfId="20939" priority="1379" operator="greaterThan">
      <formula>1</formula>
    </cfRule>
    <cfRule type="cellIs" dxfId="20938" priority="1380" operator="lessThan">
      <formula>0.8</formula>
    </cfRule>
  </conditionalFormatting>
  <conditionalFormatting sqref="P40">
    <cfRule type="cellIs" dxfId="20937" priority="1378" operator="greaterThan">
      <formula>0</formula>
    </cfRule>
  </conditionalFormatting>
  <conditionalFormatting sqref="Q40">
    <cfRule type="cellIs" dxfId="20936" priority="1377" operator="lessThan">
      <formula>0</formula>
    </cfRule>
  </conditionalFormatting>
  <conditionalFormatting sqref="R40">
    <cfRule type="cellIs" dxfId="20935" priority="1375" operator="lessThan">
      <formula>0.8</formula>
    </cfRule>
    <cfRule type="cellIs" dxfId="20934" priority="1376" operator="greaterThan">
      <formula>1</formula>
    </cfRule>
  </conditionalFormatting>
  <conditionalFormatting sqref="R40">
    <cfRule type="cellIs" dxfId="20933" priority="1373" operator="greaterThan">
      <formula>1</formula>
    </cfRule>
    <cfRule type="cellIs" dxfId="20932" priority="1374" operator="lessThan">
      <formula>0.8</formula>
    </cfRule>
  </conditionalFormatting>
  <conditionalFormatting sqref="P40">
    <cfRule type="cellIs" dxfId="20931" priority="1372" operator="greaterThan">
      <formula>0</formula>
    </cfRule>
  </conditionalFormatting>
  <conditionalFormatting sqref="Q32:Q39">
    <cfRule type="cellIs" dxfId="20930" priority="1371" operator="lessThan">
      <formula>0</formula>
    </cfRule>
  </conditionalFormatting>
  <conditionalFormatting sqref="R32:R39">
    <cfRule type="cellIs" dxfId="20929" priority="1369" operator="lessThan">
      <formula>0.8</formula>
    </cfRule>
    <cfRule type="cellIs" dxfId="20928" priority="1370" operator="greaterThan">
      <formula>1</formula>
    </cfRule>
  </conditionalFormatting>
  <conditionalFormatting sqref="R32:R39">
    <cfRule type="cellIs" dxfId="20927" priority="1367" operator="greaterThan">
      <formula>1</formula>
    </cfRule>
    <cfRule type="cellIs" dxfId="20926" priority="1368" operator="lessThan">
      <formula>0.8</formula>
    </cfRule>
  </conditionalFormatting>
  <conditionalFormatting sqref="P32:P39">
    <cfRule type="cellIs" dxfId="20925" priority="1366" operator="greaterThan">
      <formula>0</formula>
    </cfRule>
  </conditionalFormatting>
  <conditionalFormatting sqref="Q32:Q39">
    <cfRule type="cellIs" dxfId="20924" priority="1365" operator="lessThan">
      <formula>0</formula>
    </cfRule>
  </conditionalFormatting>
  <conditionalFormatting sqref="R32:R39">
    <cfRule type="cellIs" dxfId="20923" priority="1363" operator="lessThan">
      <formula>0.8</formula>
    </cfRule>
    <cfRule type="cellIs" dxfId="20922" priority="1364" operator="greaterThan">
      <formula>1</formula>
    </cfRule>
  </conditionalFormatting>
  <conditionalFormatting sqref="R32:R39">
    <cfRule type="cellIs" dxfId="20921" priority="1361" operator="greaterThan">
      <formula>1</formula>
    </cfRule>
    <cfRule type="cellIs" dxfId="20920" priority="1362" operator="lessThan">
      <formula>0.8</formula>
    </cfRule>
  </conditionalFormatting>
  <conditionalFormatting sqref="P32:P39">
    <cfRule type="cellIs" dxfId="20919" priority="1360" operator="greaterThan">
      <formula>0</formula>
    </cfRule>
  </conditionalFormatting>
  <conditionalFormatting sqref="Q32:Q39">
    <cfRule type="cellIs" dxfId="20918" priority="1359" operator="lessThan">
      <formula>0</formula>
    </cfRule>
  </conditionalFormatting>
  <conditionalFormatting sqref="R32:R39">
    <cfRule type="cellIs" dxfId="20917" priority="1357" operator="lessThan">
      <formula>0.8</formula>
    </cfRule>
    <cfRule type="cellIs" dxfId="20916" priority="1358" operator="greaterThan">
      <formula>1</formula>
    </cfRule>
  </conditionalFormatting>
  <conditionalFormatting sqref="R32:R39">
    <cfRule type="cellIs" dxfId="20915" priority="1355" operator="greaterThan">
      <formula>1</formula>
    </cfRule>
    <cfRule type="cellIs" dxfId="20914" priority="1356" operator="lessThan">
      <formula>0.8</formula>
    </cfRule>
  </conditionalFormatting>
  <conditionalFormatting sqref="P32:P39">
    <cfRule type="cellIs" dxfId="20913" priority="1354" operator="greaterThan">
      <formula>0</formula>
    </cfRule>
  </conditionalFormatting>
  <conditionalFormatting sqref="Q32:Q39">
    <cfRule type="cellIs" dxfId="20912" priority="1353" operator="lessThan">
      <formula>0</formula>
    </cfRule>
  </conditionalFormatting>
  <conditionalFormatting sqref="R32:R39">
    <cfRule type="cellIs" dxfId="20911" priority="1351" operator="lessThan">
      <formula>0.8</formula>
    </cfRule>
    <cfRule type="cellIs" dxfId="20910" priority="1352" operator="greaterThan">
      <formula>1</formula>
    </cfRule>
  </conditionalFormatting>
  <conditionalFormatting sqref="R32:R39">
    <cfRule type="cellIs" dxfId="20909" priority="1349" operator="greaterThan">
      <formula>1</formula>
    </cfRule>
    <cfRule type="cellIs" dxfId="20908" priority="1350" operator="lessThan">
      <formula>0.8</formula>
    </cfRule>
  </conditionalFormatting>
  <conditionalFormatting sqref="P32:P39">
    <cfRule type="cellIs" dxfId="20907" priority="1348" operator="greaterThan">
      <formula>0</formula>
    </cfRule>
  </conditionalFormatting>
  <conditionalFormatting sqref="P32:P39">
    <cfRule type="cellIs" dxfId="20906" priority="1342" operator="greaterThan">
      <formula>0</formula>
    </cfRule>
  </conditionalFormatting>
  <conditionalFormatting sqref="Q32:Q39">
    <cfRule type="cellIs" dxfId="20905" priority="1347" operator="lessThan">
      <formula>0</formula>
    </cfRule>
  </conditionalFormatting>
  <conditionalFormatting sqref="R32:R39">
    <cfRule type="cellIs" dxfId="20904" priority="1345" operator="lessThan">
      <formula>0.8</formula>
    </cfRule>
    <cfRule type="cellIs" dxfId="20903" priority="1346" operator="greaterThan">
      <formula>1</formula>
    </cfRule>
  </conditionalFormatting>
  <conditionalFormatting sqref="R32:R39">
    <cfRule type="cellIs" dxfId="20902" priority="1343" operator="greaterThan">
      <formula>1</formula>
    </cfRule>
    <cfRule type="cellIs" dxfId="20901" priority="1344" operator="lessThan">
      <formula>0.8</formula>
    </cfRule>
  </conditionalFormatting>
  <conditionalFormatting sqref="P32:P39">
    <cfRule type="cellIs" dxfId="20900" priority="1336" operator="greaterThan">
      <formula>0</formula>
    </cfRule>
  </conditionalFormatting>
  <conditionalFormatting sqref="Q32:Q39">
    <cfRule type="cellIs" dxfId="20899" priority="1341" operator="lessThan">
      <formula>0</formula>
    </cfRule>
  </conditionalFormatting>
  <conditionalFormatting sqref="R32:R39">
    <cfRule type="cellIs" dxfId="20898" priority="1339" operator="lessThan">
      <formula>0.8</formula>
    </cfRule>
    <cfRule type="cellIs" dxfId="20897" priority="1340" operator="greaterThan">
      <formula>1</formula>
    </cfRule>
  </conditionalFormatting>
  <conditionalFormatting sqref="R32:R39">
    <cfRule type="cellIs" dxfId="20896" priority="1337" operator="greaterThan">
      <formula>1</formula>
    </cfRule>
    <cfRule type="cellIs" dxfId="20895" priority="1338" operator="lessThan">
      <formula>0.8</formula>
    </cfRule>
  </conditionalFormatting>
  <conditionalFormatting sqref="R32:R39">
    <cfRule type="cellIs" dxfId="20894" priority="1333" operator="lessThan">
      <formula>0.8</formula>
    </cfRule>
    <cfRule type="cellIs" dxfId="20893" priority="1334" operator="greaterThan">
      <formula>1</formula>
    </cfRule>
  </conditionalFormatting>
  <conditionalFormatting sqref="R32:R39">
    <cfRule type="cellIs" dxfId="20892" priority="1331" operator="greaterThan">
      <formula>1</formula>
    </cfRule>
    <cfRule type="cellIs" dxfId="20891" priority="1332" operator="lessThan">
      <formula>0.8</formula>
    </cfRule>
  </conditionalFormatting>
  <conditionalFormatting sqref="P32:P39">
    <cfRule type="cellIs" dxfId="20890" priority="1330" operator="greaterThan">
      <formula>0</formula>
    </cfRule>
  </conditionalFormatting>
  <conditionalFormatting sqref="Q32:Q39">
    <cfRule type="cellIs" dxfId="20889" priority="1335" operator="lessThan">
      <formula>0</formula>
    </cfRule>
  </conditionalFormatting>
  <conditionalFormatting sqref="Q32:Q39">
    <cfRule type="cellIs" dxfId="20888" priority="1329" operator="lessThan">
      <formula>0</formula>
    </cfRule>
  </conditionalFormatting>
  <conditionalFormatting sqref="R32:R39">
    <cfRule type="cellIs" dxfId="20887" priority="1327" operator="lessThan">
      <formula>0.8</formula>
    </cfRule>
    <cfRule type="cellIs" dxfId="20886" priority="1328" operator="greaterThan">
      <formula>1</formula>
    </cfRule>
  </conditionalFormatting>
  <conditionalFormatting sqref="R32:R39">
    <cfRule type="cellIs" dxfId="20885" priority="1325" operator="greaterThan">
      <formula>1</formula>
    </cfRule>
    <cfRule type="cellIs" dxfId="20884" priority="1326" operator="lessThan">
      <formula>0.8</formula>
    </cfRule>
  </conditionalFormatting>
  <conditionalFormatting sqref="P32:P39">
    <cfRule type="cellIs" dxfId="20883" priority="1324" operator="greaterThan">
      <formula>0</formula>
    </cfRule>
  </conditionalFormatting>
  <conditionalFormatting sqref="P32:P39">
    <cfRule type="cellIs" dxfId="20882" priority="1318" operator="greaterThan">
      <formula>0</formula>
    </cfRule>
  </conditionalFormatting>
  <conditionalFormatting sqref="Q32:Q39">
    <cfRule type="cellIs" dxfId="20881" priority="1323" operator="lessThan">
      <formula>0</formula>
    </cfRule>
  </conditionalFormatting>
  <conditionalFormatting sqref="R32:R39">
    <cfRule type="cellIs" dxfId="20880" priority="1321" operator="lessThan">
      <formula>0.8</formula>
    </cfRule>
    <cfRule type="cellIs" dxfId="20879" priority="1322" operator="greaterThan">
      <formula>1</formula>
    </cfRule>
  </conditionalFormatting>
  <conditionalFormatting sqref="R32:R39">
    <cfRule type="cellIs" dxfId="20878" priority="1319" operator="greaterThan">
      <formula>1</formula>
    </cfRule>
    <cfRule type="cellIs" dxfId="20877" priority="1320" operator="lessThan">
      <formula>0.8</formula>
    </cfRule>
  </conditionalFormatting>
  <conditionalFormatting sqref="P32:P39">
    <cfRule type="cellIs" dxfId="20876" priority="1312" operator="greaterThan">
      <formula>0</formula>
    </cfRule>
  </conditionalFormatting>
  <conditionalFormatting sqref="Q32:Q39">
    <cfRule type="cellIs" dxfId="20875" priority="1317" operator="lessThan">
      <formula>0</formula>
    </cfRule>
  </conditionalFormatting>
  <conditionalFormatting sqref="R32:R39">
    <cfRule type="cellIs" dxfId="20874" priority="1315" operator="lessThan">
      <formula>0.8</formula>
    </cfRule>
    <cfRule type="cellIs" dxfId="20873" priority="1316" operator="greaterThan">
      <formula>1</formula>
    </cfRule>
  </conditionalFormatting>
  <conditionalFormatting sqref="R32:R39">
    <cfRule type="cellIs" dxfId="20872" priority="1313" operator="greaterThan">
      <formula>1</formula>
    </cfRule>
    <cfRule type="cellIs" dxfId="20871" priority="1314" operator="lessThan">
      <formula>0.8</formula>
    </cfRule>
  </conditionalFormatting>
  <conditionalFormatting sqref="R32:R39">
    <cfRule type="cellIs" dxfId="20870" priority="1309" operator="lessThan">
      <formula>0.8</formula>
    </cfRule>
    <cfRule type="cellIs" dxfId="20869" priority="1310" operator="greaterThan">
      <formula>1</formula>
    </cfRule>
  </conditionalFormatting>
  <conditionalFormatting sqref="R32:R39">
    <cfRule type="cellIs" dxfId="20868" priority="1307" operator="greaterThan">
      <formula>1</formula>
    </cfRule>
    <cfRule type="cellIs" dxfId="20867" priority="1308" operator="lessThan">
      <formula>0.8</formula>
    </cfRule>
  </conditionalFormatting>
  <conditionalFormatting sqref="P32:P39">
    <cfRule type="cellIs" dxfId="20866" priority="1306" operator="greaterThan">
      <formula>0</formula>
    </cfRule>
  </conditionalFormatting>
  <conditionalFormatting sqref="Q32:Q39">
    <cfRule type="cellIs" dxfId="20865" priority="1311" operator="lessThan">
      <formula>0</formula>
    </cfRule>
  </conditionalFormatting>
  <conditionalFormatting sqref="P32:P39">
    <cfRule type="cellIs" dxfId="20864" priority="1300" operator="greaterThan">
      <formula>0</formula>
    </cfRule>
  </conditionalFormatting>
  <conditionalFormatting sqref="Q32:Q39">
    <cfRule type="cellIs" dxfId="20863" priority="1305" operator="lessThan">
      <formula>0</formula>
    </cfRule>
  </conditionalFormatting>
  <conditionalFormatting sqref="R32:R39">
    <cfRule type="cellIs" dxfId="20862" priority="1303" operator="lessThan">
      <formula>0.8</formula>
    </cfRule>
    <cfRule type="cellIs" dxfId="20861" priority="1304" operator="greaterThan">
      <formula>1</formula>
    </cfRule>
  </conditionalFormatting>
  <conditionalFormatting sqref="R32:R39">
    <cfRule type="cellIs" dxfId="20860" priority="1301" operator="greaterThan">
      <formula>1</formula>
    </cfRule>
    <cfRule type="cellIs" dxfId="20859" priority="1302" operator="lessThan">
      <formula>0.8</formula>
    </cfRule>
  </conditionalFormatting>
  <conditionalFormatting sqref="R32:R39">
    <cfRule type="cellIs" dxfId="20858" priority="1297" operator="lessThan">
      <formula>0.8</formula>
    </cfRule>
    <cfRule type="cellIs" dxfId="20857" priority="1298" operator="greaterThan">
      <formula>1</formula>
    </cfRule>
  </conditionalFormatting>
  <conditionalFormatting sqref="R32:R39">
    <cfRule type="cellIs" dxfId="20856" priority="1295" operator="greaterThan">
      <formula>1</formula>
    </cfRule>
    <cfRule type="cellIs" dxfId="20855" priority="1296" operator="lessThan">
      <formula>0.8</formula>
    </cfRule>
  </conditionalFormatting>
  <conditionalFormatting sqref="P32:P39">
    <cfRule type="cellIs" dxfId="20854" priority="1294" operator="greaterThan">
      <formula>0</formula>
    </cfRule>
  </conditionalFormatting>
  <conditionalFormatting sqref="Q32:Q39">
    <cfRule type="cellIs" dxfId="20853" priority="1299" operator="lessThan">
      <formula>0</formula>
    </cfRule>
  </conditionalFormatting>
  <conditionalFormatting sqref="R32:R39">
    <cfRule type="cellIs" dxfId="20852" priority="1291" operator="lessThan">
      <formula>0.8</formula>
    </cfRule>
    <cfRule type="cellIs" dxfId="20851" priority="1292" operator="greaterThan">
      <formula>1</formula>
    </cfRule>
  </conditionalFormatting>
  <conditionalFormatting sqref="R32:R39">
    <cfRule type="cellIs" dxfId="20850" priority="1289" operator="greaterThan">
      <formula>1</formula>
    </cfRule>
    <cfRule type="cellIs" dxfId="20849" priority="1290" operator="lessThan">
      <formula>0.8</formula>
    </cfRule>
  </conditionalFormatting>
  <conditionalFormatting sqref="P32:P39">
    <cfRule type="cellIs" dxfId="20848" priority="1288" operator="greaterThan">
      <formula>0</formula>
    </cfRule>
  </conditionalFormatting>
  <conditionalFormatting sqref="Q32:Q39">
    <cfRule type="cellIs" dxfId="20847" priority="1293" operator="lessThan">
      <formula>0</formula>
    </cfRule>
  </conditionalFormatting>
  <conditionalFormatting sqref="Q32:Q39">
    <cfRule type="cellIs" dxfId="20846" priority="1287" operator="lessThan">
      <formula>0</formula>
    </cfRule>
  </conditionalFormatting>
  <conditionalFormatting sqref="R32:R39">
    <cfRule type="cellIs" dxfId="20845" priority="1285" operator="lessThan">
      <formula>0.8</formula>
    </cfRule>
    <cfRule type="cellIs" dxfId="20844" priority="1286" operator="greaterThan">
      <formula>1</formula>
    </cfRule>
  </conditionalFormatting>
  <conditionalFormatting sqref="R32:R39">
    <cfRule type="cellIs" dxfId="20843" priority="1283" operator="greaterThan">
      <formula>1</formula>
    </cfRule>
    <cfRule type="cellIs" dxfId="20842" priority="1284" operator="lessThan">
      <formula>0.8</formula>
    </cfRule>
  </conditionalFormatting>
  <conditionalFormatting sqref="P32:P39">
    <cfRule type="cellIs" dxfId="20841" priority="1282" operator="greaterThan">
      <formula>0</formula>
    </cfRule>
  </conditionalFormatting>
  <conditionalFormatting sqref="Q32:Q39">
    <cfRule type="cellIs" dxfId="20840" priority="1276" operator="lessThan">
      <formula>0</formula>
    </cfRule>
  </conditionalFormatting>
  <conditionalFormatting sqref="R32:R39">
    <cfRule type="cellIs" dxfId="20839" priority="1280" operator="lessThan">
      <formula>0.8</formula>
    </cfRule>
    <cfRule type="cellIs" dxfId="20838" priority="1281" operator="greaterThan">
      <formula>1</formula>
    </cfRule>
  </conditionalFormatting>
  <conditionalFormatting sqref="R32:R39">
    <cfRule type="cellIs" dxfId="20837" priority="1278" operator="greaterThan">
      <formula>1</formula>
    </cfRule>
    <cfRule type="cellIs" dxfId="20836" priority="1279" operator="lessThan">
      <formula>0.8</formula>
    </cfRule>
  </conditionalFormatting>
  <conditionalFormatting sqref="P32:P39">
    <cfRule type="cellIs" dxfId="20835" priority="1277" operator="greaterThan">
      <formula>0</formula>
    </cfRule>
  </conditionalFormatting>
  <conditionalFormatting sqref="Q32:Q39">
    <cfRule type="cellIs" dxfId="20834" priority="1275" operator="lessThan">
      <formula>0</formula>
    </cfRule>
  </conditionalFormatting>
  <conditionalFormatting sqref="R32:R39">
    <cfRule type="cellIs" dxfId="20833" priority="1273" operator="lessThan">
      <formula>0.8</formula>
    </cfRule>
    <cfRule type="cellIs" dxfId="20832" priority="1274" operator="greaterThan">
      <formula>1</formula>
    </cfRule>
  </conditionalFormatting>
  <conditionalFormatting sqref="R32:R39">
    <cfRule type="cellIs" dxfId="20831" priority="1271" operator="greaterThan">
      <formula>1</formula>
    </cfRule>
    <cfRule type="cellIs" dxfId="20830" priority="1272" operator="lessThan">
      <formula>0.8</formula>
    </cfRule>
  </conditionalFormatting>
  <conditionalFormatting sqref="P32:P39">
    <cfRule type="cellIs" dxfId="20829" priority="1270" operator="greaterThan">
      <formula>0</formula>
    </cfRule>
  </conditionalFormatting>
  <conditionalFormatting sqref="Q32:Q39">
    <cfRule type="cellIs" dxfId="20828" priority="1269" operator="lessThan">
      <formula>0</formula>
    </cfRule>
  </conditionalFormatting>
  <conditionalFormatting sqref="R32:R39">
    <cfRule type="cellIs" dxfId="20827" priority="1267" operator="lessThan">
      <formula>0.8</formula>
    </cfRule>
    <cfRule type="cellIs" dxfId="20826" priority="1268" operator="greaterThan">
      <formula>1</formula>
    </cfRule>
  </conditionalFormatting>
  <conditionalFormatting sqref="R32:R39">
    <cfRule type="cellIs" dxfId="20825" priority="1265" operator="greaterThan">
      <formula>1</formula>
    </cfRule>
    <cfRule type="cellIs" dxfId="20824" priority="1266" operator="lessThan">
      <formula>0.8</formula>
    </cfRule>
  </conditionalFormatting>
  <conditionalFormatting sqref="P32:P39">
    <cfRule type="cellIs" dxfId="20823" priority="1264" operator="greaterThan">
      <formula>0</formula>
    </cfRule>
  </conditionalFormatting>
  <conditionalFormatting sqref="Q32:Q39">
    <cfRule type="cellIs" dxfId="20822" priority="1263" operator="lessThan">
      <formula>0</formula>
    </cfRule>
  </conditionalFormatting>
  <conditionalFormatting sqref="R32:R39">
    <cfRule type="cellIs" dxfId="20821" priority="1261" operator="lessThan">
      <formula>0.8</formula>
    </cfRule>
    <cfRule type="cellIs" dxfId="20820" priority="1262" operator="greaterThan">
      <formula>1</formula>
    </cfRule>
  </conditionalFormatting>
  <conditionalFormatting sqref="R32:R39">
    <cfRule type="cellIs" dxfId="20819" priority="1259" operator="greaterThan">
      <formula>1</formula>
    </cfRule>
    <cfRule type="cellIs" dxfId="20818" priority="1260" operator="lessThan">
      <formula>0.8</formula>
    </cfRule>
  </conditionalFormatting>
  <conditionalFormatting sqref="P32:P39">
    <cfRule type="cellIs" dxfId="20817" priority="1258" operator="greaterThan">
      <formula>0</formula>
    </cfRule>
  </conditionalFormatting>
  <conditionalFormatting sqref="Q32:Q39">
    <cfRule type="cellIs" dxfId="20816" priority="1257" operator="lessThan">
      <formula>0</formula>
    </cfRule>
  </conditionalFormatting>
  <conditionalFormatting sqref="R32:R39">
    <cfRule type="cellIs" dxfId="20815" priority="1255" operator="lessThan">
      <formula>0.8</formula>
    </cfRule>
    <cfRule type="cellIs" dxfId="20814" priority="1256" operator="greaterThan">
      <formula>1</formula>
    </cfRule>
  </conditionalFormatting>
  <conditionalFormatting sqref="R32:R39">
    <cfRule type="cellIs" dxfId="20813" priority="1253" operator="greaterThan">
      <formula>1</formula>
    </cfRule>
    <cfRule type="cellIs" dxfId="20812" priority="1254" operator="lessThan">
      <formula>0.8</formula>
    </cfRule>
  </conditionalFormatting>
  <conditionalFormatting sqref="P32:P39">
    <cfRule type="cellIs" dxfId="20811" priority="1252" operator="greaterThan">
      <formula>0</formula>
    </cfRule>
  </conditionalFormatting>
  <conditionalFormatting sqref="Q32:Q39">
    <cfRule type="cellIs" dxfId="20810" priority="1251" operator="lessThan">
      <formula>0</formula>
    </cfRule>
  </conditionalFormatting>
  <conditionalFormatting sqref="R32:R39">
    <cfRule type="cellIs" dxfId="20809" priority="1249" operator="lessThan">
      <formula>0.8</formula>
    </cfRule>
    <cfRule type="cellIs" dxfId="20808" priority="1250" operator="greaterThan">
      <formula>1</formula>
    </cfRule>
  </conditionalFormatting>
  <conditionalFormatting sqref="R32:R39">
    <cfRule type="cellIs" dxfId="20807" priority="1247" operator="greaterThan">
      <formula>1</formula>
    </cfRule>
    <cfRule type="cellIs" dxfId="20806" priority="1248" operator="lessThan">
      <formula>0.8</formula>
    </cfRule>
  </conditionalFormatting>
  <conditionalFormatting sqref="P32:P39">
    <cfRule type="cellIs" dxfId="20805" priority="1246" operator="greaterThan">
      <formula>0</formula>
    </cfRule>
  </conditionalFormatting>
  <conditionalFormatting sqref="P32:P39">
    <cfRule type="cellIs" dxfId="20804" priority="1240" operator="greaterThan">
      <formula>0</formula>
    </cfRule>
  </conditionalFormatting>
  <conditionalFormatting sqref="Q32:Q39">
    <cfRule type="cellIs" dxfId="20803" priority="1245" operator="lessThan">
      <formula>0</formula>
    </cfRule>
  </conditionalFormatting>
  <conditionalFormatting sqref="R32:R39">
    <cfRule type="cellIs" dxfId="20802" priority="1243" operator="lessThan">
      <formula>0.8</formula>
    </cfRule>
    <cfRule type="cellIs" dxfId="20801" priority="1244" operator="greaterThan">
      <formula>1</formula>
    </cfRule>
  </conditionalFormatting>
  <conditionalFormatting sqref="R32:R39">
    <cfRule type="cellIs" dxfId="20800" priority="1241" operator="greaterThan">
      <formula>1</formula>
    </cfRule>
    <cfRule type="cellIs" dxfId="20799" priority="1242" operator="lessThan">
      <formula>0.8</formula>
    </cfRule>
  </conditionalFormatting>
  <conditionalFormatting sqref="P32:P39">
    <cfRule type="cellIs" dxfId="20798" priority="1234" operator="greaterThan">
      <formula>0</formula>
    </cfRule>
  </conditionalFormatting>
  <conditionalFormatting sqref="Q32:Q39">
    <cfRule type="cellIs" dxfId="20797" priority="1239" operator="lessThan">
      <formula>0</formula>
    </cfRule>
  </conditionalFormatting>
  <conditionalFormatting sqref="R32:R39">
    <cfRule type="cellIs" dxfId="20796" priority="1237" operator="lessThan">
      <formula>0.8</formula>
    </cfRule>
    <cfRule type="cellIs" dxfId="20795" priority="1238" operator="greaterThan">
      <formula>1</formula>
    </cfRule>
  </conditionalFormatting>
  <conditionalFormatting sqref="R32:R39">
    <cfRule type="cellIs" dxfId="20794" priority="1235" operator="greaterThan">
      <formula>1</formula>
    </cfRule>
    <cfRule type="cellIs" dxfId="20793" priority="1236" operator="lessThan">
      <formula>0.8</formula>
    </cfRule>
  </conditionalFormatting>
  <conditionalFormatting sqref="R32:R39">
    <cfRule type="cellIs" dxfId="20792" priority="1231" operator="lessThan">
      <formula>0.8</formula>
    </cfRule>
    <cfRule type="cellIs" dxfId="20791" priority="1232" operator="greaterThan">
      <formula>1</formula>
    </cfRule>
  </conditionalFormatting>
  <conditionalFormatting sqref="R32:R39">
    <cfRule type="cellIs" dxfId="20790" priority="1229" operator="greaterThan">
      <formula>1</formula>
    </cfRule>
    <cfRule type="cellIs" dxfId="20789" priority="1230" operator="lessThan">
      <formula>0.8</formula>
    </cfRule>
  </conditionalFormatting>
  <conditionalFormatting sqref="P32:P39">
    <cfRule type="cellIs" dxfId="20788" priority="1228" operator="greaterThan">
      <formula>0</formula>
    </cfRule>
  </conditionalFormatting>
  <conditionalFormatting sqref="Q32:Q39">
    <cfRule type="cellIs" dxfId="20787" priority="1233" operator="lessThan">
      <formula>0</formula>
    </cfRule>
  </conditionalFormatting>
  <conditionalFormatting sqref="Q32:Q39">
    <cfRule type="cellIs" dxfId="20786" priority="1222" operator="lessThan">
      <formula>0</formula>
    </cfRule>
  </conditionalFormatting>
  <conditionalFormatting sqref="P32:P39">
    <cfRule type="cellIs" dxfId="20785" priority="1223" operator="greaterThan">
      <formula>0</formula>
    </cfRule>
  </conditionalFormatting>
  <conditionalFormatting sqref="R32:R39">
    <cfRule type="cellIs" dxfId="20784" priority="1226" operator="lessThan">
      <formula>0.8</formula>
    </cfRule>
    <cfRule type="cellIs" dxfId="20783" priority="1227" operator="greaterThan">
      <formula>1</formula>
    </cfRule>
  </conditionalFormatting>
  <conditionalFormatting sqref="R32:R39">
    <cfRule type="cellIs" dxfId="20782" priority="1224" operator="greaterThan">
      <formula>1</formula>
    </cfRule>
    <cfRule type="cellIs" dxfId="20781" priority="1225" operator="lessThan">
      <formula>0.8</formula>
    </cfRule>
  </conditionalFormatting>
  <conditionalFormatting sqref="Q32:Q39">
    <cfRule type="cellIs" dxfId="20780" priority="1216" operator="lessThan">
      <formula>0</formula>
    </cfRule>
  </conditionalFormatting>
  <conditionalFormatting sqref="R32:R39">
    <cfRule type="cellIs" dxfId="20779" priority="1220" operator="lessThan">
      <formula>0.8</formula>
    </cfRule>
    <cfRule type="cellIs" dxfId="20778" priority="1221" operator="greaterThan">
      <formula>1</formula>
    </cfRule>
  </conditionalFormatting>
  <conditionalFormatting sqref="R32:R39">
    <cfRule type="cellIs" dxfId="20777" priority="1218" operator="greaterThan">
      <formula>1</formula>
    </cfRule>
    <cfRule type="cellIs" dxfId="20776" priority="1219" operator="lessThan">
      <formula>0.8</formula>
    </cfRule>
  </conditionalFormatting>
  <conditionalFormatting sqref="P32:P39">
    <cfRule type="cellIs" dxfId="20775" priority="1217" operator="greaterThan">
      <formula>0</formula>
    </cfRule>
  </conditionalFormatting>
  <conditionalFormatting sqref="Q32:Q39">
    <cfRule type="cellIs" dxfId="20774" priority="1215" operator="lessThan">
      <formula>0</formula>
    </cfRule>
  </conditionalFormatting>
  <conditionalFormatting sqref="R32:R39">
    <cfRule type="cellIs" dxfId="20773" priority="1213" operator="lessThan">
      <formula>0.8</formula>
    </cfRule>
    <cfRule type="cellIs" dxfId="20772" priority="1214" operator="greaterThan">
      <formula>1</formula>
    </cfRule>
  </conditionalFormatting>
  <conditionalFormatting sqref="R32:R39">
    <cfRule type="cellIs" dxfId="20771" priority="1211" operator="greaterThan">
      <formula>1</formula>
    </cfRule>
    <cfRule type="cellIs" dxfId="20770" priority="1212" operator="lessThan">
      <formula>0.8</formula>
    </cfRule>
  </conditionalFormatting>
  <conditionalFormatting sqref="P32:P39">
    <cfRule type="cellIs" dxfId="20769" priority="1210" operator="greaterThan">
      <formula>0</formula>
    </cfRule>
  </conditionalFormatting>
  <conditionalFormatting sqref="Q32:Q39">
    <cfRule type="cellIs" dxfId="20768" priority="1209" operator="lessThan">
      <formula>0</formula>
    </cfRule>
  </conditionalFormatting>
  <conditionalFormatting sqref="R32:R39">
    <cfRule type="cellIs" dxfId="20767" priority="1207" operator="lessThan">
      <formula>0.8</formula>
    </cfRule>
    <cfRule type="cellIs" dxfId="20766" priority="1208" operator="greaterThan">
      <formula>1</formula>
    </cfRule>
  </conditionalFormatting>
  <conditionalFormatting sqref="R32:R39">
    <cfRule type="cellIs" dxfId="20765" priority="1205" operator="greaterThan">
      <formula>1</formula>
    </cfRule>
    <cfRule type="cellIs" dxfId="20764" priority="1206" operator="lessThan">
      <formula>0.8</formula>
    </cfRule>
  </conditionalFormatting>
  <conditionalFormatting sqref="P32:P39">
    <cfRule type="cellIs" dxfId="20763" priority="1204" operator="greaterThan">
      <formula>0</formula>
    </cfRule>
  </conditionalFormatting>
  <conditionalFormatting sqref="Q32:Q39">
    <cfRule type="cellIs" dxfId="20762" priority="1203" operator="lessThan">
      <formula>0</formula>
    </cfRule>
  </conditionalFormatting>
  <conditionalFormatting sqref="R32:R39">
    <cfRule type="cellIs" dxfId="20761" priority="1201" operator="lessThan">
      <formula>0.8</formula>
    </cfRule>
    <cfRule type="cellIs" dxfId="20760" priority="1202" operator="greaterThan">
      <formula>1</formula>
    </cfRule>
  </conditionalFormatting>
  <conditionalFormatting sqref="R32:R39">
    <cfRule type="cellIs" dxfId="20759" priority="1199" operator="greaterThan">
      <formula>1</formula>
    </cfRule>
    <cfRule type="cellIs" dxfId="20758" priority="1200" operator="lessThan">
      <formula>0.8</formula>
    </cfRule>
  </conditionalFormatting>
  <conditionalFormatting sqref="P32:P39">
    <cfRule type="cellIs" dxfId="20757" priority="1198" operator="greaterThan">
      <formula>0</formula>
    </cfRule>
  </conditionalFormatting>
  <conditionalFormatting sqref="Q32:Q39">
    <cfRule type="cellIs" dxfId="20756" priority="1197" operator="lessThan">
      <formula>0</formula>
    </cfRule>
  </conditionalFormatting>
  <conditionalFormatting sqref="R32:R39">
    <cfRule type="cellIs" dxfId="20755" priority="1195" operator="lessThan">
      <formula>0.8</formula>
    </cfRule>
    <cfRule type="cellIs" dxfId="20754" priority="1196" operator="greaterThan">
      <formula>1</formula>
    </cfRule>
  </conditionalFormatting>
  <conditionalFormatting sqref="R32:R39">
    <cfRule type="cellIs" dxfId="20753" priority="1193" operator="greaterThan">
      <formula>1</formula>
    </cfRule>
    <cfRule type="cellIs" dxfId="20752" priority="1194" operator="lessThan">
      <formula>0.8</formula>
    </cfRule>
  </conditionalFormatting>
  <conditionalFormatting sqref="P32:P39">
    <cfRule type="cellIs" dxfId="20751" priority="1192" operator="greaterThan">
      <formula>0</formula>
    </cfRule>
  </conditionalFormatting>
  <conditionalFormatting sqref="Q96:Q105">
    <cfRule type="cellIs" dxfId="20750" priority="1186" operator="lessThan">
      <formula>0</formula>
    </cfRule>
  </conditionalFormatting>
  <conditionalFormatting sqref="P96:P105">
    <cfRule type="cellIs" dxfId="20749" priority="1187" operator="greaterThan">
      <formula>0</formula>
    </cfRule>
  </conditionalFormatting>
  <conditionalFormatting sqref="R96:R105">
    <cfRule type="cellIs" dxfId="20748" priority="1190" operator="lessThan">
      <formula>0.8</formula>
    </cfRule>
    <cfRule type="cellIs" dxfId="20747" priority="1191" operator="greaterThan">
      <formula>1</formula>
    </cfRule>
  </conditionalFormatting>
  <conditionalFormatting sqref="R96:R105">
    <cfRule type="cellIs" dxfId="20746" priority="1188" operator="greaterThan">
      <formula>1</formula>
    </cfRule>
    <cfRule type="cellIs" dxfId="20745" priority="1189" operator="lessThan">
      <formula>0.8</formula>
    </cfRule>
  </conditionalFormatting>
  <conditionalFormatting sqref="Q96:Q105">
    <cfRule type="cellIs" dxfId="20744" priority="1180" operator="lessThan">
      <formula>0</formula>
    </cfRule>
  </conditionalFormatting>
  <conditionalFormatting sqref="R96:R105">
    <cfRule type="cellIs" dxfId="20743" priority="1184" operator="lessThan">
      <formula>0.8</formula>
    </cfRule>
    <cfRule type="cellIs" dxfId="20742" priority="1185" operator="greaterThan">
      <formula>1</formula>
    </cfRule>
  </conditionalFormatting>
  <conditionalFormatting sqref="R96:R105">
    <cfRule type="cellIs" dxfId="20741" priority="1182" operator="greaterThan">
      <formula>1</formula>
    </cfRule>
    <cfRule type="cellIs" dxfId="20740" priority="1183" operator="lessThan">
      <formula>0.8</formula>
    </cfRule>
  </conditionalFormatting>
  <conditionalFormatting sqref="P96:P105">
    <cfRule type="cellIs" dxfId="20739" priority="1181" operator="greaterThan">
      <formula>0</formula>
    </cfRule>
  </conditionalFormatting>
  <conditionalFormatting sqref="Q96:Q105">
    <cfRule type="cellIs" dxfId="20738" priority="1179" operator="lessThan">
      <formula>0</formula>
    </cfRule>
  </conditionalFormatting>
  <conditionalFormatting sqref="R96:R105">
    <cfRule type="cellIs" dxfId="20737" priority="1177" operator="lessThan">
      <formula>0.8</formula>
    </cfRule>
    <cfRule type="cellIs" dxfId="20736" priority="1178" operator="greaterThan">
      <formula>1</formula>
    </cfRule>
  </conditionalFormatting>
  <conditionalFormatting sqref="R96:R105">
    <cfRule type="cellIs" dxfId="20735" priority="1175" operator="greaterThan">
      <formula>1</formula>
    </cfRule>
    <cfRule type="cellIs" dxfId="20734" priority="1176" operator="lessThan">
      <formula>0.8</formula>
    </cfRule>
  </conditionalFormatting>
  <conditionalFormatting sqref="P96:P105">
    <cfRule type="cellIs" dxfId="20733" priority="1174" operator="greaterThan">
      <formula>0</formula>
    </cfRule>
  </conditionalFormatting>
  <conditionalFormatting sqref="Q96:Q105">
    <cfRule type="cellIs" dxfId="20732" priority="1173" operator="lessThan">
      <formula>0</formula>
    </cfRule>
  </conditionalFormatting>
  <conditionalFormatting sqref="R96:R105">
    <cfRule type="cellIs" dxfId="20731" priority="1171" operator="lessThan">
      <formula>0.8</formula>
    </cfRule>
    <cfRule type="cellIs" dxfId="20730" priority="1172" operator="greaterThan">
      <formula>1</formula>
    </cfRule>
  </conditionalFormatting>
  <conditionalFormatting sqref="R96:R105">
    <cfRule type="cellIs" dxfId="20729" priority="1169" operator="greaterThan">
      <formula>1</formula>
    </cfRule>
    <cfRule type="cellIs" dxfId="20728" priority="1170" operator="lessThan">
      <formula>0.8</formula>
    </cfRule>
  </conditionalFormatting>
  <conditionalFormatting sqref="P96:P105">
    <cfRule type="cellIs" dxfId="20727" priority="1168" operator="greaterThan">
      <formula>0</formula>
    </cfRule>
  </conditionalFormatting>
  <conditionalFormatting sqref="Q96:Q105">
    <cfRule type="cellIs" dxfId="20726" priority="1162" operator="lessThan">
      <formula>0</formula>
    </cfRule>
  </conditionalFormatting>
  <conditionalFormatting sqref="R96:R105">
    <cfRule type="cellIs" dxfId="20725" priority="1166" operator="lessThan">
      <formula>0.8</formula>
    </cfRule>
    <cfRule type="cellIs" dxfId="20724" priority="1167" operator="greaterThan">
      <formula>1</formula>
    </cfRule>
  </conditionalFormatting>
  <conditionalFormatting sqref="R96:R105">
    <cfRule type="cellIs" dxfId="20723" priority="1164" operator="greaterThan">
      <formula>1</formula>
    </cfRule>
    <cfRule type="cellIs" dxfId="20722" priority="1165" operator="lessThan">
      <formula>0.8</formula>
    </cfRule>
  </conditionalFormatting>
  <conditionalFormatting sqref="P96:P105">
    <cfRule type="cellIs" dxfId="20721" priority="1163" operator="greaterThan">
      <formula>0</formula>
    </cfRule>
  </conditionalFormatting>
  <conditionalFormatting sqref="Q96:Q105">
    <cfRule type="cellIs" dxfId="20720" priority="1161" operator="lessThan">
      <formula>0</formula>
    </cfRule>
  </conditionalFormatting>
  <conditionalFormatting sqref="R96:R105">
    <cfRule type="cellIs" dxfId="20719" priority="1159" operator="lessThan">
      <formula>0.8</formula>
    </cfRule>
    <cfRule type="cellIs" dxfId="20718" priority="1160" operator="greaterThan">
      <formula>1</formula>
    </cfRule>
  </conditionalFormatting>
  <conditionalFormatting sqref="R96:R105">
    <cfRule type="cellIs" dxfId="20717" priority="1157" operator="greaterThan">
      <formula>1</formula>
    </cfRule>
    <cfRule type="cellIs" dxfId="20716" priority="1158" operator="lessThan">
      <formula>0.8</formula>
    </cfRule>
  </conditionalFormatting>
  <conditionalFormatting sqref="P96:P105">
    <cfRule type="cellIs" dxfId="20715" priority="1156" operator="greaterThan">
      <formula>0</formula>
    </cfRule>
  </conditionalFormatting>
  <conditionalFormatting sqref="Q96:Q105">
    <cfRule type="cellIs" dxfId="20714" priority="1155" operator="lessThan">
      <formula>0</formula>
    </cfRule>
  </conditionalFormatting>
  <conditionalFormatting sqref="R96:R105">
    <cfRule type="cellIs" dxfId="20713" priority="1153" operator="lessThan">
      <formula>0.8</formula>
    </cfRule>
    <cfRule type="cellIs" dxfId="20712" priority="1154" operator="greaterThan">
      <formula>1</formula>
    </cfRule>
  </conditionalFormatting>
  <conditionalFormatting sqref="R96:R105">
    <cfRule type="cellIs" dxfId="20711" priority="1151" operator="greaterThan">
      <formula>1</formula>
    </cfRule>
    <cfRule type="cellIs" dxfId="20710" priority="1152" operator="lessThan">
      <formula>0.8</formula>
    </cfRule>
  </conditionalFormatting>
  <conditionalFormatting sqref="P96:P105">
    <cfRule type="cellIs" dxfId="20709" priority="1150" operator="greaterThan">
      <formula>0</formula>
    </cfRule>
  </conditionalFormatting>
  <conditionalFormatting sqref="Q96:Q105">
    <cfRule type="cellIs" dxfId="20708" priority="1149" operator="lessThan">
      <formula>0</formula>
    </cfRule>
  </conditionalFormatting>
  <conditionalFormatting sqref="R96:R105">
    <cfRule type="cellIs" dxfId="20707" priority="1147" operator="lessThan">
      <formula>0.8</formula>
    </cfRule>
    <cfRule type="cellIs" dxfId="20706" priority="1148" operator="greaterThan">
      <formula>1</formula>
    </cfRule>
  </conditionalFormatting>
  <conditionalFormatting sqref="R96:R105">
    <cfRule type="cellIs" dxfId="20705" priority="1145" operator="greaterThan">
      <formula>1</formula>
    </cfRule>
    <cfRule type="cellIs" dxfId="20704" priority="1146" operator="lessThan">
      <formula>0.8</formula>
    </cfRule>
  </conditionalFormatting>
  <conditionalFormatting sqref="P96:P105">
    <cfRule type="cellIs" dxfId="20703" priority="1144" operator="greaterThan">
      <formula>0</formula>
    </cfRule>
  </conditionalFormatting>
  <conditionalFormatting sqref="Q96:Q105">
    <cfRule type="cellIs" dxfId="20702" priority="1143" operator="lessThan">
      <formula>0</formula>
    </cfRule>
  </conditionalFormatting>
  <conditionalFormatting sqref="R96:R105">
    <cfRule type="cellIs" dxfId="20701" priority="1141" operator="lessThan">
      <formula>0.8</formula>
    </cfRule>
    <cfRule type="cellIs" dxfId="20700" priority="1142" operator="greaterThan">
      <formula>1</formula>
    </cfRule>
  </conditionalFormatting>
  <conditionalFormatting sqref="R96:R105">
    <cfRule type="cellIs" dxfId="20699" priority="1139" operator="greaterThan">
      <formula>1</formula>
    </cfRule>
    <cfRule type="cellIs" dxfId="20698" priority="1140" operator="lessThan">
      <formula>0.8</formula>
    </cfRule>
  </conditionalFormatting>
  <conditionalFormatting sqref="P96:P105">
    <cfRule type="cellIs" dxfId="20697" priority="1138" operator="greaterThan">
      <formula>0</formula>
    </cfRule>
  </conditionalFormatting>
  <conditionalFormatting sqref="Q96:Q105">
    <cfRule type="cellIs" dxfId="20696" priority="1137" operator="lessThan">
      <formula>0</formula>
    </cfRule>
  </conditionalFormatting>
  <conditionalFormatting sqref="R96:R105">
    <cfRule type="cellIs" dxfId="20695" priority="1135" operator="lessThan">
      <formula>0.8</formula>
    </cfRule>
    <cfRule type="cellIs" dxfId="20694" priority="1136" operator="greaterThan">
      <formula>1</formula>
    </cfRule>
  </conditionalFormatting>
  <conditionalFormatting sqref="R96:R105">
    <cfRule type="cellIs" dxfId="20693" priority="1133" operator="greaterThan">
      <formula>1</formula>
    </cfRule>
    <cfRule type="cellIs" dxfId="20692" priority="1134" operator="lessThan">
      <formula>0.8</formula>
    </cfRule>
  </conditionalFormatting>
  <conditionalFormatting sqref="P96:P105">
    <cfRule type="cellIs" dxfId="20691" priority="1132" operator="greaterThan">
      <formula>0</formula>
    </cfRule>
  </conditionalFormatting>
  <conditionalFormatting sqref="P96:P105">
    <cfRule type="cellIs" dxfId="20690" priority="1126" operator="greaterThan">
      <formula>0</formula>
    </cfRule>
  </conditionalFormatting>
  <conditionalFormatting sqref="Q96:Q105">
    <cfRule type="cellIs" dxfId="20689" priority="1131" operator="lessThan">
      <formula>0</formula>
    </cfRule>
  </conditionalFormatting>
  <conditionalFormatting sqref="R96:R105">
    <cfRule type="cellIs" dxfId="20688" priority="1129" operator="lessThan">
      <formula>0.8</formula>
    </cfRule>
    <cfRule type="cellIs" dxfId="20687" priority="1130" operator="greaterThan">
      <formula>1</formula>
    </cfRule>
  </conditionalFormatting>
  <conditionalFormatting sqref="R96:R105">
    <cfRule type="cellIs" dxfId="20686" priority="1127" operator="greaterThan">
      <formula>1</formula>
    </cfRule>
    <cfRule type="cellIs" dxfId="20685" priority="1128" operator="lessThan">
      <formula>0.8</formula>
    </cfRule>
  </conditionalFormatting>
  <conditionalFormatting sqref="P96:P105">
    <cfRule type="cellIs" dxfId="20684" priority="1120" operator="greaterThan">
      <formula>0</formula>
    </cfRule>
  </conditionalFormatting>
  <conditionalFormatting sqref="Q96:Q105">
    <cfRule type="cellIs" dxfId="20683" priority="1125" operator="lessThan">
      <formula>0</formula>
    </cfRule>
  </conditionalFormatting>
  <conditionalFormatting sqref="R96:R105">
    <cfRule type="cellIs" dxfId="20682" priority="1123" operator="lessThan">
      <formula>0.8</formula>
    </cfRule>
    <cfRule type="cellIs" dxfId="20681" priority="1124" operator="greaterThan">
      <formula>1</formula>
    </cfRule>
  </conditionalFormatting>
  <conditionalFormatting sqref="R96:R105">
    <cfRule type="cellIs" dxfId="20680" priority="1121" operator="greaterThan">
      <formula>1</formula>
    </cfRule>
    <cfRule type="cellIs" dxfId="20679" priority="1122" operator="lessThan">
      <formula>0.8</formula>
    </cfRule>
  </conditionalFormatting>
  <conditionalFormatting sqref="R96:R105">
    <cfRule type="cellIs" dxfId="20678" priority="1117" operator="lessThan">
      <formula>0.8</formula>
    </cfRule>
    <cfRule type="cellIs" dxfId="20677" priority="1118" operator="greaterThan">
      <formula>1</formula>
    </cfRule>
  </conditionalFormatting>
  <conditionalFormatting sqref="R96:R105">
    <cfRule type="cellIs" dxfId="20676" priority="1115" operator="greaterThan">
      <formula>1</formula>
    </cfRule>
    <cfRule type="cellIs" dxfId="20675" priority="1116" operator="lessThan">
      <formula>0.8</formula>
    </cfRule>
  </conditionalFormatting>
  <conditionalFormatting sqref="P96:P105">
    <cfRule type="cellIs" dxfId="20674" priority="1114" operator="greaterThan">
      <formula>0</formula>
    </cfRule>
  </conditionalFormatting>
  <conditionalFormatting sqref="Q96:Q105">
    <cfRule type="cellIs" dxfId="20673" priority="1119" operator="lessThan">
      <formula>0</formula>
    </cfRule>
  </conditionalFormatting>
  <conditionalFormatting sqref="Q96:Q105">
    <cfRule type="cellIs" dxfId="20672" priority="1108" operator="lessThan">
      <formula>0</formula>
    </cfRule>
  </conditionalFormatting>
  <conditionalFormatting sqref="P96:P105">
    <cfRule type="cellIs" dxfId="20671" priority="1109" operator="greaterThan">
      <formula>0</formula>
    </cfRule>
  </conditionalFormatting>
  <conditionalFormatting sqref="R96:R105">
    <cfRule type="cellIs" dxfId="20670" priority="1112" operator="lessThan">
      <formula>0.8</formula>
    </cfRule>
    <cfRule type="cellIs" dxfId="20669" priority="1113" operator="greaterThan">
      <formula>1</formula>
    </cfRule>
  </conditionalFormatting>
  <conditionalFormatting sqref="R96:R105">
    <cfRule type="cellIs" dxfId="20668" priority="1110" operator="greaterThan">
      <formula>1</formula>
    </cfRule>
    <cfRule type="cellIs" dxfId="20667" priority="1111" operator="lessThan">
      <formula>0.8</formula>
    </cfRule>
  </conditionalFormatting>
  <conditionalFormatting sqref="Q96:Q105">
    <cfRule type="cellIs" dxfId="20666" priority="1102" operator="lessThan">
      <formula>0</formula>
    </cfRule>
  </conditionalFormatting>
  <conditionalFormatting sqref="R96:R105">
    <cfRule type="cellIs" dxfId="20665" priority="1106" operator="lessThan">
      <formula>0.8</formula>
    </cfRule>
    <cfRule type="cellIs" dxfId="20664" priority="1107" operator="greaterThan">
      <formula>1</formula>
    </cfRule>
  </conditionalFormatting>
  <conditionalFormatting sqref="R96:R105">
    <cfRule type="cellIs" dxfId="20663" priority="1104" operator="greaterThan">
      <formula>1</formula>
    </cfRule>
    <cfRule type="cellIs" dxfId="20662" priority="1105" operator="lessThan">
      <formula>0.8</formula>
    </cfRule>
  </conditionalFormatting>
  <conditionalFormatting sqref="P96:P105">
    <cfRule type="cellIs" dxfId="20661" priority="1103" operator="greaterThan">
      <formula>0</formula>
    </cfRule>
  </conditionalFormatting>
  <conditionalFormatting sqref="Q96:Q105">
    <cfRule type="cellIs" dxfId="20660" priority="1101" operator="lessThan">
      <formula>0</formula>
    </cfRule>
  </conditionalFormatting>
  <conditionalFormatting sqref="R96:R105">
    <cfRule type="cellIs" dxfId="20659" priority="1099" operator="lessThan">
      <formula>0.8</formula>
    </cfRule>
    <cfRule type="cellIs" dxfId="20658" priority="1100" operator="greaterThan">
      <formula>1</formula>
    </cfRule>
  </conditionalFormatting>
  <conditionalFormatting sqref="R96:R105">
    <cfRule type="cellIs" dxfId="20657" priority="1097" operator="greaterThan">
      <formula>1</formula>
    </cfRule>
    <cfRule type="cellIs" dxfId="20656" priority="1098" operator="lessThan">
      <formula>0.8</formula>
    </cfRule>
  </conditionalFormatting>
  <conditionalFormatting sqref="P96:P105">
    <cfRule type="cellIs" dxfId="20655" priority="1096" operator="greaterThan">
      <formula>0</formula>
    </cfRule>
  </conditionalFormatting>
  <conditionalFormatting sqref="Q96:Q105">
    <cfRule type="cellIs" dxfId="20654" priority="1095" operator="lessThan">
      <formula>0</formula>
    </cfRule>
  </conditionalFormatting>
  <conditionalFormatting sqref="R96:R105">
    <cfRule type="cellIs" dxfId="20653" priority="1093" operator="lessThan">
      <formula>0.8</formula>
    </cfRule>
    <cfRule type="cellIs" dxfId="20652" priority="1094" operator="greaterThan">
      <formula>1</formula>
    </cfRule>
  </conditionalFormatting>
  <conditionalFormatting sqref="R96:R105">
    <cfRule type="cellIs" dxfId="20651" priority="1091" operator="greaterThan">
      <formula>1</formula>
    </cfRule>
    <cfRule type="cellIs" dxfId="20650" priority="1092" operator="lessThan">
      <formula>0.8</formula>
    </cfRule>
  </conditionalFormatting>
  <conditionalFormatting sqref="P96:P105">
    <cfRule type="cellIs" dxfId="20649" priority="1090" operator="greaterThan">
      <formula>0</formula>
    </cfRule>
  </conditionalFormatting>
  <conditionalFormatting sqref="Q96:Q105">
    <cfRule type="cellIs" dxfId="20648" priority="1084" operator="lessThan">
      <formula>0</formula>
    </cfRule>
  </conditionalFormatting>
  <conditionalFormatting sqref="P96:P105">
    <cfRule type="cellIs" dxfId="20647" priority="1085" operator="greaterThan">
      <formula>0</formula>
    </cfRule>
  </conditionalFormatting>
  <conditionalFormatting sqref="R96:R105">
    <cfRule type="cellIs" dxfId="20646" priority="1088" operator="lessThan">
      <formula>0.8</formula>
    </cfRule>
    <cfRule type="cellIs" dxfId="20645" priority="1089" operator="greaterThan">
      <formula>1</formula>
    </cfRule>
  </conditionalFormatting>
  <conditionalFormatting sqref="R96:R105">
    <cfRule type="cellIs" dxfId="20644" priority="1086" operator="greaterThan">
      <formula>1</formula>
    </cfRule>
    <cfRule type="cellIs" dxfId="20643" priority="1087" operator="lessThan">
      <formula>0.8</formula>
    </cfRule>
  </conditionalFormatting>
  <conditionalFormatting sqref="Q96:Q105">
    <cfRule type="cellIs" dxfId="20642" priority="1078" operator="lessThan">
      <formula>0</formula>
    </cfRule>
  </conditionalFormatting>
  <conditionalFormatting sqref="R96:R105">
    <cfRule type="cellIs" dxfId="20641" priority="1082" operator="lessThan">
      <formula>0.8</formula>
    </cfRule>
    <cfRule type="cellIs" dxfId="20640" priority="1083" operator="greaterThan">
      <formula>1</formula>
    </cfRule>
  </conditionalFormatting>
  <conditionalFormatting sqref="R96:R105">
    <cfRule type="cellIs" dxfId="20639" priority="1080" operator="greaterThan">
      <formula>1</formula>
    </cfRule>
    <cfRule type="cellIs" dxfId="20638" priority="1081" operator="lessThan">
      <formula>0.8</formula>
    </cfRule>
  </conditionalFormatting>
  <conditionalFormatting sqref="P96:P105">
    <cfRule type="cellIs" dxfId="20637" priority="1079" operator="greaterThan">
      <formula>0</formula>
    </cfRule>
  </conditionalFormatting>
  <conditionalFormatting sqref="Q96:Q105">
    <cfRule type="cellIs" dxfId="20636" priority="1077" operator="lessThan">
      <formula>0</formula>
    </cfRule>
  </conditionalFormatting>
  <conditionalFormatting sqref="R96:R105">
    <cfRule type="cellIs" dxfId="20635" priority="1075" operator="lessThan">
      <formula>0.8</formula>
    </cfRule>
    <cfRule type="cellIs" dxfId="20634" priority="1076" operator="greaterThan">
      <formula>1</formula>
    </cfRule>
  </conditionalFormatting>
  <conditionalFormatting sqref="R96:R105">
    <cfRule type="cellIs" dxfId="20633" priority="1073" operator="greaterThan">
      <formula>1</formula>
    </cfRule>
    <cfRule type="cellIs" dxfId="20632" priority="1074" operator="lessThan">
      <formula>0.8</formula>
    </cfRule>
  </conditionalFormatting>
  <conditionalFormatting sqref="P96:P105">
    <cfRule type="cellIs" dxfId="20631" priority="1072" operator="greaterThan">
      <formula>0</formula>
    </cfRule>
  </conditionalFormatting>
  <conditionalFormatting sqref="Q96:Q105">
    <cfRule type="cellIs" dxfId="20630" priority="1071" operator="lessThan">
      <formula>0</formula>
    </cfRule>
  </conditionalFormatting>
  <conditionalFormatting sqref="R96:R105">
    <cfRule type="cellIs" dxfId="20629" priority="1069" operator="lessThan">
      <formula>0.8</formula>
    </cfRule>
    <cfRule type="cellIs" dxfId="20628" priority="1070" operator="greaterThan">
      <formula>1</formula>
    </cfRule>
  </conditionalFormatting>
  <conditionalFormatting sqref="R96:R105">
    <cfRule type="cellIs" dxfId="20627" priority="1067" operator="greaterThan">
      <formula>1</formula>
    </cfRule>
    <cfRule type="cellIs" dxfId="20626" priority="1068" operator="lessThan">
      <formula>0.8</formula>
    </cfRule>
  </conditionalFormatting>
  <conditionalFormatting sqref="P96:P105">
    <cfRule type="cellIs" dxfId="20625" priority="1066" operator="greaterThan">
      <formula>0</formula>
    </cfRule>
  </conditionalFormatting>
  <conditionalFormatting sqref="P124 P127 P130">
    <cfRule type="cellIs" dxfId="20624" priority="1060" operator="greaterThan">
      <formula>0</formula>
    </cfRule>
  </conditionalFormatting>
  <conditionalFormatting sqref="Q124 Q127 Q130">
    <cfRule type="cellIs" dxfId="20623" priority="1065" operator="lessThan">
      <formula>0</formula>
    </cfRule>
  </conditionalFormatting>
  <conditionalFormatting sqref="R124 R127 R130">
    <cfRule type="cellIs" dxfId="20622" priority="1063" operator="lessThan">
      <formula>0.8</formula>
    </cfRule>
    <cfRule type="cellIs" dxfId="20621" priority="1064" operator="greaterThan">
      <formula>1</formula>
    </cfRule>
  </conditionalFormatting>
  <conditionalFormatting sqref="R124 R127 R130">
    <cfRule type="cellIs" dxfId="20620" priority="1061" operator="greaterThan">
      <formula>1</formula>
    </cfRule>
    <cfRule type="cellIs" dxfId="20619" priority="1062" operator="lessThan">
      <formula>0.8</formula>
    </cfRule>
  </conditionalFormatting>
  <conditionalFormatting sqref="Q124 Q127 Q130">
    <cfRule type="cellIs" dxfId="20618" priority="1059" operator="lessThan">
      <formula>0</formula>
    </cfRule>
  </conditionalFormatting>
  <conditionalFormatting sqref="R124 R127 R130">
    <cfRule type="cellIs" dxfId="20617" priority="1057" operator="lessThan">
      <formula>0.8</formula>
    </cfRule>
    <cfRule type="cellIs" dxfId="20616" priority="1058" operator="greaterThan">
      <formula>1</formula>
    </cfRule>
  </conditionalFormatting>
  <conditionalFormatting sqref="R124 R127 R130">
    <cfRule type="cellIs" dxfId="20615" priority="1055" operator="greaterThan">
      <formula>1</formula>
    </cfRule>
    <cfRule type="cellIs" dxfId="20614" priority="1056" operator="lessThan">
      <formula>0.8</formula>
    </cfRule>
  </conditionalFormatting>
  <conditionalFormatting sqref="P124 P127 P130">
    <cfRule type="cellIs" dxfId="20613" priority="1054" operator="greaterThan">
      <formula>0</formula>
    </cfRule>
  </conditionalFormatting>
  <conditionalFormatting sqref="Q123 Q125:Q126 Q131 Q128:Q129">
    <cfRule type="cellIs" dxfId="20612" priority="1053" operator="lessThan">
      <formula>0</formula>
    </cfRule>
  </conditionalFormatting>
  <conditionalFormatting sqref="R123 R125:R126 R131 R128:R129">
    <cfRule type="cellIs" dxfId="20611" priority="1051" operator="lessThan">
      <formula>0.8</formula>
    </cfRule>
    <cfRule type="cellIs" dxfId="20610" priority="1052" operator="greaterThan">
      <formula>1</formula>
    </cfRule>
  </conditionalFormatting>
  <conditionalFormatting sqref="R123 R125:R126 R131 R128:R129">
    <cfRule type="cellIs" dxfId="20609" priority="1049" operator="greaterThan">
      <formula>1</formula>
    </cfRule>
    <cfRule type="cellIs" dxfId="20608" priority="1050" operator="lessThan">
      <formula>0.8</formula>
    </cfRule>
  </conditionalFormatting>
  <conditionalFormatting sqref="P123 P125:P126 P131 P128:P129">
    <cfRule type="cellIs" dxfId="20607" priority="1048" operator="greaterThan">
      <formula>0</formula>
    </cfRule>
  </conditionalFormatting>
  <conditionalFormatting sqref="P123 P125:P126 P131 P128:P129">
    <cfRule type="cellIs" dxfId="20606" priority="1042" operator="greaterThan">
      <formula>0</formula>
    </cfRule>
  </conditionalFormatting>
  <conditionalFormatting sqref="Q123 Q125:Q126 Q131 Q128:Q129">
    <cfRule type="cellIs" dxfId="20605" priority="1047" operator="lessThan">
      <formula>0</formula>
    </cfRule>
  </conditionalFormatting>
  <conditionalFormatting sqref="R123 R125:R126 R131 R128:R129">
    <cfRule type="cellIs" dxfId="20604" priority="1045" operator="lessThan">
      <formula>0.8</formula>
    </cfRule>
    <cfRule type="cellIs" dxfId="20603" priority="1046" operator="greaterThan">
      <formula>1</formula>
    </cfRule>
  </conditionalFormatting>
  <conditionalFormatting sqref="R123 R125:R126 R131 R128:R129">
    <cfRule type="cellIs" dxfId="20602" priority="1043" operator="greaterThan">
      <formula>1</formula>
    </cfRule>
    <cfRule type="cellIs" dxfId="20601" priority="1044" operator="lessThan">
      <formula>0.8</formula>
    </cfRule>
  </conditionalFormatting>
  <conditionalFormatting sqref="P122">
    <cfRule type="cellIs" dxfId="20600" priority="1036" operator="greaterThan">
      <formula>0</formula>
    </cfRule>
  </conditionalFormatting>
  <conditionalFormatting sqref="Q122">
    <cfRule type="cellIs" dxfId="20599" priority="1041" operator="lessThan">
      <formula>0</formula>
    </cfRule>
  </conditionalFormatting>
  <conditionalFormatting sqref="R122">
    <cfRule type="cellIs" dxfId="20598" priority="1039" operator="lessThan">
      <formula>0.8</formula>
    </cfRule>
    <cfRule type="cellIs" dxfId="20597" priority="1040" operator="greaterThan">
      <formula>1</formula>
    </cfRule>
  </conditionalFormatting>
  <conditionalFormatting sqref="R122">
    <cfRule type="cellIs" dxfId="20596" priority="1037" operator="greaterThan">
      <formula>1</formula>
    </cfRule>
    <cfRule type="cellIs" dxfId="20595" priority="1038" operator="lessThan">
      <formula>0.8</formula>
    </cfRule>
  </conditionalFormatting>
  <conditionalFormatting sqref="P137 P143 P140">
    <cfRule type="cellIs" dxfId="20594" priority="1035" operator="greaterThan">
      <formula>0</formula>
    </cfRule>
  </conditionalFormatting>
  <conditionalFormatting sqref="Q137:Q143">
    <cfRule type="cellIs" dxfId="20593" priority="1034" operator="lessThan">
      <formula>0</formula>
    </cfRule>
  </conditionalFormatting>
  <conditionalFormatting sqref="R137 R143">
    <cfRule type="cellIs" dxfId="20592" priority="1032" operator="lessThan">
      <formula>0.8</formula>
    </cfRule>
    <cfRule type="cellIs" dxfId="20591" priority="1033" operator="greaterThan">
      <formula>1</formula>
    </cfRule>
  </conditionalFormatting>
  <conditionalFormatting sqref="R137 R143">
    <cfRule type="cellIs" dxfId="20590" priority="1030" operator="greaterThan">
      <formula>1</formula>
    </cfRule>
    <cfRule type="cellIs" dxfId="20589" priority="1031" operator="lessThan">
      <formula>0.8</formula>
    </cfRule>
  </conditionalFormatting>
  <conditionalFormatting sqref="P137 P143 P140">
    <cfRule type="cellIs" dxfId="20588" priority="1029" operator="greaterThan">
      <formula>0</formula>
    </cfRule>
  </conditionalFormatting>
  <conditionalFormatting sqref="Q137:Q143">
    <cfRule type="cellIs" dxfId="20587" priority="1028" operator="lessThan">
      <formula>0</formula>
    </cfRule>
  </conditionalFormatting>
  <conditionalFormatting sqref="R137 R143">
    <cfRule type="cellIs" dxfId="20586" priority="1026" operator="lessThan">
      <formula>0.8</formula>
    </cfRule>
    <cfRule type="cellIs" dxfId="20585" priority="1027" operator="greaterThan">
      <formula>1</formula>
    </cfRule>
  </conditionalFormatting>
  <conditionalFormatting sqref="R137 R143">
    <cfRule type="cellIs" dxfId="20584" priority="1024" operator="greaterThan">
      <formula>1</formula>
    </cfRule>
    <cfRule type="cellIs" dxfId="20583" priority="1025" operator="lessThan">
      <formula>0.8</formula>
    </cfRule>
  </conditionalFormatting>
  <conditionalFormatting sqref="P137 P143 P140">
    <cfRule type="cellIs" dxfId="20582" priority="1023" operator="greaterThan">
      <formula>0</formula>
    </cfRule>
  </conditionalFormatting>
  <conditionalFormatting sqref="P137 P143 P140">
    <cfRule type="cellIs" dxfId="20581" priority="1017" operator="greaterThan">
      <formula>0</formula>
    </cfRule>
  </conditionalFormatting>
  <conditionalFormatting sqref="Q137:Q143">
    <cfRule type="cellIs" dxfId="20580" priority="1022" operator="lessThan">
      <formula>0</formula>
    </cfRule>
  </conditionalFormatting>
  <conditionalFormatting sqref="R137 R143">
    <cfRule type="cellIs" dxfId="20579" priority="1020" operator="lessThan">
      <formula>0.8</formula>
    </cfRule>
    <cfRule type="cellIs" dxfId="20578" priority="1021" operator="greaterThan">
      <formula>1</formula>
    </cfRule>
  </conditionalFormatting>
  <conditionalFormatting sqref="R137 R143">
    <cfRule type="cellIs" dxfId="20577" priority="1018" operator="greaterThan">
      <formula>1</formula>
    </cfRule>
    <cfRule type="cellIs" dxfId="20576" priority="1019" operator="lessThan">
      <formula>0.8</formula>
    </cfRule>
  </conditionalFormatting>
  <conditionalFormatting sqref="Q137:Q143">
    <cfRule type="cellIs" dxfId="20575" priority="1016" operator="lessThan">
      <formula>0</formula>
    </cfRule>
  </conditionalFormatting>
  <conditionalFormatting sqref="R137 R143">
    <cfRule type="cellIs" dxfId="20574" priority="1014" operator="lessThan">
      <formula>0.8</formula>
    </cfRule>
    <cfRule type="cellIs" dxfId="20573" priority="1015" operator="greaterThan">
      <formula>1</formula>
    </cfRule>
  </conditionalFormatting>
  <conditionalFormatting sqref="R137 R143">
    <cfRule type="cellIs" dxfId="20572" priority="1012" operator="greaterThan">
      <formula>1</formula>
    </cfRule>
    <cfRule type="cellIs" dxfId="20571" priority="1013" operator="lessThan">
      <formula>0.8</formula>
    </cfRule>
  </conditionalFormatting>
  <conditionalFormatting sqref="P137 P143 P140">
    <cfRule type="cellIs" dxfId="20570" priority="1011" operator="greaterThan">
      <formula>0</formula>
    </cfRule>
  </conditionalFormatting>
  <conditionalFormatting sqref="Q137:Q143">
    <cfRule type="cellIs" dxfId="20569" priority="1010" operator="lessThan">
      <formula>0</formula>
    </cfRule>
  </conditionalFormatting>
  <conditionalFormatting sqref="R137 R143">
    <cfRule type="cellIs" dxfId="20568" priority="1008" operator="lessThan">
      <formula>0.8</formula>
    </cfRule>
    <cfRule type="cellIs" dxfId="20567" priority="1009" operator="greaterThan">
      <formula>1</formula>
    </cfRule>
  </conditionalFormatting>
  <conditionalFormatting sqref="R137 R143">
    <cfRule type="cellIs" dxfId="20566" priority="1006" operator="greaterThan">
      <formula>1</formula>
    </cfRule>
    <cfRule type="cellIs" dxfId="20565" priority="1007" operator="lessThan">
      <formula>0.8</formula>
    </cfRule>
  </conditionalFormatting>
  <conditionalFormatting sqref="P137 P143 P140">
    <cfRule type="cellIs" dxfId="20564" priority="1005" operator="greaterThan">
      <formula>0</formula>
    </cfRule>
  </conditionalFormatting>
  <conditionalFormatting sqref="P137 P143 P140">
    <cfRule type="cellIs" dxfId="20563" priority="999" operator="greaterThan">
      <formula>0</formula>
    </cfRule>
  </conditionalFormatting>
  <conditionalFormatting sqref="Q137:Q143">
    <cfRule type="cellIs" dxfId="20562" priority="1004" operator="lessThan">
      <formula>0</formula>
    </cfRule>
  </conditionalFormatting>
  <conditionalFormatting sqref="R137 R143">
    <cfRule type="cellIs" dxfId="20561" priority="1002" operator="lessThan">
      <formula>0.8</formula>
    </cfRule>
    <cfRule type="cellIs" dxfId="20560" priority="1003" operator="greaterThan">
      <formula>1</formula>
    </cfRule>
  </conditionalFormatting>
  <conditionalFormatting sqref="R137 R143">
    <cfRule type="cellIs" dxfId="20559" priority="1000" operator="greaterThan">
      <formula>1</formula>
    </cfRule>
    <cfRule type="cellIs" dxfId="20558" priority="1001" operator="lessThan">
      <formula>0.8</formula>
    </cfRule>
  </conditionalFormatting>
  <conditionalFormatting sqref="Q137:Q143">
    <cfRule type="cellIs" dxfId="20557" priority="998" operator="lessThan">
      <formula>0</formula>
    </cfRule>
  </conditionalFormatting>
  <conditionalFormatting sqref="R137 R143">
    <cfRule type="cellIs" dxfId="20556" priority="996" operator="lessThan">
      <formula>0.8</formula>
    </cfRule>
    <cfRule type="cellIs" dxfId="20555" priority="997" operator="greaterThan">
      <formula>1</formula>
    </cfRule>
  </conditionalFormatting>
  <conditionalFormatting sqref="R137 R143">
    <cfRule type="cellIs" dxfId="20554" priority="994" operator="greaterThan">
      <formula>1</formula>
    </cfRule>
    <cfRule type="cellIs" dxfId="20553" priority="995" operator="lessThan">
      <formula>0.8</formula>
    </cfRule>
  </conditionalFormatting>
  <conditionalFormatting sqref="P137 P143 P140">
    <cfRule type="cellIs" dxfId="20552" priority="993" operator="greaterThan">
      <formula>0</formula>
    </cfRule>
  </conditionalFormatting>
  <conditionalFormatting sqref="Q137:Q143">
    <cfRule type="cellIs" dxfId="20551" priority="992" operator="lessThan">
      <formula>0</formula>
    </cfRule>
  </conditionalFormatting>
  <conditionalFormatting sqref="R137 R143">
    <cfRule type="cellIs" dxfId="20550" priority="990" operator="lessThan">
      <formula>0.8</formula>
    </cfRule>
    <cfRule type="cellIs" dxfId="20549" priority="991" operator="greaterThan">
      <formula>1</formula>
    </cfRule>
  </conditionalFormatting>
  <conditionalFormatting sqref="R137 R143">
    <cfRule type="cellIs" dxfId="20548" priority="988" operator="greaterThan">
      <formula>1</formula>
    </cfRule>
    <cfRule type="cellIs" dxfId="20547" priority="989" operator="lessThan">
      <formula>0.8</formula>
    </cfRule>
  </conditionalFormatting>
  <conditionalFormatting sqref="P137 P143 P140">
    <cfRule type="cellIs" dxfId="20546" priority="987" operator="greaterThan">
      <formula>0</formula>
    </cfRule>
  </conditionalFormatting>
  <conditionalFormatting sqref="P137 P143 P140">
    <cfRule type="cellIs" dxfId="20545" priority="981" operator="greaterThan">
      <formula>0</formula>
    </cfRule>
  </conditionalFormatting>
  <conditionalFormatting sqref="Q137:Q143">
    <cfRule type="cellIs" dxfId="20544" priority="986" operator="lessThan">
      <formula>0</formula>
    </cfRule>
  </conditionalFormatting>
  <conditionalFormatting sqref="R137 R143">
    <cfRule type="cellIs" dxfId="20543" priority="984" operator="lessThan">
      <formula>0.8</formula>
    </cfRule>
    <cfRule type="cellIs" dxfId="20542" priority="985" operator="greaterThan">
      <formula>1</formula>
    </cfRule>
  </conditionalFormatting>
  <conditionalFormatting sqref="R137 R143">
    <cfRule type="cellIs" dxfId="20541" priority="982" operator="greaterThan">
      <formula>1</formula>
    </cfRule>
    <cfRule type="cellIs" dxfId="20540" priority="983" operator="lessThan">
      <formula>0.8</formula>
    </cfRule>
  </conditionalFormatting>
  <conditionalFormatting sqref="Q137:Q143">
    <cfRule type="cellIs" dxfId="20539" priority="980" operator="lessThan">
      <formula>0</formula>
    </cfRule>
  </conditionalFormatting>
  <conditionalFormatting sqref="R137 R143">
    <cfRule type="cellIs" dxfId="20538" priority="978" operator="lessThan">
      <formula>0.8</formula>
    </cfRule>
    <cfRule type="cellIs" dxfId="20537" priority="979" operator="greaterThan">
      <formula>1</formula>
    </cfRule>
  </conditionalFormatting>
  <conditionalFormatting sqref="R137 R143">
    <cfRule type="cellIs" dxfId="20536" priority="976" operator="greaterThan">
      <formula>1</formula>
    </cfRule>
    <cfRule type="cellIs" dxfId="20535" priority="977" operator="lessThan">
      <formula>0.8</formula>
    </cfRule>
  </conditionalFormatting>
  <conditionalFormatting sqref="P137 P143 P140">
    <cfRule type="cellIs" dxfId="20534" priority="975" operator="greaterThan">
      <formula>0</formula>
    </cfRule>
  </conditionalFormatting>
  <conditionalFormatting sqref="P138 P144 P141">
    <cfRule type="cellIs" dxfId="20533" priority="969" operator="greaterThan">
      <formula>0</formula>
    </cfRule>
  </conditionalFormatting>
  <conditionalFormatting sqref="Q144">
    <cfRule type="cellIs" dxfId="20532" priority="974" operator="lessThan">
      <formula>0</formula>
    </cfRule>
  </conditionalFormatting>
  <conditionalFormatting sqref="R138 R144">
    <cfRule type="cellIs" dxfId="20531" priority="972" operator="lessThan">
      <formula>0.8</formula>
    </cfRule>
    <cfRule type="cellIs" dxfId="20530" priority="973" operator="greaterThan">
      <formula>1</formula>
    </cfRule>
  </conditionalFormatting>
  <conditionalFormatting sqref="R138 R144">
    <cfRule type="cellIs" dxfId="20529" priority="970" operator="greaterThan">
      <formula>1</formula>
    </cfRule>
    <cfRule type="cellIs" dxfId="20528" priority="971" operator="lessThan">
      <formula>0.8</formula>
    </cfRule>
  </conditionalFormatting>
  <conditionalFormatting sqref="Q144">
    <cfRule type="cellIs" dxfId="20527" priority="968" operator="lessThan">
      <formula>0</formula>
    </cfRule>
  </conditionalFormatting>
  <conditionalFormatting sqref="R138 R144">
    <cfRule type="cellIs" dxfId="20526" priority="966" operator="lessThan">
      <formula>0.8</formula>
    </cfRule>
    <cfRule type="cellIs" dxfId="20525" priority="967" operator="greaterThan">
      <formula>1</formula>
    </cfRule>
  </conditionalFormatting>
  <conditionalFormatting sqref="R138 R144">
    <cfRule type="cellIs" dxfId="20524" priority="964" operator="greaterThan">
      <formula>1</formula>
    </cfRule>
    <cfRule type="cellIs" dxfId="20523" priority="965" operator="lessThan">
      <formula>0.8</formula>
    </cfRule>
  </conditionalFormatting>
  <conditionalFormatting sqref="P138 P144 P141">
    <cfRule type="cellIs" dxfId="20522" priority="963" operator="greaterThan">
      <formula>0</formula>
    </cfRule>
  </conditionalFormatting>
  <conditionalFormatting sqref="Q144">
    <cfRule type="cellIs" dxfId="20521" priority="962" operator="lessThan">
      <formula>0</formula>
    </cfRule>
  </conditionalFormatting>
  <conditionalFormatting sqref="R138 R144">
    <cfRule type="cellIs" dxfId="20520" priority="960" operator="lessThan">
      <formula>0.8</formula>
    </cfRule>
    <cfRule type="cellIs" dxfId="20519" priority="961" operator="greaterThan">
      <formula>1</formula>
    </cfRule>
  </conditionalFormatting>
  <conditionalFormatting sqref="R138 R144">
    <cfRule type="cellIs" dxfId="20518" priority="958" operator="greaterThan">
      <formula>1</formula>
    </cfRule>
    <cfRule type="cellIs" dxfId="20517" priority="959" operator="lessThan">
      <formula>0.8</formula>
    </cfRule>
  </conditionalFormatting>
  <conditionalFormatting sqref="P138 P144 P141">
    <cfRule type="cellIs" dxfId="20516" priority="957" operator="greaterThan">
      <formula>0</formula>
    </cfRule>
  </conditionalFormatting>
  <conditionalFormatting sqref="Q144">
    <cfRule type="cellIs" dxfId="20515" priority="956" operator="lessThan">
      <formula>0</formula>
    </cfRule>
  </conditionalFormatting>
  <conditionalFormatting sqref="R138 R144">
    <cfRule type="cellIs" dxfId="20514" priority="954" operator="lessThan">
      <formula>0.8</formula>
    </cfRule>
    <cfRule type="cellIs" dxfId="20513" priority="955" operator="greaterThan">
      <formula>1</formula>
    </cfRule>
  </conditionalFormatting>
  <conditionalFormatting sqref="R138 R144">
    <cfRule type="cellIs" dxfId="20512" priority="952" operator="greaterThan">
      <formula>1</formula>
    </cfRule>
    <cfRule type="cellIs" dxfId="20511" priority="953" operator="lessThan">
      <formula>0.8</formula>
    </cfRule>
  </conditionalFormatting>
  <conditionalFormatting sqref="P138 P144 P141">
    <cfRule type="cellIs" dxfId="20510" priority="951" operator="greaterThan">
      <formula>0</formula>
    </cfRule>
  </conditionalFormatting>
  <conditionalFormatting sqref="Q144">
    <cfRule type="cellIs" dxfId="20509" priority="950" operator="lessThan">
      <formula>0</formula>
    </cfRule>
  </conditionalFormatting>
  <conditionalFormatting sqref="R138 R144">
    <cfRule type="cellIs" dxfId="20508" priority="948" operator="lessThan">
      <formula>0.8</formula>
    </cfRule>
    <cfRule type="cellIs" dxfId="20507" priority="949" operator="greaterThan">
      <formula>1</formula>
    </cfRule>
  </conditionalFormatting>
  <conditionalFormatting sqref="R138 R144">
    <cfRule type="cellIs" dxfId="20506" priority="946" operator="greaterThan">
      <formula>1</formula>
    </cfRule>
    <cfRule type="cellIs" dxfId="20505" priority="947" operator="lessThan">
      <formula>0.8</formula>
    </cfRule>
  </conditionalFormatting>
  <conditionalFormatting sqref="Q144">
    <cfRule type="cellIs" dxfId="20504" priority="945" operator="lessThan">
      <formula>0</formula>
    </cfRule>
  </conditionalFormatting>
  <conditionalFormatting sqref="R138 R144">
    <cfRule type="cellIs" dxfId="20503" priority="943" operator="lessThan">
      <formula>0.8</formula>
    </cfRule>
    <cfRule type="cellIs" dxfId="20502" priority="944" operator="greaterThan">
      <formula>1</formula>
    </cfRule>
  </conditionalFormatting>
  <conditionalFormatting sqref="R138 R144">
    <cfRule type="cellIs" dxfId="20501" priority="941" operator="greaterThan">
      <formula>1</formula>
    </cfRule>
    <cfRule type="cellIs" dxfId="20500" priority="942" operator="lessThan">
      <formula>0.8</formula>
    </cfRule>
  </conditionalFormatting>
  <conditionalFormatting sqref="P138 P144 P141">
    <cfRule type="cellIs" dxfId="20499" priority="940" operator="greaterThan">
      <formula>0</formula>
    </cfRule>
  </conditionalFormatting>
  <conditionalFormatting sqref="P138 P144 P141">
    <cfRule type="cellIs" dxfId="20498" priority="934" operator="greaterThan">
      <formula>0</formula>
    </cfRule>
  </conditionalFormatting>
  <conditionalFormatting sqref="Q144">
    <cfRule type="cellIs" dxfId="20497" priority="939" operator="lessThan">
      <formula>0</formula>
    </cfRule>
  </conditionalFormatting>
  <conditionalFormatting sqref="R138 R144">
    <cfRule type="cellIs" dxfId="20496" priority="937" operator="lessThan">
      <formula>0.8</formula>
    </cfRule>
    <cfRule type="cellIs" dxfId="20495" priority="938" operator="greaterThan">
      <formula>1</formula>
    </cfRule>
  </conditionalFormatting>
  <conditionalFormatting sqref="R138 R144">
    <cfRule type="cellIs" dxfId="20494" priority="935" operator="greaterThan">
      <formula>1</formula>
    </cfRule>
    <cfRule type="cellIs" dxfId="20493" priority="936" operator="lessThan">
      <formula>0.8</formula>
    </cfRule>
  </conditionalFormatting>
  <conditionalFormatting sqref="Q144">
    <cfRule type="cellIs" dxfId="20492" priority="933" operator="lessThan">
      <formula>0</formula>
    </cfRule>
  </conditionalFormatting>
  <conditionalFormatting sqref="R138 R144">
    <cfRule type="cellIs" dxfId="20491" priority="931" operator="lessThan">
      <formula>0.8</formula>
    </cfRule>
    <cfRule type="cellIs" dxfId="20490" priority="932" operator="greaterThan">
      <formula>1</formula>
    </cfRule>
  </conditionalFormatting>
  <conditionalFormatting sqref="R138 R144">
    <cfRule type="cellIs" dxfId="20489" priority="929" operator="greaterThan">
      <formula>1</formula>
    </cfRule>
    <cfRule type="cellIs" dxfId="20488" priority="930" operator="lessThan">
      <formula>0.8</formula>
    </cfRule>
  </conditionalFormatting>
  <conditionalFormatting sqref="P138 P144 P141">
    <cfRule type="cellIs" dxfId="20487" priority="928" operator="greaterThan">
      <formula>0</formula>
    </cfRule>
  </conditionalFormatting>
  <conditionalFormatting sqref="Q148:Q153">
    <cfRule type="cellIs" dxfId="20486" priority="927" operator="lessThan">
      <formula>0</formula>
    </cfRule>
  </conditionalFormatting>
  <conditionalFormatting sqref="R148:R153">
    <cfRule type="cellIs" dxfId="20485" priority="925" operator="lessThan">
      <formula>0.8</formula>
    </cfRule>
    <cfRule type="cellIs" dxfId="20484" priority="926" operator="greaterThan">
      <formula>1</formula>
    </cfRule>
  </conditionalFormatting>
  <conditionalFormatting sqref="R148:R153">
    <cfRule type="cellIs" dxfId="20483" priority="923" operator="greaterThan">
      <formula>1</formula>
    </cfRule>
    <cfRule type="cellIs" dxfId="20482" priority="924" operator="lessThan">
      <formula>0.8</formula>
    </cfRule>
  </conditionalFormatting>
  <conditionalFormatting sqref="P148:P153">
    <cfRule type="cellIs" dxfId="20481" priority="922" operator="greaterThan">
      <formula>0</formula>
    </cfRule>
  </conditionalFormatting>
  <conditionalFormatting sqref="P148:P153">
    <cfRule type="cellIs" dxfId="20480" priority="916" operator="greaterThan">
      <formula>0</formula>
    </cfRule>
  </conditionalFormatting>
  <conditionalFormatting sqref="Q148:Q153">
    <cfRule type="cellIs" dxfId="20479" priority="921" operator="lessThan">
      <formula>0</formula>
    </cfRule>
  </conditionalFormatting>
  <conditionalFormatting sqref="R148:R153">
    <cfRule type="cellIs" dxfId="20478" priority="919" operator="lessThan">
      <formula>0.8</formula>
    </cfRule>
    <cfRule type="cellIs" dxfId="20477" priority="920" operator="greaterThan">
      <formula>1</formula>
    </cfRule>
  </conditionalFormatting>
  <conditionalFormatting sqref="R148:R153">
    <cfRule type="cellIs" dxfId="20476" priority="917" operator="greaterThan">
      <formula>1</formula>
    </cfRule>
    <cfRule type="cellIs" dxfId="20475" priority="918" operator="lessThan">
      <formula>0.8</formula>
    </cfRule>
  </conditionalFormatting>
  <conditionalFormatting sqref="Q148:Q153">
    <cfRule type="cellIs" dxfId="20474" priority="915" operator="lessThan">
      <formula>0</formula>
    </cfRule>
  </conditionalFormatting>
  <conditionalFormatting sqref="R148:R153">
    <cfRule type="cellIs" dxfId="20473" priority="913" operator="lessThan">
      <formula>0.8</formula>
    </cfRule>
    <cfRule type="cellIs" dxfId="20472" priority="914" operator="greaterThan">
      <formula>1</formula>
    </cfRule>
  </conditionalFormatting>
  <conditionalFormatting sqref="R148:R153">
    <cfRule type="cellIs" dxfId="20471" priority="911" operator="greaterThan">
      <formula>1</formula>
    </cfRule>
    <cfRule type="cellIs" dxfId="20470" priority="912" operator="lessThan">
      <formula>0.8</formula>
    </cfRule>
  </conditionalFormatting>
  <conditionalFormatting sqref="P148:P153">
    <cfRule type="cellIs" dxfId="20469" priority="910" operator="greaterThan">
      <formula>0</formula>
    </cfRule>
  </conditionalFormatting>
  <conditionalFormatting sqref="Q148:Q153">
    <cfRule type="cellIs" dxfId="20468" priority="909" operator="lessThan">
      <formula>0</formula>
    </cfRule>
  </conditionalFormatting>
  <conditionalFormatting sqref="R148:R153">
    <cfRule type="cellIs" dxfId="20467" priority="907" operator="lessThan">
      <formula>0.8</formula>
    </cfRule>
    <cfRule type="cellIs" dxfId="20466" priority="908" operator="greaterThan">
      <formula>1</formula>
    </cfRule>
  </conditionalFormatting>
  <conditionalFormatting sqref="R148:R153">
    <cfRule type="cellIs" dxfId="20465" priority="905" operator="greaterThan">
      <formula>1</formula>
    </cfRule>
    <cfRule type="cellIs" dxfId="20464" priority="906" operator="lessThan">
      <formula>0.8</formula>
    </cfRule>
  </conditionalFormatting>
  <conditionalFormatting sqref="P148:P153">
    <cfRule type="cellIs" dxfId="20463" priority="904" operator="greaterThan">
      <formula>0</formula>
    </cfRule>
  </conditionalFormatting>
  <conditionalFormatting sqref="P148:P153">
    <cfRule type="cellIs" dxfId="20462" priority="898" operator="greaterThan">
      <formula>0</formula>
    </cfRule>
  </conditionalFormatting>
  <conditionalFormatting sqref="Q148:Q153">
    <cfRule type="cellIs" dxfId="20461" priority="903" operator="lessThan">
      <formula>0</formula>
    </cfRule>
  </conditionalFormatting>
  <conditionalFormatting sqref="R148:R153">
    <cfRule type="cellIs" dxfId="20460" priority="901" operator="lessThan">
      <formula>0.8</formula>
    </cfRule>
    <cfRule type="cellIs" dxfId="20459" priority="902" operator="greaterThan">
      <formula>1</formula>
    </cfRule>
  </conditionalFormatting>
  <conditionalFormatting sqref="R148:R153">
    <cfRule type="cellIs" dxfId="20458" priority="899" operator="greaterThan">
      <formula>1</formula>
    </cfRule>
    <cfRule type="cellIs" dxfId="20457" priority="900" operator="lessThan">
      <formula>0.8</formula>
    </cfRule>
  </conditionalFormatting>
  <conditionalFormatting sqref="Q148:Q153">
    <cfRule type="cellIs" dxfId="20456" priority="897" operator="lessThan">
      <formula>0</formula>
    </cfRule>
  </conditionalFormatting>
  <conditionalFormatting sqref="R148:R153">
    <cfRule type="cellIs" dxfId="20455" priority="895" operator="lessThan">
      <formula>0.8</formula>
    </cfRule>
    <cfRule type="cellIs" dxfId="20454" priority="896" operator="greaterThan">
      <formula>1</formula>
    </cfRule>
  </conditionalFormatting>
  <conditionalFormatting sqref="R148:R153">
    <cfRule type="cellIs" dxfId="20453" priority="893" operator="greaterThan">
      <formula>1</formula>
    </cfRule>
    <cfRule type="cellIs" dxfId="20452" priority="894" operator="lessThan">
      <formula>0.8</formula>
    </cfRule>
  </conditionalFormatting>
  <conditionalFormatting sqref="P148:P153">
    <cfRule type="cellIs" dxfId="20451" priority="892" operator="greaterThan">
      <formula>0</formula>
    </cfRule>
  </conditionalFormatting>
  <conditionalFormatting sqref="Q148:Q153">
    <cfRule type="cellIs" dxfId="20450" priority="886" operator="lessThan">
      <formula>0</formula>
    </cfRule>
  </conditionalFormatting>
  <conditionalFormatting sqref="P148:P153">
    <cfRule type="cellIs" dxfId="20449" priority="887" operator="greaterThan">
      <formula>0</formula>
    </cfRule>
  </conditionalFormatting>
  <conditionalFormatting sqref="R148:R153">
    <cfRule type="cellIs" dxfId="20448" priority="890" operator="lessThan">
      <formula>0.8</formula>
    </cfRule>
    <cfRule type="cellIs" dxfId="20447" priority="891" operator="greaterThan">
      <formula>1</formula>
    </cfRule>
  </conditionalFormatting>
  <conditionalFormatting sqref="R148:R153">
    <cfRule type="cellIs" dxfId="20446" priority="888" operator="greaterThan">
      <formula>1</formula>
    </cfRule>
    <cfRule type="cellIs" dxfId="20445" priority="889" operator="lessThan">
      <formula>0.8</formula>
    </cfRule>
  </conditionalFormatting>
  <conditionalFormatting sqref="Q148:Q153">
    <cfRule type="cellIs" dxfId="20444" priority="880" operator="lessThan">
      <formula>0</formula>
    </cfRule>
  </conditionalFormatting>
  <conditionalFormatting sqref="R148:R153">
    <cfRule type="cellIs" dxfId="20443" priority="884" operator="lessThan">
      <formula>0.8</formula>
    </cfRule>
    <cfRule type="cellIs" dxfId="20442" priority="885" operator="greaterThan">
      <formula>1</formula>
    </cfRule>
  </conditionalFormatting>
  <conditionalFormatting sqref="R148:R153">
    <cfRule type="cellIs" dxfId="20441" priority="882" operator="greaterThan">
      <formula>1</formula>
    </cfRule>
    <cfRule type="cellIs" dxfId="20440" priority="883" operator="lessThan">
      <formula>0.8</formula>
    </cfRule>
  </conditionalFormatting>
  <conditionalFormatting sqref="P148:P153">
    <cfRule type="cellIs" dxfId="20439" priority="881" operator="greaterThan">
      <formula>0</formula>
    </cfRule>
  </conditionalFormatting>
  <conditionalFormatting sqref="Q148:Q153">
    <cfRule type="cellIs" dxfId="20438" priority="879" operator="lessThan">
      <formula>0</formula>
    </cfRule>
  </conditionalFormatting>
  <conditionalFormatting sqref="R148:R153">
    <cfRule type="cellIs" dxfId="20437" priority="877" operator="lessThan">
      <formula>0.8</formula>
    </cfRule>
    <cfRule type="cellIs" dxfId="20436" priority="878" operator="greaterThan">
      <formula>1</formula>
    </cfRule>
  </conditionalFormatting>
  <conditionalFormatting sqref="R148:R153">
    <cfRule type="cellIs" dxfId="20435" priority="875" operator="greaterThan">
      <formula>1</formula>
    </cfRule>
    <cfRule type="cellIs" dxfId="20434" priority="876" operator="lessThan">
      <formula>0.8</formula>
    </cfRule>
  </conditionalFormatting>
  <conditionalFormatting sqref="P148:P153">
    <cfRule type="cellIs" dxfId="20433" priority="874" operator="greaterThan">
      <formula>0</formula>
    </cfRule>
  </conditionalFormatting>
  <conditionalFormatting sqref="Q148:Q153">
    <cfRule type="cellIs" dxfId="20432" priority="873" operator="lessThan">
      <formula>0</formula>
    </cfRule>
  </conditionalFormatting>
  <conditionalFormatting sqref="R148:R153">
    <cfRule type="cellIs" dxfId="20431" priority="871" operator="lessThan">
      <formula>0.8</formula>
    </cfRule>
    <cfRule type="cellIs" dxfId="20430" priority="872" operator="greaterThan">
      <formula>1</formula>
    </cfRule>
  </conditionalFormatting>
  <conditionalFormatting sqref="R148:R153">
    <cfRule type="cellIs" dxfId="20429" priority="869" operator="greaterThan">
      <formula>1</formula>
    </cfRule>
    <cfRule type="cellIs" dxfId="20428" priority="870" operator="lessThan">
      <formula>0.8</formula>
    </cfRule>
  </conditionalFormatting>
  <conditionalFormatting sqref="P148:P153">
    <cfRule type="cellIs" dxfId="20427" priority="868" operator="greaterThan">
      <formula>0</formula>
    </cfRule>
  </conditionalFormatting>
  <conditionalFormatting sqref="Q148:Q153">
    <cfRule type="cellIs" dxfId="20426" priority="867" operator="lessThan">
      <formula>0</formula>
    </cfRule>
  </conditionalFormatting>
  <conditionalFormatting sqref="R148:R153">
    <cfRule type="cellIs" dxfId="20425" priority="865" operator="lessThan">
      <formula>0.8</formula>
    </cfRule>
    <cfRule type="cellIs" dxfId="20424" priority="866" operator="greaterThan">
      <formula>1</formula>
    </cfRule>
  </conditionalFormatting>
  <conditionalFormatting sqref="R148:R153">
    <cfRule type="cellIs" dxfId="20423" priority="863" operator="greaterThan">
      <formula>1</formula>
    </cfRule>
    <cfRule type="cellIs" dxfId="20422" priority="864" operator="lessThan">
      <formula>0.8</formula>
    </cfRule>
  </conditionalFormatting>
  <conditionalFormatting sqref="P148:P153">
    <cfRule type="cellIs" dxfId="20421" priority="862" operator="greaterThan">
      <formula>0</formula>
    </cfRule>
  </conditionalFormatting>
  <conditionalFormatting sqref="Q148:Q153">
    <cfRule type="cellIs" dxfId="20420" priority="861" operator="lessThan">
      <formula>0</formula>
    </cfRule>
  </conditionalFormatting>
  <conditionalFormatting sqref="R148:R153">
    <cfRule type="cellIs" dxfId="20419" priority="859" operator="lessThan">
      <formula>0.8</formula>
    </cfRule>
    <cfRule type="cellIs" dxfId="20418" priority="860" operator="greaterThan">
      <formula>1</formula>
    </cfRule>
  </conditionalFormatting>
  <conditionalFormatting sqref="R148:R153">
    <cfRule type="cellIs" dxfId="20417" priority="857" operator="greaterThan">
      <formula>1</formula>
    </cfRule>
    <cfRule type="cellIs" dxfId="20416" priority="858" operator="lessThan">
      <formula>0.8</formula>
    </cfRule>
  </conditionalFormatting>
  <conditionalFormatting sqref="P148:P153">
    <cfRule type="cellIs" dxfId="20415" priority="856" operator="greaterThan">
      <formula>0</formula>
    </cfRule>
  </conditionalFormatting>
  <conditionalFormatting sqref="Q148:Q153">
    <cfRule type="cellIs" dxfId="20414" priority="855" operator="lessThan">
      <formula>0</formula>
    </cfRule>
  </conditionalFormatting>
  <conditionalFormatting sqref="R148:R153">
    <cfRule type="cellIs" dxfId="20413" priority="853" operator="lessThan">
      <formula>0.8</formula>
    </cfRule>
    <cfRule type="cellIs" dxfId="20412" priority="854" operator="greaterThan">
      <formula>1</formula>
    </cfRule>
  </conditionalFormatting>
  <conditionalFormatting sqref="R148:R153">
    <cfRule type="cellIs" dxfId="20411" priority="851" operator="greaterThan">
      <formula>1</formula>
    </cfRule>
    <cfRule type="cellIs" dxfId="20410" priority="852" operator="lessThan">
      <formula>0.8</formula>
    </cfRule>
  </conditionalFormatting>
  <conditionalFormatting sqref="P148:P153">
    <cfRule type="cellIs" dxfId="20409" priority="850" operator="greaterThan">
      <formula>0</formula>
    </cfRule>
  </conditionalFormatting>
  <conditionalFormatting sqref="Q148:Q153">
    <cfRule type="cellIs" dxfId="20408" priority="849" operator="lessThan">
      <formula>0</formula>
    </cfRule>
  </conditionalFormatting>
  <conditionalFormatting sqref="R148:R153">
    <cfRule type="cellIs" dxfId="20407" priority="847" operator="lessThan">
      <formula>0.8</formula>
    </cfRule>
    <cfRule type="cellIs" dxfId="20406" priority="848" operator="greaterThan">
      <formula>1</formula>
    </cfRule>
  </conditionalFormatting>
  <conditionalFormatting sqref="R148:R153">
    <cfRule type="cellIs" dxfId="20405" priority="845" operator="greaterThan">
      <formula>1</formula>
    </cfRule>
    <cfRule type="cellIs" dxfId="20404" priority="846" operator="lessThan">
      <formula>0.8</formula>
    </cfRule>
  </conditionalFormatting>
  <conditionalFormatting sqref="P148:P153">
    <cfRule type="cellIs" dxfId="20403" priority="844" operator="greaterThan">
      <formula>0</formula>
    </cfRule>
  </conditionalFormatting>
  <conditionalFormatting sqref="Q148:Q153">
    <cfRule type="cellIs" dxfId="20402" priority="843" operator="lessThan">
      <formula>0</formula>
    </cfRule>
  </conditionalFormatting>
  <conditionalFormatting sqref="R148:R153">
    <cfRule type="cellIs" dxfId="20401" priority="841" operator="lessThan">
      <formula>0.8</formula>
    </cfRule>
    <cfRule type="cellIs" dxfId="20400" priority="842" operator="greaterThan">
      <formula>1</formula>
    </cfRule>
  </conditionalFormatting>
  <conditionalFormatting sqref="R148:R153">
    <cfRule type="cellIs" dxfId="20399" priority="839" operator="greaterThan">
      <formula>1</formula>
    </cfRule>
    <cfRule type="cellIs" dxfId="20398" priority="840" operator="lessThan">
      <formula>0.8</formula>
    </cfRule>
  </conditionalFormatting>
  <conditionalFormatting sqref="P148:P153">
    <cfRule type="cellIs" dxfId="20397" priority="838" operator="greaterThan">
      <formula>0</formula>
    </cfRule>
  </conditionalFormatting>
  <conditionalFormatting sqref="P148:P153">
    <cfRule type="cellIs" dxfId="20396" priority="832" operator="greaterThan">
      <formula>0</formula>
    </cfRule>
  </conditionalFormatting>
  <conditionalFormatting sqref="Q148:Q153">
    <cfRule type="cellIs" dxfId="20395" priority="837" operator="lessThan">
      <formula>0</formula>
    </cfRule>
  </conditionalFormatting>
  <conditionalFormatting sqref="R148:R153">
    <cfRule type="cellIs" dxfId="20394" priority="835" operator="lessThan">
      <formula>0.8</formula>
    </cfRule>
    <cfRule type="cellIs" dxfId="20393" priority="836" operator="greaterThan">
      <formula>1</formula>
    </cfRule>
  </conditionalFormatting>
  <conditionalFormatting sqref="R148:R153">
    <cfRule type="cellIs" dxfId="20392" priority="833" operator="greaterThan">
      <formula>1</formula>
    </cfRule>
    <cfRule type="cellIs" dxfId="20391" priority="834" operator="lessThan">
      <formula>0.8</formula>
    </cfRule>
  </conditionalFormatting>
  <conditionalFormatting sqref="P148:P153">
    <cfRule type="cellIs" dxfId="20390" priority="826" operator="greaterThan">
      <formula>0</formula>
    </cfRule>
  </conditionalFormatting>
  <conditionalFormatting sqref="Q148:Q153">
    <cfRule type="cellIs" dxfId="20389" priority="831" operator="lessThan">
      <formula>0</formula>
    </cfRule>
  </conditionalFormatting>
  <conditionalFormatting sqref="R148:R153">
    <cfRule type="cellIs" dxfId="20388" priority="829" operator="lessThan">
      <formula>0.8</formula>
    </cfRule>
    <cfRule type="cellIs" dxfId="20387" priority="830" operator="greaterThan">
      <formula>1</formula>
    </cfRule>
  </conditionalFormatting>
  <conditionalFormatting sqref="R148:R153">
    <cfRule type="cellIs" dxfId="20386" priority="827" operator="greaterThan">
      <formula>1</formula>
    </cfRule>
    <cfRule type="cellIs" dxfId="20385" priority="828" operator="lessThan">
      <formula>0.8</formula>
    </cfRule>
  </conditionalFormatting>
  <conditionalFormatting sqref="R148:R153">
    <cfRule type="cellIs" dxfId="20384" priority="823" operator="lessThan">
      <formula>0.8</formula>
    </cfRule>
    <cfRule type="cellIs" dxfId="20383" priority="824" operator="greaterThan">
      <formula>1</formula>
    </cfRule>
  </conditionalFormatting>
  <conditionalFormatting sqref="R148:R153">
    <cfRule type="cellIs" dxfId="20382" priority="821" operator="greaterThan">
      <formula>1</formula>
    </cfRule>
    <cfRule type="cellIs" dxfId="20381" priority="822" operator="lessThan">
      <formula>0.8</formula>
    </cfRule>
  </conditionalFormatting>
  <conditionalFormatting sqref="P148:P153">
    <cfRule type="cellIs" dxfId="20380" priority="820" operator="greaterThan">
      <formula>0</formula>
    </cfRule>
  </conditionalFormatting>
  <conditionalFormatting sqref="Q148:Q153">
    <cfRule type="cellIs" dxfId="20379" priority="825" operator="lessThan">
      <formula>0</formula>
    </cfRule>
  </conditionalFormatting>
  <conditionalFormatting sqref="Q148:Q153">
    <cfRule type="cellIs" dxfId="20378" priority="819" operator="lessThan">
      <formula>0</formula>
    </cfRule>
  </conditionalFormatting>
  <conditionalFormatting sqref="R148:R153">
    <cfRule type="cellIs" dxfId="20377" priority="817" operator="lessThan">
      <formula>0.8</formula>
    </cfRule>
    <cfRule type="cellIs" dxfId="20376" priority="818" operator="greaterThan">
      <formula>1</formula>
    </cfRule>
  </conditionalFormatting>
  <conditionalFormatting sqref="R148:R153">
    <cfRule type="cellIs" dxfId="20375" priority="815" operator="greaterThan">
      <formula>1</formula>
    </cfRule>
    <cfRule type="cellIs" dxfId="20374" priority="816" operator="lessThan">
      <formula>0.8</formula>
    </cfRule>
  </conditionalFormatting>
  <conditionalFormatting sqref="P148:P153">
    <cfRule type="cellIs" dxfId="20373" priority="814" operator="greaterThan">
      <formula>0</formula>
    </cfRule>
  </conditionalFormatting>
  <conditionalFormatting sqref="P148:P153">
    <cfRule type="cellIs" dxfId="20372" priority="808" operator="greaterThan">
      <formula>0</formula>
    </cfRule>
  </conditionalFormatting>
  <conditionalFormatting sqref="Q148:Q153">
    <cfRule type="cellIs" dxfId="20371" priority="813" operator="lessThan">
      <formula>0</formula>
    </cfRule>
  </conditionalFormatting>
  <conditionalFormatting sqref="R148:R153">
    <cfRule type="cellIs" dxfId="20370" priority="811" operator="lessThan">
      <formula>0.8</formula>
    </cfRule>
    <cfRule type="cellIs" dxfId="20369" priority="812" operator="greaterThan">
      <formula>1</formula>
    </cfRule>
  </conditionalFormatting>
  <conditionalFormatting sqref="R148:R153">
    <cfRule type="cellIs" dxfId="20368" priority="809" operator="greaterThan">
      <formula>1</formula>
    </cfRule>
    <cfRule type="cellIs" dxfId="20367" priority="810" operator="lessThan">
      <formula>0.8</formula>
    </cfRule>
  </conditionalFormatting>
  <conditionalFormatting sqref="P148:P153">
    <cfRule type="cellIs" dxfId="20366" priority="802" operator="greaterThan">
      <formula>0</formula>
    </cfRule>
  </conditionalFormatting>
  <conditionalFormatting sqref="Q148:Q153">
    <cfRule type="cellIs" dxfId="20365" priority="807" operator="lessThan">
      <formula>0</formula>
    </cfRule>
  </conditionalFormatting>
  <conditionalFormatting sqref="R148:R153">
    <cfRule type="cellIs" dxfId="20364" priority="805" operator="lessThan">
      <formula>0.8</formula>
    </cfRule>
    <cfRule type="cellIs" dxfId="20363" priority="806" operator="greaterThan">
      <formula>1</formula>
    </cfRule>
  </conditionalFormatting>
  <conditionalFormatting sqref="R148:R153">
    <cfRule type="cellIs" dxfId="20362" priority="803" operator="greaterThan">
      <formula>1</formula>
    </cfRule>
    <cfRule type="cellIs" dxfId="20361" priority="804" operator="lessThan">
      <formula>0.8</formula>
    </cfRule>
  </conditionalFormatting>
  <conditionalFormatting sqref="R148:R153">
    <cfRule type="cellIs" dxfId="20360" priority="799" operator="lessThan">
      <formula>0.8</formula>
    </cfRule>
    <cfRule type="cellIs" dxfId="20359" priority="800" operator="greaterThan">
      <formula>1</formula>
    </cfRule>
  </conditionalFormatting>
  <conditionalFormatting sqref="R148:R153">
    <cfRule type="cellIs" dxfId="20358" priority="797" operator="greaterThan">
      <formula>1</formula>
    </cfRule>
    <cfRule type="cellIs" dxfId="20357" priority="798" operator="lessThan">
      <formula>0.8</formula>
    </cfRule>
  </conditionalFormatting>
  <conditionalFormatting sqref="P148:P153">
    <cfRule type="cellIs" dxfId="20356" priority="796" operator="greaterThan">
      <formula>0</formula>
    </cfRule>
  </conditionalFormatting>
  <conditionalFormatting sqref="Q148:Q153">
    <cfRule type="cellIs" dxfId="20355" priority="801" operator="lessThan">
      <formula>0</formula>
    </cfRule>
  </conditionalFormatting>
  <conditionalFormatting sqref="P148:P153">
    <cfRule type="cellIs" dxfId="20354" priority="790" operator="greaterThan">
      <formula>0</formula>
    </cfRule>
  </conditionalFormatting>
  <conditionalFormatting sqref="Q148:Q153">
    <cfRule type="cellIs" dxfId="20353" priority="795" operator="lessThan">
      <formula>0</formula>
    </cfRule>
  </conditionalFormatting>
  <conditionalFormatting sqref="R148:R153">
    <cfRule type="cellIs" dxfId="20352" priority="793" operator="lessThan">
      <formula>0.8</formula>
    </cfRule>
    <cfRule type="cellIs" dxfId="20351" priority="794" operator="greaterThan">
      <formula>1</formula>
    </cfRule>
  </conditionalFormatting>
  <conditionalFormatting sqref="R148:R153">
    <cfRule type="cellIs" dxfId="20350" priority="791" operator="greaterThan">
      <formula>1</formula>
    </cfRule>
    <cfRule type="cellIs" dxfId="20349" priority="792" operator="lessThan">
      <formula>0.8</formula>
    </cfRule>
  </conditionalFormatting>
  <conditionalFormatting sqref="R148:R153">
    <cfRule type="cellIs" dxfId="20348" priority="787" operator="lessThan">
      <formula>0.8</formula>
    </cfRule>
    <cfRule type="cellIs" dxfId="20347" priority="788" operator="greaterThan">
      <formula>1</formula>
    </cfRule>
  </conditionalFormatting>
  <conditionalFormatting sqref="R148:R153">
    <cfRule type="cellIs" dxfId="20346" priority="785" operator="greaterThan">
      <formula>1</formula>
    </cfRule>
    <cfRule type="cellIs" dxfId="20345" priority="786" operator="lessThan">
      <formula>0.8</formula>
    </cfRule>
  </conditionalFormatting>
  <conditionalFormatting sqref="P148:P153">
    <cfRule type="cellIs" dxfId="20344" priority="784" operator="greaterThan">
      <formula>0</formula>
    </cfRule>
  </conditionalFormatting>
  <conditionalFormatting sqref="Q148:Q153">
    <cfRule type="cellIs" dxfId="20343" priority="789" operator="lessThan">
      <formula>0</formula>
    </cfRule>
  </conditionalFormatting>
  <conditionalFormatting sqref="R148:R153">
    <cfRule type="cellIs" dxfId="20342" priority="781" operator="lessThan">
      <formula>0.8</formula>
    </cfRule>
    <cfRule type="cellIs" dxfId="20341" priority="782" operator="greaterThan">
      <formula>1</formula>
    </cfRule>
  </conditionalFormatting>
  <conditionalFormatting sqref="R148:R153">
    <cfRule type="cellIs" dxfId="20340" priority="779" operator="greaterThan">
      <formula>1</formula>
    </cfRule>
    <cfRule type="cellIs" dxfId="20339" priority="780" operator="lessThan">
      <formula>0.8</formula>
    </cfRule>
  </conditionalFormatting>
  <conditionalFormatting sqref="P148:P153">
    <cfRule type="cellIs" dxfId="20338" priority="778" operator="greaterThan">
      <formula>0</formula>
    </cfRule>
  </conditionalFormatting>
  <conditionalFormatting sqref="Q148:Q153">
    <cfRule type="cellIs" dxfId="20337" priority="783" operator="lessThan">
      <formula>0</formula>
    </cfRule>
  </conditionalFormatting>
  <conditionalFormatting sqref="Q148:Q153">
    <cfRule type="cellIs" dxfId="20336" priority="777" operator="lessThan">
      <formula>0</formula>
    </cfRule>
  </conditionalFormatting>
  <conditionalFormatting sqref="R148:R153">
    <cfRule type="cellIs" dxfId="20335" priority="775" operator="lessThan">
      <formula>0.8</formula>
    </cfRule>
    <cfRule type="cellIs" dxfId="20334" priority="776" operator="greaterThan">
      <formula>1</formula>
    </cfRule>
  </conditionalFormatting>
  <conditionalFormatting sqref="R148:R153">
    <cfRule type="cellIs" dxfId="20333" priority="773" operator="greaterThan">
      <formula>1</formula>
    </cfRule>
    <cfRule type="cellIs" dxfId="20332" priority="774" operator="lessThan">
      <formula>0.8</formula>
    </cfRule>
  </conditionalFormatting>
  <conditionalFormatting sqref="P148:P153">
    <cfRule type="cellIs" dxfId="20331" priority="772" operator="greaterThan">
      <formula>0</formula>
    </cfRule>
  </conditionalFormatting>
  <conditionalFormatting sqref="Q148:Q153">
    <cfRule type="cellIs" dxfId="20330" priority="766" operator="lessThan">
      <formula>0</formula>
    </cfRule>
  </conditionalFormatting>
  <conditionalFormatting sqref="R148:R153">
    <cfRule type="cellIs" dxfId="20329" priority="770" operator="lessThan">
      <formula>0.8</formula>
    </cfRule>
    <cfRule type="cellIs" dxfId="20328" priority="771" operator="greaterThan">
      <formula>1</formula>
    </cfRule>
  </conditionalFormatting>
  <conditionalFormatting sqref="R148:R153">
    <cfRule type="cellIs" dxfId="20327" priority="768" operator="greaterThan">
      <formula>1</formula>
    </cfRule>
    <cfRule type="cellIs" dxfId="20326" priority="769" operator="lessThan">
      <formula>0.8</formula>
    </cfRule>
  </conditionalFormatting>
  <conditionalFormatting sqref="P148:P153">
    <cfRule type="cellIs" dxfId="20325" priority="767" operator="greaterThan">
      <formula>0</formula>
    </cfRule>
  </conditionalFormatting>
  <conditionalFormatting sqref="Q148:Q153">
    <cfRule type="cellIs" dxfId="20324" priority="765" operator="lessThan">
      <formula>0</formula>
    </cfRule>
  </conditionalFormatting>
  <conditionalFormatting sqref="R148:R153">
    <cfRule type="cellIs" dxfId="20323" priority="763" operator="lessThan">
      <formula>0.8</formula>
    </cfRule>
    <cfRule type="cellIs" dxfId="20322" priority="764" operator="greaterThan">
      <formula>1</formula>
    </cfRule>
  </conditionalFormatting>
  <conditionalFormatting sqref="R148:R153">
    <cfRule type="cellIs" dxfId="20321" priority="761" operator="greaterThan">
      <formula>1</formula>
    </cfRule>
    <cfRule type="cellIs" dxfId="20320" priority="762" operator="lessThan">
      <formula>0.8</formula>
    </cfRule>
  </conditionalFormatting>
  <conditionalFormatting sqref="P148:P153">
    <cfRule type="cellIs" dxfId="20319" priority="760" operator="greaterThan">
      <formula>0</formula>
    </cfRule>
  </conditionalFormatting>
  <conditionalFormatting sqref="Q148:Q153">
    <cfRule type="cellIs" dxfId="20318" priority="759" operator="lessThan">
      <formula>0</formula>
    </cfRule>
  </conditionalFormatting>
  <conditionalFormatting sqref="R148:R153">
    <cfRule type="cellIs" dxfId="20317" priority="757" operator="lessThan">
      <formula>0.8</formula>
    </cfRule>
    <cfRule type="cellIs" dxfId="20316" priority="758" operator="greaterThan">
      <formula>1</formula>
    </cfRule>
  </conditionalFormatting>
  <conditionalFormatting sqref="R148:R153">
    <cfRule type="cellIs" dxfId="20315" priority="755" operator="greaterThan">
      <formula>1</formula>
    </cfRule>
    <cfRule type="cellIs" dxfId="20314" priority="756" operator="lessThan">
      <formula>0.8</formula>
    </cfRule>
  </conditionalFormatting>
  <conditionalFormatting sqref="P148:P153">
    <cfRule type="cellIs" dxfId="20313" priority="754" operator="greaterThan">
      <formula>0</formula>
    </cfRule>
  </conditionalFormatting>
  <conditionalFormatting sqref="Q148:Q153">
    <cfRule type="cellIs" dxfId="20312" priority="753" operator="lessThan">
      <formula>0</formula>
    </cfRule>
  </conditionalFormatting>
  <conditionalFormatting sqref="R148:R153">
    <cfRule type="cellIs" dxfId="20311" priority="751" operator="lessThan">
      <formula>0.8</formula>
    </cfRule>
    <cfRule type="cellIs" dxfId="20310" priority="752" operator="greaterThan">
      <formula>1</formula>
    </cfRule>
  </conditionalFormatting>
  <conditionalFormatting sqref="R148:R153">
    <cfRule type="cellIs" dxfId="20309" priority="749" operator="greaterThan">
      <formula>1</formula>
    </cfRule>
    <cfRule type="cellIs" dxfId="20308" priority="750" operator="lessThan">
      <formula>0.8</formula>
    </cfRule>
  </conditionalFormatting>
  <conditionalFormatting sqref="P148:P153">
    <cfRule type="cellIs" dxfId="20307" priority="748" operator="greaterThan">
      <formula>0</formula>
    </cfRule>
  </conditionalFormatting>
  <conditionalFormatting sqref="Q148:Q153">
    <cfRule type="cellIs" dxfId="20306" priority="747" operator="lessThan">
      <formula>0</formula>
    </cfRule>
  </conditionalFormatting>
  <conditionalFormatting sqref="R148:R153">
    <cfRule type="cellIs" dxfId="20305" priority="745" operator="lessThan">
      <formula>0.8</formula>
    </cfRule>
    <cfRule type="cellIs" dxfId="20304" priority="746" operator="greaterThan">
      <formula>1</formula>
    </cfRule>
  </conditionalFormatting>
  <conditionalFormatting sqref="R148:R153">
    <cfRule type="cellIs" dxfId="20303" priority="743" operator="greaterThan">
      <formula>1</formula>
    </cfRule>
    <cfRule type="cellIs" dxfId="20302" priority="744" operator="lessThan">
      <formula>0.8</formula>
    </cfRule>
  </conditionalFormatting>
  <conditionalFormatting sqref="P148:P153">
    <cfRule type="cellIs" dxfId="20301" priority="742" operator="greaterThan">
      <formula>0</formula>
    </cfRule>
  </conditionalFormatting>
  <conditionalFormatting sqref="Q148:Q153">
    <cfRule type="cellIs" dxfId="20300" priority="741" operator="lessThan">
      <formula>0</formula>
    </cfRule>
  </conditionalFormatting>
  <conditionalFormatting sqref="R148:R153">
    <cfRule type="cellIs" dxfId="20299" priority="739" operator="lessThan">
      <formula>0.8</formula>
    </cfRule>
    <cfRule type="cellIs" dxfId="20298" priority="740" operator="greaterThan">
      <formula>1</formula>
    </cfRule>
  </conditionalFormatting>
  <conditionalFormatting sqref="R148:R153">
    <cfRule type="cellIs" dxfId="20297" priority="737" operator="greaterThan">
      <formula>1</formula>
    </cfRule>
    <cfRule type="cellIs" dxfId="20296" priority="738" operator="lessThan">
      <formula>0.8</formula>
    </cfRule>
  </conditionalFormatting>
  <conditionalFormatting sqref="P148:P153">
    <cfRule type="cellIs" dxfId="20295" priority="736" operator="greaterThan">
      <formula>0</formula>
    </cfRule>
  </conditionalFormatting>
  <conditionalFormatting sqref="P148:P153">
    <cfRule type="cellIs" dxfId="20294" priority="730" operator="greaterThan">
      <formula>0</formula>
    </cfRule>
  </conditionalFormatting>
  <conditionalFormatting sqref="Q148:Q153">
    <cfRule type="cellIs" dxfId="20293" priority="735" operator="lessThan">
      <formula>0</formula>
    </cfRule>
  </conditionalFormatting>
  <conditionalFormatting sqref="R148:R153">
    <cfRule type="cellIs" dxfId="20292" priority="733" operator="lessThan">
      <formula>0.8</formula>
    </cfRule>
    <cfRule type="cellIs" dxfId="20291" priority="734" operator="greaterThan">
      <formula>1</formula>
    </cfRule>
  </conditionalFormatting>
  <conditionalFormatting sqref="R148:R153">
    <cfRule type="cellIs" dxfId="20290" priority="731" operator="greaterThan">
      <formula>1</formula>
    </cfRule>
    <cfRule type="cellIs" dxfId="20289" priority="732" operator="lessThan">
      <formula>0.8</formula>
    </cfRule>
  </conditionalFormatting>
  <conditionalFormatting sqref="P148:P153">
    <cfRule type="cellIs" dxfId="20288" priority="724" operator="greaterThan">
      <formula>0</formula>
    </cfRule>
  </conditionalFormatting>
  <conditionalFormatting sqref="Q148:Q153">
    <cfRule type="cellIs" dxfId="20287" priority="729" operator="lessThan">
      <formula>0</formula>
    </cfRule>
  </conditionalFormatting>
  <conditionalFormatting sqref="R148:R153">
    <cfRule type="cellIs" dxfId="20286" priority="727" operator="lessThan">
      <formula>0.8</formula>
    </cfRule>
    <cfRule type="cellIs" dxfId="20285" priority="728" operator="greaterThan">
      <formula>1</formula>
    </cfRule>
  </conditionalFormatting>
  <conditionalFormatting sqref="R148:R153">
    <cfRule type="cellIs" dxfId="20284" priority="725" operator="greaterThan">
      <formula>1</formula>
    </cfRule>
    <cfRule type="cellIs" dxfId="20283" priority="726" operator="lessThan">
      <formula>0.8</formula>
    </cfRule>
  </conditionalFormatting>
  <conditionalFormatting sqref="R148:R153">
    <cfRule type="cellIs" dxfId="20282" priority="721" operator="lessThan">
      <formula>0.8</formula>
    </cfRule>
    <cfRule type="cellIs" dxfId="20281" priority="722" operator="greaterThan">
      <formula>1</formula>
    </cfRule>
  </conditionalFormatting>
  <conditionalFormatting sqref="R148:R153">
    <cfRule type="cellIs" dxfId="20280" priority="719" operator="greaterThan">
      <formula>1</formula>
    </cfRule>
    <cfRule type="cellIs" dxfId="20279" priority="720" operator="lessThan">
      <formula>0.8</formula>
    </cfRule>
  </conditionalFormatting>
  <conditionalFormatting sqref="P148:P153">
    <cfRule type="cellIs" dxfId="20278" priority="718" operator="greaterThan">
      <formula>0</formula>
    </cfRule>
  </conditionalFormatting>
  <conditionalFormatting sqref="Q148:Q153">
    <cfRule type="cellIs" dxfId="20277" priority="723" operator="lessThan">
      <formula>0</formula>
    </cfRule>
  </conditionalFormatting>
  <conditionalFormatting sqref="P44:P51">
    <cfRule type="cellIs" dxfId="20276" priority="712" operator="greaterThan">
      <formula>0</formula>
    </cfRule>
  </conditionalFormatting>
  <conditionalFormatting sqref="Q44:Q51">
    <cfRule type="cellIs" dxfId="20275" priority="717" operator="lessThan">
      <formula>0</formula>
    </cfRule>
  </conditionalFormatting>
  <conditionalFormatting sqref="R44:R51">
    <cfRule type="cellIs" dxfId="20274" priority="715" operator="lessThan">
      <formula>0.8</formula>
    </cfRule>
    <cfRule type="cellIs" dxfId="20273" priority="716" operator="greaterThan">
      <formula>1</formula>
    </cfRule>
  </conditionalFormatting>
  <conditionalFormatting sqref="R44:R51">
    <cfRule type="cellIs" dxfId="20272" priority="713" operator="greaterThan">
      <formula>1</formula>
    </cfRule>
    <cfRule type="cellIs" dxfId="20271" priority="714" operator="lessThan">
      <formula>0.8</formula>
    </cfRule>
  </conditionalFormatting>
  <conditionalFormatting sqref="Q84:Q91">
    <cfRule type="cellIs" dxfId="20270" priority="711" operator="lessThan">
      <formula>0</formula>
    </cfRule>
  </conditionalFormatting>
  <conditionalFormatting sqref="R84:R91">
    <cfRule type="cellIs" dxfId="20269" priority="709" operator="lessThan">
      <formula>0.8</formula>
    </cfRule>
    <cfRule type="cellIs" dxfId="20268" priority="710" operator="greaterThan">
      <formula>1</formula>
    </cfRule>
  </conditionalFormatting>
  <conditionalFormatting sqref="R84:R91">
    <cfRule type="cellIs" dxfId="20267" priority="707" operator="greaterThan">
      <formula>1</formula>
    </cfRule>
    <cfRule type="cellIs" dxfId="20266" priority="708" operator="lessThan">
      <formula>0.8</formula>
    </cfRule>
  </conditionalFormatting>
  <conditionalFormatting sqref="P84:P91">
    <cfRule type="cellIs" dxfId="20265" priority="706" operator="greaterThan">
      <formula>0</formula>
    </cfRule>
  </conditionalFormatting>
  <conditionalFormatting sqref="Q84:Q91">
    <cfRule type="cellIs" dxfId="20264" priority="705" operator="lessThan">
      <formula>0</formula>
    </cfRule>
  </conditionalFormatting>
  <conditionalFormatting sqref="R84:R91">
    <cfRule type="cellIs" dxfId="20263" priority="703" operator="lessThan">
      <formula>0.8</formula>
    </cfRule>
    <cfRule type="cellIs" dxfId="20262" priority="704" operator="greaterThan">
      <formula>1</formula>
    </cfRule>
  </conditionalFormatting>
  <conditionalFormatting sqref="R84:R91">
    <cfRule type="cellIs" dxfId="20261" priority="701" operator="greaterThan">
      <formula>1</formula>
    </cfRule>
    <cfRule type="cellIs" dxfId="20260" priority="702" operator="lessThan">
      <formula>0.8</formula>
    </cfRule>
  </conditionalFormatting>
  <conditionalFormatting sqref="P84:P91">
    <cfRule type="cellIs" dxfId="20259" priority="700" operator="greaterThan">
      <formula>0</formula>
    </cfRule>
  </conditionalFormatting>
  <conditionalFormatting sqref="Q84:Q91">
    <cfRule type="cellIs" dxfId="20258" priority="699" operator="lessThan">
      <formula>0</formula>
    </cfRule>
  </conditionalFormatting>
  <conditionalFormatting sqref="R84:R91">
    <cfRule type="cellIs" dxfId="20257" priority="697" operator="lessThan">
      <formula>0.8</formula>
    </cfRule>
    <cfRule type="cellIs" dxfId="20256" priority="698" operator="greaterThan">
      <formula>1</formula>
    </cfRule>
  </conditionalFormatting>
  <conditionalFormatting sqref="R84:R91">
    <cfRule type="cellIs" dxfId="20255" priority="695" operator="greaterThan">
      <formula>1</formula>
    </cfRule>
    <cfRule type="cellIs" dxfId="20254" priority="696" operator="lessThan">
      <formula>0.8</formula>
    </cfRule>
  </conditionalFormatting>
  <conditionalFormatting sqref="P84:P91">
    <cfRule type="cellIs" dxfId="20253" priority="694" operator="greaterThan">
      <formula>0</formula>
    </cfRule>
  </conditionalFormatting>
  <conditionalFormatting sqref="Q84:Q91">
    <cfRule type="cellIs" dxfId="20252" priority="693" operator="lessThan">
      <formula>0</formula>
    </cfRule>
  </conditionalFormatting>
  <conditionalFormatting sqref="R84:R91">
    <cfRule type="cellIs" dxfId="20251" priority="691" operator="lessThan">
      <formula>0.8</formula>
    </cfRule>
    <cfRule type="cellIs" dxfId="20250" priority="692" operator="greaterThan">
      <formula>1</formula>
    </cfRule>
  </conditionalFormatting>
  <conditionalFormatting sqref="R84:R91">
    <cfRule type="cellIs" dxfId="20249" priority="689" operator="greaterThan">
      <formula>1</formula>
    </cfRule>
    <cfRule type="cellIs" dxfId="20248" priority="690" operator="lessThan">
      <formula>0.8</formula>
    </cfRule>
  </conditionalFormatting>
  <conditionalFormatting sqref="P84:P91">
    <cfRule type="cellIs" dxfId="20247" priority="688" operator="greaterThan">
      <formula>0</formula>
    </cfRule>
  </conditionalFormatting>
  <conditionalFormatting sqref="P84:P91">
    <cfRule type="cellIs" dxfId="20246" priority="682" operator="greaterThan">
      <formula>0</formula>
    </cfRule>
  </conditionalFormatting>
  <conditionalFormatting sqref="Q84:Q91">
    <cfRule type="cellIs" dxfId="20245" priority="687" operator="lessThan">
      <formula>0</formula>
    </cfRule>
  </conditionalFormatting>
  <conditionalFormatting sqref="R84:R91">
    <cfRule type="cellIs" dxfId="20244" priority="685" operator="lessThan">
      <formula>0.8</formula>
    </cfRule>
    <cfRule type="cellIs" dxfId="20243" priority="686" operator="greaterThan">
      <formula>1</formula>
    </cfRule>
  </conditionalFormatting>
  <conditionalFormatting sqref="R84:R91">
    <cfRule type="cellIs" dxfId="20242" priority="683" operator="greaterThan">
      <formula>1</formula>
    </cfRule>
    <cfRule type="cellIs" dxfId="20241" priority="684" operator="lessThan">
      <formula>0.8</formula>
    </cfRule>
  </conditionalFormatting>
  <conditionalFormatting sqref="P84:P91">
    <cfRule type="cellIs" dxfId="20240" priority="676" operator="greaterThan">
      <formula>0</formula>
    </cfRule>
  </conditionalFormatting>
  <conditionalFormatting sqref="Q84:Q91">
    <cfRule type="cellIs" dxfId="20239" priority="681" operator="lessThan">
      <formula>0</formula>
    </cfRule>
  </conditionalFormatting>
  <conditionalFormatting sqref="R84:R91">
    <cfRule type="cellIs" dxfId="20238" priority="679" operator="lessThan">
      <formula>0.8</formula>
    </cfRule>
    <cfRule type="cellIs" dxfId="20237" priority="680" operator="greaterThan">
      <formula>1</formula>
    </cfRule>
  </conditionalFormatting>
  <conditionalFormatting sqref="R84:R91">
    <cfRule type="cellIs" dxfId="20236" priority="677" operator="greaterThan">
      <formula>1</formula>
    </cfRule>
    <cfRule type="cellIs" dxfId="20235" priority="678" operator="lessThan">
      <formula>0.8</formula>
    </cfRule>
  </conditionalFormatting>
  <conditionalFormatting sqref="R84:R91">
    <cfRule type="cellIs" dxfId="20234" priority="673" operator="lessThan">
      <formula>0.8</formula>
    </cfRule>
    <cfRule type="cellIs" dxfId="20233" priority="674" operator="greaterThan">
      <formula>1</formula>
    </cfRule>
  </conditionalFormatting>
  <conditionalFormatting sqref="R84:R91">
    <cfRule type="cellIs" dxfId="20232" priority="671" operator="greaterThan">
      <formula>1</formula>
    </cfRule>
    <cfRule type="cellIs" dxfId="20231" priority="672" operator="lessThan">
      <formula>0.8</formula>
    </cfRule>
  </conditionalFormatting>
  <conditionalFormatting sqref="P84:P91">
    <cfRule type="cellIs" dxfId="20230" priority="670" operator="greaterThan">
      <formula>0</formula>
    </cfRule>
  </conditionalFormatting>
  <conditionalFormatting sqref="Q84:Q91">
    <cfRule type="cellIs" dxfId="20229" priority="675" operator="lessThan">
      <formula>0</formula>
    </cfRule>
  </conditionalFormatting>
  <conditionalFormatting sqref="Q84:Q91">
    <cfRule type="cellIs" dxfId="20228" priority="669" operator="lessThan">
      <formula>0</formula>
    </cfRule>
  </conditionalFormatting>
  <conditionalFormatting sqref="R84:R91">
    <cfRule type="cellIs" dxfId="20227" priority="667" operator="lessThan">
      <formula>0.8</formula>
    </cfRule>
    <cfRule type="cellIs" dxfId="20226" priority="668" operator="greaterThan">
      <formula>1</formula>
    </cfRule>
  </conditionalFormatting>
  <conditionalFormatting sqref="R84:R91">
    <cfRule type="cellIs" dxfId="20225" priority="665" operator="greaterThan">
      <formula>1</formula>
    </cfRule>
    <cfRule type="cellIs" dxfId="20224" priority="666" operator="lessThan">
      <formula>0.8</formula>
    </cfRule>
  </conditionalFormatting>
  <conditionalFormatting sqref="P84:P91">
    <cfRule type="cellIs" dxfId="20223" priority="664" operator="greaterThan">
      <formula>0</formula>
    </cfRule>
  </conditionalFormatting>
  <conditionalFormatting sqref="P84:P91">
    <cfRule type="cellIs" dxfId="20222" priority="658" operator="greaterThan">
      <formula>0</formula>
    </cfRule>
  </conditionalFormatting>
  <conditionalFormatting sqref="Q84:Q91">
    <cfRule type="cellIs" dxfId="20221" priority="663" operator="lessThan">
      <formula>0</formula>
    </cfRule>
  </conditionalFormatting>
  <conditionalFormatting sqref="R84:R91">
    <cfRule type="cellIs" dxfId="20220" priority="661" operator="lessThan">
      <formula>0.8</formula>
    </cfRule>
    <cfRule type="cellIs" dxfId="20219" priority="662" operator="greaterThan">
      <formula>1</formula>
    </cfRule>
  </conditionalFormatting>
  <conditionalFormatting sqref="R84:R91">
    <cfRule type="cellIs" dxfId="20218" priority="659" operator="greaterThan">
      <formula>1</formula>
    </cfRule>
    <cfRule type="cellIs" dxfId="20217" priority="660" operator="lessThan">
      <formula>0.8</formula>
    </cfRule>
  </conditionalFormatting>
  <conditionalFormatting sqref="P84:P91">
    <cfRule type="cellIs" dxfId="20216" priority="652" operator="greaterThan">
      <formula>0</formula>
    </cfRule>
  </conditionalFormatting>
  <conditionalFormatting sqref="Q84:Q91">
    <cfRule type="cellIs" dxfId="20215" priority="657" operator="lessThan">
      <formula>0</formula>
    </cfRule>
  </conditionalFormatting>
  <conditionalFormatting sqref="R84:R91">
    <cfRule type="cellIs" dxfId="20214" priority="655" operator="lessThan">
      <formula>0.8</formula>
    </cfRule>
    <cfRule type="cellIs" dxfId="20213" priority="656" operator="greaterThan">
      <formula>1</formula>
    </cfRule>
  </conditionalFormatting>
  <conditionalFormatting sqref="R84:R91">
    <cfRule type="cellIs" dxfId="20212" priority="653" operator="greaterThan">
      <formula>1</formula>
    </cfRule>
    <cfRule type="cellIs" dxfId="20211" priority="654" operator="lessThan">
      <formula>0.8</formula>
    </cfRule>
  </conditionalFormatting>
  <conditionalFormatting sqref="R84:R91">
    <cfRule type="cellIs" dxfId="20210" priority="649" operator="lessThan">
      <formula>0.8</formula>
    </cfRule>
    <cfRule type="cellIs" dxfId="20209" priority="650" operator="greaterThan">
      <formula>1</formula>
    </cfRule>
  </conditionalFormatting>
  <conditionalFormatting sqref="R84:R91">
    <cfRule type="cellIs" dxfId="20208" priority="647" operator="greaterThan">
      <formula>1</formula>
    </cfRule>
    <cfRule type="cellIs" dxfId="20207" priority="648" operator="lessThan">
      <formula>0.8</formula>
    </cfRule>
  </conditionalFormatting>
  <conditionalFormatting sqref="P84:P91">
    <cfRule type="cellIs" dxfId="20206" priority="646" operator="greaterThan">
      <formula>0</formula>
    </cfRule>
  </conditionalFormatting>
  <conditionalFormatting sqref="Q84:Q91">
    <cfRule type="cellIs" dxfId="20205" priority="651" operator="lessThan">
      <formula>0</formula>
    </cfRule>
  </conditionalFormatting>
  <conditionalFormatting sqref="P84:P91">
    <cfRule type="cellIs" dxfId="20204" priority="640" operator="greaterThan">
      <formula>0</formula>
    </cfRule>
  </conditionalFormatting>
  <conditionalFormatting sqref="Q84:Q91">
    <cfRule type="cellIs" dxfId="20203" priority="645" operator="lessThan">
      <formula>0</formula>
    </cfRule>
  </conditionalFormatting>
  <conditionalFormatting sqref="R84:R91">
    <cfRule type="cellIs" dxfId="20202" priority="643" operator="lessThan">
      <formula>0.8</formula>
    </cfRule>
    <cfRule type="cellIs" dxfId="20201" priority="644" operator="greaterThan">
      <formula>1</formula>
    </cfRule>
  </conditionalFormatting>
  <conditionalFormatting sqref="R84:R91">
    <cfRule type="cellIs" dxfId="20200" priority="641" operator="greaterThan">
      <formula>1</formula>
    </cfRule>
    <cfRule type="cellIs" dxfId="20199" priority="642" operator="lessThan">
      <formula>0.8</formula>
    </cfRule>
  </conditionalFormatting>
  <conditionalFormatting sqref="R84:R91">
    <cfRule type="cellIs" dxfId="20198" priority="637" operator="lessThan">
      <formula>0.8</formula>
    </cfRule>
    <cfRule type="cellIs" dxfId="20197" priority="638" operator="greaterThan">
      <formula>1</formula>
    </cfRule>
  </conditionalFormatting>
  <conditionalFormatting sqref="R84:R91">
    <cfRule type="cellIs" dxfId="20196" priority="635" operator="greaterThan">
      <formula>1</formula>
    </cfRule>
    <cfRule type="cellIs" dxfId="20195" priority="636" operator="lessThan">
      <formula>0.8</formula>
    </cfRule>
  </conditionalFormatting>
  <conditionalFormatting sqref="P84:P91">
    <cfRule type="cellIs" dxfId="20194" priority="634" operator="greaterThan">
      <formula>0</formula>
    </cfRule>
  </conditionalFormatting>
  <conditionalFormatting sqref="Q84:Q91">
    <cfRule type="cellIs" dxfId="20193" priority="639" operator="lessThan">
      <formula>0</formula>
    </cfRule>
  </conditionalFormatting>
  <conditionalFormatting sqref="R84:R91">
    <cfRule type="cellIs" dxfId="20192" priority="631" operator="lessThan">
      <formula>0.8</formula>
    </cfRule>
    <cfRule type="cellIs" dxfId="20191" priority="632" operator="greaterThan">
      <formula>1</formula>
    </cfRule>
  </conditionalFormatting>
  <conditionalFormatting sqref="R84:R91">
    <cfRule type="cellIs" dxfId="20190" priority="629" operator="greaterThan">
      <formula>1</formula>
    </cfRule>
    <cfRule type="cellIs" dxfId="20189" priority="630" operator="lessThan">
      <formula>0.8</formula>
    </cfRule>
  </conditionalFormatting>
  <conditionalFormatting sqref="P84:P91">
    <cfRule type="cellIs" dxfId="20188" priority="628" operator="greaterThan">
      <formula>0</formula>
    </cfRule>
  </conditionalFormatting>
  <conditionalFormatting sqref="Q84:Q91">
    <cfRule type="cellIs" dxfId="20187" priority="633" operator="lessThan">
      <formula>0</formula>
    </cfRule>
  </conditionalFormatting>
  <conditionalFormatting sqref="Q84:Q91">
    <cfRule type="cellIs" dxfId="20186" priority="627" operator="lessThan">
      <formula>0</formula>
    </cfRule>
  </conditionalFormatting>
  <conditionalFormatting sqref="R84:R91">
    <cfRule type="cellIs" dxfId="20185" priority="625" operator="lessThan">
      <formula>0.8</formula>
    </cfRule>
    <cfRule type="cellIs" dxfId="20184" priority="626" operator="greaterThan">
      <formula>1</formula>
    </cfRule>
  </conditionalFormatting>
  <conditionalFormatting sqref="R84:R91">
    <cfRule type="cellIs" dxfId="20183" priority="623" operator="greaterThan">
      <formula>1</formula>
    </cfRule>
    <cfRule type="cellIs" dxfId="20182" priority="624" operator="lessThan">
      <formula>0.8</formula>
    </cfRule>
  </conditionalFormatting>
  <conditionalFormatting sqref="P84:P91">
    <cfRule type="cellIs" dxfId="20181" priority="622" operator="greaterThan">
      <formula>0</formula>
    </cfRule>
  </conditionalFormatting>
  <conditionalFormatting sqref="Q84:Q91">
    <cfRule type="cellIs" dxfId="20180" priority="616" operator="lessThan">
      <formula>0</formula>
    </cfRule>
  </conditionalFormatting>
  <conditionalFormatting sqref="R84:R91">
    <cfRule type="cellIs" dxfId="20179" priority="620" operator="lessThan">
      <formula>0.8</formula>
    </cfRule>
    <cfRule type="cellIs" dxfId="20178" priority="621" operator="greaterThan">
      <formula>1</formula>
    </cfRule>
  </conditionalFormatting>
  <conditionalFormatting sqref="R84:R91">
    <cfRule type="cellIs" dxfId="20177" priority="618" operator="greaterThan">
      <formula>1</formula>
    </cfRule>
    <cfRule type="cellIs" dxfId="20176" priority="619" operator="lessThan">
      <formula>0.8</formula>
    </cfRule>
  </conditionalFormatting>
  <conditionalFormatting sqref="P84:P91">
    <cfRule type="cellIs" dxfId="20175" priority="617" operator="greaterThan">
      <formula>0</formula>
    </cfRule>
  </conditionalFormatting>
  <conditionalFormatting sqref="Q84:Q91">
    <cfRule type="cellIs" dxfId="20174" priority="615" operator="lessThan">
      <formula>0</formula>
    </cfRule>
  </conditionalFormatting>
  <conditionalFormatting sqref="R84:R91">
    <cfRule type="cellIs" dxfId="20173" priority="613" operator="lessThan">
      <formula>0.8</formula>
    </cfRule>
    <cfRule type="cellIs" dxfId="20172" priority="614" operator="greaterThan">
      <formula>1</formula>
    </cfRule>
  </conditionalFormatting>
  <conditionalFormatting sqref="R84:R91">
    <cfRule type="cellIs" dxfId="20171" priority="611" operator="greaterThan">
      <formula>1</formula>
    </cfRule>
    <cfRule type="cellIs" dxfId="20170" priority="612" operator="lessThan">
      <formula>0.8</formula>
    </cfRule>
  </conditionalFormatting>
  <conditionalFormatting sqref="P84:P91">
    <cfRule type="cellIs" dxfId="20169" priority="610" operator="greaterThan">
      <formula>0</formula>
    </cfRule>
  </conditionalFormatting>
  <conditionalFormatting sqref="Q84:Q91">
    <cfRule type="cellIs" dxfId="20168" priority="609" operator="lessThan">
      <formula>0</formula>
    </cfRule>
  </conditionalFormatting>
  <conditionalFormatting sqref="R84:R91">
    <cfRule type="cellIs" dxfId="20167" priority="607" operator="lessThan">
      <formula>0.8</formula>
    </cfRule>
    <cfRule type="cellIs" dxfId="20166" priority="608" operator="greaterThan">
      <formula>1</formula>
    </cfRule>
  </conditionalFormatting>
  <conditionalFormatting sqref="R84:R91">
    <cfRule type="cellIs" dxfId="20165" priority="605" operator="greaterThan">
      <formula>1</formula>
    </cfRule>
    <cfRule type="cellIs" dxfId="20164" priority="606" operator="lessThan">
      <formula>0.8</formula>
    </cfRule>
  </conditionalFormatting>
  <conditionalFormatting sqref="P84:P91">
    <cfRule type="cellIs" dxfId="20163" priority="604" operator="greaterThan">
      <formula>0</formula>
    </cfRule>
  </conditionalFormatting>
  <conditionalFormatting sqref="Q84:Q91">
    <cfRule type="cellIs" dxfId="20162" priority="603" operator="lessThan">
      <formula>0</formula>
    </cfRule>
  </conditionalFormatting>
  <conditionalFormatting sqref="R84:R91">
    <cfRule type="cellIs" dxfId="20161" priority="601" operator="lessThan">
      <formula>0.8</formula>
    </cfRule>
    <cfRule type="cellIs" dxfId="20160" priority="602" operator="greaterThan">
      <formula>1</formula>
    </cfRule>
  </conditionalFormatting>
  <conditionalFormatting sqref="R84:R91">
    <cfRule type="cellIs" dxfId="20159" priority="599" operator="greaterThan">
      <formula>1</formula>
    </cfRule>
    <cfRule type="cellIs" dxfId="20158" priority="600" operator="lessThan">
      <formula>0.8</formula>
    </cfRule>
  </conditionalFormatting>
  <conditionalFormatting sqref="P84:P91">
    <cfRule type="cellIs" dxfId="20157" priority="598" operator="greaterThan">
      <formula>0</formula>
    </cfRule>
  </conditionalFormatting>
  <conditionalFormatting sqref="Q84:Q91">
    <cfRule type="cellIs" dxfId="20156" priority="597" operator="lessThan">
      <formula>0</formula>
    </cfRule>
  </conditionalFormatting>
  <conditionalFormatting sqref="R84:R91">
    <cfRule type="cellIs" dxfId="20155" priority="595" operator="lessThan">
      <formula>0.8</formula>
    </cfRule>
    <cfRule type="cellIs" dxfId="20154" priority="596" operator="greaterThan">
      <formula>1</formula>
    </cfRule>
  </conditionalFormatting>
  <conditionalFormatting sqref="R84:R91">
    <cfRule type="cellIs" dxfId="20153" priority="593" operator="greaterThan">
      <formula>1</formula>
    </cfRule>
    <cfRule type="cellIs" dxfId="20152" priority="594" operator="lessThan">
      <formula>0.8</formula>
    </cfRule>
  </conditionalFormatting>
  <conditionalFormatting sqref="P84:P91">
    <cfRule type="cellIs" dxfId="20151" priority="592" operator="greaterThan">
      <formula>0</formula>
    </cfRule>
  </conditionalFormatting>
  <conditionalFormatting sqref="Q84:Q91">
    <cfRule type="cellIs" dxfId="20150" priority="591" operator="lessThan">
      <formula>0</formula>
    </cfRule>
  </conditionalFormatting>
  <conditionalFormatting sqref="R84:R91">
    <cfRule type="cellIs" dxfId="20149" priority="589" operator="lessThan">
      <formula>0.8</formula>
    </cfRule>
    <cfRule type="cellIs" dxfId="20148" priority="590" operator="greaterThan">
      <formula>1</formula>
    </cfRule>
  </conditionalFormatting>
  <conditionalFormatting sqref="R84:R91">
    <cfRule type="cellIs" dxfId="20147" priority="587" operator="greaterThan">
      <formula>1</formula>
    </cfRule>
    <cfRule type="cellIs" dxfId="20146" priority="588" operator="lessThan">
      <formula>0.8</formula>
    </cfRule>
  </conditionalFormatting>
  <conditionalFormatting sqref="P84:P91">
    <cfRule type="cellIs" dxfId="20145" priority="586" operator="greaterThan">
      <formula>0</formula>
    </cfRule>
  </conditionalFormatting>
  <conditionalFormatting sqref="P84:P91">
    <cfRule type="cellIs" dxfId="20144" priority="580" operator="greaterThan">
      <formula>0</formula>
    </cfRule>
  </conditionalFormatting>
  <conditionalFormatting sqref="Q84:Q91">
    <cfRule type="cellIs" dxfId="20143" priority="585" operator="lessThan">
      <formula>0</formula>
    </cfRule>
  </conditionalFormatting>
  <conditionalFormatting sqref="R84:R91">
    <cfRule type="cellIs" dxfId="20142" priority="583" operator="lessThan">
      <formula>0.8</formula>
    </cfRule>
    <cfRule type="cellIs" dxfId="20141" priority="584" operator="greaterThan">
      <formula>1</formula>
    </cfRule>
  </conditionalFormatting>
  <conditionalFormatting sqref="R84:R91">
    <cfRule type="cellIs" dxfId="20140" priority="581" operator="greaterThan">
      <formula>1</formula>
    </cfRule>
    <cfRule type="cellIs" dxfId="20139" priority="582" operator="lessThan">
      <formula>0.8</formula>
    </cfRule>
  </conditionalFormatting>
  <conditionalFormatting sqref="P84:P91">
    <cfRule type="cellIs" dxfId="20138" priority="574" operator="greaterThan">
      <formula>0</formula>
    </cfRule>
  </conditionalFormatting>
  <conditionalFormatting sqref="Q84:Q91">
    <cfRule type="cellIs" dxfId="20137" priority="579" operator="lessThan">
      <formula>0</formula>
    </cfRule>
  </conditionalFormatting>
  <conditionalFormatting sqref="R84:R91">
    <cfRule type="cellIs" dxfId="20136" priority="577" operator="lessThan">
      <formula>0.8</formula>
    </cfRule>
    <cfRule type="cellIs" dxfId="20135" priority="578" operator="greaterThan">
      <formula>1</formula>
    </cfRule>
  </conditionalFormatting>
  <conditionalFormatting sqref="R84:R91">
    <cfRule type="cellIs" dxfId="20134" priority="575" operator="greaterThan">
      <formula>1</formula>
    </cfRule>
    <cfRule type="cellIs" dxfId="20133" priority="576" operator="lessThan">
      <formula>0.8</formula>
    </cfRule>
  </conditionalFormatting>
  <conditionalFormatting sqref="R84:R91">
    <cfRule type="cellIs" dxfId="20132" priority="571" operator="lessThan">
      <formula>0.8</formula>
    </cfRule>
    <cfRule type="cellIs" dxfId="20131" priority="572" operator="greaterThan">
      <formula>1</formula>
    </cfRule>
  </conditionalFormatting>
  <conditionalFormatting sqref="R84:R91">
    <cfRule type="cellIs" dxfId="20130" priority="569" operator="greaterThan">
      <formula>1</formula>
    </cfRule>
    <cfRule type="cellIs" dxfId="20129" priority="570" operator="lessThan">
      <formula>0.8</formula>
    </cfRule>
  </conditionalFormatting>
  <conditionalFormatting sqref="P84:P91">
    <cfRule type="cellIs" dxfId="20128" priority="568" operator="greaterThan">
      <formula>0</formula>
    </cfRule>
  </conditionalFormatting>
  <conditionalFormatting sqref="Q84:Q91">
    <cfRule type="cellIs" dxfId="20127" priority="573" operator="lessThan">
      <formula>0</formula>
    </cfRule>
  </conditionalFormatting>
  <conditionalFormatting sqref="Q84:Q91">
    <cfRule type="cellIs" dxfId="20126" priority="567" operator="lessThan">
      <formula>0</formula>
    </cfRule>
  </conditionalFormatting>
  <conditionalFormatting sqref="R84:R91">
    <cfRule type="cellIs" dxfId="20125" priority="565" operator="lessThan">
      <formula>0.8</formula>
    </cfRule>
    <cfRule type="cellIs" dxfId="20124" priority="566" operator="greaterThan">
      <formula>1</formula>
    </cfRule>
  </conditionalFormatting>
  <conditionalFormatting sqref="R84:R91">
    <cfRule type="cellIs" dxfId="20123" priority="563" operator="greaterThan">
      <formula>1</formula>
    </cfRule>
    <cfRule type="cellIs" dxfId="20122" priority="564" operator="lessThan">
      <formula>0.8</formula>
    </cfRule>
  </conditionalFormatting>
  <conditionalFormatting sqref="P84:P91">
    <cfRule type="cellIs" dxfId="20121" priority="562" operator="greaterThan">
      <formula>0</formula>
    </cfRule>
  </conditionalFormatting>
  <conditionalFormatting sqref="Q84:Q91">
    <cfRule type="cellIs" dxfId="20120" priority="561" operator="lessThan">
      <formula>0</formula>
    </cfRule>
  </conditionalFormatting>
  <conditionalFormatting sqref="R84:R91">
    <cfRule type="cellIs" dxfId="20119" priority="559" operator="lessThan">
      <formula>0.8</formula>
    </cfRule>
    <cfRule type="cellIs" dxfId="20118" priority="560" operator="greaterThan">
      <formula>1</formula>
    </cfRule>
  </conditionalFormatting>
  <conditionalFormatting sqref="R84:R91">
    <cfRule type="cellIs" dxfId="20117" priority="557" operator="greaterThan">
      <formula>1</formula>
    </cfRule>
    <cfRule type="cellIs" dxfId="20116" priority="558" operator="lessThan">
      <formula>0.8</formula>
    </cfRule>
  </conditionalFormatting>
  <conditionalFormatting sqref="P84:P91">
    <cfRule type="cellIs" dxfId="20115" priority="556" operator="greaterThan">
      <formula>0</formula>
    </cfRule>
  </conditionalFormatting>
  <conditionalFormatting sqref="Q84:Q91">
    <cfRule type="cellIs" dxfId="20114" priority="555" operator="lessThan">
      <formula>0</formula>
    </cfRule>
  </conditionalFormatting>
  <conditionalFormatting sqref="R84:R91">
    <cfRule type="cellIs" dxfId="20113" priority="553" operator="lessThan">
      <formula>0.8</formula>
    </cfRule>
    <cfRule type="cellIs" dxfId="20112" priority="554" operator="greaterThan">
      <formula>1</formula>
    </cfRule>
  </conditionalFormatting>
  <conditionalFormatting sqref="R84:R91">
    <cfRule type="cellIs" dxfId="20111" priority="551" operator="greaterThan">
      <formula>1</formula>
    </cfRule>
    <cfRule type="cellIs" dxfId="20110" priority="552" operator="lessThan">
      <formula>0.8</formula>
    </cfRule>
  </conditionalFormatting>
  <conditionalFormatting sqref="P84:P91">
    <cfRule type="cellIs" dxfId="20109" priority="550" operator="greaterThan">
      <formula>0</formula>
    </cfRule>
  </conditionalFormatting>
  <conditionalFormatting sqref="Q84:Q91">
    <cfRule type="cellIs" dxfId="20108" priority="549" operator="lessThan">
      <formula>0</formula>
    </cfRule>
  </conditionalFormatting>
  <conditionalFormatting sqref="R84:R91">
    <cfRule type="cellIs" dxfId="20107" priority="547" operator="lessThan">
      <formula>0.8</formula>
    </cfRule>
    <cfRule type="cellIs" dxfId="20106" priority="548" operator="greaterThan">
      <formula>1</formula>
    </cfRule>
  </conditionalFormatting>
  <conditionalFormatting sqref="R84:R91">
    <cfRule type="cellIs" dxfId="20105" priority="545" operator="greaterThan">
      <formula>1</formula>
    </cfRule>
    <cfRule type="cellIs" dxfId="20104" priority="546" operator="lessThan">
      <formula>0.8</formula>
    </cfRule>
  </conditionalFormatting>
  <conditionalFormatting sqref="P84:P91">
    <cfRule type="cellIs" dxfId="20103" priority="544" operator="greaterThan">
      <formula>0</formula>
    </cfRule>
  </conditionalFormatting>
  <conditionalFormatting sqref="P84:P91">
    <cfRule type="cellIs" dxfId="20102" priority="538" operator="greaterThan">
      <formula>0</formula>
    </cfRule>
  </conditionalFormatting>
  <conditionalFormatting sqref="Q84:Q91">
    <cfRule type="cellIs" dxfId="20101" priority="543" operator="lessThan">
      <formula>0</formula>
    </cfRule>
  </conditionalFormatting>
  <conditionalFormatting sqref="R84:R91">
    <cfRule type="cellIs" dxfId="20100" priority="541" operator="lessThan">
      <formula>0.8</formula>
    </cfRule>
    <cfRule type="cellIs" dxfId="20099" priority="542" operator="greaterThan">
      <formula>1</formula>
    </cfRule>
  </conditionalFormatting>
  <conditionalFormatting sqref="R84:R91">
    <cfRule type="cellIs" dxfId="20098" priority="539" operator="greaterThan">
      <formula>1</formula>
    </cfRule>
    <cfRule type="cellIs" dxfId="20097" priority="540" operator="lessThan">
      <formula>0.8</formula>
    </cfRule>
  </conditionalFormatting>
  <conditionalFormatting sqref="P84:P91">
    <cfRule type="cellIs" dxfId="20096" priority="532" operator="greaterThan">
      <formula>0</formula>
    </cfRule>
  </conditionalFormatting>
  <conditionalFormatting sqref="Q84:Q91">
    <cfRule type="cellIs" dxfId="20095" priority="537" operator="lessThan">
      <formula>0</formula>
    </cfRule>
  </conditionalFormatting>
  <conditionalFormatting sqref="R84:R91">
    <cfRule type="cellIs" dxfId="20094" priority="535" operator="lessThan">
      <formula>0.8</formula>
    </cfRule>
    <cfRule type="cellIs" dxfId="20093" priority="536" operator="greaterThan">
      <formula>1</formula>
    </cfRule>
  </conditionalFormatting>
  <conditionalFormatting sqref="R84:R91">
    <cfRule type="cellIs" dxfId="20092" priority="533" operator="greaterThan">
      <formula>1</formula>
    </cfRule>
    <cfRule type="cellIs" dxfId="20091" priority="534" operator="lessThan">
      <formula>0.8</formula>
    </cfRule>
  </conditionalFormatting>
  <conditionalFormatting sqref="R84:R91">
    <cfRule type="cellIs" dxfId="20090" priority="529" operator="lessThan">
      <formula>0.8</formula>
    </cfRule>
    <cfRule type="cellIs" dxfId="20089" priority="530" operator="greaterThan">
      <formula>1</formula>
    </cfRule>
  </conditionalFormatting>
  <conditionalFormatting sqref="R84:R91">
    <cfRule type="cellIs" dxfId="20088" priority="527" operator="greaterThan">
      <formula>1</formula>
    </cfRule>
    <cfRule type="cellIs" dxfId="20087" priority="528" operator="lessThan">
      <formula>0.8</formula>
    </cfRule>
  </conditionalFormatting>
  <conditionalFormatting sqref="P84:P91">
    <cfRule type="cellIs" dxfId="20086" priority="526" operator="greaterThan">
      <formula>0</formula>
    </cfRule>
  </conditionalFormatting>
  <conditionalFormatting sqref="Q84:Q91">
    <cfRule type="cellIs" dxfId="20085" priority="531" operator="lessThan">
      <formula>0</formula>
    </cfRule>
  </conditionalFormatting>
  <conditionalFormatting sqref="Q84:Q91">
    <cfRule type="cellIs" dxfId="20084" priority="525" operator="lessThan">
      <formula>0</formula>
    </cfRule>
  </conditionalFormatting>
  <conditionalFormatting sqref="R84:R91">
    <cfRule type="cellIs" dxfId="20083" priority="523" operator="lessThan">
      <formula>0.8</formula>
    </cfRule>
    <cfRule type="cellIs" dxfId="20082" priority="524" operator="greaterThan">
      <formula>1</formula>
    </cfRule>
  </conditionalFormatting>
  <conditionalFormatting sqref="R84:R91">
    <cfRule type="cellIs" dxfId="20081" priority="521" operator="greaterThan">
      <formula>1</formula>
    </cfRule>
    <cfRule type="cellIs" dxfId="20080" priority="522" operator="lessThan">
      <formula>0.8</formula>
    </cfRule>
  </conditionalFormatting>
  <conditionalFormatting sqref="P84:P91">
    <cfRule type="cellIs" dxfId="20079" priority="520" operator="greaterThan">
      <formula>0</formula>
    </cfRule>
  </conditionalFormatting>
  <conditionalFormatting sqref="P84:P91">
    <cfRule type="cellIs" dxfId="20078" priority="514" operator="greaterThan">
      <formula>0</formula>
    </cfRule>
  </conditionalFormatting>
  <conditionalFormatting sqref="Q84:Q91">
    <cfRule type="cellIs" dxfId="20077" priority="519" operator="lessThan">
      <formula>0</formula>
    </cfRule>
  </conditionalFormatting>
  <conditionalFormatting sqref="R84:R91">
    <cfRule type="cellIs" dxfId="20076" priority="517" operator="lessThan">
      <formula>0.8</formula>
    </cfRule>
    <cfRule type="cellIs" dxfId="20075" priority="518" operator="greaterThan">
      <formula>1</formula>
    </cfRule>
  </conditionalFormatting>
  <conditionalFormatting sqref="R84:R91">
    <cfRule type="cellIs" dxfId="20074" priority="515" operator="greaterThan">
      <formula>1</formula>
    </cfRule>
    <cfRule type="cellIs" dxfId="20073" priority="516" operator="lessThan">
      <formula>0.8</formula>
    </cfRule>
  </conditionalFormatting>
  <conditionalFormatting sqref="P84:P91">
    <cfRule type="cellIs" dxfId="20072" priority="508" operator="greaterThan">
      <formula>0</formula>
    </cfRule>
  </conditionalFormatting>
  <conditionalFormatting sqref="Q84:Q91">
    <cfRule type="cellIs" dxfId="20071" priority="513" operator="lessThan">
      <formula>0</formula>
    </cfRule>
  </conditionalFormatting>
  <conditionalFormatting sqref="R84:R91">
    <cfRule type="cellIs" dxfId="20070" priority="511" operator="lessThan">
      <formula>0.8</formula>
    </cfRule>
    <cfRule type="cellIs" dxfId="20069" priority="512" operator="greaterThan">
      <formula>1</formula>
    </cfRule>
  </conditionalFormatting>
  <conditionalFormatting sqref="R84:R91">
    <cfRule type="cellIs" dxfId="20068" priority="509" operator="greaterThan">
      <formula>1</formula>
    </cfRule>
    <cfRule type="cellIs" dxfId="20067" priority="510" operator="lessThan">
      <formula>0.8</formula>
    </cfRule>
  </conditionalFormatting>
  <conditionalFormatting sqref="R84:R91">
    <cfRule type="cellIs" dxfId="20066" priority="505" operator="lessThan">
      <formula>0.8</formula>
    </cfRule>
    <cfRule type="cellIs" dxfId="20065" priority="506" operator="greaterThan">
      <formula>1</formula>
    </cfRule>
  </conditionalFormatting>
  <conditionalFormatting sqref="R84:R91">
    <cfRule type="cellIs" dxfId="20064" priority="503" operator="greaterThan">
      <formula>1</formula>
    </cfRule>
    <cfRule type="cellIs" dxfId="20063" priority="504" operator="lessThan">
      <formula>0.8</formula>
    </cfRule>
  </conditionalFormatting>
  <conditionalFormatting sqref="P84:P91">
    <cfRule type="cellIs" dxfId="20062" priority="502" operator="greaterThan">
      <formula>0</formula>
    </cfRule>
  </conditionalFormatting>
  <conditionalFormatting sqref="Q84:Q91">
    <cfRule type="cellIs" dxfId="20061" priority="507" operator="lessThan">
      <formula>0</formula>
    </cfRule>
  </conditionalFormatting>
  <conditionalFormatting sqref="P84:P91">
    <cfRule type="cellIs" dxfId="20060" priority="496" operator="greaterThan">
      <formula>0</formula>
    </cfRule>
  </conditionalFormatting>
  <conditionalFormatting sqref="Q84:Q91">
    <cfRule type="cellIs" dxfId="20059" priority="501" operator="lessThan">
      <formula>0</formula>
    </cfRule>
  </conditionalFormatting>
  <conditionalFormatting sqref="R84:R91">
    <cfRule type="cellIs" dxfId="20058" priority="499" operator="lessThan">
      <formula>0.8</formula>
    </cfRule>
    <cfRule type="cellIs" dxfId="20057" priority="500" operator="greaterThan">
      <formula>1</formula>
    </cfRule>
  </conditionalFormatting>
  <conditionalFormatting sqref="R84:R91">
    <cfRule type="cellIs" dxfId="20056" priority="497" operator="greaterThan">
      <formula>1</formula>
    </cfRule>
    <cfRule type="cellIs" dxfId="20055" priority="498" operator="lessThan">
      <formula>0.8</formula>
    </cfRule>
  </conditionalFormatting>
  <conditionalFormatting sqref="R84:R91">
    <cfRule type="cellIs" dxfId="20054" priority="493" operator="lessThan">
      <formula>0.8</formula>
    </cfRule>
    <cfRule type="cellIs" dxfId="20053" priority="494" operator="greaterThan">
      <formula>1</formula>
    </cfRule>
  </conditionalFormatting>
  <conditionalFormatting sqref="R84:R91">
    <cfRule type="cellIs" dxfId="20052" priority="491" operator="greaterThan">
      <formula>1</formula>
    </cfRule>
    <cfRule type="cellIs" dxfId="20051" priority="492" operator="lessThan">
      <formula>0.8</formula>
    </cfRule>
  </conditionalFormatting>
  <conditionalFormatting sqref="P84:P91">
    <cfRule type="cellIs" dxfId="20050" priority="490" operator="greaterThan">
      <formula>0</formula>
    </cfRule>
  </conditionalFormatting>
  <conditionalFormatting sqref="Q84:Q91">
    <cfRule type="cellIs" dxfId="20049" priority="495" operator="lessThan">
      <formula>0</formula>
    </cfRule>
  </conditionalFormatting>
  <conditionalFormatting sqref="R84:R91">
    <cfRule type="cellIs" dxfId="20048" priority="487" operator="lessThan">
      <formula>0.8</formula>
    </cfRule>
    <cfRule type="cellIs" dxfId="20047" priority="488" operator="greaterThan">
      <formula>1</formula>
    </cfRule>
  </conditionalFormatting>
  <conditionalFormatting sqref="R84:R91">
    <cfRule type="cellIs" dxfId="20046" priority="485" operator="greaterThan">
      <formula>1</formula>
    </cfRule>
    <cfRule type="cellIs" dxfId="20045" priority="486" operator="lessThan">
      <formula>0.8</formula>
    </cfRule>
  </conditionalFormatting>
  <conditionalFormatting sqref="P84:P91">
    <cfRule type="cellIs" dxfId="20044" priority="484" operator="greaterThan">
      <formula>0</formula>
    </cfRule>
  </conditionalFormatting>
  <conditionalFormatting sqref="Q84:Q91">
    <cfRule type="cellIs" dxfId="20043" priority="489" operator="lessThan">
      <formula>0</formula>
    </cfRule>
  </conditionalFormatting>
  <conditionalFormatting sqref="Q84:Q91">
    <cfRule type="cellIs" dxfId="20042" priority="483" operator="lessThan">
      <formula>0</formula>
    </cfRule>
  </conditionalFormatting>
  <conditionalFormatting sqref="R84:R91">
    <cfRule type="cellIs" dxfId="20041" priority="481" operator="lessThan">
      <formula>0.8</formula>
    </cfRule>
    <cfRule type="cellIs" dxfId="20040" priority="482" operator="greaterThan">
      <formula>1</formula>
    </cfRule>
  </conditionalFormatting>
  <conditionalFormatting sqref="R84:R91">
    <cfRule type="cellIs" dxfId="20039" priority="479" operator="greaterThan">
      <formula>1</formula>
    </cfRule>
    <cfRule type="cellIs" dxfId="20038" priority="480" operator="lessThan">
      <formula>0.8</formula>
    </cfRule>
  </conditionalFormatting>
  <conditionalFormatting sqref="P84:P91">
    <cfRule type="cellIs" dxfId="20037" priority="478" operator="greaterThan">
      <formula>0</formula>
    </cfRule>
  </conditionalFormatting>
  <conditionalFormatting sqref="Q84:Q91">
    <cfRule type="cellIs" dxfId="20036" priority="472" operator="lessThan">
      <formula>0</formula>
    </cfRule>
  </conditionalFormatting>
  <conditionalFormatting sqref="R84:R91">
    <cfRule type="cellIs" dxfId="20035" priority="476" operator="lessThan">
      <formula>0.8</formula>
    </cfRule>
    <cfRule type="cellIs" dxfId="20034" priority="477" operator="greaterThan">
      <formula>1</formula>
    </cfRule>
  </conditionalFormatting>
  <conditionalFormatting sqref="R84:R91">
    <cfRule type="cellIs" dxfId="20033" priority="474" operator="greaterThan">
      <formula>1</formula>
    </cfRule>
    <cfRule type="cellIs" dxfId="20032" priority="475" operator="lessThan">
      <formula>0.8</formula>
    </cfRule>
  </conditionalFormatting>
  <conditionalFormatting sqref="P84:P91">
    <cfRule type="cellIs" dxfId="20031" priority="473" operator="greaterThan">
      <formula>0</formula>
    </cfRule>
  </conditionalFormatting>
  <conditionalFormatting sqref="Q84:Q91">
    <cfRule type="cellIs" dxfId="20030" priority="471" operator="lessThan">
      <formula>0</formula>
    </cfRule>
  </conditionalFormatting>
  <conditionalFormatting sqref="R84:R91">
    <cfRule type="cellIs" dxfId="20029" priority="469" operator="lessThan">
      <formula>0.8</formula>
    </cfRule>
    <cfRule type="cellIs" dxfId="20028" priority="470" operator="greaterThan">
      <formula>1</formula>
    </cfRule>
  </conditionalFormatting>
  <conditionalFormatting sqref="R84:R91">
    <cfRule type="cellIs" dxfId="20027" priority="467" operator="greaterThan">
      <formula>1</formula>
    </cfRule>
    <cfRule type="cellIs" dxfId="20026" priority="468" operator="lessThan">
      <formula>0.8</formula>
    </cfRule>
  </conditionalFormatting>
  <conditionalFormatting sqref="P84:P91">
    <cfRule type="cellIs" dxfId="20025" priority="466" operator="greaterThan">
      <formula>0</formula>
    </cfRule>
  </conditionalFormatting>
  <conditionalFormatting sqref="Q84:Q91">
    <cfRule type="cellIs" dxfId="20024" priority="465" operator="lessThan">
      <formula>0</formula>
    </cfRule>
  </conditionalFormatting>
  <conditionalFormatting sqref="R84:R91">
    <cfRule type="cellIs" dxfId="20023" priority="463" operator="lessThan">
      <formula>0.8</formula>
    </cfRule>
    <cfRule type="cellIs" dxfId="20022" priority="464" operator="greaterThan">
      <formula>1</formula>
    </cfRule>
  </conditionalFormatting>
  <conditionalFormatting sqref="R84:R91">
    <cfRule type="cellIs" dxfId="20021" priority="461" operator="greaterThan">
      <formula>1</formula>
    </cfRule>
    <cfRule type="cellIs" dxfId="20020" priority="462" operator="lessThan">
      <formula>0.8</formula>
    </cfRule>
  </conditionalFormatting>
  <conditionalFormatting sqref="P84:P91">
    <cfRule type="cellIs" dxfId="20019" priority="460" operator="greaterThan">
      <formula>0</formula>
    </cfRule>
  </conditionalFormatting>
  <conditionalFormatting sqref="Q84:Q91">
    <cfRule type="cellIs" dxfId="20018" priority="459" operator="lessThan">
      <formula>0</formula>
    </cfRule>
  </conditionalFormatting>
  <conditionalFormatting sqref="R84:R91">
    <cfRule type="cellIs" dxfId="20017" priority="457" operator="lessThan">
      <formula>0.8</formula>
    </cfRule>
    <cfRule type="cellIs" dxfId="20016" priority="458" operator="greaterThan">
      <formula>1</formula>
    </cfRule>
  </conditionalFormatting>
  <conditionalFormatting sqref="R84:R91">
    <cfRule type="cellIs" dxfId="20015" priority="455" operator="greaterThan">
      <formula>1</formula>
    </cfRule>
    <cfRule type="cellIs" dxfId="20014" priority="456" operator="lessThan">
      <formula>0.8</formula>
    </cfRule>
  </conditionalFormatting>
  <conditionalFormatting sqref="P84:P91">
    <cfRule type="cellIs" dxfId="20013" priority="454" operator="greaterThan">
      <formula>0</formula>
    </cfRule>
  </conditionalFormatting>
  <conditionalFormatting sqref="Q84:Q91">
    <cfRule type="cellIs" dxfId="20012" priority="453" operator="lessThan">
      <formula>0</formula>
    </cfRule>
  </conditionalFormatting>
  <conditionalFormatting sqref="R84:R91">
    <cfRule type="cellIs" dxfId="20011" priority="451" operator="lessThan">
      <formula>0.8</formula>
    </cfRule>
    <cfRule type="cellIs" dxfId="20010" priority="452" operator="greaterThan">
      <formula>1</formula>
    </cfRule>
  </conditionalFormatting>
  <conditionalFormatting sqref="R84:R91">
    <cfRule type="cellIs" dxfId="20009" priority="449" operator="greaterThan">
      <formula>1</formula>
    </cfRule>
    <cfRule type="cellIs" dxfId="20008" priority="450" operator="lessThan">
      <formula>0.8</formula>
    </cfRule>
  </conditionalFormatting>
  <conditionalFormatting sqref="P84:P91">
    <cfRule type="cellIs" dxfId="20007" priority="448" operator="greaterThan">
      <formula>0</formula>
    </cfRule>
  </conditionalFormatting>
  <conditionalFormatting sqref="Q84:Q91">
    <cfRule type="cellIs" dxfId="20006" priority="447" operator="lessThan">
      <formula>0</formula>
    </cfRule>
  </conditionalFormatting>
  <conditionalFormatting sqref="R84:R91">
    <cfRule type="cellIs" dxfId="20005" priority="445" operator="lessThan">
      <formula>0.8</formula>
    </cfRule>
    <cfRule type="cellIs" dxfId="20004" priority="446" operator="greaterThan">
      <formula>1</formula>
    </cfRule>
  </conditionalFormatting>
  <conditionalFormatting sqref="R84:R91">
    <cfRule type="cellIs" dxfId="20003" priority="443" operator="greaterThan">
      <formula>1</formula>
    </cfRule>
    <cfRule type="cellIs" dxfId="20002" priority="444" operator="lessThan">
      <formula>0.8</formula>
    </cfRule>
  </conditionalFormatting>
  <conditionalFormatting sqref="P84:P91">
    <cfRule type="cellIs" dxfId="20001" priority="442" operator="greaterThan">
      <formula>0</formula>
    </cfRule>
  </conditionalFormatting>
  <conditionalFormatting sqref="P84:P91">
    <cfRule type="cellIs" dxfId="20000" priority="436" operator="greaterThan">
      <formula>0</formula>
    </cfRule>
  </conditionalFormatting>
  <conditionalFormatting sqref="Q84:Q91">
    <cfRule type="cellIs" dxfId="19999" priority="441" operator="lessThan">
      <formula>0</formula>
    </cfRule>
  </conditionalFormatting>
  <conditionalFormatting sqref="R84:R91">
    <cfRule type="cellIs" dxfId="19998" priority="439" operator="lessThan">
      <formula>0.8</formula>
    </cfRule>
    <cfRule type="cellIs" dxfId="19997" priority="440" operator="greaterThan">
      <formula>1</formula>
    </cfRule>
  </conditionalFormatting>
  <conditionalFormatting sqref="R84:R91">
    <cfRule type="cellIs" dxfId="19996" priority="437" operator="greaterThan">
      <formula>1</formula>
    </cfRule>
    <cfRule type="cellIs" dxfId="19995" priority="438" operator="lessThan">
      <formula>0.8</formula>
    </cfRule>
  </conditionalFormatting>
  <conditionalFormatting sqref="P84:P91">
    <cfRule type="cellIs" dxfId="19994" priority="430" operator="greaterThan">
      <formula>0</formula>
    </cfRule>
  </conditionalFormatting>
  <conditionalFormatting sqref="Q84:Q91">
    <cfRule type="cellIs" dxfId="19993" priority="435" operator="lessThan">
      <formula>0</formula>
    </cfRule>
  </conditionalFormatting>
  <conditionalFormatting sqref="R84:R91">
    <cfRule type="cellIs" dxfId="19992" priority="433" operator="lessThan">
      <formula>0.8</formula>
    </cfRule>
    <cfRule type="cellIs" dxfId="19991" priority="434" operator="greaterThan">
      <formula>1</formula>
    </cfRule>
  </conditionalFormatting>
  <conditionalFormatting sqref="R84:R91">
    <cfRule type="cellIs" dxfId="19990" priority="431" operator="greaterThan">
      <formula>1</formula>
    </cfRule>
    <cfRule type="cellIs" dxfId="19989" priority="432" operator="lessThan">
      <formula>0.8</formula>
    </cfRule>
  </conditionalFormatting>
  <conditionalFormatting sqref="R84:R91">
    <cfRule type="cellIs" dxfId="19988" priority="427" operator="lessThan">
      <formula>0.8</formula>
    </cfRule>
    <cfRule type="cellIs" dxfId="19987" priority="428" operator="greaterThan">
      <formula>1</formula>
    </cfRule>
  </conditionalFormatting>
  <conditionalFormatting sqref="R84:R91">
    <cfRule type="cellIs" dxfId="19986" priority="425" operator="greaterThan">
      <formula>1</formula>
    </cfRule>
    <cfRule type="cellIs" dxfId="19985" priority="426" operator="lessThan">
      <formula>0.8</formula>
    </cfRule>
  </conditionalFormatting>
  <conditionalFormatting sqref="P84:P91">
    <cfRule type="cellIs" dxfId="19984" priority="424" operator="greaterThan">
      <formula>0</formula>
    </cfRule>
  </conditionalFormatting>
  <conditionalFormatting sqref="Q84:Q91">
    <cfRule type="cellIs" dxfId="19983" priority="429" operator="lessThan">
      <formula>0</formula>
    </cfRule>
  </conditionalFormatting>
  <conditionalFormatting sqref="Q84:Q91">
    <cfRule type="cellIs" dxfId="19982" priority="418" operator="lessThan">
      <formula>0</formula>
    </cfRule>
  </conditionalFormatting>
  <conditionalFormatting sqref="P84:P91">
    <cfRule type="cellIs" dxfId="19981" priority="419" operator="greaterThan">
      <formula>0</formula>
    </cfRule>
  </conditionalFormatting>
  <conditionalFormatting sqref="R84:R91">
    <cfRule type="cellIs" dxfId="19980" priority="422" operator="lessThan">
      <formula>0.8</formula>
    </cfRule>
    <cfRule type="cellIs" dxfId="19979" priority="423" operator="greaterThan">
      <formula>1</formula>
    </cfRule>
  </conditionalFormatting>
  <conditionalFormatting sqref="R84:R91">
    <cfRule type="cellIs" dxfId="19978" priority="420" operator="greaterThan">
      <formula>1</formula>
    </cfRule>
    <cfRule type="cellIs" dxfId="19977" priority="421" operator="lessThan">
      <formula>0.8</formula>
    </cfRule>
  </conditionalFormatting>
  <conditionalFormatting sqref="Q84:Q91">
    <cfRule type="cellIs" dxfId="19976" priority="412" operator="lessThan">
      <formula>0</formula>
    </cfRule>
  </conditionalFormatting>
  <conditionalFormatting sqref="R84:R91">
    <cfRule type="cellIs" dxfId="19975" priority="416" operator="lessThan">
      <formula>0.8</formula>
    </cfRule>
    <cfRule type="cellIs" dxfId="19974" priority="417" operator="greaterThan">
      <formula>1</formula>
    </cfRule>
  </conditionalFormatting>
  <conditionalFormatting sqref="R84:R91">
    <cfRule type="cellIs" dxfId="19973" priority="414" operator="greaterThan">
      <formula>1</formula>
    </cfRule>
    <cfRule type="cellIs" dxfId="19972" priority="415" operator="lessThan">
      <formula>0.8</formula>
    </cfRule>
  </conditionalFormatting>
  <conditionalFormatting sqref="P84:P91">
    <cfRule type="cellIs" dxfId="19971" priority="413" operator="greaterThan">
      <formula>0</formula>
    </cfRule>
  </conditionalFormatting>
  <conditionalFormatting sqref="Q84:Q91">
    <cfRule type="cellIs" dxfId="19970" priority="411" operator="lessThan">
      <formula>0</formula>
    </cfRule>
  </conditionalFormatting>
  <conditionalFormatting sqref="R84:R91">
    <cfRule type="cellIs" dxfId="19969" priority="409" operator="lessThan">
      <formula>0.8</formula>
    </cfRule>
    <cfRule type="cellIs" dxfId="19968" priority="410" operator="greaterThan">
      <formula>1</formula>
    </cfRule>
  </conditionalFormatting>
  <conditionalFormatting sqref="R84:R91">
    <cfRule type="cellIs" dxfId="19967" priority="407" operator="greaterThan">
      <formula>1</formula>
    </cfRule>
    <cfRule type="cellIs" dxfId="19966" priority="408" operator="lessThan">
      <formula>0.8</formula>
    </cfRule>
  </conditionalFormatting>
  <conditionalFormatting sqref="P84:P91">
    <cfRule type="cellIs" dxfId="19965" priority="406" operator="greaterThan">
      <formula>0</formula>
    </cfRule>
  </conditionalFormatting>
  <conditionalFormatting sqref="Q84:Q91">
    <cfRule type="cellIs" dxfId="19964" priority="405" operator="lessThan">
      <formula>0</formula>
    </cfRule>
  </conditionalFormatting>
  <conditionalFormatting sqref="R84:R91">
    <cfRule type="cellIs" dxfId="19963" priority="403" operator="lessThan">
      <formula>0.8</formula>
    </cfRule>
    <cfRule type="cellIs" dxfId="19962" priority="404" operator="greaterThan">
      <formula>1</formula>
    </cfRule>
  </conditionalFormatting>
  <conditionalFormatting sqref="R84:R91">
    <cfRule type="cellIs" dxfId="19961" priority="401" operator="greaterThan">
      <formula>1</formula>
    </cfRule>
    <cfRule type="cellIs" dxfId="19960" priority="402" operator="lessThan">
      <formula>0.8</formula>
    </cfRule>
  </conditionalFormatting>
  <conditionalFormatting sqref="P84:P91">
    <cfRule type="cellIs" dxfId="19959" priority="400" operator="greaterThan">
      <formula>0</formula>
    </cfRule>
  </conditionalFormatting>
  <conditionalFormatting sqref="Q84:Q91">
    <cfRule type="cellIs" dxfId="19958" priority="399" operator="lessThan">
      <formula>0</formula>
    </cfRule>
  </conditionalFormatting>
  <conditionalFormatting sqref="R84:R91">
    <cfRule type="cellIs" dxfId="19957" priority="397" operator="lessThan">
      <formula>0.8</formula>
    </cfRule>
    <cfRule type="cellIs" dxfId="19956" priority="398" operator="greaterThan">
      <formula>1</formula>
    </cfRule>
  </conditionalFormatting>
  <conditionalFormatting sqref="R84:R91">
    <cfRule type="cellIs" dxfId="19955" priority="395" operator="greaterThan">
      <formula>1</formula>
    </cfRule>
    <cfRule type="cellIs" dxfId="19954" priority="396" operator="lessThan">
      <formula>0.8</formula>
    </cfRule>
  </conditionalFormatting>
  <conditionalFormatting sqref="P84:P91">
    <cfRule type="cellIs" dxfId="19953" priority="394" operator="greaterThan">
      <formula>0</formula>
    </cfRule>
  </conditionalFormatting>
  <conditionalFormatting sqref="Q84:Q91">
    <cfRule type="cellIs" dxfId="19952" priority="393" operator="lessThan">
      <formula>0</formula>
    </cfRule>
  </conditionalFormatting>
  <conditionalFormatting sqref="R84:R91">
    <cfRule type="cellIs" dxfId="19951" priority="391" operator="lessThan">
      <formula>0.8</formula>
    </cfRule>
    <cfRule type="cellIs" dxfId="19950" priority="392" operator="greaterThan">
      <formula>1</formula>
    </cfRule>
  </conditionalFormatting>
  <conditionalFormatting sqref="R84:R91">
    <cfRule type="cellIs" dxfId="19949" priority="389" operator="greaterThan">
      <formula>1</formula>
    </cfRule>
    <cfRule type="cellIs" dxfId="19948" priority="390" operator="lessThan">
      <formula>0.8</formula>
    </cfRule>
  </conditionalFormatting>
  <conditionalFormatting sqref="P84:P91">
    <cfRule type="cellIs" dxfId="19947" priority="388" operator="greaterThan">
      <formula>0</formula>
    </cfRule>
  </conditionalFormatting>
  <conditionalFormatting sqref="Q84:Q91">
    <cfRule type="cellIs" dxfId="19946" priority="387" operator="lessThan">
      <formula>0</formula>
    </cfRule>
  </conditionalFormatting>
  <conditionalFormatting sqref="R84:R91">
    <cfRule type="cellIs" dxfId="19945" priority="385" operator="lessThan">
      <formula>0.8</formula>
    </cfRule>
    <cfRule type="cellIs" dxfId="19944" priority="386" operator="greaterThan">
      <formula>1</formula>
    </cfRule>
  </conditionalFormatting>
  <conditionalFormatting sqref="R84:R91">
    <cfRule type="cellIs" dxfId="19943" priority="383" operator="greaterThan">
      <formula>1</formula>
    </cfRule>
    <cfRule type="cellIs" dxfId="19942" priority="384" operator="lessThan">
      <formula>0.8</formula>
    </cfRule>
  </conditionalFormatting>
  <conditionalFormatting sqref="P84:P91">
    <cfRule type="cellIs" dxfId="19941" priority="382" operator="greaterThan">
      <formula>0</formula>
    </cfRule>
  </conditionalFormatting>
  <conditionalFormatting sqref="Q84:Q91">
    <cfRule type="cellIs" dxfId="19940" priority="381" operator="lessThan">
      <formula>0</formula>
    </cfRule>
  </conditionalFormatting>
  <conditionalFormatting sqref="R84:R91">
    <cfRule type="cellIs" dxfId="19939" priority="379" operator="lessThan">
      <formula>0.8</formula>
    </cfRule>
    <cfRule type="cellIs" dxfId="19938" priority="380" operator="greaterThan">
      <formula>1</formula>
    </cfRule>
  </conditionalFormatting>
  <conditionalFormatting sqref="R84:R91">
    <cfRule type="cellIs" dxfId="19937" priority="377" operator="greaterThan">
      <formula>1</formula>
    </cfRule>
    <cfRule type="cellIs" dxfId="19936" priority="378" operator="lessThan">
      <formula>0.8</formula>
    </cfRule>
  </conditionalFormatting>
  <conditionalFormatting sqref="P84:P91">
    <cfRule type="cellIs" dxfId="19935" priority="376" operator="greaterThan">
      <formula>0</formula>
    </cfRule>
  </conditionalFormatting>
  <conditionalFormatting sqref="Q84:Q91">
    <cfRule type="cellIs" dxfId="19934" priority="375" operator="lessThan">
      <formula>0</formula>
    </cfRule>
  </conditionalFormatting>
  <conditionalFormatting sqref="R84:R91">
    <cfRule type="cellIs" dxfId="19933" priority="373" operator="lessThan">
      <formula>0.8</formula>
    </cfRule>
    <cfRule type="cellIs" dxfId="19932" priority="374" operator="greaterThan">
      <formula>1</formula>
    </cfRule>
  </conditionalFormatting>
  <conditionalFormatting sqref="R84:R91">
    <cfRule type="cellIs" dxfId="19931" priority="371" operator="greaterThan">
      <formula>1</formula>
    </cfRule>
    <cfRule type="cellIs" dxfId="19930" priority="372" operator="lessThan">
      <formula>0.8</formula>
    </cfRule>
  </conditionalFormatting>
  <conditionalFormatting sqref="P84:P91">
    <cfRule type="cellIs" dxfId="19929" priority="370" operator="greaterThan">
      <formula>0</formula>
    </cfRule>
  </conditionalFormatting>
  <conditionalFormatting sqref="P84:P91">
    <cfRule type="cellIs" dxfId="19928" priority="364" operator="greaterThan">
      <formula>0</formula>
    </cfRule>
  </conditionalFormatting>
  <conditionalFormatting sqref="Q84:Q91">
    <cfRule type="cellIs" dxfId="19927" priority="369" operator="lessThan">
      <formula>0</formula>
    </cfRule>
  </conditionalFormatting>
  <conditionalFormatting sqref="R84:R91">
    <cfRule type="cellIs" dxfId="19926" priority="367" operator="lessThan">
      <formula>0.8</formula>
    </cfRule>
    <cfRule type="cellIs" dxfId="19925" priority="368" operator="greaterThan">
      <formula>1</formula>
    </cfRule>
  </conditionalFormatting>
  <conditionalFormatting sqref="R84:R91">
    <cfRule type="cellIs" dxfId="19924" priority="365" operator="greaterThan">
      <formula>1</formula>
    </cfRule>
    <cfRule type="cellIs" dxfId="19923" priority="366" operator="lessThan">
      <formula>0.8</formula>
    </cfRule>
  </conditionalFormatting>
  <conditionalFormatting sqref="P84:P91">
    <cfRule type="cellIs" dxfId="19922" priority="358" operator="greaterThan">
      <formula>0</formula>
    </cfRule>
  </conditionalFormatting>
  <conditionalFormatting sqref="Q84:Q91">
    <cfRule type="cellIs" dxfId="19921" priority="363" operator="lessThan">
      <formula>0</formula>
    </cfRule>
  </conditionalFormatting>
  <conditionalFormatting sqref="R84:R91">
    <cfRule type="cellIs" dxfId="19920" priority="361" operator="lessThan">
      <formula>0.8</formula>
    </cfRule>
    <cfRule type="cellIs" dxfId="19919" priority="362" operator="greaterThan">
      <formula>1</formula>
    </cfRule>
  </conditionalFormatting>
  <conditionalFormatting sqref="R84:R91">
    <cfRule type="cellIs" dxfId="19918" priority="359" operator="greaterThan">
      <formula>1</formula>
    </cfRule>
    <cfRule type="cellIs" dxfId="19917" priority="360" operator="lessThan">
      <formula>0.8</formula>
    </cfRule>
  </conditionalFormatting>
  <conditionalFormatting sqref="R84:R91">
    <cfRule type="cellIs" dxfId="19916" priority="355" operator="lessThan">
      <formula>0.8</formula>
    </cfRule>
    <cfRule type="cellIs" dxfId="19915" priority="356" operator="greaterThan">
      <formula>1</formula>
    </cfRule>
  </conditionalFormatting>
  <conditionalFormatting sqref="R84:R91">
    <cfRule type="cellIs" dxfId="19914" priority="353" operator="greaterThan">
      <formula>1</formula>
    </cfRule>
    <cfRule type="cellIs" dxfId="19913" priority="354" operator="lessThan">
      <formula>0.8</formula>
    </cfRule>
  </conditionalFormatting>
  <conditionalFormatting sqref="P84:P91">
    <cfRule type="cellIs" dxfId="19912" priority="352" operator="greaterThan">
      <formula>0</formula>
    </cfRule>
  </conditionalFormatting>
  <conditionalFormatting sqref="Q84:Q91">
    <cfRule type="cellIs" dxfId="19911" priority="357" operator="lessThan">
      <formula>0</formula>
    </cfRule>
  </conditionalFormatting>
  <conditionalFormatting sqref="Q84:Q91">
    <cfRule type="cellIs" dxfId="19910" priority="351" operator="lessThan">
      <formula>0</formula>
    </cfRule>
  </conditionalFormatting>
  <conditionalFormatting sqref="R84:R91">
    <cfRule type="cellIs" dxfId="19909" priority="349" operator="lessThan">
      <formula>0.8</formula>
    </cfRule>
    <cfRule type="cellIs" dxfId="19908" priority="350" operator="greaterThan">
      <formula>1</formula>
    </cfRule>
  </conditionalFormatting>
  <conditionalFormatting sqref="R84:R91">
    <cfRule type="cellIs" dxfId="19907" priority="347" operator="greaterThan">
      <formula>1</formula>
    </cfRule>
    <cfRule type="cellIs" dxfId="19906" priority="348" operator="lessThan">
      <formula>0.8</formula>
    </cfRule>
  </conditionalFormatting>
  <conditionalFormatting sqref="P84:P91">
    <cfRule type="cellIs" dxfId="19905" priority="346" operator="greaterThan">
      <formula>0</formula>
    </cfRule>
  </conditionalFormatting>
  <conditionalFormatting sqref="P84:P91">
    <cfRule type="cellIs" dxfId="19904" priority="340" operator="greaterThan">
      <formula>0</formula>
    </cfRule>
  </conditionalFormatting>
  <conditionalFormatting sqref="Q84:Q91">
    <cfRule type="cellIs" dxfId="19903" priority="345" operator="lessThan">
      <formula>0</formula>
    </cfRule>
  </conditionalFormatting>
  <conditionalFormatting sqref="R84:R91">
    <cfRule type="cellIs" dxfId="19902" priority="343" operator="lessThan">
      <formula>0.8</formula>
    </cfRule>
    <cfRule type="cellIs" dxfId="19901" priority="344" operator="greaterThan">
      <formula>1</formula>
    </cfRule>
  </conditionalFormatting>
  <conditionalFormatting sqref="R84:R91">
    <cfRule type="cellIs" dxfId="19900" priority="341" operator="greaterThan">
      <formula>1</formula>
    </cfRule>
    <cfRule type="cellIs" dxfId="19899" priority="342" operator="lessThan">
      <formula>0.8</formula>
    </cfRule>
  </conditionalFormatting>
  <conditionalFormatting sqref="P84:P91">
    <cfRule type="cellIs" dxfId="19898" priority="334" operator="greaterThan">
      <formula>0</formula>
    </cfRule>
  </conditionalFormatting>
  <conditionalFormatting sqref="Q84:Q91">
    <cfRule type="cellIs" dxfId="19897" priority="339" operator="lessThan">
      <formula>0</formula>
    </cfRule>
  </conditionalFormatting>
  <conditionalFormatting sqref="R84:R91">
    <cfRule type="cellIs" dxfId="19896" priority="337" operator="lessThan">
      <formula>0.8</formula>
    </cfRule>
    <cfRule type="cellIs" dxfId="19895" priority="338" operator="greaterThan">
      <formula>1</formula>
    </cfRule>
  </conditionalFormatting>
  <conditionalFormatting sqref="R84:R91">
    <cfRule type="cellIs" dxfId="19894" priority="335" operator="greaterThan">
      <formula>1</formula>
    </cfRule>
    <cfRule type="cellIs" dxfId="19893" priority="336" operator="lessThan">
      <formula>0.8</formula>
    </cfRule>
  </conditionalFormatting>
  <conditionalFormatting sqref="R84:R91">
    <cfRule type="cellIs" dxfId="19892" priority="331" operator="lessThan">
      <formula>0.8</formula>
    </cfRule>
    <cfRule type="cellIs" dxfId="19891" priority="332" operator="greaterThan">
      <formula>1</formula>
    </cfRule>
  </conditionalFormatting>
  <conditionalFormatting sqref="R84:R91">
    <cfRule type="cellIs" dxfId="19890" priority="329" operator="greaterThan">
      <formula>1</formula>
    </cfRule>
    <cfRule type="cellIs" dxfId="19889" priority="330" operator="lessThan">
      <formula>0.8</formula>
    </cfRule>
  </conditionalFormatting>
  <conditionalFormatting sqref="P84:P91">
    <cfRule type="cellIs" dxfId="19888" priority="328" operator="greaterThan">
      <formula>0</formula>
    </cfRule>
  </conditionalFormatting>
  <conditionalFormatting sqref="Q84:Q91">
    <cfRule type="cellIs" dxfId="19887" priority="333" operator="lessThan">
      <formula>0</formula>
    </cfRule>
  </conditionalFormatting>
  <conditionalFormatting sqref="P84:P91">
    <cfRule type="cellIs" dxfId="19886" priority="322" operator="greaterThan">
      <formula>0</formula>
    </cfRule>
  </conditionalFormatting>
  <conditionalFormatting sqref="Q84:Q91">
    <cfRule type="cellIs" dxfId="19885" priority="327" operator="lessThan">
      <formula>0</formula>
    </cfRule>
  </conditionalFormatting>
  <conditionalFormatting sqref="R84:R91">
    <cfRule type="cellIs" dxfId="19884" priority="325" operator="lessThan">
      <formula>0.8</formula>
    </cfRule>
    <cfRule type="cellIs" dxfId="19883" priority="326" operator="greaterThan">
      <formula>1</formula>
    </cfRule>
  </conditionalFormatting>
  <conditionalFormatting sqref="R84:R91">
    <cfRule type="cellIs" dxfId="19882" priority="323" operator="greaterThan">
      <formula>1</formula>
    </cfRule>
    <cfRule type="cellIs" dxfId="19881" priority="324" operator="lessThan">
      <formula>0.8</formula>
    </cfRule>
  </conditionalFormatting>
  <conditionalFormatting sqref="R84:R91">
    <cfRule type="cellIs" dxfId="19880" priority="319" operator="lessThan">
      <formula>0.8</formula>
    </cfRule>
    <cfRule type="cellIs" dxfId="19879" priority="320" operator="greaterThan">
      <formula>1</formula>
    </cfRule>
  </conditionalFormatting>
  <conditionalFormatting sqref="R84:R91">
    <cfRule type="cellIs" dxfId="19878" priority="317" operator="greaterThan">
      <formula>1</formula>
    </cfRule>
    <cfRule type="cellIs" dxfId="19877" priority="318" operator="lessThan">
      <formula>0.8</formula>
    </cfRule>
  </conditionalFormatting>
  <conditionalFormatting sqref="P84:P91">
    <cfRule type="cellIs" dxfId="19876" priority="316" operator="greaterThan">
      <formula>0</formula>
    </cfRule>
  </conditionalFormatting>
  <conditionalFormatting sqref="Q84:Q91">
    <cfRule type="cellIs" dxfId="19875" priority="321" operator="lessThan">
      <formula>0</formula>
    </cfRule>
  </conditionalFormatting>
  <conditionalFormatting sqref="R84:R91">
    <cfRule type="cellIs" dxfId="19874" priority="313" operator="lessThan">
      <formula>0.8</formula>
    </cfRule>
    <cfRule type="cellIs" dxfId="19873" priority="314" operator="greaterThan">
      <formula>1</formula>
    </cfRule>
  </conditionalFormatting>
  <conditionalFormatting sqref="R84:R91">
    <cfRule type="cellIs" dxfId="19872" priority="311" operator="greaterThan">
      <formula>1</formula>
    </cfRule>
    <cfRule type="cellIs" dxfId="19871" priority="312" operator="lessThan">
      <formula>0.8</formula>
    </cfRule>
  </conditionalFormatting>
  <conditionalFormatting sqref="P84:P91">
    <cfRule type="cellIs" dxfId="19870" priority="310" operator="greaterThan">
      <formula>0</formula>
    </cfRule>
  </conditionalFormatting>
  <conditionalFormatting sqref="Q84:Q91">
    <cfRule type="cellIs" dxfId="19869" priority="315" operator="lessThan">
      <formula>0</formula>
    </cfRule>
  </conditionalFormatting>
  <conditionalFormatting sqref="Q84:Q91">
    <cfRule type="cellIs" dxfId="19868" priority="309" operator="lessThan">
      <formula>0</formula>
    </cfRule>
  </conditionalFormatting>
  <conditionalFormatting sqref="R84:R91">
    <cfRule type="cellIs" dxfId="19867" priority="307" operator="lessThan">
      <formula>0.8</formula>
    </cfRule>
    <cfRule type="cellIs" dxfId="19866" priority="308" operator="greaterThan">
      <formula>1</formula>
    </cfRule>
  </conditionalFormatting>
  <conditionalFormatting sqref="R84:R91">
    <cfRule type="cellIs" dxfId="19865" priority="305" operator="greaterThan">
      <formula>1</formula>
    </cfRule>
    <cfRule type="cellIs" dxfId="19864" priority="306" operator="lessThan">
      <formula>0.8</formula>
    </cfRule>
  </conditionalFormatting>
  <conditionalFormatting sqref="P84:P91">
    <cfRule type="cellIs" dxfId="19863" priority="304" operator="greaterThan">
      <formula>0</formula>
    </cfRule>
  </conditionalFormatting>
  <conditionalFormatting sqref="Q84:Q91">
    <cfRule type="cellIs" dxfId="19862" priority="298" operator="lessThan">
      <formula>0</formula>
    </cfRule>
  </conditionalFormatting>
  <conditionalFormatting sqref="R84:R91">
    <cfRule type="cellIs" dxfId="19861" priority="302" operator="lessThan">
      <formula>0.8</formula>
    </cfRule>
    <cfRule type="cellIs" dxfId="19860" priority="303" operator="greaterThan">
      <formula>1</formula>
    </cfRule>
  </conditionalFormatting>
  <conditionalFormatting sqref="R84:R91">
    <cfRule type="cellIs" dxfId="19859" priority="300" operator="greaterThan">
      <formula>1</formula>
    </cfRule>
    <cfRule type="cellIs" dxfId="19858" priority="301" operator="lessThan">
      <formula>0.8</formula>
    </cfRule>
  </conditionalFormatting>
  <conditionalFormatting sqref="P84:P91">
    <cfRule type="cellIs" dxfId="19857" priority="299" operator="greaterThan">
      <formula>0</formula>
    </cfRule>
  </conditionalFormatting>
  <conditionalFormatting sqref="Q84:Q91">
    <cfRule type="cellIs" dxfId="19856" priority="297" operator="lessThan">
      <formula>0</formula>
    </cfRule>
  </conditionalFormatting>
  <conditionalFormatting sqref="R84:R91">
    <cfRule type="cellIs" dxfId="19855" priority="295" operator="lessThan">
      <formula>0.8</formula>
    </cfRule>
    <cfRule type="cellIs" dxfId="19854" priority="296" operator="greaterThan">
      <formula>1</formula>
    </cfRule>
  </conditionalFormatting>
  <conditionalFormatting sqref="R84:R91">
    <cfRule type="cellIs" dxfId="19853" priority="293" operator="greaterThan">
      <formula>1</formula>
    </cfRule>
    <cfRule type="cellIs" dxfId="19852" priority="294" operator="lessThan">
      <formula>0.8</formula>
    </cfRule>
  </conditionalFormatting>
  <conditionalFormatting sqref="P84:P91">
    <cfRule type="cellIs" dxfId="19851" priority="292" operator="greaterThan">
      <formula>0</formula>
    </cfRule>
  </conditionalFormatting>
  <conditionalFormatting sqref="Q84:Q91">
    <cfRule type="cellIs" dxfId="19850" priority="291" operator="lessThan">
      <formula>0</formula>
    </cfRule>
  </conditionalFormatting>
  <conditionalFormatting sqref="R84:R91">
    <cfRule type="cellIs" dxfId="19849" priority="289" operator="lessThan">
      <formula>0.8</formula>
    </cfRule>
    <cfRule type="cellIs" dxfId="19848" priority="290" operator="greaterThan">
      <formula>1</formula>
    </cfRule>
  </conditionalFormatting>
  <conditionalFormatting sqref="R84:R91">
    <cfRule type="cellIs" dxfId="19847" priority="287" operator="greaterThan">
      <formula>1</formula>
    </cfRule>
    <cfRule type="cellIs" dxfId="19846" priority="288" operator="lessThan">
      <formula>0.8</formula>
    </cfRule>
  </conditionalFormatting>
  <conditionalFormatting sqref="P84:P91">
    <cfRule type="cellIs" dxfId="19845" priority="286" operator="greaterThan">
      <formula>0</formula>
    </cfRule>
  </conditionalFormatting>
  <conditionalFormatting sqref="Q84:Q91">
    <cfRule type="cellIs" dxfId="19844" priority="285" operator="lessThan">
      <formula>0</formula>
    </cfRule>
  </conditionalFormatting>
  <conditionalFormatting sqref="R84:R91">
    <cfRule type="cellIs" dxfId="19843" priority="283" operator="lessThan">
      <formula>0.8</formula>
    </cfRule>
    <cfRule type="cellIs" dxfId="19842" priority="284" operator="greaterThan">
      <formula>1</formula>
    </cfRule>
  </conditionalFormatting>
  <conditionalFormatting sqref="R84:R91">
    <cfRule type="cellIs" dxfId="19841" priority="281" operator="greaterThan">
      <formula>1</formula>
    </cfRule>
    <cfRule type="cellIs" dxfId="19840" priority="282" operator="lessThan">
      <formula>0.8</formula>
    </cfRule>
  </conditionalFormatting>
  <conditionalFormatting sqref="P84:P91">
    <cfRule type="cellIs" dxfId="19839" priority="280" operator="greaterThan">
      <formula>0</formula>
    </cfRule>
  </conditionalFormatting>
  <conditionalFormatting sqref="Q84:Q91">
    <cfRule type="cellIs" dxfId="19838" priority="279" operator="lessThan">
      <formula>0</formula>
    </cfRule>
  </conditionalFormatting>
  <conditionalFormatting sqref="R84:R91">
    <cfRule type="cellIs" dxfId="19837" priority="277" operator="lessThan">
      <formula>0.8</formula>
    </cfRule>
    <cfRule type="cellIs" dxfId="19836" priority="278" operator="greaterThan">
      <formula>1</formula>
    </cfRule>
  </conditionalFormatting>
  <conditionalFormatting sqref="R84:R91">
    <cfRule type="cellIs" dxfId="19835" priority="275" operator="greaterThan">
      <formula>1</formula>
    </cfRule>
    <cfRule type="cellIs" dxfId="19834" priority="276" operator="lessThan">
      <formula>0.8</formula>
    </cfRule>
  </conditionalFormatting>
  <conditionalFormatting sqref="P84:P91">
    <cfRule type="cellIs" dxfId="19833" priority="274" operator="greaterThan">
      <formula>0</formula>
    </cfRule>
  </conditionalFormatting>
  <conditionalFormatting sqref="Q84:Q91">
    <cfRule type="cellIs" dxfId="19832" priority="273" operator="lessThan">
      <formula>0</formula>
    </cfRule>
  </conditionalFormatting>
  <conditionalFormatting sqref="R84:R91">
    <cfRule type="cellIs" dxfId="19831" priority="271" operator="lessThan">
      <formula>0.8</formula>
    </cfRule>
    <cfRule type="cellIs" dxfId="19830" priority="272" operator="greaterThan">
      <formula>1</formula>
    </cfRule>
  </conditionalFormatting>
  <conditionalFormatting sqref="R84:R91">
    <cfRule type="cellIs" dxfId="19829" priority="269" operator="greaterThan">
      <formula>1</formula>
    </cfRule>
    <cfRule type="cellIs" dxfId="19828" priority="270" operator="lessThan">
      <formula>0.8</formula>
    </cfRule>
  </conditionalFormatting>
  <conditionalFormatting sqref="P84:P91">
    <cfRule type="cellIs" dxfId="19827" priority="268" operator="greaterThan">
      <formula>0</formula>
    </cfRule>
  </conditionalFormatting>
  <conditionalFormatting sqref="P84:P91">
    <cfRule type="cellIs" dxfId="19826" priority="262" operator="greaterThan">
      <formula>0</formula>
    </cfRule>
  </conditionalFormatting>
  <conditionalFormatting sqref="Q84:Q91">
    <cfRule type="cellIs" dxfId="19825" priority="267" operator="lessThan">
      <formula>0</formula>
    </cfRule>
  </conditionalFormatting>
  <conditionalFormatting sqref="R84:R91">
    <cfRule type="cellIs" dxfId="19824" priority="265" operator="lessThan">
      <formula>0.8</formula>
    </cfRule>
    <cfRule type="cellIs" dxfId="19823" priority="266" operator="greaterThan">
      <formula>1</formula>
    </cfRule>
  </conditionalFormatting>
  <conditionalFormatting sqref="R84:R91">
    <cfRule type="cellIs" dxfId="19822" priority="263" operator="greaterThan">
      <formula>1</formula>
    </cfRule>
    <cfRule type="cellIs" dxfId="19821" priority="264" operator="lessThan">
      <formula>0.8</formula>
    </cfRule>
  </conditionalFormatting>
  <conditionalFormatting sqref="P84:P91">
    <cfRule type="cellIs" dxfId="19820" priority="256" operator="greaterThan">
      <formula>0</formula>
    </cfRule>
  </conditionalFormatting>
  <conditionalFormatting sqref="Q84:Q91">
    <cfRule type="cellIs" dxfId="19819" priority="261" operator="lessThan">
      <formula>0</formula>
    </cfRule>
  </conditionalFormatting>
  <conditionalFormatting sqref="R84:R91">
    <cfRule type="cellIs" dxfId="19818" priority="259" operator="lessThan">
      <formula>0.8</formula>
    </cfRule>
    <cfRule type="cellIs" dxfId="19817" priority="260" operator="greaterThan">
      <formula>1</formula>
    </cfRule>
  </conditionalFormatting>
  <conditionalFormatting sqref="R84:R91">
    <cfRule type="cellIs" dxfId="19816" priority="257" operator="greaterThan">
      <formula>1</formula>
    </cfRule>
    <cfRule type="cellIs" dxfId="19815" priority="258" operator="lessThan">
      <formula>0.8</formula>
    </cfRule>
  </conditionalFormatting>
  <conditionalFormatting sqref="R84:R91">
    <cfRule type="cellIs" dxfId="19814" priority="253" operator="lessThan">
      <formula>0.8</formula>
    </cfRule>
    <cfRule type="cellIs" dxfId="19813" priority="254" operator="greaterThan">
      <formula>1</formula>
    </cfRule>
  </conditionalFormatting>
  <conditionalFormatting sqref="R84:R91">
    <cfRule type="cellIs" dxfId="19812" priority="251" operator="greaterThan">
      <formula>1</formula>
    </cfRule>
    <cfRule type="cellIs" dxfId="19811" priority="252" operator="lessThan">
      <formula>0.8</formula>
    </cfRule>
  </conditionalFormatting>
  <conditionalFormatting sqref="P84:P91">
    <cfRule type="cellIs" dxfId="19810" priority="250" operator="greaterThan">
      <formula>0</formula>
    </cfRule>
  </conditionalFormatting>
  <conditionalFormatting sqref="Q84:Q91">
    <cfRule type="cellIs" dxfId="19809" priority="255" operator="lessThan">
      <formula>0</formula>
    </cfRule>
  </conditionalFormatting>
  <conditionalFormatting sqref="Q84:Q91">
    <cfRule type="cellIs" dxfId="19808" priority="249" operator="lessThan">
      <formula>0</formula>
    </cfRule>
  </conditionalFormatting>
  <conditionalFormatting sqref="R84:R91">
    <cfRule type="cellIs" dxfId="19807" priority="247" operator="lessThan">
      <formula>0.8</formula>
    </cfRule>
    <cfRule type="cellIs" dxfId="19806" priority="248" operator="greaterThan">
      <formula>1</formula>
    </cfRule>
  </conditionalFormatting>
  <conditionalFormatting sqref="R84:R91">
    <cfRule type="cellIs" dxfId="19805" priority="245" operator="greaterThan">
      <formula>1</formula>
    </cfRule>
    <cfRule type="cellIs" dxfId="19804" priority="246" operator="lessThan">
      <formula>0.8</formula>
    </cfRule>
  </conditionalFormatting>
  <conditionalFormatting sqref="P84:P91">
    <cfRule type="cellIs" dxfId="19803" priority="244" operator="greaterThan">
      <formula>0</formula>
    </cfRule>
  </conditionalFormatting>
  <conditionalFormatting sqref="Q84:Q91">
    <cfRule type="cellIs" dxfId="19802" priority="243" operator="lessThan">
      <formula>0</formula>
    </cfRule>
  </conditionalFormatting>
  <conditionalFormatting sqref="R84:R91">
    <cfRule type="cellIs" dxfId="19801" priority="241" operator="lessThan">
      <formula>0.8</formula>
    </cfRule>
    <cfRule type="cellIs" dxfId="19800" priority="242" operator="greaterThan">
      <formula>1</formula>
    </cfRule>
  </conditionalFormatting>
  <conditionalFormatting sqref="R84:R91">
    <cfRule type="cellIs" dxfId="19799" priority="239" operator="greaterThan">
      <formula>1</formula>
    </cfRule>
    <cfRule type="cellIs" dxfId="19798" priority="240" operator="lessThan">
      <formula>0.8</formula>
    </cfRule>
  </conditionalFormatting>
  <conditionalFormatting sqref="P84:P91">
    <cfRule type="cellIs" dxfId="19797" priority="238" operator="greaterThan">
      <formula>0</formula>
    </cfRule>
  </conditionalFormatting>
  <conditionalFormatting sqref="Q84:Q91">
    <cfRule type="cellIs" dxfId="19796" priority="237" operator="lessThan">
      <formula>0</formula>
    </cfRule>
  </conditionalFormatting>
  <conditionalFormatting sqref="R84:R91">
    <cfRule type="cellIs" dxfId="19795" priority="235" operator="lessThan">
      <formula>0.8</formula>
    </cfRule>
    <cfRule type="cellIs" dxfId="19794" priority="236" operator="greaterThan">
      <formula>1</formula>
    </cfRule>
  </conditionalFormatting>
  <conditionalFormatting sqref="R84:R91">
    <cfRule type="cellIs" dxfId="19793" priority="233" operator="greaterThan">
      <formula>1</formula>
    </cfRule>
    <cfRule type="cellIs" dxfId="19792" priority="234" operator="lessThan">
      <formula>0.8</formula>
    </cfRule>
  </conditionalFormatting>
  <conditionalFormatting sqref="P84:P91">
    <cfRule type="cellIs" dxfId="19791" priority="232" operator="greaterThan">
      <formula>0</formula>
    </cfRule>
  </conditionalFormatting>
  <conditionalFormatting sqref="Q84:Q91">
    <cfRule type="cellIs" dxfId="19790" priority="231" operator="lessThan">
      <formula>0</formula>
    </cfRule>
  </conditionalFormatting>
  <conditionalFormatting sqref="R84:R91">
    <cfRule type="cellIs" dxfId="19789" priority="229" operator="lessThan">
      <formula>0.8</formula>
    </cfRule>
    <cfRule type="cellIs" dxfId="19788" priority="230" operator="greaterThan">
      <formula>1</formula>
    </cfRule>
  </conditionalFormatting>
  <conditionalFormatting sqref="R84:R91">
    <cfRule type="cellIs" dxfId="19787" priority="227" operator="greaterThan">
      <formula>1</formula>
    </cfRule>
    <cfRule type="cellIs" dxfId="19786" priority="228" operator="lessThan">
      <formula>0.8</formula>
    </cfRule>
  </conditionalFormatting>
  <conditionalFormatting sqref="P84:P91">
    <cfRule type="cellIs" dxfId="19785" priority="226" operator="greaterThan">
      <formula>0</formula>
    </cfRule>
  </conditionalFormatting>
  <conditionalFormatting sqref="P84:P91">
    <cfRule type="cellIs" dxfId="19784" priority="220" operator="greaterThan">
      <formula>0</formula>
    </cfRule>
  </conditionalFormatting>
  <conditionalFormatting sqref="Q84:Q91">
    <cfRule type="cellIs" dxfId="19783" priority="225" operator="lessThan">
      <formula>0</formula>
    </cfRule>
  </conditionalFormatting>
  <conditionalFormatting sqref="R84:R91">
    <cfRule type="cellIs" dxfId="19782" priority="223" operator="lessThan">
      <formula>0.8</formula>
    </cfRule>
    <cfRule type="cellIs" dxfId="19781" priority="224" operator="greaterThan">
      <formula>1</formula>
    </cfRule>
  </conditionalFormatting>
  <conditionalFormatting sqref="R84:R91">
    <cfRule type="cellIs" dxfId="19780" priority="221" operator="greaterThan">
      <formula>1</formula>
    </cfRule>
    <cfRule type="cellIs" dxfId="19779" priority="222" operator="lessThan">
      <formula>0.8</formula>
    </cfRule>
  </conditionalFormatting>
  <conditionalFormatting sqref="P84:P91">
    <cfRule type="cellIs" dxfId="19778" priority="214" operator="greaterThan">
      <formula>0</formula>
    </cfRule>
  </conditionalFormatting>
  <conditionalFormatting sqref="Q84:Q91">
    <cfRule type="cellIs" dxfId="19777" priority="219" operator="lessThan">
      <formula>0</formula>
    </cfRule>
  </conditionalFormatting>
  <conditionalFormatting sqref="R84:R91">
    <cfRule type="cellIs" dxfId="19776" priority="217" operator="lessThan">
      <formula>0.8</formula>
    </cfRule>
    <cfRule type="cellIs" dxfId="19775" priority="218" operator="greaterThan">
      <formula>1</formula>
    </cfRule>
  </conditionalFormatting>
  <conditionalFormatting sqref="R84:R91">
    <cfRule type="cellIs" dxfId="19774" priority="215" operator="greaterThan">
      <formula>1</formula>
    </cfRule>
    <cfRule type="cellIs" dxfId="19773" priority="216" operator="lessThan">
      <formula>0.8</formula>
    </cfRule>
  </conditionalFormatting>
  <conditionalFormatting sqref="R84:R91">
    <cfRule type="cellIs" dxfId="19772" priority="211" operator="lessThan">
      <formula>0.8</formula>
    </cfRule>
    <cfRule type="cellIs" dxfId="19771" priority="212" operator="greaterThan">
      <formula>1</formula>
    </cfRule>
  </conditionalFormatting>
  <conditionalFormatting sqref="R84:R91">
    <cfRule type="cellIs" dxfId="19770" priority="209" operator="greaterThan">
      <formula>1</formula>
    </cfRule>
    <cfRule type="cellIs" dxfId="19769" priority="210" operator="lessThan">
      <formula>0.8</formula>
    </cfRule>
  </conditionalFormatting>
  <conditionalFormatting sqref="P84:P91">
    <cfRule type="cellIs" dxfId="19768" priority="208" operator="greaterThan">
      <formula>0</formula>
    </cfRule>
  </conditionalFormatting>
  <conditionalFormatting sqref="Q84:Q91">
    <cfRule type="cellIs" dxfId="19767" priority="213" operator="lessThan">
      <formula>0</formula>
    </cfRule>
  </conditionalFormatting>
  <conditionalFormatting sqref="Q84:Q91">
    <cfRule type="cellIs" dxfId="19766" priority="207" operator="lessThan">
      <formula>0</formula>
    </cfRule>
  </conditionalFormatting>
  <conditionalFormatting sqref="R84:R91">
    <cfRule type="cellIs" dxfId="19765" priority="205" operator="lessThan">
      <formula>0.8</formula>
    </cfRule>
    <cfRule type="cellIs" dxfId="19764" priority="206" operator="greaterThan">
      <formula>1</formula>
    </cfRule>
  </conditionalFormatting>
  <conditionalFormatting sqref="R84:R91">
    <cfRule type="cellIs" dxfId="19763" priority="203" operator="greaterThan">
      <formula>1</formula>
    </cfRule>
    <cfRule type="cellIs" dxfId="19762" priority="204" operator="lessThan">
      <formula>0.8</formula>
    </cfRule>
  </conditionalFormatting>
  <conditionalFormatting sqref="P84:P91">
    <cfRule type="cellIs" dxfId="19761" priority="202" operator="greaterThan">
      <formula>0</formula>
    </cfRule>
  </conditionalFormatting>
  <conditionalFormatting sqref="P84:P91">
    <cfRule type="cellIs" dxfId="19760" priority="196" operator="greaterThan">
      <formula>0</formula>
    </cfRule>
  </conditionalFormatting>
  <conditionalFormatting sqref="Q84:Q91">
    <cfRule type="cellIs" dxfId="19759" priority="201" operator="lessThan">
      <formula>0</formula>
    </cfRule>
  </conditionalFormatting>
  <conditionalFormatting sqref="R84:R91">
    <cfRule type="cellIs" dxfId="19758" priority="199" operator="lessThan">
      <formula>0.8</formula>
    </cfRule>
    <cfRule type="cellIs" dxfId="19757" priority="200" operator="greaterThan">
      <formula>1</formula>
    </cfRule>
  </conditionalFormatting>
  <conditionalFormatting sqref="R84:R91">
    <cfRule type="cellIs" dxfId="19756" priority="197" operator="greaterThan">
      <formula>1</formula>
    </cfRule>
    <cfRule type="cellIs" dxfId="19755" priority="198" operator="lessThan">
      <formula>0.8</formula>
    </cfRule>
  </conditionalFormatting>
  <conditionalFormatting sqref="P84:P91">
    <cfRule type="cellIs" dxfId="19754" priority="190" operator="greaterThan">
      <formula>0</formula>
    </cfRule>
  </conditionalFormatting>
  <conditionalFormatting sqref="Q84:Q91">
    <cfRule type="cellIs" dxfId="19753" priority="195" operator="lessThan">
      <formula>0</formula>
    </cfRule>
  </conditionalFormatting>
  <conditionalFormatting sqref="R84:R91">
    <cfRule type="cellIs" dxfId="19752" priority="193" operator="lessThan">
      <formula>0.8</formula>
    </cfRule>
    <cfRule type="cellIs" dxfId="19751" priority="194" operator="greaterThan">
      <formula>1</formula>
    </cfRule>
  </conditionalFormatting>
  <conditionalFormatting sqref="R84:R91">
    <cfRule type="cellIs" dxfId="19750" priority="191" operator="greaterThan">
      <formula>1</formula>
    </cfRule>
    <cfRule type="cellIs" dxfId="19749" priority="192" operator="lessThan">
      <formula>0.8</formula>
    </cfRule>
  </conditionalFormatting>
  <conditionalFormatting sqref="R84:R91">
    <cfRule type="cellIs" dxfId="19748" priority="187" operator="lessThan">
      <formula>0.8</formula>
    </cfRule>
    <cfRule type="cellIs" dxfId="19747" priority="188" operator="greaterThan">
      <formula>1</formula>
    </cfRule>
  </conditionalFormatting>
  <conditionalFormatting sqref="R84:R91">
    <cfRule type="cellIs" dxfId="19746" priority="185" operator="greaterThan">
      <formula>1</formula>
    </cfRule>
    <cfRule type="cellIs" dxfId="19745" priority="186" operator="lessThan">
      <formula>0.8</formula>
    </cfRule>
  </conditionalFormatting>
  <conditionalFormatting sqref="P84:P91">
    <cfRule type="cellIs" dxfId="19744" priority="184" operator="greaterThan">
      <formula>0</formula>
    </cfRule>
  </conditionalFormatting>
  <conditionalFormatting sqref="Q84:Q91">
    <cfRule type="cellIs" dxfId="19743" priority="189" operator="lessThan">
      <formula>0</formula>
    </cfRule>
  </conditionalFormatting>
  <conditionalFormatting sqref="P84:P91">
    <cfRule type="cellIs" dxfId="19742" priority="178" operator="greaterThan">
      <formula>0</formula>
    </cfRule>
  </conditionalFormatting>
  <conditionalFormatting sqref="Q84:Q91">
    <cfRule type="cellIs" dxfId="19741" priority="183" operator="lessThan">
      <formula>0</formula>
    </cfRule>
  </conditionalFormatting>
  <conditionalFormatting sqref="R84:R91">
    <cfRule type="cellIs" dxfId="19740" priority="181" operator="lessThan">
      <formula>0.8</formula>
    </cfRule>
    <cfRule type="cellIs" dxfId="19739" priority="182" operator="greaterThan">
      <formula>1</formula>
    </cfRule>
  </conditionalFormatting>
  <conditionalFormatting sqref="R84:R91">
    <cfRule type="cellIs" dxfId="19738" priority="179" operator="greaterThan">
      <formula>1</formula>
    </cfRule>
    <cfRule type="cellIs" dxfId="19737" priority="180" operator="lessThan">
      <formula>0.8</formula>
    </cfRule>
  </conditionalFormatting>
  <conditionalFormatting sqref="R84:R91">
    <cfRule type="cellIs" dxfId="19736" priority="175" operator="lessThan">
      <formula>0.8</formula>
    </cfRule>
    <cfRule type="cellIs" dxfId="19735" priority="176" operator="greaterThan">
      <formula>1</formula>
    </cfRule>
  </conditionalFormatting>
  <conditionalFormatting sqref="R84:R91">
    <cfRule type="cellIs" dxfId="19734" priority="173" operator="greaterThan">
      <formula>1</formula>
    </cfRule>
    <cfRule type="cellIs" dxfId="19733" priority="174" operator="lessThan">
      <formula>0.8</formula>
    </cfRule>
  </conditionalFormatting>
  <conditionalFormatting sqref="P84:P91">
    <cfRule type="cellIs" dxfId="19732" priority="172" operator="greaterThan">
      <formula>0</formula>
    </cfRule>
  </conditionalFormatting>
  <conditionalFormatting sqref="Q84:Q91">
    <cfRule type="cellIs" dxfId="19731" priority="177" operator="lessThan">
      <formula>0</formula>
    </cfRule>
  </conditionalFormatting>
  <conditionalFormatting sqref="R84:R91">
    <cfRule type="cellIs" dxfId="19730" priority="169" operator="lessThan">
      <formula>0.8</formula>
    </cfRule>
    <cfRule type="cellIs" dxfId="19729" priority="170" operator="greaterThan">
      <formula>1</formula>
    </cfRule>
  </conditionalFormatting>
  <conditionalFormatting sqref="R84:R91">
    <cfRule type="cellIs" dxfId="19728" priority="167" operator="greaterThan">
      <formula>1</formula>
    </cfRule>
    <cfRule type="cellIs" dxfId="19727" priority="168" operator="lessThan">
      <formula>0.8</formula>
    </cfRule>
  </conditionalFormatting>
  <conditionalFormatting sqref="P84:P91">
    <cfRule type="cellIs" dxfId="19726" priority="166" operator="greaterThan">
      <formula>0</formula>
    </cfRule>
  </conditionalFormatting>
  <conditionalFormatting sqref="Q84:Q91">
    <cfRule type="cellIs" dxfId="19725" priority="171" operator="lessThan">
      <formula>0</formula>
    </cfRule>
  </conditionalFormatting>
  <conditionalFormatting sqref="Q84:Q91">
    <cfRule type="cellIs" dxfId="19724" priority="165" operator="lessThan">
      <formula>0</formula>
    </cfRule>
  </conditionalFormatting>
  <conditionalFormatting sqref="R84:R91">
    <cfRule type="cellIs" dxfId="19723" priority="163" operator="lessThan">
      <formula>0.8</formula>
    </cfRule>
    <cfRule type="cellIs" dxfId="19722" priority="164" operator="greaterThan">
      <formula>1</formula>
    </cfRule>
  </conditionalFormatting>
  <conditionalFormatting sqref="R84:R91">
    <cfRule type="cellIs" dxfId="19721" priority="161" operator="greaterThan">
      <formula>1</formula>
    </cfRule>
    <cfRule type="cellIs" dxfId="19720" priority="162" operator="lessThan">
      <formula>0.8</formula>
    </cfRule>
  </conditionalFormatting>
  <conditionalFormatting sqref="P84:P91">
    <cfRule type="cellIs" dxfId="19719" priority="160" operator="greaterThan">
      <formula>0</formula>
    </cfRule>
  </conditionalFormatting>
  <conditionalFormatting sqref="Q84:Q91">
    <cfRule type="cellIs" dxfId="19718" priority="154" operator="lessThan">
      <formula>0</formula>
    </cfRule>
  </conditionalFormatting>
  <conditionalFormatting sqref="R84:R91">
    <cfRule type="cellIs" dxfId="19717" priority="158" operator="lessThan">
      <formula>0.8</formula>
    </cfRule>
    <cfRule type="cellIs" dxfId="19716" priority="159" operator="greaterThan">
      <formula>1</formula>
    </cfRule>
  </conditionalFormatting>
  <conditionalFormatting sqref="R84:R91">
    <cfRule type="cellIs" dxfId="19715" priority="156" operator="greaterThan">
      <formula>1</formula>
    </cfRule>
    <cfRule type="cellIs" dxfId="19714" priority="157" operator="lessThan">
      <formula>0.8</formula>
    </cfRule>
  </conditionalFormatting>
  <conditionalFormatting sqref="P84:P91">
    <cfRule type="cellIs" dxfId="19713" priority="155" operator="greaterThan">
      <formula>0</formula>
    </cfRule>
  </conditionalFormatting>
  <conditionalFormatting sqref="Q84:Q91">
    <cfRule type="cellIs" dxfId="19712" priority="153" operator="lessThan">
      <formula>0</formula>
    </cfRule>
  </conditionalFormatting>
  <conditionalFormatting sqref="R84:R91">
    <cfRule type="cellIs" dxfId="19711" priority="151" operator="lessThan">
      <formula>0.8</formula>
    </cfRule>
    <cfRule type="cellIs" dxfId="19710" priority="152" operator="greaterThan">
      <formula>1</formula>
    </cfRule>
  </conditionalFormatting>
  <conditionalFormatting sqref="R84:R91">
    <cfRule type="cellIs" dxfId="19709" priority="149" operator="greaterThan">
      <formula>1</formula>
    </cfRule>
    <cfRule type="cellIs" dxfId="19708" priority="150" operator="lessThan">
      <formula>0.8</formula>
    </cfRule>
  </conditionalFormatting>
  <conditionalFormatting sqref="P84:P91">
    <cfRule type="cellIs" dxfId="19707" priority="148" operator="greaterThan">
      <formula>0</formula>
    </cfRule>
  </conditionalFormatting>
  <conditionalFormatting sqref="Q84:Q91">
    <cfRule type="cellIs" dxfId="19706" priority="147" operator="lessThan">
      <formula>0</formula>
    </cfRule>
  </conditionalFormatting>
  <conditionalFormatting sqref="R84:R91">
    <cfRule type="cellIs" dxfId="19705" priority="145" operator="lessThan">
      <formula>0.8</formula>
    </cfRule>
    <cfRule type="cellIs" dxfId="19704" priority="146" operator="greaterThan">
      <formula>1</formula>
    </cfRule>
  </conditionalFormatting>
  <conditionalFormatting sqref="R84:R91">
    <cfRule type="cellIs" dxfId="19703" priority="143" operator="greaterThan">
      <formula>1</formula>
    </cfRule>
    <cfRule type="cellIs" dxfId="19702" priority="144" operator="lessThan">
      <formula>0.8</formula>
    </cfRule>
  </conditionalFormatting>
  <conditionalFormatting sqref="P84:P91">
    <cfRule type="cellIs" dxfId="19701" priority="142" operator="greaterThan">
      <formula>0</formula>
    </cfRule>
  </conditionalFormatting>
  <conditionalFormatting sqref="Q84:Q91">
    <cfRule type="cellIs" dxfId="19700" priority="141" operator="lessThan">
      <formula>0</formula>
    </cfRule>
  </conditionalFormatting>
  <conditionalFormatting sqref="R84:R91">
    <cfRule type="cellIs" dxfId="19699" priority="139" operator="lessThan">
      <formula>0.8</formula>
    </cfRule>
    <cfRule type="cellIs" dxfId="19698" priority="140" operator="greaterThan">
      <formula>1</formula>
    </cfRule>
  </conditionalFormatting>
  <conditionalFormatting sqref="R84:R91">
    <cfRule type="cellIs" dxfId="19697" priority="137" operator="greaterThan">
      <formula>1</formula>
    </cfRule>
    <cfRule type="cellIs" dxfId="19696" priority="138" operator="lessThan">
      <formula>0.8</formula>
    </cfRule>
  </conditionalFormatting>
  <conditionalFormatting sqref="P84:P91">
    <cfRule type="cellIs" dxfId="19695" priority="136" operator="greaterThan">
      <formula>0</formula>
    </cfRule>
  </conditionalFormatting>
  <conditionalFormatting sqref="Q84:Q91">
    <cfRule type="cellIs" dxfId="19694" priority="135" operator="lessThan">
      <formula>0</formula>
    </cfRule>
  </conditionalFormatting>
  <conditionalFormatting sqref="R84:R91">
    <cfRule type="cellIs" dxfId="19693" priority="133" operator="lessThan">
      <formula>0.8</formula>
    </cfRule>
    <cfRule type="cellIs" dxfId="19692" priority="134" operator="greaterThan">
      <formula>1</formula>
    </cfRule>
  </conditionalFormatting>
  <conditionalFormatting sqref="R84:R91">
    <cfRule type="cellIs" dxfId="19691" priority="131" operator="greaterThan">
      <formula>1</formula>
    </cfRule>
    <cfRule type="cellIs" dxfId="19690" priority="132" operator="lessThan">
      <formula>0.8</formula>
    </cfRule>
  </conditionalFormatting>
  <conditionalFormatting sqref="P84:P91">
    <cfRule type="cellIs" dxfId="19689" priority="130" operator="greaterThan">
      <formula>0</formula>
    </cfRule>
  </conditionalFormatting>
  <conditionalFormatting sqref="Q84:Q91">
    <cfRule type="cellIs" dxfId="19688" priority="129" operator="lessThan">
      <formula>0</formula>
    </cfRule>
  </conditionalFormatting>
  <conditionalFormatting sqref="R84:R91">
    <cfRule type="cellIs" dxfId="19687" priority="127" operator="lessThan">
      <formula>0.8</formula>
    </cfRule>
    <cfRule type="cellIs" dxfId="19686" priority="128" operator="greaterThan">
      <formula>1</formula>
    </cfRule>
  </conditionalFormatting>
  <conditionalFormatting sqref="R84:R91">
    <cfRule type="cellIs" dxfId="19685" priority="125" operator="greaterThan">
      <formula>1</formula>
    </cfRule>
    <cfRule type="cellIs" dxfId="19684" priority="126" operator="lessThan">
      <formula>0.8</formula>
    </cfRule>
  </conditionalFormatting>
  <conditionalFormatting sqref="P84:P91">
    <cfRule type="cellIs" dxfId="19683" priority="124" operator="greaterThan">
      <formula>0</formula>
    </cfRule>
  </conditionalFormatting>
  <conditionalFormatting sqref="P84:P91">
    <cfRule type="cellIs" dxfId="19682" priority="118" operator="greaterThan">
      <formula>0</formula>
    </cfRule>
  </conditionalFormatting>
  <conditionalFormatting sqref="Q84:Q91">
    <cfRule type="cellIs" dxfId="19681" priority="123" operator="lessThan">
      <formula>0</formula>
    </cfRule>
  </conditionalFormatting>
  <conditionalFormatting sqref="R84:R91">
    <cfRule type="cellIs" dxfId="19680" priority="121" operator="lessThan">
      <formula>0.8</formula>
    </cfRule>
    <cfRule type="cellIs" dxfId="19679" priority="122" operator="greaterThan">
      <formula>1</formula>
    </cfRule>
  </conditionalFormatting>
  <conditionalFormatting sqref="R84:R91">
    <cfRule type="cellIs" dxfId="19678" priority="119" operator="greaterThan">
      <formula>1</formula>
    </cfRule>
    <cfRule type="cellIs" dxfId="19677" priority="120" operator="lessThan">
      <formula>0.8</formula>
    </cfRule>
  </conditionalFormatting>
  <conditionalFormatting sqref="P84:P91">
    <cfRule type="cellIs" dxfId="19676" priority="112" operator="greaterThan">
      <formula>0</formula>
    </cfRule>
  </conditionalFormatting>
  <conditionalFormatting sqref="Q84:Q91">
    <cfRule type="cellIs" dxfId="19675" priority="117" operator="lessThan">
      <formula>0</formula>
    </cfRule>
  </conditionalFormatting>
  <conditionalFormatting sqref="R84:R91">
    <cfRule type="cellIs" dxfId="19674" priority="115" operator="lessThan">
      <formula>0.8</formula>
    </cfRule>
    <cfRule type="cellIs" dxfId="19673" priority="116" operator="greaterThan">
      <formula>1</formula>
    </cfRule>
  </conditionalFormatting>
  <conditionalFormatting sqref="R84:R91">
    <cfRule type="cellIs" dxfId="19672" priority="113" operator="greaterThan">
      <formula>1</formula>
    </cfRule>
    <cfRule type="cellIs" dxfId="19671" priority="114" operator="lessThan">
      <formula>0.8</formula>
    </cfRule>
  </conditionalFormatting>
  <conditionalFormatting sqref="R84:R91">
    <cfRule type="cellIs" dxfId="19670" priority="109" operator="lessThan">
      <formula>0.8</formula>
    </cfRule>
    <cfRule type="cellIs" dxfId="19669" priority="110" operator="greaterThan">
      <formula>1</formula>
    </cfRule>
  </conditionalFormatting>
  <conditionalFormatting sqref="R84:R91">
    <cfRule type="cellIs" dxfId="19668" priority="107" operator="greaterThan">
      <formula>1</formula>
    </cfRule>
    <cfRule type="cellIs" dxfId="19667" priority="108" operator="lessThan">
      <formula>0.8</formula>
    </cfRule>
  </conditionalFormatting>
  <conditionalFormatting sqref="P84:P91">
    <cfRule type="cellIs" dxfId="19666" priority="106" operator="greaterThan">
      <formula>0</formula>
    </cfRule>
  </conditionalFormatting>
  <conditionalFormatting sqref="Q84:Q91">
    <cfRule type="cellIs" dxfId="19665" priority="111" operator="lessThan">
      <formula>0</formula>
    </cfRule>
  </conditionalFormatting>
  <conditionalFormatting sqref="Q84:Q91">
    <cfRule type="cellIs" dxfId="19664" priority="100" operator="lessThan">
      <formula>0</formula>
    </cfRule>
  </conditionalFormatting>
  <conditionalFormatting sqref="P84:P91">
    <cfRule type="cellIs" dxfId="19663" priority="101" operator="greaterThan">
      <formula>0</formula>
    </cfRule>
  </conditionalFormatting>
  <conditionalFormatting sqref="R84:R91">
    <cfRule type="cellIs" dxfId="19662" priority="104" operator="lessThan">
      <formula>0.8</formula>
    </cfRule>
    <cfRule type="cellIs" dxfId="19661" priority="105" operator="greaterThan">
      <formula>1</formula>
    </cfRule>
  </conditionalFormatting>
  <conditionalFormatting sqref="R84:R91">
    <cfRule type="cellIs" dxfId="19660" priority="102" operator="greaterThan">
      <formula>1</formula>
    </cfRule>
    <cfRule type="cellIs" dxfId="19659" priority="103" operator="lessThan">
      <formula>0.8</formula>
    </cfRule>
  </conditionalFormatting>
  <conditionalFormatting sqref="Q84:Q91">
    <cfRule type="cellIs" dxfId="19658" priority="94" operator="lessThan">
      <formula>0</formula>
    </cfRule>
  </conditionalFormatting>
  <conditionalFormatting sqref="R84:R91">
    <cfRule type="cellIs" dxfId="19657" priority="98" operator="lessThan">
      <formula>0.8</formula>
    </cfRule>
    <cfRule type="cellIs" dxfId="19656" priority="99" operator="greaterThan">
      <formula>1</formula>
    </cfRule>
  </conditionalFormatting>
  <conditionalFormatting sqref="R84:R91">
    <cfRule type="cellIs" dxfId="19655" priority="96" operator="greaterThan">
      <formula>1</formula>
    </cfRule>
    <cfRule type="cellIs" dxfId="19654" priority="97" operator="lessThan">
      <formula>0.8</formula>
    </cfRule>
  </conditionalFormatting>
  <conditionalFormatting sqref="P84:P91">
    <cfRule type="cellIs" dxfId="19653" priority="95" operator="greaterThan">
      <formula>0</formula>
    </cfRule>
  </conditionalFormatting>
  <conditionalFormatting sqref="Q84:Q91">
    <cfRule type="cellIs" dxfId="19652" priority="93" operator="lessThan">
      <formula>0</formula>
    </cfRule>
  </conditionalFormatting>
  <conditionalFormatting sqref="R84:R91">
    <cfRule type="cellIs" dxfId="19651" priority="91" operator="lessThan">
      <formula>0.8</formula>
    </cfRule>
    <cfRule type="cellIs" dxfId="19650" priority="92" operator="greaterThan">
      <formula>1</formula>
    </cfRule>
  </conditionalFormatting>
  <conditionalFormatting sqref="R84:R91">
    <cfRule type="cellIs" dxfId="19649" priority="89" operator="greaterThan">
      <formula>1</formula>
    </cfRule>
    <cfRule type="cellIs" dxfId="19648" priority="90" operator="lessThan">
      <formula>0.8</formula>
    </cfRule>
  </conditionalFormatting>
  <conditionalFormatting sqref="P84:P91">
    <cfRule type="cellIs" dxfId="19647" priority="88" operator="greaterThan">
      <formula>0</formula>
    </cfRule>
  </conditionalFormatting>
  <conditionalFormatting sqref="Q84:Q91">
    <cfRule type="cellIs" dxfId="19646" priority="87" operator="lessThan">
      <formula>0</formula>
    </cfRule>
  </conditionalFormatting>
  <conditionalFormatting sqref="R84:R91">
    <cfRule type="cellIs" dxfId="19645" priority="85" operator="lessThan">
      <formula>0.8</formula>
    </cfRule>
    <cfRule type="cellIs" dxfId="19644" priority="86" operator="greaterThan">
      <formula>1</formula>
    </cfRule>
  </conditionalFormatting>
  <conditionalFormatting sqref="R84:R91">
    <cfRule type="cellIs" dxfId="19643" priority="83" operator="greaterThan">
      <formula>1</formula>
    </cfRule>
    <cfRule type="cellIs" dxfId="19642" priority="84" operator="lessThan">
      <formula>0.8</formula>
    </cfRule>
  </conditionalFormatting>
  <conditionalFormatting sqref="P84:P91">
    <cfRule type="cellIs" dxfId="19641" priority="82" operator="greaterThan">
      <formula>0</formula>
    </cfRule>
  </conditionalFormatting>
  <conditionalFormatting sqref="Q84:Q91">
    <cfRule type="cellIs" dxfId="19640" priority="81" operator="lessThan">
      <formula>0</formula>
    </cfRule>
  </conditionalFormatting>
  <conditionalFormatting sqref="R84:R91">
    <cfRule type="cellIs" dxfId="19639" priority="79" operator="lessThan">
      <formula>0.8</formula>
    </cfRule>
    <cfRule type="cellIs" dxfId="19638" priority="80" operator="greaterThan">
      <formula>1</formula>
    </cfRule>
  </conditionalFormatting>
  <conditionalFormatting sqref="R84:R91">
    <cfRule type="cellIs" dxfId="19637" priority="77" operator="greaterThan">
      <formula>1</formula>
    </cfRule>
    <cfRule type="cellIs" dxfId="19636" priority="78" operator="lessThan">
      <formula>0.8</formula>
    </cfRule>
  </conditionalFormatting>
  <conditionalFormatting sqref="P84:P91">
    <cfRule type="cellIs" dxfId="19635" priority="76" operator="greaterThan">
      <formula>0</formula>
    </cfRule>
  </conditionalFormatting>
  <conditionalFormatting sqref="Q162:Q166">
    <cfRule type="cellIs" dxfId="19634" priority="75" operator="lessThan">
      <formula>0</formula>
    </cfRule>
  </conditionalFormatting>
  <conditionalFormatting sqref="R162:R166">
    <cfRule type="cellIs" dxfId="19633" priority="73" operator="lessThan">
      <formula>0.8</formula>
    </cfRule>
    <cfRule type="cellIs" dxfId="19632" priority="74" operator="greaterThan">
      <formula>1</formula>
    </cfRule>
  </conditionalFormatting>
  <conditionalFormatting sqref="R162:R166">
    <cfRule type="cellIs" dxfId="19631" priority="71" operator="greaterThan">
      <formula>1</formula>
    </cfRule>
    <cfRule type="cellIs" dxfId="19630" priority="72" operator="lessThan">
      <formula>0.8</formula>
    </cfRule>
  </conditionalFormatting>
  <conditionalFormatting sqref="P162:P166">
    <cfRule type="cellIs" dxfId="19629" priority="70" operator="greaterThan">
      <formula>0</formula>
    </cfRule>
  </conditionalFormatting>
  <conditionalFormatting sqref="P167:P168">
    <cfRule type="cellIs" dxfId="19628" priority="64" operator="greaterThan">
      <formula>0</formula>
    </cfRule>
  </conditionalFormatting>
  <conditionalFormatting sqref="R167:R168">
    <cfRule type="cellIs" dxfId="19627" priority="67" operator="lessThan">
      <formula>0.8</formula>
    </cfRule>
    <cfRule type="cellIs" dxfId="19626" priority="68" operator="greaterThan">
      <formula>1</formula>
    </cfRule>
  </conditionalFormatting>
  <conditionalFormatting sqref="R167:R168">
    <cfRule type="cellIs" dxfId="19625" priority="65" operator="greaterThan">
      <formula>1</formula>
    </cfRule>
    <cfRule type="cellIs" dxfId="19624" priority="66" operator="lessThan">
      <formula>0.8</formula>
    </cfRule>
  </conditionalFormatting>
  <conditionalFormatting sqref="Q167:Q168">
    <cfRule type="cellIs" dxfId="19623" priority="69" operator="lessThan">
      <formula>0</formula>
    </cfRule>
  </conditionalFormatting>
  <conditionalFormatting sqref="Q161">
    <cfRule type="cellIs" dxfId="19622" priority="63" operator="lessThan">
      <formula>0</formula>
    </cfRule>
  </conditionalFormatting>
  <conditionalFormatting sqref="R161">
    <cfRule type="cellIs" dxfId="19621" priority="61" operator="lessThan">
      <formula>0.8</formula>
    </cfRule>
    <cfRule type="cellIs" dxfId="19620" priority="62" operator="greaterThan">
      <formula>1</formula>
    </cfRule>
  </conditionalFormatting>
  <conditionalFormatting sqref="R161">
    <cfRule type="cellIs" dxfId="19619" priority="59" operator="greaterThan">
      <formula>1</formula>
    </cfRule>
    <cfRule type="cellIs" dxfId="19618" priority="60" operator="lessThan">
      <formula>0.8</formula>
    </cfRule>
  </conditionalFormatting>
  <conditionalFormatting sqref="P161">
    <cfRule type="cellIs" dxfId="19617" priority="58" operator="greaterThan">
      <formula>0</formula>
    </cfRule>
  </conditionalFormatting>
  <conditionalFormatting sqref="Q162:Q166">
    <cfRule type="cellIs" dxfId="19616" priority="57" operator="lessThan">
      <formula>0</formula>
    </cfRule>
  </conditionalFormatting>
  <conditionalFormatting sqref="R162:R166">
    <cfRule type="cellIs" dxfId="19615" priority="55" operator="lessThan">
      <formula>0.8</formula>
    </cfRule>
    <cfRule type="cellIs" dxfId="19614" priority="56" operator="greaterThan">
      <formula>1</formula>
    </cfRule>
  </conditionalFormatting>
  <conditionalFormatting sqref="R162:R166">
    <cfRule type="cellIs" dxfId="19613" priority="53" operator="greaterThan">
      <formula>1</formula>
    </cfRule>
    <cfRule type="cellIs" dxfId="19612" priority="54" operator="lessThan">
      <formula>0.8</formula>
    </cfRule>
  </conditionalFormatting>
  <conditionalFormatting sqref="P162:P166">
    <cfRule type="cellIs" dxfId="19611" priority="52" operator="greaterThan">
      <formula>0</formula>
    </cfRule>
  </conditionalFormatting>
  <conditionalFormatting sqref="Q162:Q166">
    <cfRule type="cellIs" dxfId="19610" priority="51" operator="lessThan">
      <formula>0</formula>
    </cfRule>
  </conditionalFormatting>
  <conditionalFormatting sqref="R162:R166">
    <cfRule type="cellIs" dxfId="19609" priority="49" operator="lessThan">
      <formula>0.8</formula>
    </cfRule>
    <cfRule type="cellIs" dxfId="19608" priority="50" operator="greaterThan">
      <formula>1</formula>
    </cfRule>
  </conditionalFormatting>
  <conditionalFormatting sqref="R162:R166">
    <cfRule type="cellIs" dxfId="19607" priority="47" operator="greaterThan">
      <formula>1</formula>
    </cfRule>
    <cfRule type="cellIs" dxfId="19606" priority="48" operator="lessThan">
      <formula>0.8</formula>
    </cfRule>
  </conditionalFormatting>
  <conditionalFormatting sqref="P162:P166">
    <cfRule type="cellIs" dxfId="19605" priority="46" operator="greaterThan">
      <formula>0</formula>
    </cfRule>
  </conditionalFormatting>
  <conditionalFormatting sqref="Q167:Q168">
    <cfRule type="cellIs" dxfId="19604" priority="45" operator="lessThan">
      <formula>0</formula>
    </cfRule>
  </conditionalFormatting>
  <conditionalFormatting sqref="R167:R168">
    <cfRule type="cellIs" dxfId="19603" priority="43" operator="lessThan">
      <formula>0.8</formula>
    </cfRule>
    <cfRule type="cellIs" dxfId="19602" priority="44" operator="greaterThan">
      <formula>1</formula>
    </cfRule>
  </conditionalFormatting>
  <conditionalFormatting sqref="R167:R168">
    <cfRule type="cellIs" dxfId="19601" priority="41" operator="greaterThan">
      <formula>1</formula>
    </cfRule>
    <cfRule type="cellIs" dxfId="19600" priority="42" operator="lessThan">
      <formula>0.8</formula>
    </cfRule>
  </conditionalFormatting>
  <conditionalFormatting sqref="P167:P168">
    <cfRule type="cellIs" dxfId="19599" priority="40" operator="greaterThan">
      <formula>0</formula>
    </cfRule>
  </conditionalFormatting>
  <conditionalFormatting sqref="Q161">
    <cfRule type="cellIs" dxfId="19598" priority="39" operator="lessThan">
      <formula>0</formula>
    </cfRule>
  </conditionalFormatting>
  <conditionalFormatting sqref="R161">
    <cfRule type="cellIs" dxfId="19597" priority="37" operator="lessThan">
      <formula>0.8</formula>
    </cfRule>
    <cfRule type="cellIs" dxfId="19596" priority="38" operator="greaterThan">
      <formula>1</formula>
    </cfRule>
  </conditionalFormatting>
  <conditionalFormatting sqref="R161">
    <cfRule type="cellIs" dxfId="19595" priority="35" operator="greaterThan">
      <formula>1</formula>
    </cfRule>
    <cfRule type="cellIs" dxfId="19594" priority="36" operator="lessThan">
      <formula>0.8</formula>
    </cfRule>
  </conditionalFormatting>
  <conditionalFormatting sqref="P161">
    <cfRule type="cellIs" dxfId="19593" priority="34" operator="greaterThan">
      <formula>0</formula>
    </cfRule>
  </conditionalFormatting>
  <conditionalFormatting sqref="Q162:Q166">
    <cfRule type="cellIs" dxfId="19592" priority="33" operator="lessThan">
      <formula>0</formula>
    </cfRule>
  </conditionalFormatting>
  <conditionalFormatting sqref="R162:R166">
    <cfRule type="cellIs" dxfId="19591" priority="31" operator="lessThan">
      <formula>0.8</formula>
    </cfRule>
    <cfRule type="cellIs" dxfId="19590" priority="32" operator="greaterThan">
      <formula>1</formula>
    </cfRule>
  </conditionalFormatting>
  <conditionalFormatting sqref="R162:R166">
    <cfRule type="cellIs" dxfId="19589" priority="29" operator="greaterThan">
      <formula>1</formula>
    </cfRule>
    <cfRule type="cellIs" dxfId="19588" priority="30" operator="lessThan">
      <formula>0.8</formula>
    </cfRule>
  </conditionalFormatting>
  <conditionalFormatting sqref="P162:P166">
    <cfRule type="cellIs" dxfId="19587" priority="28" operator="greaterThan">
      <formula>0</formula>
    </cfRule>
  </conditionalFormatting>
  <conditionalFormatting sqref="Q161">
    <cfRule type="cellIs" dxfId="19586" priority="27" operator="lessThan">
      <formula>0</formula>
    </cfRule>
  </conditionalFormatting>
  <conditionalFormatting sqref="R161">
    <cfRule type="cellIs" dxfId="19585" priority="25" operator="lessThan">
      <formula>0.8</formula>
    </cfRule>
    <cfRule type="cellIs" dxfId="19584" priority="26" operator="greaterThan">
      <formula>1</formula>
    </cfRule>
  </conditionalFormatting>
  <conditionalFormatting sqref="R161">
    <cfRule type="cellIs" dxfId="19583" priority="23" operator="greaterThan">
      <formula>1</formula>
    </cfRule>
    <cfRule type="cellIs" dxfId="19582" priority="24" operator="lessThan">
      <formula>0.8</formula>
    </cfRule>
  </conditionalFormatting>
  <conditionalFormatting sqref="P161">
    <cfRule type="cellIs" dxfId="19581" priority="22" operator="greaterThan">
      <formula>0</formula>
    </cfRule>
  </conditionalFormatting>
  <conditionalFormatting sqref="Q162:Q166">
    <cfRule type="cellIs" dxfId="19580" priority="21" operator="lessThan">
      <formula>0</formula>
    </cfRule>
  </conditionalFormatting>
  <conditionalFormatting sqref="R162:R166">
    <cfRule type="cellIs" dxfId="19579" priority="19" operator="lessThan">
      <formula>0.8</formula>
    </cfRule>
    <cfRule type="cellIs" dxfId="19578" priority="20" operator="greaterThan">
      <formula>1</formula>
    </cfRule>
  </conditionalFormatting>
  <conditionalFormatting sqref="R162:R166">
    <cfRule type="cellIs" dxfId="19577" priority="17" operator="greaterThan">
      <formula>1</formula>
    </cfRule>
    <cfRule type="cellIs" dxfId="19576" priority="18" operator="lessThan">
      <formula>0.8</formula>
    </cfRule>
  </conditionalFormatting>
  <conditionalFormatting sqref="P162:P166">
    <cfRule type="cellIs" dxfId="19575" priority="16" operator="greaterThan">
      <formula>0</formula>
    </cfRule>
  </conditionalFormatting>
  <conditionalFormatting sqref="Q161">
    <cfRule type="cellIs" dxfId="19574" priority="15" operator="lessThan">
      <formula>0</formula>
    </cfRule>
  </conditionalFormatting>
  <conditionalFormatting sqref="R161">
    <cfRule type="cellIs" dxfId="19573" priority="13" operator="lessThan">
      <formula>0.8</formula>
    </cfRule>
    <cfRule type="cellIs" dxfId="19572" priority="14" operator="greaterThan">
      <formula>1</formula>
    </cfRule>
  </conditionalFormatting>
  <conditionalFormatting sqref="R161">
    <cfRule type="cellIs" dxfId="19571" priority="11" operator="greaterThan">
      <formula>1</formula>
    </cfRule>
    <cfRule type="cellIs" dxfId="19570" priority="12" operator="lessThan">
      <formula>0.8</formula>
    </cfRule>
  </conditionalFormatting>
  <conditionalFormatting sqref="P161">
    <cfRule type="cellIs" dxfId="19569" priority="10" operator="greaterThan">
      <formula>0</formula>
    </cfRule>
  </conditionalFormatting>
  <conditionalFormatting sqref="P167:P168">
    <cfRule type="cellIs" dxfId="19568" priority="4" operator="greaterThan">
      <formula>0</formula>
    </cfRule>
  </conditionalFormatting>
  <conditionalFormatting sqref="R167:R168">
    <cfRule type="cellIs" dxfId="19567" priority="7" operator="lessThan">
      <formula>0.8</formula>
    </cfRule>
    <cfRule type="cellIs" dxfId="19566" priority="8" operator="greaterThan">
      <formula>1</formula>
    </cfRule>
  </conditionalFormatting>
  <conditionalFormatting sqref="R167:R168">
    <cfRule type="cellIs" dxfId="19565" priority="5" operator="greaterThan">
      <formula>1</formula>
    </cfRule>
    <cfRule type="cellIs" dxfId="19564" priority="6" operator="lessThan">
      <formula>0.8</formula>
    </cfRule>
  </conditionalFormatting>
  <conditionalFormatting sqref="Q167:Q168">
    <cfRule type="cellIs" dxfId="19563" priority="9" operator="lessThan">
      <formula>0</formula>
    </cfRule>
  </conditionalFormatting>
  <conditionalFormatting sqref="AF30">
    <cfRule type="cellIs" dxfId="19562" priority="3" operator="lessThan">
      <formula>0</formula>
    </cfRule>
  </conditionalFormatting>
  <conditionalFormatting sqref="AG30">
    <cfRule type="cellIs" dxfId="19561" priority="1" operator="greaterThan">
      <formula>1</formula>
    </cfRule>
    <cfRule type="cellIs" dxfId="1956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Q32" sqref="Q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510</v>
      </c>
      <c r="E3" s="581"/>
      <c r="F3" s="570" t="s">
        <v>2</v>
      </c>
      <c r="G3" s="531"/>
      <c r="H3" s="582">
        <v>240100</v>
      </c>
      <c r="I3" s="583"/>
      <c r="J3" s="570" t="s">
        <v>3</v>
      </c>
      <c r="K3" s="531"/>
      <c r="L3" s="575">
        <v>7614477.0601654937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384.43154499747999</v>
      </c>
      <c r="G6" s="572"/>
      <c r="H6" s="550">
        <f>AVERAGE(D13:P13,Q13)</f>
        <v>141.96385642461141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v>0</v>
      </c>
      <c r="O6" s="539">
        <v>0</v>
      </c>
      <c r="P6" s="555">
        <v>3</v>
      </c>
      <c r="Q6" s="539">
        <v>4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363.46149845097142</v>
      </c>
      <c r="G7" s="543"/>
      <c r="H7" s="544">
        <f>AVERAGE(D14:P14,Q14)</f>
        <v>129.04502226439439</v>
      </c>
      <c r="I7" s="545"/>
      <c r="J7" s="544">
        <f>AVERAGE(D31:E31,G31:H31)</f>
        <v>751.41981218028263</v>
      </c>
      <c r="K7" s="545"/>
      <c r="L7" s="546">
        <f>AVERAGE(J31:M31)</f>
        <v>795.96085137468003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0.91750855469019166</v>
      </c>
      <c r="G8" s="549"/>
      <c r="H8" s="548">
        <f>AVERAGE(D15:O15,P15:Q15)</f>
        <v>0.9043358220151051</v>
      </c>
      <c r="I8" s="549"/>
      <c r="J8" s="548">
        <f>AVERAGE(D32:E32,G32:H32)</f>
        <v>0.99723806962250594</v>
      </c>
      <c r="K8" s="549"/>
      <c r="L8" s="548">
        <f>AVERAGE(J32:M32)</f>
        <v>0.90239337021429089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133.76218323586747</v>
      </c>
      <c r="E13" s="19">
        <v>119.15429505135388</v>
      </c>
      <c r="F13" s="19">
        <v>159.31333333333333</v>
      </c>
      <c r="G13" s="19">
        <v>369.04761904761904</v>
      </c>
      <c r="H13" s="19">
        <v>228.57142857142858</v>
      </c>
      <c r="I13" s="19">
        <v>90.54752567693744</v>
      </c>
      <c r="J13" s="19">
        <v>76.020467836257311</v>
      </c>
      <c r="K13" s="19">
        <v>117.86339869281046</v>
      </c>
      <c r="L13" s="19">
        <v>116.16878306878306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123.34541573528416</v>
      </c>
      <c r="E14" s="19">
        <v>104.32712930764828</v>
      </c>
      <c r="F14" s="19">
        <v>134.81201480915337</v>
      </c>
      <c r="G14" s="19">
        <v>330.1252507602199</v>
      </c>
      <c r="H14" s="19">
        <v>225.18679417216148</v>
      </c>
      <c r="I14" s="19">
        <v>81.147573808799834</v>
      </c>
      <c r="J14" s="19">
        <v>69.242305354841179</v>
      </c>
      <c r="K14" s="19">
        <v>109.19165677543654</v>
      </c>
      <c r="L14" s="19">
        <v>102.89307485240712</v>
      </c>
      <c r="M14" s="19">
        <v>74.910649755528524</v>
      </c>
      <c r="N14" s="19">
        <v>77.768797253027117</v>
      </c>
      <c r="O14" s="19">
        <v>67.131014789267738</v>
      </c>
      <c r="P14" s="19">
        <v>167.67166602589546</v>
      </c>
      <c r="Q14" s="9">
        <v>138.8769683018507</v>
      </c>
    </row>
    <row r="15" spans="2:17" ht="39.9" customHeight="1">
      <c r="B15" s="524"/>
      <c r="C15" s="379" t="s">
        <v>295</v>
      </c>
      <c r="D15" s="10">
        <f t="shared" ref="D15:Q15" si="0">D14/D13</f>
        <v>0.92212471979307442</v>
      </c>
      <c r="E15" s="10">
        <f t="shared" si="0"/>
        <v>0.87556331278435828</v>
      </c>
      <c r="F15" s="10">
        <f t="shared" si="0"/>
        <v>0.84620672977248212</v>
      </c>
      <c r="G15" s="10">
        <f t="shared" si="0"/>
        <v>0.89453293754382168</v>
      </c>
      <c r="H15" s="10">
        <f t="shared" si="0"/>
        <v>0.98519222450320643</v>
      </c>
      <c r="I15" s="10">
        <f t="shared" si="0"/>
        <v>0.89618764513040927</v>
      </c>
      <c r="J15" s="10">
        <f t="shared" si="0"/>
        <v>0.91083766419307211</v>
      </c>
      <c r="K15" s="10">
        <f t="shared" si="0"/>
        <v>0.92642548905300748</v>
      </c>
      <c r="L15" s="10">
        <f t="shared" si="0"/>
        <v>0.88572051918185768</v>
      </c>
      <c r="M15" s="10">
        <f t="shared" si="0"/>
        <v>0.8916211829641657</v>
      </c>
      <c r="N15" s="10">
        <f t="shared" si="0"/>
        <v>0.92228653136109784</v>
      </c>
      <c r="O15" s="10">
        <f t="shared" si="0"/>
        <v>0.84067400431818251</v>
      </c>
      <c r="P15" s="381">
        <f t="shared" si="0"/>
        <v>0.93748209226706425</v>
      </c>
      <c r="Q15" s="11">
        <f t="shared" si="0"/>
        <v>0.92584645534567134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0.68749999999999989</v>
      </c>
      <c r="E17" s="12">
        <v>0.60138888888888886</v>
      </c>
      <c r="F17" s="12">
        <v>0.5756944444444444</v>
      </c>
      <c r="G17" s="12">
        <v>0.76041666666666663</v>
      </c>
      <c r="H17" s="12">
        <v>0.75416666666666665</v>
      </c>
      <c r="I17" s="12">
        <v>0.6777777777777777</v>
      </c>
      <c r="J17" s="12">
        <v>0.72569444444444431</v>
      </c>
      <c r="K17" s="12">
        <v>0.65069444444444435</v>
      </c>
      <c r="L17" s="12">
        <v>0.92777777777777781</v>
      </c>
      <c r="M17" s="12">
        <v>0.91458333333333319</v>
      </c>
      <c r="N17" s="12">
        <v>0.9590277777777777</v>
      </c>
      <c r="O17" s="22">
        <v>0.91319444444444431</v>
      </c>
      <c r="P17" s="12">
        <v>0.5708333333333333</v>
      </c>
      <c r="Q17" s="382">
        <v>0.55555555555555558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>
        <v>1</v>
      </c>
      <c r="E20" s="384" t="s">
        <v>30</v>
      </c>
      <c r="F20" s="384" t="s">
        <v>30</v>
      </c>
      <c r="G20" s="384" t="s">
        <v>30</v>
      </c>
      <c r="H20" s="384" t="s">
        <v>30</v>
      </c>
      <c r="I20" s="384" t="s">
        <v>30</v>
      </c>
      <c r="J20" s="384" t="s">
        <v>30</v>
      </c>
      <c r="K20" s="384" t="s">
        <v>30</v>
      </c>
      <c r="L20" s="384">
        <v>1</v>
      </c>
      <c r="M20" s="384" t="s">
        <v>30</v>
      </c>
      <c r="N20" s="384" t="s">
        <v>30</v>
      </c>
      <c r="O20" s="384" t="s">
        <v>30</v>
      </c>
      <c r="P20" s="384">
        <v>1</v>
      </c>
      <c r="Q20" s="385"/>
    </row>
    <row r="21" spans="2:17" ht="22.8" customHeight="1">
      <c r="B21" s="530"/>
      <c r="C21" s="383" t="s">
        <v>300</v>
      </c>
      <c r="D21" s="384" t="s">
        <v>30</v>
      </c>
      <c r="E21" s="384">
        <v>2</v>
      </c>
      <c r="F21" s="384" t="s">
        <v>30</v>
      </c>
      <c r="G21" s="384" t="s">
        <v>30</v>
      </c>
      <c r="H21" s="384" t="s">
        <v>30</v>
      </c>
      <c r="I21" s="384" t="s">
        <v>30</v>
      </c>
      <c r="J21" s="384">
        <v>1</v>
      </c>
      <c r="K21" s="384" t="s">
        <v>30</v>
      </c>
      <c r="L21" s="384" t="s">
        <v>30</v>
      </c>
      <c r="M21" s="384" t="s">
        <v>30</v>
      </c>
      <c r="N21" s="384">
        <v>1</v>
      </c>
      <c r="O21" s="384" t="s">
        <v>30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19.666666666666668</v>
      </c>
      <c r="E22" s="386">
        <v>17.571428571428573</v>
      </c>
      <c r="F22" s="386">
        <v>14</v>
      </c>
      <c r="G22" s="386">
        <v>5.666666666666667</v>
      </c>
      <c r="H22" s="386">
        <v>6.6</v>
      </c>
      <c r="I22" s="386">
        <v>16.399999999999999</v>
      </c>
      <c r="J22" s="386">
        <v>18.8</v>
      </c>
      <c r="K22" s="386">
        <v>15.8</v>
      </c>
      <c r="L22" s="386">
        <v>15.444444444444445</v>
      </c>
      <c r="M22" s="386">
        <v>18.625</v>
      </c>
      <c r="N22" s="386">
        <v>17.75</v>
      </c>
      <c r="O22" s="386">
        <v>18.833333333333332</v>
      </c>
      <c r="P22" s="386">
        <v>13</v>
      </c>
      <c r="Q22" s="387">
        <v>11.4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38</v>
      </c>
      <c r="H25" s="17" t="s">
        <v>38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473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474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282.84722222222246</v>
      </c>
      <c r="E31" s="8">
        <v>788.88932806324112</v>
      </c>
      <c r="F31" s="8">
        <v>0</v>
      </c>
      <c r="G31" s="8">
        <v>946.46795462601835</v>
      </c>
      <c r="H31" s="397">
        <v>987.47474380964854</v>
      </c>
      <c r="I31" s="396">
        <v>0</v>
      </c>
      <c r="J31" s="8">
        <v>712.5000000000025</v>
      </c>
      <c r="K31" s="8">
        <v>612.21825396825363</v>
      </c>
      <c r="L31" s="8">
        <v>966.73229437229509</v>
      </c>
      <c r="M31" s="397">
        <v>892.39285715816857</v>
      </c>
      <c r="N31" s="378"/>
      <c r="O31" s="378"/>
      <c r="P31" s="378"/>
      <c r="Q31" s="378"/>
    </row>
    <row r="32" spans="2:17" ht="39.9" customHeight="1">
      <c r="B32" s="524"/>
      <c r="C32" s="472" t="s">
        <v>295</v>
      </c>
      <c r="D32" s="399">
        <f t="shared" ref="D32:M32" si="1">D31/D30</f>
        <v>0.8838975694444452</v>
      </c>
      <c r="E32" s="10">
        <f t="shared" si="1"/>
        <v>0.95622948856150436</v>
      </c>
      <c r="F32" s="10">
        <f t="shared" si="1"/>
        <v>0</v>
      </c>
      <c r="G32" s="10">
        <f t="shared" si="1"/>
        <v>1.0516310606955759</v>
      </c>
      <c r="H32" s="10">
        <f t="shared" si="1"/>
        <v>1.0971941597884984</v>
      </c>
      <c r="I32" s="396">
        <f t="shared" si="1"/>
        <v>0</v>
      </c>
      <c r="J32" s="10">
        <f t="shared" si="1"/>
        <v>0.86363636363636664</v>
      </c>
      <c r="K32" s="10">
        <f t="shared" si="1"/>
        <v>0.68024250440917067</v>
      </c>
      <c r="L32" s="10">
        <f t="shared" si="1"/>
        <v>1.0741469937469945</v>
      </c>
      <c r="M32" s="11">
        <f t="shared" si="1"/>
        <v>0.99154761906463174</v>
      </c>
      <c r="N32" s="378"/>
      <c r="O32" s="378"/>
      <c r="P32" s="378"/>
      <c r="Q32" s="378"/>
    </row>
    <row r="33" spans="2:17" ht="25.8" customHeight="1">
      <c r="B33" s="525" t="s">
        <v>296</v>
      </c>
      <c r="C33" s="472" t="s">
        <v>297</v>
      </c>
      <c r="D33" s="400">
        <v>0.1875</v>
      </c>
      <c r="E33" s="12">
        <v>0.18055555555555555</v>
      </c>
      <c r="F33" s="12">
        <v>0</v>
      </c>
      <c r="G33" s="12">
        <v>3265.161290322575</v>
      </c>
      <c r="H33" s="382">
        <v>0.18055555555555555</v>
      </c>
      <c r="I33" s="400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472" t="s">
        <v>51</v>
      </c>
      <c r="D34" s="400">
        <v>0.23124999999999998</v>
      </c>
      <c r="E34" s="12">
        <v>0.32083333333333336</v>
      </c>
      <c r="F34" s="12">
        <v>0</v>
      </c>
      <c r="G34" s="12">
        <v>1108.0000000000002</v>
      </c>
      <c r="H34" s="382">
        <v>0.41319444444444442</v>
      </c>
      <c r="I34" s="23">
        <v>0</v>
      </c>
      <c r="J34" s="12">
        <v>0.72916666666666663</v>
      </c>
      <c r="K34" s="12">
        <v>0.81944444444444453</v>
      </c>
      <c r="L34" s="12">
        <v>1.0347222222222221</v>
      </c>
      <c r="M34" s="13">
        <v>46114.017361111109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4</v>
      </c>
      <c r="K35" s="402">
        <v>3.6666666666666665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9559" priority="4" operator="lessThan">
      <formula>0.8</formula>
    </cfRule>
  </conditionalFormatting>
  <conditionalFormatting sqref="J32:L32">
    <cfRule type="cellIs" dxfId="19558" priority="3" operator="lessThan">
      <formula>0.8</formula>
    </cfRule>
  </conditionalFormatting>
  <conditionalFormatting sqref="M32">
    <cfRule type="cellIs" dxfId="19557" priority="2" operator="lessThan">
      <formula>0.8</formula>
    </cfRule>
  </conditionalFormatting>
  <conditionalFormatting sqref="H32">
    <cfRule type="cellIs" dxfId="195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2" zoomScale="70" zoomScaleNormal="70" workbookViewId="0">
      <selection activeCell="M82" sqref="M82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383</v>
      </c>
      <c r="B1" s="281"/>
      <c r="C1" s="282"/>
      <c r="D1" s="283" t="s">
        <v>384</v>
      </c>
      <c r="E1" s="284">
        <f>SUM(G5:G124)</f>
        <v>76254</v>
      </c>
      <c r="F1" s="285" t="s">
        <v>3</v>
      </c>
      <c r="G1" s="286">
        <f>SUM(H5:H124)</f>
        <v>1414195.4972337661</v>
      </c>
      <c r="H1" s="287" t="s">
        <v>385</v>
      </c>
      <c r="I1" s="288">
        <f>+J16+J64+J24+J38+J51+J81+J100+J91+J57+J124+J111</f>
        <v>38.733333333333334</v>
      </c>
      <c r="J1" s="584" t="s">
        <v>386</v>
      </c>
      <c r="K1" s="585"/>
      <c r="L1" s="586"/>
      <c r="M1" s="584" t="s">
        <v>387</v>
      </c>
      <c r="N1" s="585"/>
      <c r="O1" s="585"/>
      <c r="P1" s="585"/>
      <c r="Q1" s="585"/>
      <c r="R1" s="586"/>
    </row>
    <row r="2" spans="1:18" ht="26.25" customHeight="1" thickBot="1">
      <c r="A2" s="590" t="s">
        <v>388</v>
      </c>
      <c r="B2" s="591"/>
      <c r="C2" s="290"/>
      <c r="D2" s="446" t="s">
        <v>389</v>
      </c>
      <c r="E2" s="291">
        <f>AVERAGE(L16,L24,L38,L51,L100,L111,L91)</f>
        <v>583.67734448797762</v>
      </c>
      <c r="F2" s="292" t="s">
        <v>55</v>
      </c>
      <c r="G2" s="293">
        <f>G1/E1</f>
        <v>18.545853296007635</v>
      </c>
      <c r="H2" s="294" t="s">
        <v>390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391</v>
      </c>
      <c r="B3" s="594" t="s">
        <v>392</v>
      </c>
      <c r="C3" s="448"/>
      <c r="D3" s="595" t="s">
        <v>393</v>
      </c>
      <c r="E3" s="595"/>
      <c r="F3" s="596" t="s">
        <v>58</v>
      </c>
      <c r="G3" s="597" t="s">
        <v>394</v>
      </c>
      <c r="H3" s="598" t="s">
        <v>395</v>
      </c>
      <c r="I3" s="599" t="s">
        <v>396</v>
      </c>
      <c r="J3" s="601" t="s">
        <v>397</v>
      </c>
      <c r="K3" s="603" t="s">
        <v>398</v>
      </c>
      <c r="L3" s="605" t="s">
        <v>389</v>
      </c>
      <c r="M3" s="607" t="s">
        <v>63</v>
      </c>
      <c r="N3" s="607"/>
      <c r="O3" s="601" t="s">
        <v>150</v>
      </c>
      <c r="P3" s="608" t="s">
        <v>399</v>
      </c>
      <c r="Q3" s="601" t="s">
        <v>400</v>
      </c>
      <c r="R3" s="601"/>
    </row>
    <row r="4" spans="1:18" ht="15.75" customHeight="1">
      <c r="A4" s="593"/>
      <c r="B4" s="594"/>
      <c r="C4" s="448"/>
      <c r="D4" s="595"/>
      <c r="E4" s="595"/>
      <c r="F4" s="596"/>
      <c r="G4" s="597"/>
      <c r="H4" s="598"/>
      <c r="I4" s="600"/>
      <c r="J4" s="602"/>
      <c r="K4" s="604"/>
      <c r="L4" s="606"/>
      <c r="M4" s="452" t="s">
        <v>65</v>
      </c>
      <c r="N4" s="452" t="s">
        <v>66</v>
      </c>
      <c r="O4" s="602"/>
      <c r="P4" s="609"/>
      <c r="Q4" s="296" t="s">
        <v>401</v>
      </c>
      <c r="R4" s="296" t="s">
        <v>402</v>
      </c>
    </row>
    <row r="5" spans="1:18">
      <c r="A5" s="610" t="s">
        <v>403</v>
      </c>
      <c r="B5" s="297">
        <v>0</v>
      </c>
      <c r="C5" s="297"/>
      <c r="D5" s="298" t="s">
        <v>404</v>
      </c>
      <c r="E5" s="298"/>
      <c r="F5" s="299" t="s">
        <v>186</v>
      </c>
      <c r="G5" s="448">
        <v>1209</v>
      </c>
      <c r="H5" s="300">
        <f>F5*G5</f>
        <v>0</v>
      </c>
      <c r="I5" s="450"/>
      <c r="J5" s="301">
        <v>9</v>
      </c>
      <c r="K5" s="302">
        <f t="shared" ref="K5:K12" si="0">G5/P5*60</f>
        <v>1612</v>
      </c>
      <c r="L5" s="303">
        <f t="shared" ref="L5:L12" si="1">K5/J5</f>
        <v>179.11111111111111</v>
      </c>
      <c r="M5" s="304">
        <v>0.17361111111111113</v>
      </c>
      <c r="N5" s="304">
        <v>0.20486111111111113</v>
      </c>
      <c r="O5" s="296">
        <v>10</v>
      </c>
      <c r="P5" s="443">
        <f t="shared" ref="P5:P14" si="2">(N5-M5)*24*60</f>
        <v>45</v>
      </c>
      <c r="Q5" s="305"/>
      <c r="R5" s="305"/>
    </row>
    <row r="6" spans="1:18">
      <c r="A6" s="610"/>
      <c r="B6" s="297">
        <v>0</v>
      </c>
      <c r="C6" s="297"/>
      <c r="D6" s="298" t="s">
        <v>405</v>
      </c>
      <c r="E6" s="298"/>
      <c r="F6" s="299" t="s">
        <v>186</v>
      </c>
      <c r="G6" s="448">
        <v>1273</v>
      </c>
      <c r="H6" s="300">
        <f t="shared" ref="H6:H113" si="3">F6*G6</f>
        <v>0</v>
      </c>
      <c r="I6" s="450"/>
      <c r="J6" s="301">
        <v>9</v>
      </c>
      <c r="K6" s="302">
        <f t="shared" si="0"/>
        <v>1697.3333333333333</v>
      </c>
      <c r="L6" s="303">
        <f t="shared" si="1"/>
        <v>188.59259259259258</v>
      </c>
      <c r="M6" s="304">
        <v>0.20833333333333334</v>
      </c>
      <c r="N6" s="304">
        <v>0.23958333333333334</v>
      </c>
      <c r="O6" s="296">
        <v>5</v>
      </c>
      <c r="P6" s="443">
        <f t="shared" si="2"/>
        <v>45</v>
      </c>
      <c r="Q6" s="296"/>
      <c r="R6" s="296"/>
    </row>
    <row r="7" spans="1:18">
      <c r="A7" s="610"/>
      <c r="B7" s="297" t="s">
        <v>187</v>
      </c>
      <c r="C7" s="297"/>
      <c r="D7" s="298" t="s">
        <v>406</v>
      </c>
      <c r="E7" s="298"/>
      <c r="F7" s="299">
        <v>36.450000000000003</v>
      </c>
      <c r="G7" s="448">
        <v>1456</v>
      </c>
      <c r="H7" s="300">
        <f t="shared" si="3"/>
        <v>53071.200000000004</v>
      </c>
      <c r="I7" s="450"/>
      <c r="J7" s="301">
        <v>13</v>
      </c>
      <c r="K7" s="302">
        <f t="shared" si="0"/>
        <v>1456.0000000000005</v>
      </c>
      <c r="L7" s="303">
        <f t="shared" si="1"/>
        <v>112.00000000000003</v>
      </c>
      <c r="M7" s="304">
        <v>0.24305555555555555</v>
      </c>
      <c r="N7" s="304">
        <v>0.28472222222222221</v>
      </c>
      <c r="O7" s="296">
        <v>5</v>
      </c>
      <c r="P7" s="443">
        <f t="shared" si="2"/>
        <v>59.999999999999986</v>
      </c>
      <c r="Q7" s="305"/>
      <c r="R7" s="305"/>
    </row>
    <row r="8" spans="1:18">
      <c r="A8" s="610"/>
      <c r="B8" s="297" t="s">
        <v>187</v>
      </c>
      <c r="C8" s="297"/>
      <c r="D8" s="298" t="s">
        <v>407</v>
      </c>
      <c r="E8" s="298"/>
      <c r="F8" s="299">
        <v>27.05</v>
      </c>
      <c r="G8" s="448">
        <v>379</v>
      </c>
      <c r="H8" s="300">
        <f t="shared" si="3"/>
        <v>10251.950000000001</v>
      </c>
      <c r="I8" s="450"/>
      <c r="J8" s="301">
        <v>13</v>
      </c>
      <c r="K8" s="302">
        <f t="shared" si="0"/>
        <v>1516.0000000000055</v>
      </c>
      <c r="L8" s="303">
        <f t="shared" si="1"/>
        <v>116.61538461538504</v>
      </c>
      <c r="M8" s="304">
        <v>0.28819444444444448</v>
      </c>
      <c r="N8" s="304">
        <v>0.2986111111111111</v>
      </c>
      <c r="O8" s="296">
        <v>5</v>
      </c>
      <c r="P8" s="443">
        <f t="shared" si="2"/>
        <v>14.999999999999947</v>
      </c>
      <c r="Q8" s="305">
        <v>0.30555555555555552</v>
      </c>
      <c r="R8" s="305">
        <v>0.33680555555555558</v>
      </c>
    </row>
    <row r="9" spans="1:18">
      <c r="A9" s="610"/>
      <c r="B9" s="297" t="s">
        <v>187</v>
      </c>
      <c r="C9" s="297"/>
      <c r="D9" s="298" t="s">
        <v>408</v>
      </c>
      <c r="E9" s="298"/>
      <c r="F9" s="299">
        <v>19.7</v>
      </c>
      <c r="G9" s="306">
        <v>1678</v>
      </c>
      <c r="H9" s="300">
        <f t="shared" si="3"/>
        <v>33056.6</v>
      </c>
      <c r="I9" s="450"/>
      <c r="J9" s="301">
        <v>13</v>
      </c>
      <c r="K9" s="302">
        <f t="shared" si="0"/>
        <v>1184.4705882352928</v>
      </c>
      <c r="L9" s="303">
        <f t="shared" si="1"/>
        <v>91.113122171945605</v>
      </c>
      <c r="M9" s="304">
        <v>0.34027777777777773</v>
      </c>
      <c r="N9" s="304">
        <v>0.39930555555555558</v>
      </c>
      <c r="O9" s="296">
        <v>5</v>
      </c>
      <c r="P9" s="443">
        <f t="shared" si="2"/>
        <v>85.000000000000099</v>
      </c>
      <c r="Q9" s="305"/>
      <c r="R9" s="305"/>
    </row>
    <row r="10" spans="1:18">
      <c r="A10" s="610"/>
      <c r="B10" s="297" t="s">
        <v>187</v>
      </c>
      <c r="C10" s="297"/>
      <c r="D10" s="298" t="s">
        <v>409</v>
      </c>
      <c r="E10" s="298"/>
      <c r="F10" s="299">
        <v>17.87</v>
      </c>
      <c r="G10" s="306">
        <v>732</v>
      </c>
      <c r="H10" s="300">
        <f t="shared" si="3"/>
        <v>13080.84</v>
      </c>
      <c r="I10" s="450"/>
      <c r="J10" s="301">
        <v>13</v>
      </c>
      <c r="K10" s="302">
        <f t="shared" si="0"/>
        <v>1254.8571428571415</v>
      </c>
      <c r="L10" s="303">
        <f t="shared" si="1"/>
        <v>96.527472527472426</v>
      </c>
      <c r="M10" s="304">
        <v>0.40277777777777773</v>
      </c>
      <c r="N10" s="304">
        <v>0.42708333333333331</v>
      </c>
      <c r="O10" s="296">
        <v>5</v>
      </c>
      <c r="P10" s="443">
        <f t="shared" si="2"/>
        <v>35.000000000000036</v>
      </c>
      <c r="Q10" s="305"/>
      <c r="R10" s="305"/>
    </row>
    <row r="11" spans="1:18">
      <c r="A11" s="610"/>
      <c r="B11" s="297" t="s">
        <v>187</v>
      </c>
      <c r="C11" s="297"/>
      <c r="D11" s="298" t="s">
        <v>410</v>
      </c>
      <c r="E11" s="298"/>
      <c r="F11" s="299">
        <v>25.64</v>
      </c>
      <c r="G11" s="306">
        <v>609</v>
      </c>
      <c r="H11" s="300">
        <f t="shared" si="3"/>
        <v>15614.76</v>
      </c>
      <c r="I11" s="450"/>
      <c r="J11" s="301">
        <v>10</v>
      </c>
      <c r="K11" s="302">
        <f t="shared" si="0"/>
        <v>1461.6000000000004</v>
      </c>
      <c r="L11" s="303">
        <f t="shared" si="1"/>
        <v>146.16000000000003</v>
      </c>
      <c r="M11" s="304">
        <v>0.43055555555555558</v>
      </c>
      <c r="N11" s="304">
        <v>0.44791666666666669</v>
      </c>
      <c r="O11" s="296">
        <v>5</v>
      </c>
      <c r="P11" s="443">
        <f t="shared" si="2"/>
        <v>24.999999999999993</v>
      </c>
      <c r="Q11" s="305"/>
      <c r="R11" s="305"/>
    </row>
    <row r="12" spans="1:18">
      <c r="A12" s="611"/>
      <c r="B12" s="297" t="s">
        <v>187</v>
      </c>
      <c r="C12" s="297"/>
      <c r="D12" s="298" t="s">
        <v>411</v>
      </c>
      <c r="E12" s="298"/>
      <c r="F12" s="299">
        <v>29.52</v>
      </c>
      <c r="G12" s="306">
        <v>1209</v>
      </c>
      <c r="H12" s="300">
        <f t="shared" si="3"/>
        <v>35689.68</v>
      </c>
      <c r="I12" s="450"/>
      <c r="J12" s="301">
        <v>12</v>
      </c>
      <c r="K12" s="302">
        <f t="shared" si="0"/>
        <v>1813.4999999999995</v>
      </c>
      <c r="L12" s="303">
        <f t="shared" si="1"/>
        <v>151.12499999999997</v>
      </c>
      <c r="M12" s="304">
        <v>0.4513888888888889</v>
      </c>
      <c r="N12" s="304">
        <v>0.47916666666666669</v>
      </c>
      <c r="O12" s="296">
        <v>5</v>
      </c>
      <c r="P12" s="443">
        <f t="shared" si="2"/>
        <v>40.000000000000014</v>
      </c>
      <c r="Q12" s="305"/>
      <c r="R12" s="305"/>
    </row>
    <row r="13" spans="1:18">
      <c r="A13" s="611"/>
      <c r="B13" s="297" t="s">
        <v>187</v>
      </c>
      <c r="C13" s="449"/>
      <c r="D13" s="298" t="s">
        <v>412</v>
      </c>
      <c r="E13" s="298"/>
      <c r="F13" s="299">
        <v>29.856999999999999</v>
      </c>
      <c r="G13" s="447">
        <v>1273</v>
      </c>
      <c r="H13" s="300">
        <f t="shared" si="3"/>
        <v>38007.960999999996</v>
      </c>
      <c r="I13" s="450"/>
      <c r="J13" s="301">
        <v>12</v>
      </c>
      <c r="K13" s="302">
        <f>G13/P13*60</f>
        <v>1909.5000000000032</v>
      </c>
      <c r="L13" s="303">
        <f>K13/J13</f>
        <v>159.12500000000026</v>
      </c>
      <c r="M13" s="304">
        <v>0.4826388888888889</v>
      </c>
      <c r="N13" s="304">
        <v>0.51041666666666663</v>
      </c>
      <c r="O13" s="296">
        <v>5</v>
      </c>
      <c r="P13" s="443">
        <f t="shared" si="2"/>
        <v>39.999999999999936</v>
      </c>
      <c r="Q13" s="305"/>
      <c r="R13" s="296"/>
    </row>
    <row r="14" spans="1:18">
      <c r="A14" s="611"/>
      <c r="B14" s="297" t="s">
        <v>184</v>
      </c>
      <c r="C14" s="297"/>
      <c r="D14" s="444" t="s">
        <v>155</v>
      </c>
      <c r="E14" s="445"/>
      <c r="F14" s="299">
        <v>28.57</v>
      </c>
      <c r="G14" s="306">
        <v>1484</v>
      </c>
      <c r="H14" s="300">
        <f t="shared" si="3"/>
        <v>42397.88</v>
      </c>
      <c r="I14" s="450"/>
      <c r="J14" s="301">
        <v>10</v>
      </c>
      <c r="K14" s="302">
        <f>G14/P14*60</f>
        <v>1484.0000000000014</v>
      </c>
      <c r="L14" s="303">
        <f>K14/J14</f>
        <v>148.40000000000015</v>
      </c>
      <c r="M14" s="304">
        <v>0.51388888888888895</v>
      </c>
      <c r="N14" s="304">
        <v>0.55555555555555558</v>
      </c>
      <c r="O14" s="296">
        <v>5</v>
      </c>
      <c r="P14" s="443">
        <f t="shared" si="2"/>
        <v>59.999999999999943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3"/>
        <v>0</v>
      </c>
      <c r="I15" s="450"/>
      <c r="J15" s="301"/>
      <c r="K15" s="302"/>
      <c r="L15" s="303"/>
      <c r="M15" s="304"/>
      <c r="N15" s="304"/>
      <c r="O15" s="296"/>
      <c r="P15" s="443"/>
      <c r="Q15" s="296"/>
      <c r="R15" s="296"/>
    </row>
    <row r="16" spans="1:18" ht="15.75" customHeight="1">
      <c r="A16" s="612"/>
      <c r="B16" s="297">
        <v>0</v>
      </c>
      <c r="C16" s="308" t="s">
        <v>413</v>
      </c>
      <c r="D16" s="613" t="s">
        <v>414</v>
      </c>
      <c r="E16" s="613"/>
      <c r="F16" s="309"/>
      <c r="G16" s="310"/>
      <c r="H16" s="311"/>
      <c r="I16" s="312"/>
      <c r="J16" s="313">
        <f>AVERAGE(J5:J15)</f>
        <v>11.4</v>
      </c>
      <c r="K16" s="313">
        <f>AVERAGE(K5:K15)</f>
        <v>1538.926106442578</v>
      </c>
      <c r="L16" s="314">
        <f>AVERAGE(L5:L15)</f>
        <v>138.8769683018507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415</v>
      </c>
      <c r="B17" s="297" t="s">
        <v>187</v>
      </c>
      <c r="C17" s="449"/>
      <c r="D17" s="617" t="s">
        <v>416</v>
      </c>
      <c r="E17" s="618"/>
      <c r="F17" s="299">
        <v>14.03</v>
      </c>
      <c r="G17" s="448">
        <v>418</v>
      </c>
      <c r="H17" s="315">
        <f t="shared" ref="H17:H23" si="4">F17*G17</f>
        <v>5864.54</v>
      </c>
      <c r="I17" s="316"/>
      <c r="J17" s="301">
        <v>6</v>
      </c>
      <c r="K17" s="302">
        <f>G17/P17*60</f>
        <v>1567.5000000000018</v>
      </c>
      <c r="L17" s="303">
        <f>K17/J17</f>
        <v>261.25000000000028</v>
      </c>
      <c r="M17" s="304">
        <v>0.1875</v>
      </c>
      <c r="N17" s="304">
        <v>0.1986111111111111</v>
      </c>
      <c r="O17" s="296">
        <v>30</v>
      </c>
      <c r="P17" s="443">
        <f>(N17-M17)*24*60</f>
        <v>15.999999999999982</v>
      </c>
      <c r="Q17" s="296"/>
      <c r="R17" s="296"/>
    </row>
    <row r="18" spans="1:18" ht="15.75" customHeight="1">
      <c r="A18" s="614"/>
      <c r="B18" s="297" t="s">
        <v>184</v>
      </c>
      <c r="C18" s="449"/>
      <c r="D18" s="619" t="s">
        <v>417</v>
      </c>
      <c r="E18" s="620"/>
      <c r="F18" s="299">
        <v>14.49</v>
      </c>
      <c r="G18" s="447">
        <v>685</v>
      </c>
      <c r="H18" s="300">
        <f t="shared" si="4"/>
        <v>9925.65</v>
      </c>
      <c r="I18" s="450"/>
      <c r="J18" s="301">
        <v>5</v>
      </c>
      <c r="K18" s="302">
        <f>G18/P18*60</f>
        <v>1522.2222222222231</v>
      </c>
      <c r="L18" s="303">
        <f>K18/J18</f>
        <v>304.44444444444463</v>
      </c>
      <c r="M18" s="304">
        <v>0.21249999999999999</v>
      </c>
      <c r="N18" s="304">
        <v>0.23124999999999998</v>
      </c>
      <c r="O18" s="296">
        <v>20</v>
      </c>
      <c r="P18" s="443">
        <f t="shared" ref="P18" si="5">(N18-M18)*24*60</f>
        <v>26.999999999999986</v>
      </c>
      <c r="Q18" s="305"/>
      <c r="R18" s="305"/>
    </row>
    <row r="19" spans="1:18" ht="15.75" customHeight="1">
      <c r="A19" s="614"/>
      <c r="B19" s="297">
        <v>0</v>
      </c>
      <c r="C19" s="449"/>
      <c r="D19" s="619"/>
      <c r="E19" s="620"/>
      <c r="F19" s="299" t="s">
        <v>186</v>
      </c>
      <c r="G19" s="447"/>
      <c r="H19" s="300">
        <f t="shared" si="4"/>
        <v>0</v>
      </c>
      <c r="I19" s="450"/>
      <c r="J19" s="301"/>
      <c r="K19" s="302"/>
      <c r="L19" s="303"/>
      <c r="M19" s="304"/>
      <c r="N19" s="304"/>
      <c r="O19" s="296"/>
      <c r="P19" s="443"/>
      <c r="Q19" s="305"/>
      <c r="R19" s="305"/>
    </row>
    <row r="20" spans="1:18" ht="15.75" customHeight="1">
      <c r="A20" s="615"/>
      <c r="B20" s="297">
        <v>0</v>
      </c>
      <c r="C20" s="449"/>
      <c r="D20" s="317"/>
      <c r="E20" s="445"/>
      <c r="F20" s="299" t="s">
        <v>186</v>
      </c>
      <c r="G20" s="447"/>
      <c r="H20" s="300">
        <f t="shared" si="4"/>
        <v>0</v>
      </c>
      <c r="I20" s="450"/>
      <c r="J20" s="301"/>
      <c r="K20" s="302"/>
      <c r="L20" s="303"/>
      <c r="M20" s="304"/>
      <c r="N20" s="304"/>
      <c r="O20" s="296"/>
      <c r="P20" s="443"/>
      <c r="Q20" s="296"/>
      <c r="R20" s="296"/>
    </row>
    <row r="21" spans="1:18" ht="15.75" customHeight="1">
      <c r="A21" s="615"/>
      <c r="B21" s="297">
        <v>0</v>
      </c>
      <c r="C21" s="449"/>
      <c r="D21" s="317"/>
      <c r="E21" s="445"/>
      <c r="F21" s="299" t="s">
        <v>186</v>
      </c>
      <c r="G21" s="447"/>
      <c r="H21" s="300">
        <f t="shared" si="4"/>
        <v>0</v>
      </c>
      <c r="I21" s="450"/>
      <c r="J21" s="301"/>
      <c r="K21" s="302"/>
      <c r="L21" s="303"/>
      <c r="M21" s="304"/>
      <c r="N21" s="304"/>
      <c r="O21" s="296"/>
      <c r="P21" s="443"/>
      <c r="Q21" s="296"/>
      <c r="R21" s="296"/>
    </row>
    <row r="22" spans="1:18" ht="15.75" customHeight="1">
      <c r="A22" s="615"/>
      <c r="B22" s="297">
        <v>0</v>
      </c>
      <c r="C22" s="449"/>
      <c r="D22" s="317"/>
      <c r="E22" s="445"/>
      <c r="F22" s="299" t="s">
        <v>186</v>
      </c>
      <c r="G22" s="447"/>
      <c r="H22" s="300">
        <f t="shared" si="4"/>
        <v>0</v>
      </c>
      <c r="I22" s="450"/>
      <c r="J22" s="301"/>
      <c r="K22" s="302"/>
      <c r="L22" s="303"/>
      <c r="M22" s="304"/>
      <c r="N22" s="304"/>
      <c r="O22" s="296"/>
      <c r="P22" s="443"/>
      <c r="Q22" s="296"/>
      <c r="R22" s="296"/>
    </row>
    <row r="23" spans="1:18" ht="15.75" customHeight="1">
      <c r="A23" s="615"/>
      <c r="B23" s="297">
        <v>0</v>
      </c>
      <c r="C23" s="449"/>
      <c r="D23" s="317"/>
      <c r="E23" s="445"/>
      <c r="F23" s="299" t="s">
        <v>186</v>
      </c>
      <c r="G23" s="447"/>
      <c r="H23" s="300">
        <f t="shared" si="4"/>
        <v>0</v>
      </c>
      <c r="I23" s="450"/>
      <c r="J23" s="301"/>
      <c r="K23" s="302"/>
      <c r="L23" s="303"/>
      <c r="M23" s="304"/>
      <c r="N23" s="304"/>
      <c r="O23" s="296"/>
      <c r="P23" s="443"/>
      <c r="Q23" s="296"/>
      <c r="R23" s="296"/>
    </row>
    <row r="24" spans="1:18" ht="17.399999999999999" customHeight="1">
      <c r="A24" s="616"/>
      <c r="B24" s="297">
        <v>0</v>
      </c>
      <c r="C24" s="6" t="s">
        <v>418</v>
      </c>
      <c r="D24" s="613" t="s">
        <v>414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1544.8611111111125</v>
      </c>
      <c r="L24" s="314">
        <f>AVERAGE(L17:L23)</f>
        <v>282.84722222222246</v>
      </c>
      <c r="M24" s="304"/>
      <c r="N24" s="304"/>
      <c r="O24" s="296"/>
      <c r="P24" s="296"/>
      <c r="Q24" s="296"/>
      <c r="R24" s="296"/>
    </row>
    <row r="25" spans="1:18">
      <c r="A25" s="625" t="s">
        <v>419</v>
      </c>
      <c r="B25" s="297" t="s">
        <v>184</v>
      </c>
      <c r="C25" s="319"/>
      <c r="D25" s="321" t="s">
        <v>420</v>
      </c>
      <c r="E25" s="320"/>
      <c r="F25" s="299">
        <v>15.03</v>
      </c>
      <c r="G25" s="448">
        <v>2380</v>
      </c>
      <c r="H25" s="300">
        <f t="shared" ref="H25:H27" si="6">F25*G25</f>
        <v>35771.4</v>
      </c>
      <c r="I25" s="450"/>
      <c r="J25" s="301">
        <v>4</v>
      </c>
      <c r="K25" s="302">
        <f t="shared" ref="K25:K27" si="7">G25/P25*60</f>
        <v>2855.9999999999986</v>
      </c>
      <c r="L25" s="303">
        <f t="shared" ref="L25:L27" si="8">K25/J25</f>
        <v>713.99999999999966</v>
      </c>
      <c r="M25" s="304">
        <v>0.18055555555555555</v>
      </c>
      <c r="N25" s="304">
        <v>0.21527777777777779</v>
      </c>
      <c r="O25" s="296">
        <v>20</v>
      </c>
      <c r="P25" s="443">
        <f t="shared" ref="P25:P27" si="9">(N25-M25)*24*60</f>
        <v>50.000000000000021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48">
        <v>3086</v>
      </c>
      <c r="H26" s="300">
        <f t="shared" si="6"/>
        <v>56103.479999999996</v>
      </c>
      <c r="I26" s="450"/>
      <c r="J26" s="301">
        <v>4</v>
      </c>
      <c r="K26" s="302">
        <f t="shared" si="7"/>
        <v>2805.4545454545469</v>
      </c>
      <c r="L26" s="303">
        <f t="shared" si="8"/>
        <v>701.36363636363672</v>
      </c>
      <c r="M26" s="304">
        <v>0.22916666666666666</v>
      </c>
      <c r="N26" s="304">
        <v>0.27499999999999997</v>
      </c>
      <c r="O26" s="296">
        <v>20</v>
      </c>
      <c r="P26" s="443">
        <f t="shared" si="9"/>
        <v>65.999999999999972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48">
        <v>2188</v>
      </c>
      <c r="H27" s="300">
        <f t="shared" si="6"/>
        <v>40543.64</v>
      </c>
      <c r="I27" s="450"/>
      <c r="J27" s="301">
        <v>3</v>
      </c>
      <c r="K27" s="302">
        <f t="shared" si="7"/>
        <v>2853.913043478261</v>
      </c>
      <c r="L27" s="303">
        <f t="shared" si="8"/>
        <v>951.304347826087</v>
      </c>
      <c r="M27" s="304">
        <v>0.28888888888888892</v>
      </c>
      <c r="N27" s="304">
        <v>0.32083333333333336</v>
      </c>
      <c r="O27" s="296">
        <v>20</v>
      </c>
      <c r="P27" s="443">
        <f t="shared" si="9"/>
        <v>46</v>
      </c>
      <c r="Q27" s="305"/>
      <c r="R27" s="305"/>
    </row>
    <row r="28" spans="1:18">
      <c r="A28" s="625"/>
      <c r="B28" s="297">
        <v>0</v>
      </c>
      <c r="C28" s="449"/>
      <c r="D28" s="317"/>
      <c r="E28" s="322"/>
      <c r="F28" s="299"/>
      <c r="G28" s="448"/>
      <c r="H28" s="300"/>
      <c r="I28" s="450"/>
      <c r="J28" s="301"/>
      <c r="K28" s="302"/>
      <c r="L28" s="303"/>
      <c r="M28" s="304"/>
      <c r="N28" s="304"/>
      <c r="O28" s="296"/>
      <c r="P28" s="443"/>
      <c r="Q28" s="305"/>
      <c r="R28" s="305"/>
    </row>
    <row r="29" spans="1:18">
      <c r="A29" s="625"/>
      <c r="B29" s="297">
        <v>0</v>
      </c>
      <c r="C29" s="448"/>
      <c r="D29" s="321"/>
      <c r="E29" s="322"/>
      <c r="F29" s="299"/>
      <c r="G29" s="448"/>
      <c r="H29" s="300"/>
      <c r="I29" s="450"/>
      <c r="J29" s="301"/>
      <c r="K29" s="302"/>
      <c r="L29" s="303"/>
      <c r="M29" s="304"/>
      <c r="N29" s="304"/>
      <c r="O29" s="296"/>
      <c r="P29" s="443"/>
      <c r="Q29" s="305"/>
      <c r="R29" s="305"/>
    </row>
    <row r="30" spans="1:18">
      <c r="A30" s="625"/>
      <c r="B30" s="297">
        <v>0</v>
      </c>
      <c r="C30" s="448"/>
      <c r="D30" s="323"/>
      <c r="E30" s="322"/>
      <c r="F30" s="299"/>
      <c r="G30" s="448"/>
      <c r="H30" s="300"/>
      <c r="I30" s="450"/>
      <c r="J30" s="301"/>
      <c r="K30" s="302"/>
      <c r="L30" s="303"/>
      <c r="M30" s="304"/>
      <c r="N30" s="304"/>
      <c r="O30" s="296"/>
      <c r="P30" s="443"/>
      <c r="Q30" s="305"/>
      <c r="R30" s="305"/>
    </row>
    <row r="31" spans="1:18" ht="15.75" customHeight="1">
      <c r="A31" s="625"/>
      <c r="B31" s="297">
        <v>0</v>
      </c>
      <c r="C31" s="449"/>
      <c r="D31" s="317"/>
      <c r="E31" s="322"/>
      <c r="F31" s="299"/>
      <c r="G31" s="448"/>
      <c r="H31" s="300"/>
      <c r="I31" s="450"/>
      <c r="J31" s="301"/>
      <c r="K31" s="302"/>
      <c r="L31" s="303"/>
      <c r="M31" s="304"/>
      <c r="N31" s="304"/>
      <c r="O31" s="296"/>
      <c r="P31" s="443"/>
      <c r="Q31" s="305"/>
      <c r="R31" s="305"/>
    </row>
    <row r="32" spans="1:18">
      <c r="A32" s="625"/>
      <c r="B32" s="297">
        <v>0</v>
      </c>
      <c r="C32" s="449"/>
      <c r="D32" s="317"/>
      <c r="E32" s="445"/>
      <c r="F32" s="299" t="s">
        <v>186</v>
      </c>
      <c r="G32" s="448"/>
      <c r="H32" s="300">
        <f t="shared" ref="H32:H37" si="10">F32*G32</f>
        <v>0</v>
      </c>
      <c r="I32" s="450"/>
      <c r="J32" s="301"/>
      <c r="K32" s="302"/>
      <c r="L32" s="303"/>
      <c r="M32" s="304"/>
      <c r="N32" s="304"/>
      <c r="O32" s="296"/>
      <c r="P32" s="443"/>
      <c r="Q32" s="305"/>
      <c r="R32" s="305"/>
    </row>
    <row r="33" spans="1:18">
      <c r="A33" s="625"/>
      <c r="B33" s="297">
        <v>0</v>
      </c>
      <c r="C33" s="448"/>
      <c r="D33" s="321"/>
      <c r="E33" s="322"/>
      <c r="F33" s="299" t="s">
        <v>186</v>
      </c>
      <c r="G33" s="448"/>
      <c r="H33" s="300">
        <f t="shared" si="10"/>
        <v>0</v>
      </c>
      <c r="I33" s="450"/>
      <c r="J33" s="301"/>
      <c r="K33" s="302"/>
      <c r="L33" s="303"/>
      <c r="M33" s="304"/>
      <c r="N33" s="304"/>
      <c r="O33" s="296"/>
      <c r="P33" s="443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10"/>
        <v>0</v>
      </c>
      <c r="I34" s="450"/>
      <c r="J34" s="301"/>
      <c r="K34" s="302"/>
      <c r="L34" s="303"/>
      <c r="M34" s="304"/>
      <c r="N34" s="304"/>
      <c r="O34" s="296"/>
      <c r="P34" s="443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10"/>
        <v>0</v>
      </c>
      <c r="I35" s="450"/>
      <c r="J35" s="301"/>
      <c r="K35" s="302"/>
      <c r="L35" s="303"/>
      <c r="M35" s="304"/>
      <c r="N35" s="304"/>
      <c r="O35" s="296"/>
      <c r="P35" s="443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10"/>
        <v>0</v>
      </c>
      <c r="I36" s="450"/>
      <c r="J36" s="301"/>
      <c r="K36" s="302"/>
      <c r="L36" s="303"/>
      <c r="M36" s="304"/>
      <c r="N36" s="304"/>
      <c r="O36" s="296"/>
      <c r="P36" s="443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10"/>
        <v>0</v>
      </c>
      <c r="I37" s="450"/>
      <c r="J37" s="301"/>
      <c r="K37" s="302"/>
      <c r="L37" s="303"/>
      <c r="M37" s="304"/>
      <c r="N37" s="304"/>
      <c r="O37" s="296"/>
      <c r="P37" s="443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2838.4558629776025</v>
      </c>
      <c r="L38" s="314">
        <f>AVERAGE(L25:L37)</f>
        <v>788.88932806324112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421</v>
      </c>
      <c r="B39" s="297">
        <v>0</v>
      </c>
      <c r="C39" s="449"/>
      <c r="D39" s="317"/>
      <c r="E39" s="445"/>
      <c r="F39" s="299" t="s">
        <v>186</v>
      </c>
      <c r="G39" s="448"/>
      <c r="H39" s="300">
        <f t="shared" ref="H39:H47" si="11">F39*G39</f>
        <v>0</v>
      </c>
      <c r="I39" s="450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49"/>
      <c r="D40" s="317"/>
      <c r="E40" s="445"/>
      <c r="F40" s="299" t="s">
        <v>186</v>
      </c>
      <c r="G40" s="448"/>
      <c r="H40" s="300">
        <f t="shared" si="11"/>
        <v>0</v>
      </c>
      <c r="I40" s="450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49"/>
      <c r="D41" s="321"/>
      <c r="E41" s="445"/>
      <c r="F41" s="299" t="s">
        <v>186</v>
      </c>
      <c r="G41" s="448"/>
      <c r="H41" s="300">
        <f t="shared" si="11"/>
        <v>0</v>
      </c>
      <c r="I41" s="450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49"/>
      <c r="D42" s="321"/>
      <c r="E42" s="445"/>
      <c r="F42" s="299" t="s">
        <v>186</v>
      </c>
      <c r="G42" s="448"/>
      <c r="H42" s="300">
        <f t="shared" si="11"/>
        <v>0</v>
      </c>
      <c r="I42" s="450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49"/>
      <c r="D43" s="320"/>
      <c r="E43" s="445"/>
      <c r="F43" s="299" t="s">
        <v>186</v>
      </c>
      <c r="G43" s="448"/>
      <c r="H43" s="300">
        <f t="shared" si="11"/>
        <v>0</v>
      </c>
      <c r="I43" s="450"/>
      <c r="J43" s="301"/>
      <c r="K43" s="302"/>
      <c r="L43" s="303"/>
      <c r="M43" s="304"/>
      <c r="N43" s="304"/>
      <c r="O43" s="296"/>
      <c r="P43" s="443"/>
      <c r="Q43" s="305"/>
      <c r="R43" s="305"/>
    </row>
    <row r="44" spans="1:18">
      <c r="A44" s="628"/>
      <c r="B44" s="297">
        <v>0</v>
      </c>
      <c r="C44" s="449"/>
      <c r="D44" s="321"/>
      <c r="E44" s="327"/>
      <c r="F44" s="299" t="s">
        <v>186</v>
      </c>
      <c r="G44" s="328"/>
      <c r="H44" s="329">
        <f t="shared" si="11"/>
        <v>0</v>
      </c>
      <c r="I44" s="451"/>
      <c r="J44" s="301"/>
      <c r="K44" s="302"/>
      <c r="L44" s="303"/>
      <c r="M44" s="304"/>
      <c r="N44" s="304"/>
      <c r="O44" s="296"/>
      <c r="P44" s="443"/>
      <c r="Q44" s="305"/>
      <c r="R44" s="305"/>
    </row>
    <row r="45" spans="1:18">
      <c r="A45" s="628"/>
      <c r="B45" s="297">
        <v>0</v>
      </c>
      <c r="C45" s="449"/>
      <c r="D45" s="337"/>
      <c r="E45" s="322"/>
      <c r="F45" s="299" t="s">
        <v>186</v>
      </c>
      <c r="G45" s="448"/>
      <c r="H45" s="300">
        <f t="shared" si="11"/>
        <v>0</v>
      </c>
      <c r="I45" s="450"/>
      <c r="J45" s="301"/>
      <c r="K45" s="302"/>
      <c r="L45" s="303"/>
      <c r="M45" s="304"/>
      <c r="N45" s="304"/>
      <c r="O45" s="296"/>
      <c r="P45" s="443"/>
      <c r="Q45" s="305"/>
      <c r="R45" s="305"/>
    </row>
    <row r="46" spans="1:18">
      <c r="A46" s="628"/>
      <c r="B46" s="297">
        <v>0</v>
      </c>
      <c r="C46" s="449"/>
      <c r="D46" s="321"/>
      <c r="E46" s="327"/>
      <c r="F46" s="299" t="s">
        <v>186</v>
      </c>
      <c r="G46" s="328"/>
      <c r="H46" s="329">
        <f t="shared" si="11"/>
        <v>0</v>
      </c>
      <c r="I46" s="451"/>
      <c r="J46" s="301"/>
      <c r="K46" s="302"/>
      <c r="L46" s="303"/>
      <c r="M46" s="304"/>
      <c r="N46" s="304"/>
      <c r="O46" s="296"/>
      <c r="P46" s="443"/>
      <c r="Q46" s="305"/>
      <c r="R46" s="305"/>
    </row>
    <row r="47" spans="1:18">
      <c r="A47" s="628"/>
      <c r="B47" s="297">
        <v>0</v>
      </c>
      <c r="C47" s="449"/>
      <c r="D47" s="337"/>
      <c r="E47" s="322"/>
      <c r="F47" s="299" t="s">
        <v>186</v>
      </c>
      <c r="G47" s="448"/>
      <c r="H47" s="300">
        <f t="shared" si="11"/>
        <v>0</v>
      </c>
      <c r="I47" s="450"/>
      <c r="J47" s="301"/>
      <c r="K47" s="302"/>
      <c r="L47" s="303"/>
      <c r="M47" s="304"/>
      <c r="N47" s="304"/>
      <c r="O47" s="296"/>
      <c r="P47" s="443"/>
      <c r="Q47" s="305"/>
      <c r="R47" s="305"/>
    </row>
    <row r="48" spans="1:18">
      <c r="A48" s="629"/>
      <c r="B48" s="297">
        <v>0</v>
      </c>
      <c r="C48" s="448"/>
      <c r="D48" s="321"/>
      <c r="E48" s="376"/>
      <c r="F48" s="299" t="s">
        <v>186</v>
      </c>
      <c r="G48" s="448"/>
      <c r="H48" s="300"/>
      <c r="I48" s="450"/>
      <c r="J48" s="301"/>
      <c r="K48" s="302"/>
      <c r="L48" s="303"/>
      <c r="M48" s="304"/>
      <c r="N48" s="304"/>
      <c r="O48" s="296"/>
      <c r="P48" s="443"/>
      <c r="Q48" s="305"/>
      <c r="R48" s="305"/>
    </row>
    <row r="49" spans="1:18">
      <c r="A49" s="629"/>
      <c r="B49" s="297">
        <v>0</v>
      </c>
      <c r="C49" s="448"/>
      <c r="D49" s="330"/>
      <c r="E49" s="331"/>
      <c r="F49" s="299" t="s">
        <v>186</v>
      </c>
      <c r="G49" s="296"/>
      <c r="H49" s="329">
        <f>F49*G49</f>
        <v>0</v>
      </c>
      <c r="I49" s="443"/>
      <c r="J49" s="301"/>
      <c r="K49" s="302"/>
      <c r="L49" s="303"/>
      <c r="M49" s="304"/>
      <c r="N49" s="304"/>
      <c r="O49" s="296"/>
      <c r="P49" s="443"/>
      <c r="Q49" s="305"/>
      <c r="R49" s="305"/>
    </row>
    <row r="50" spans="1:18">
      <c r="A50" s="629"/>
      <c r="B50" s="297">
        <v>0</v>
      </c>
      <c r="C50" s="448"/>
      <c r="D50" s="330"/>
      <c r="E50" s="331"/>
      <c r="F50" s="299" t="s">
        <v>186</v>
      </c>
      <c r="G50" s="296"/>
      <c r="H50" s="329">
        <f>F50*G50</f>
        <v>0</v>
      </c>
      <c r="I50" s="443"/>
      <c r="J50" s="301"/>
      <c r="K50" s="302"/>
      <c r="L50" s="303"/>
      <c r="M50" s="304"/>
      <c r="N50" s="304"/>
      <c r="O50" s="296"/>
      <c r="P50" s="443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414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422</v>
      </c>
      <c r="B52" s="297" t="s">
        <v>184</v>
      </c>
      <c r="C52" s="449"/>
      <c r="D52" s="320" t="s">
        <v>159</v>
      </c>
      <c r="E52" s="335"/>
      <c r="F52" s="299">
        <v>25.03</v>
      </c>
      <c r="G52" s="448">
        <v>765</v>
      </c>
      <c r="H52" s="300">
        <f>F52*G52</f>
        <v>19147.95</v>
      </c>
      <c r="I52" s="450"/>
      <c r="J52" s="301">
        <v>4</v>
      </c>
      <c r="K52" s="302">
        <f>G52/P52*60</f>
        <v>3530.7692307692214</v>
      </c>
      <c r="L52" s="303">
        <f>K52/J52</f>
        <v>882.69230769230535</v>
      </c>
      <c r="M52" s="304">
        <v>0.2986111111111111</v>
      </c>
      <c r="N52" s="304">
        <v>0.30763888888888891</v>
      </c>
      <c r="O52" s="302">
        <v>10</v>
      </c>
      <c r="P52" s="443">
        <f>(N52-M52)*24*60</f>
        <v>13.000000000000034</v>
      </c>
      <c r="Q52" s="305"/>
      <c r="R52" s="305"/>
    </row>
    <row r="53" spans="1:18" ht="15.6" customHeight="1">
      <c r="A53" s="632"/>
      <c r="B53" s="297" t="s">
        <v>184</v>
      </c>
      <c r="C53" s="449"/>
      <c r="D53" s="320" t="s">
        <v>160</v>
      </c>
      <c r="E53" s="336"/>
      <c r="F53" s="299">
        <v>24.82</v>
      </c>
      <c r="G53" s="306">
        <v>987</v>
      </c>
      <c r="H53" s="300">
        <f t="shared" ref="H53:H62" si="12">F53*G53</f>
        <v>24497.34</v>
      </c>
      <c r="I53" s="450"/>
      <c r="J53" s="301">
        <v>4</v>
      </c>
      <c r="K53" s="302">
        <f t="shared" ref="K53:K56" si="13">G53/P53*60</f>
        <v>3289.9999999999977</v>
      </c>
      <c r="L53" s="303">
        <f t="shared" ref="L53:L56" si="14">K53/J53</f>
        <v>822.49999999999943</v>
      </c>
      <c r="M53" s="304">
        <v>0.3215277777777778</v>
      </c>
      <c r="N53" s="304">
        <v>0.33402777777777781</v>
      </c>
      <c r="O53" s="302">
        <v>20</v>
      </c>
      <c r="P53" s="443">
        <f t="shared" ref="P53:P56" si="15">(N53-M53)*24*60</f>
        <v>18.000000000000014</v>
      </c>
      <c r="Q53" s="305"/>
      <c r="R53" s="305"/>
    </row>
    <row r="54" spans="1:18" ht="15.6" customHeight="1">
      <c r="A54" s="632"/>
      <c r="B54" s="297" t="s">
        <v>184</v>
      </c>
      <c r="C54" s="449"/>
      <c r="D54" s="320" t="s">
        <v>161</v>
      </c>
      <c r="E54" s="445"/>
      <c r="F54" s="299">
        <v>30</v>
      </c>
      <c r="G54" s="306">
        <v>1687</v>
      </c>
      <c r="H54" s="300">
        <f t="shared" si="12"/>
        <v>50610</v>
      </c>
      <c r="I54" s="450"/>
      <c r="J54" s="301">
        <v>4</v>
      </c>
      <c r="K54" s="302">
        <f t="shared" si="13"/>
        <v>3265.161290322575</v>
      </c>
      <c r="L54" s="303">
        <f t="shared" si="14"/>
        <v>816.29032258064376</v>
      </c>
      <c r="M54" s="304">
        <v>0.34791666666666665</v>
      </c>
      <c r="N54" s="304">
        <v>0.36944444444444446</v>
      </c>
      <c r="O54" s="302">
        <v>20</v>
      </c>
      <c r="P54" s="443">
        <f t="shared" si="15"/>
        <v>31.00000000000005</v>
      </c>
      <c r="Q54" s="305">
        <v>0.36944444444444446</v>
      </c>
      <c r="R54" s="305">
        <v>0.41111111111111115</v>
      </c>
    </row>
    <row r="55" spans="1:18" ht="15.6" customHeight="1">
      <c r="A55" s="632"/>
      <c r="B55" s="297" t="s">
        <v>184</v>
      </c>
      <c r="C55" s="449"/>
      <c r="D55" s="338" t="s">
        <v>162</v>
      </c>
      <c r="E55" s="322"/>
      <c r="F55" s="299">
        <v>14.03</v>
      </c>
      <c r="G55" s="306">
        <v>2770</v>
      </c>
      <c r="H55" s="300">
        <f t="shared" si="12"/>
        <v>38863.1</v>
      </c>
      <c r="I55" s="450"/>
      <c r="J55" s="301">
        <v>3</v>
      </c>
      <c r="K55" s="302">
        <f t="shared" si="13"/>
        <v>3324.0000000000009</v>
      </c>
      <c r="L55" s="303">
        <f t="shared" si="14"/>
        <v>1108.0000000000002</v>
      </c>
      <c r="M55" s="304">
        <v>0.42499999999999999</v>
      </c>
      <c r="N55" s="304">
        <v>0.4597222222222222</v>
      </c>
      <c r="O55" s="302">
        <v>20</v>
      </c>
      <c r="P55" s="443">
        <f t="shared" si="15"/>
        <v>49.999999999999986</v>
      </c>
      <c r="Q55" s="305"/>
      <c r="R55" s="305"/>
    </row>
    <row r="56" spans="1:18" ht="15.6" customHeight="1">
      <c r="A56" s="632"/>
      <c r="B56" s="297" t="s">
        <v>184</v>
      </c>
      <c r="C56" s="449"/>
      <c r="D56" s="321" t="s">
        <v>164</v>
      </c>
      <c r="E56" s="322"/>
      <c r="F56" s="299">
        <v>18.18</v>
      </c>
      <c r="G56" s="306">
        <v>1544</v>
      </c>
      <c r="H56" s="300">
        <f t="shared" si="12"/>
        <v>28069.919999999998</v>
      </c>
      <c r="I56" s="450"/>
      <c r="J56" s="301">
        <v>3</v>
      </c>
      <c r="K56" s="302">
        <f t="shared" si="13"/>
        <v>3308.5714285714307</v>
      </c>
      <c r="L56" s="303">
        <f t="shared" si="14"/>
        <v>1102.8571428571436</v>
      </c>
      <c r="M56" s="304">
        <v>0.47361111111111115</v>
      </c>
      <c r="N56" s="304">
        <v>0.49305555555555558</v>
      </c>
      <c r="O56" s="302">
        <v>20</v>
      </c>
      <c r="P56" s="443">
        <f t="shared" si="15"/>
        <v>27.999999999999979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12"/>
        <v>0</v>
      </c>
      <c r="I57" s="450"/>
      <c r="J57" s="301"/>
      <c r="K57" s="302"/>
      <c r="L57" s="303"/>
      <c r="M57" s="304"/>
      <c r="N57" s="304"/>
      <c r="O57" s="302"/>
      <c r="P57" s="443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12"/>
        <v>0</v>
      </c>
      <c r="I58" s="450"/>
      <c r="J58" s="301"/>
      <c r="K58" s="302"/>
      <c r="L58" s="303"/>
      <c r="M58" s="304"/>
      <c r="N58" s="304"/>
      <c r="O58" s="302"/>
      <c r="P58" s="443"/>
      <c r="Q58" s="305"/>
      <c r="R58" s="305"/>
    </row>
    <row r="59" spans="1:18" ht="15.6" customHeight="1">
      <c r="A59" s="632"/>
      <c r="B59" s="297">
        <v>0</v>
      </c>
      <c r="C59" s="449"/>
      <c r="D59" s="337"/>
      <c r="E59" s="322"/>
      <c r="F59" s="299" t="s">
        <v>186</v>
      </c>
      <c r="G59" s="306"/>
      <c r="H59" s="300">
        <f t="shared" si="12"/>
        <v>0</v>
      </c>
      <c r="I59" s="450"/>
      <c r="J59" s="301"/>
      <c r="K59" s="302"/>
      <c r="L59" s="303"/>
      <c r="M59" s="304"/>
      <c r="N59" s="304"/>
      <c r="O59" s="302"/>
      <c r="P59" s="443"/>
      <c r="Q59" s="305"/>
      <c r="R59" s="305"/>
    </row>
    <row r="60" spans="1:18" ht="15.6" customHeight="1">
      <c r="A60" s="632"/>
      <c r="B60" s="297">
        <v>0</v>
      </c>
      <c r="C60" s="449"/>
      <c r="D60" s="338"/>
      <c r="E60" s="341"/>
      <c r="F60" s="299" t="s">
        <v>186</v>
      </c>
      <c r="G60" s="306"/>
      <c r="H60" s="300">
        <f t="shared" si="12"/>
        <v>0</v>
      </c>
      <c r="I60" s="450"/>
      <c r="J60" s="301"/>
      <c r="K60" s="302"/>
      <c r="L60" s="303"/>
      <c r="M60" s="304"/>
      <c r="N60" s="304"/>
      <c r="O60" s="302"/>
      <c r="P60" s="443"/>
      <c r="Q60" s="305"/>
      <c r="R60" s="305"/>
    </row>
    <row r="61" spans="1:18" ht="15.6" customHeight="1">
      <c r="A61" s="632"/>
      <c r="B61" s="297">
        <v>0</v>
      </c>
      <c r="C61" s="449"/>
      <c r="D61" s="320"/>
      <c r="E61" s="322"/>
      <c r="F61" s="299" t="s">
        <v>186</v>
      </c>
      <c r="G61" s="306"/>
      <c r="H61" s="300">
        <f t="shared" si="12"/>
        <v>0</v>
      </c>
      <c r="I61" s="450"/>
      <c r="J61" s="301"/>
      <c r="K61" s="302"/>
      <c r="L61" s="303"/>
      <c r="M61" s="304"/>
      <c r="N61" s="304"/>
      <c r="O61" s="302"/>
      <c r="P61" s="443"/>
      <c r="Q61" s="305"/>
      <c r="R61" s="305"/>
    </row>
    <row r="62" spans="1:18" ht="15.6" customHeight="1">
      <c r="A62" s="632"/>
      <c r="B62" s="297">
        <v>0</v>
      </c>
      <c r="C62" s="449"/>
      <c r="D62" s="337"/>
      <c r="E62" s="342"/>
      <c r="F62" s="299" t="s">
        <v>186</v>
      </c>
      <c r="G62" s="306"/>
      <c r="H62" s="300">
        <f t="shared" si="12"/>
        <v>0</v>
      </c>
      <c r="I62" s="450"/>
      <c r="J62" s="301"/>
      <c r="K62" s="302"/>
      <c r="L62" s="303"/>
      <c r="M62" s="304"/>
      <c r="N62" s="304"/>
      <c r="O62" s="302"/>
      <c r="P62" s="443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3"/>
        <v>0</v>
      </c>
      <c r="I63" s="451"/>
      <c r="J63" s="301"/>
      <c r="K63" s="302"/>
      <c r="L63" s="303"/>
      <c r="M63" s="304"/>
      <c r="N63" s="304"/>
      <c r="O63" s="296"/>
      <c r="P63" s="443"/>
      <c r="Q63" s="305"/>
      <c r="R63" s="305"/>
    </row>
    <row r="64" spans="1:18" ht="15.75" customHeight="1">
      <c r="A64" s="633"/>
      <c r="B64" s="297">
        <v>0</v>
      </c>
      <c r="C64" s="6" t="s">
        <v>423</v>
      </c>
      <c r="D64" s="613" t="s">
        <v>414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3343.7003899326455</v>
      </c>
      <c r="L64" s="314">
        <f>AVERAGE(L52:L63)</f>
        <v>946.46795462601835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424</v>
      </c>
      <c r="B65" s="297" t="s">
        <v>184</v>
      </c>
      <c r="C65" s="449"/>
      <c r="D65" s="321" t="s">
        <v>425</v>
      </c>
      <c r="E65" s="335"/>
      <c r="F65" s="299">
        <v>16.66</v>
      </c>
      <c r="G65" s="448">
        <v>2867</v>
      </c>
      <c r="H65" s="300">
        <f>F65*G65</f>
        <v>47764.22</v>
      </c>
      <c r="I65" s="450"/>
      <c r="J65" s="301">
        <v>4</v>
      </c>
      <c r="K65" s="302">
        <f t="shared" ref="K65:K69" si="16">G65/P65*60</f>
        <v>3245.6603773584893</v>
      </c>
      <c r="L65" s="303">
        <f t="shared" ref="L65:L69" si="17">K65/J65</f>
        <v>811.41509433962233</v>
      </c>
      <c r="M65" s="304">
        <v>0.18055555555555555</v>
      </c>
      <c r="N65" s="304">
        <v>0.21736111111111112</v>
      </c>
      <c r="O65" s="302">
        <v>20</v>
      </c>
      <c r="P65" s="443">
        <f>(N65-M65)*24*60</f>
        <v>53.000000000000014</v>
      </c>
      <c r="Q65" s="305"/>
      <c r="R65" s="305"/>
    </row>
    <row r="66" spans="1:18" ht="15.6" customHeight="1">
      <c r="A66" s="635"/>
      <c r="B66" s="297" t="s">
        <v>184</v>
      </c>
      <c r="C66" s="449"/>
      <c r="D66" s="321" t="s">
        <v>426</v>
      </c>
      <c r="E66" s="336"/>
      <c r="F66" s="299">
        <v>22.281818181818181</v>
      </c>
      <c r="G66" s="306">
        <v>720</v>
      </c>
      <c r="H66" s="300">
        <f t="shared" ref="H66:H74" si="18">F66*G66</f>
        <v>16042.90909090909</v>
      </c>
      <c r="I66" s="450"/>
      <c r="J66" s="301">
        <v>4</v>
      </c>
      <c r="K66" s="302">
        <f t="shared" si="16"/>
        <v>3323.0769230769142</v>
      </c>
      <c r="L66" s="303">
        <f t="shared" si="17"/>
        <v>830.76923076922856</v>
      </c>
      <c r="M66" s="304">
        <v>0.23124999999999998</v>
      </c>
      <c r="N66" s="304">
        <v>0.24027777777777778</v>
      </c>
      <c r="O66" s="302">
        <v>20</v>
      </c>
      <c r="P66" s="443">
        <f t="shared" ref="P66:P69" si="19">(N66-M66)*24*60</f>
        <v>13.000000000000034</v>
      </c>
      <c r="Q66" s="305"/>
      <c r="R66" s="305"/>
    </row>
    <row r="67" spans="1:18" ht="15.6" customHeight="1">
      <c r="A67" s="635"/>
      <c r="B67" s="297" t="s">
        <v>184</v>
      </c>
      <c r="C67" s="449"/>
      <c r="D67" s="337" t="s">
        <v>427</v>
      </c>
      <c r="E67" s="322"/>
      <c r="F67" s="299">
        <v>17.890909090909091</v>
      </c>
      <c r="G67" s="306">
        <v>1772</v>
      </c>
      <c r="H67" s="300">
        <f t="shared" si="18"/>
        <v>31702.69090909091</v>
      </c>
      <c r="I67" s="450"/>
      <c r="J67" s="301">
        <v>3</v>
      </c>
      <c r="K67" s="302">
        <f t="shared" si="16"/>
        <v>3221.8181818181774</v>
      </c>
      <c r="L67" s="303">
        <f t="shared" si="17"/>
        <v>1073.9393939393924</v>
      </c>
      <c r="M67" s="304">
        <v>0.25416666666666665</v>
      </c>
      <c r="N67" s="304">
        <v>0.27708333333333335</v>
      </c>
      <c r="O67" s="302">
        <v>20</v>
      </c>
      <c r="P67" s="443">
        <f t="shared" si="19"/>
        <v>33.000000000000043</v>
      </c>
      <c r="Q67" s="305">
        <v>0.27708333333333335</v>
      </c>
      <c r="R67" s="305">
        <v>0.31875000000000003</v>
      </c>
    </row>
    <row r="68" spans="1:18" ht="15.6" customHeight="1">
      <c r="A68" s="635"/>
      <c r="B68" s="297" t="s">
        <v>184</v>
      </c>
      <c r="C68" s="449"/>
      <c r="D68" s="320" t="s">
        <v>163</v>
      </c>
      <c r="E68" s="322"/>
      <c r="F68" s="299">
        <v>18.18</v>
      </c>
      <c r="G68" s="306">
        <v>898</v>
      </c>
      <c r="H68" s="300">
        <f t="shared" si="18"/>
        <v>16325.64</v>
      </c>
      <c r="I68" s="450"/>
      <c r="J68" s="301">
        <v>3</v>
      </c>
      <c r="K68" s="302">
        <f t="shared" si="16"/>
        <v>3367.4999999999955</v>
      </c>
      <c r="L68" s="303">
        <f t="shared" si="17"/>
        <v>1122.4999999999984</v>
      </c>
      <c r="M68" s="304">
        <v>0.33263888888888887</v>
      </c>
      <c r="N68" s="304">
        <v>0.34375</v>
      </c>
      <c r="O68" s="302">
        <v>20</v>
      </c>
      <c r="P68" s="443">
        <f t="shared" si="19"/>
        <v>16.000000000000021</v>
      </c>
      <c r="Q68" s="305"/>
      <c r="R68" s="305"/>
    </row>
    <row r="69" spans="1:18" ht="15.6" customHeight="1">
      <c r="A69" s="635"/>
      <c r="B69" s="297" t="s">
        <v>184</v>
      </c>
      <c r="C69" s="449"/>
      <c r="D69" s="337" t="s">
        <v>165</v>
      </c>
      <c r="E69" s="322"/>
      <c r="F69" s="299">
        <v>14.285714285714283</v>
      </c>
      <c r="G69" s="306">
        <v>4395</v>
      </c>
      <c r="H69" s="300">
        <f t="shared" si="18"/>
        <v>62785.714285714275</v>
      </c>
      <c r="I69" s="450"/>
      <c r="J69" s="301">
        <v>3</v>
      </c>
      <c r="K69" s="302">
        <f t="shared" si="16"/>
        <v>3296.2500000000018</v>
      </c>
      <c r="L69" s="303">
        <f t="shared" si="17"/>
        <v>1098.7500000000007</v>
      </c>
      <c r="M69" s="304">
        <v>0.3576388888888889</v>
      </c>
      <c r="N69" s="304">
        <v>0.41319444444444442</v>
      </c>
      <c r="O69" s="302">
        <v>20</v>
      </c>
      <c r="P69" s="443">
        <f t="shared" si="19"/>
        <v>79.999999999999957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18"/>
        <v>0</v>
      </c>
      <c r="I70" s="450"/>
      <c r="J70" s="301"/>
      <c r="K70" s="302"/>
      <c r="L70" s="303"/>
      <c r="M70" s="304"/>
      <c r="N70" s="304"/>
      <c r="O70" s="302"/>
      <c r="P70" s="443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18"/>
        <v>0</v>
      </c>
      <c r="I71" s="450"/>
      <c r="J71" s="301"/>
      <c r="K71" s="302"/>
      <c r="L71" s="303"/>
      <c r="M71" s="304"/>
      <c r="N71" s="304"/>
      <c r="O71" s="302"/>
      <c r="P71" s="443"/>
      <c r="Q71" s="305"/>
      <c r="R71" s="305"/>
    </row>
    <row r="72" spans="1:18" ht="15.6" customHeight="1">
      <c r="A72" s="635"/>
      <c r="B72" s="297">
        <v>0</v>
      </c>
      <c r="C72" s="449"/>
      <c r="D72" s="337"/>
      <c r="E72" s="322"/>
      <c r="F72" s="299" t="s">
        <v>186</v>
      </c>
      <c r="G72" s="306"/>
      <c r="H72" s="300">
        <f t="shared" si="18"/>
        <v>0</v>
      </c>
      <c r="I72" s="450"/>
      <c r="J72" s="301"/>
      <c r="K72" s="302"/>
      <c r="L72" s="303"/>
      <c r="M72" s="304"/>
      <c r="N72" s="304"/>
      <c r="O72" s="302"/>
      <c r="P72" s="443"/>
      <c r="Q72" s="305"/>
      <c r="R72" s="305"/>
    </row>
    <row r="73" spans="1:18" ht="15.6" customHeight="1">
      <c r="A73" s="635"/>
      <c r="B73" s="297">
        <v>0</v>
      </c>
      <c r="C73" s="449"/>
      <c r="D73" s="337"/>
      <c r="E73" s="322"/>
      <c r="F73" s="299" t="s">
        <v>186</v>
      </c>
      <c r="G73" s="306"/>
      <c r="H73" s="300">
        <f t="shared" si="18"/>
        <v>0</v>
      </c>
      <c r="I73" s="450"/>
      <c r="J73" s="301"/>
      <c r="K73" s="302"/>
      <c r="L73" s="303"/>
      <c r="M73" s="304"/>
      <c r="N73" s="304"/>
      <c r="O73" s="302"/>
      <c r="P73" s="443"/>
      <c r="Q73" s="305"/>
      <c r="R73" s="305"/>
    </row>
    <row r="74" spans="1:18" ht="15.6" customHeight="1">
      <c r="A74" s="635"/>
      <c r="B74" s="297">
        <v>0</v>
      </c>
      <c r="C74" s="449"/>
      <c r="D74" s="337"/>
      <c r="E74" s="322"/>
      <c r="F74" s="299" t="s">
        <v>186</v>
      </c>
      <c r="G74" s="306"/>
      <c r="H74" s="300">
        <f t="shared" si="18"/>
        <v>0</v>
      </c>
      <c r="I74" s="450"/>
      <c r="J74" s="301"/>
      <c r="K74" s="302"/>
      <c r="L74" s="303"/>
      <c r="M74" s="304"/>
      <c r="N74" s="304"/>
      <c r="O74" s="302"/>
      <c r="P74" s="443"/>
      <c r="Q74" s="305"/>
      <c r="R74" s="305"/>
    </row>
    <row r="75" spans="1:18" ht="15.75" customHeight="1">
      <c r="A75" s="636"/>
      <c r="B75" s="297">
        <v>0</v>
      </c>
      <c r="C75" s="6" t="s">
        <v>428</v>
      </c>
      <c r="D75" s="613" t="s">
        <v>414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3290.8610964507156</v>
      </c>
      <c r="L75" s="314">
        <f>AVERAGE(L65:L74)</f>
        <v>987.47474380964854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 t="shared" si="3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43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48"/>
      <c r="H77" s="300">
        <f t="shared" si="3"/>
        <v>0</v>
      </c>
      <c r="I77" s="450"/>
      <c r="J77" s="301"/>
      <c r="K77" s="302"/>
      <c r="L77" s="303"/>
      <c r="M77" s="304"/>
      <c r="N77" s="304"/>
      <c r="O77" s="296"/>
      <c r="P77" s="443"/>
      <c r="Q77" s="296"/>
      <c r="R77" s="296"/>
    </row>
    <row r="78" spans="1:18">
      <c r="A78" s="621"/>
      <c r="B78" s="297">
        <v>0</v>
      </c>
      <c r="C78" s="308"/>
      <c r="D78" s="442"/>
      <c r="E78" s="442"/>
      <c r="F78" s="299" t="s">
        <v>186</v>
      </c>
      <c r="G78" s="324"/>
      <c r="H78" s="300">
        <f t="shared" si="3"/>
        <v>0</v>
      </c>
      <c r="I78" s="450"/>
      <c r="J78" s="301"/>
      <c r="K78" s="302"/>
      <c r="L78" s="303"/>
      <c r="M78" s="304"/>
      <c r="N78" s="304"/>
      <c r="O78" s="296"/>
      <c r="P78" s="443"/>
      <c r="Q78" s="296"/>
      <c r="R78" s="296"/>
    </row>
    <row r="79" spans="1:18">
      <c r="A79" s="621"/>
      <c r="B79" s="297">
        <v>0</v>
      </c>
      <c r="C79" s="308"/>
      <c r="D79" s="442"/>
      <c r="E79" s="442"/>
      <c r="F79" s="299" t="s">
        <v>186</v>
      </c>
      <c r="G79" s="324"/>
      <c r="H79" s="300">
        <f t="shared" si="3"/>
        <v>0</v>
      </c>
      <c r="I79" s="450"/>
      <c r="J79" s="301"/>
      <c r="K79" s="302"/>
      <c r="L79" s="303"/>
      <c r="M79" s="304"/>
      <c r="N79" s="304"/>
      <c r="O79" s="296"/>
      <c r="P79" s="443"/>
      <c r="Q79" s="296"/>
      <c r="R79" s="296"/>
    </row>
    <row r="80" spans="1:18">
      <c r="A80" s="621"/>
      <c r="B80" s="297">
        <v>0</v>
      </c>
      <c r="C80" s="308"/>
      <c r="D80" s="442"/>
      <c r="E80" s="442"/>
      <c r="F80" s="299" t="s">
        <v>186</v>
      </c>
      <c r="G80" s="324"/>
      <c r="H80" s="300">
        <f t="shared" si="3"/>
        <v>0</v>
      </c>
      <c r="I80" s="450"/>
      <c r="J80" s="301"/>
      <c r="K80" s="302"/>
      <c r="L80" s="303"/>
      <c r="M80" s="304"/>
      <c r="N80" s="304"/>
      <c r="O80" s="296"/>
      <c r="P80" s="443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414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429</v>
      </c>
      <c r="B82" s="297" t="s">
        <v>184</v>
      </c>
      <c r="C82" s="319"/>
      <c r="D82" s="320" t="s">
        <v>168</v>
      </c>
      <c r="E82" s="346"/>
      <c r="F82" s="299">
        <v>18.18</v>
      </c>
      <c r="G82" s="324">
        <v>475</v>
      </c>
      <c r="H82" s="347">
        <f t="shared" ref="H82:H90" si="20">F82*G82</f>
        <v>8635.5</v>
      </c>
      <c r="I82" s="450"/>
      <c r="J82" s="301">
        <v>4</v>
      </c>
      <c r="K82" s="302">
        <f t="shared" ref="K82" si="21">G82/P82*60</f>
        <v>2850.00000000001</v>
      </c>
      <c r="L82" s="303">
        <f t="shared" ref="L82" si="22">K82/J82</f>
        <v>712.5000000000025</v>
      </c>
      <c r="M82" s="304">
        <v>0.72222222222222221</v>
      </c>
      <c r="N82" s="304">
        <v>0.72916666666666663</v>
      </c>
      <c r="O82" s="302">
        <v>20</v>
      </c>
      <c r="P82" s="443">
        <f>(N82-M82)*24*60</f>
        <v>9.9999999999999645</v>
      </c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20"/>
        <v>0</v>
      </c>
      <c r="I83" s="450"/>
      <c r="J83" s="301"/>
      <c r="K83" s="302"/>
      <c r="L83" s="303"/>
      <c r="M83" s="304"/>
      <c r="N83" s="304"/>
      <c r="O83" s="302"/>
      <c r="P83" s="443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20"/>
        <v>0</v>
      </c>
      <c r="I84" s="450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20"/>
        <v>0</v>
      </c>
      <c r="I85" s="450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48"/>
      <c r="H86" s="348">
        <f t="shared" si="20"/>
        <v>0</v>
      </c>
      <c r="I86" s="450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48"/>
      <c r="H87" s="348">
        <f t="shared" si="20"/>
        <v>0</v>
      </c>
      <c r="I87" s="450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48"/>
      <c r="H88" s="348">
        <f t="shared" si="20"/>
        <v>0</v>
      </c>
      <c r="I88" s="450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48"/>
      <c r="H89" s="348">
        <f t="shared" si="20"/>
        <v>0</v>
      </c>
      <c r="I89" s="450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48"/>
      <c r="H90" s="348">
        <f t="shared" si="20"/>
        <v>0</v>
      </c>
      <c r="I90" s="450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419</v>
      </c>
      <c r="D91" s="641" t="s">
        <v>414</v>
      </c>
      <c r="E91" s="641"/>
      <c r="F91" s="309"/>
      <c r="G91" s="350"/>
      <c r="H91" s="351"/>
      <c r="I91" s="312"/>
      <c r="J91" s="313">
        <f>AVERAGE(J82:J90)</f>
        <v>4</v>
      </c>
      <c r="K91" s="313">
        <f>AVERAGE(K82:K90)</f>
        <v>2850.00000000001</v>
      </c>
      <c r="L91" s="314">
        <f>AVERAGE(L82:L90)</f>
        <v>712.5000000000025</v>
      </c>
      <c r="M91" s="304"/>
      <c r="N91" s="304"/>
      <c r="O91" s="302"/>
      <c r="P91" s="302"/>
      <c r="Q91" s="303"/>
      <c r="R91" s="303"/>
    </row>
    <row r="92" spans="1:18" ht="16.2" customHeight="1">
      <c r="A92" s="642" t="s">
        <v>430</v>
      </c>
      <c r="B92" s="297" t="s">
        <v>184</v>
      </c>
      <c r="C92" s="308"/>
      <c r="D92" s="352" t="s">
        <v>431</v>
      </c>
      <c r="E92" s="346"/>
      <c r="F92" s="299">
        <v>24.54</v>
      </c>
      <c r="G92" s="448">
        <v>1614</v>
      </c>
      <c r="H92" s="300">
        <f t="shared" ref="H92:H97" si="23">F92*G92</f>
        <v>39607.56</v>
      </c>
      <c r="I92" s="450"/>
      <c r="J92" s="301">
        <v>3</v>
      </c>
      <c r="K92" s="302">
        <f>G92/P92*60</f>
        <v>2152</v>
      </c>
      <c r="L92" s="303">
        <f t="shared" ref="L92:L94" si="24">K92/J92</f>
        <v>717.33333333333337</v>
      </c>
      <c r="M92" s="304">
        <v>0.72222222222222221</v>
      </c>
      <c r="N92" s="304">
        <v>0.75347222222222221</v>
      </c>
      <c r="O92" s="296">
        <v>20</v>
      </c>
      <c r="P92" s="443">
        <f>(N92-M92)*24*60</f>
        <v>45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48">
        <v>765</v>
      </c>
      <c r="H93" s="300">
        <f t="shared" si="23"/>
        <v>17197.2</v>
      </c>
      <c r="I93" s="450"/>
      <c r="J93" s="301">
        <v>4</v>
      </c>
      <c r="K93" s="302">
        <f t="shared" ref="K93:K94" si="25">G93/P93*60</f>
        <v>2295.0000000000082</v>
      </c>
      <c r="L93" s="303">
        <f t="shared" si="24"/>
        <v>573.75000000000205</v>
      </c>
      <c r="M93" s="304">
        <v>0.76736111111111116</v>
      </c>
      <c r="N93" s="304">
        <v>0.78125</v>
      </c>
      <c r="O93" s="296">
        <v>20</v>
      </c>
      <c r="P93" s="443">
        <f>(N93-M93)*24*60</f>
        <v>19.999999999999929</v>
      </c>
      <c r="Q93" s="305"/>
      <c r="R93" s="305"/>
    </row>
    <row r="94" spans="1:18">
      <c r="A94" s="643"/>
      <c r="B94" s="297" t="s">
        <v>184</v>
      </c>
      <c r="C94" s="308"/>
      <c r="D94" s="352" t="s">
        <v>432</v>
      </c>
      <c r="E94" s="341"/>
      <c r="F94" s="299">
        <v>22.21</v>
      </c>
      <c r="G94" s="306">
        <v>1273</v>
      </c>
      <c r="H94" s="300">
        <f t="shared" si="23"/>
        <v>28273.33</v>
      </c>
      <c r="I94" s="450"/>
      <c r="J94" s="301">
        <v>4</v>
      </c>
      <c r="K94" s="302">
        <f t="shared" si="25"/>
        <v>2182.2857142857019</v>
      </c>
      <c r="L94" s="303">
        <f t="shared" si="24"/>
        <v>545.57142857142549</v>
      </c>
      <c r="M94" s="304">
        <v>0.79513888888888884</v>
      </c>
      <c r="N94" s="304">
        <v>0.81944444444444453</v>
      </c>
      <c r="O94" s="296">
        <v>20</v>
      </c>
      <c r="P94" s="443">
        <f>(N94-M94)*24*60</f>
        <v>35.000000000000199</v>
      </c>
      <c r="Q94" s="305"/>
      <c r="R94" s="305"/>
    </row>
    <row r="95" spans="1:18">
      <c r="A95" s="644"/>
      <c r="B95" s="297">
        <v>0</v>
      </c>
      <c r="C95" s="308"/>
      <c r="D95" s="320"/>
      <c r="E95" s="341"/>
      <c r="F95" s="299" t="s">
        <v>186</v>
      </c>
      <c r="G95" s="306"/>
      <c r="H95" s="300">
        <f t="shared" si="23"/>
        <v>0</v>
      </c>
      <c r="I95" s="450"/>
      <c r="J95" s="301"/>
      <c r="K95" s="302"/>
      <c r="L95" s="303"/>
      <c r="M95" s="304"/>
      <c r="N95" s="304"/>
      <c r="O95" s="296"/>
      <c r="P95" s="443"/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23"/>
        <v>0</v>
      </c>
      <c r="I96" s="450"/>
      <c r="J96" s="301"/>
      <c r="K96" s="302"/>
      <c r="L96" s="303"/>
      <c r="M96" s="304"/>
      <c r="N96" s="304"/>
      <c r="O96" s="296"/>
      <c r="P96" s="443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23"/>
        <v>0</v>
      </c>
      <c r="I97" s="450"/>
      <c r="J97" s="301"/>
      <c r="K97" s="302"/>
      <c r="L97" s="303"/>
      <c r="M97" s="304"/>
      <c r="N97" s="304"/>
      <c r="O97" s="296"/>
      <c r="P97" s="443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50"/>
      <c r="J98" s="301"/>
      <c r="K98" s="302"/>
      <c r="L98" s="303"/>
      <c r="M98" s="304"/>
      <c r="N98" s="304"/>
      <c r="O98" s="296"/>
      <c r="P98" s="443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50"/>
      <c r="J99" s="301"/>
      <c r="K99" s="302"/>
      <c r="L99" s="303"/>
      <c r="M99" s="304"/>
      <c r="N99" s="304"/>
      <c r="O99" s="296"/>
      <c r="P99" s="443"/>
      <c r="Q99" s="305"/>
      <c r="R99" s="305"/>
    </row>
    <row r="100" spans="1:18" ht="15.75" customHeight="1">
      <c r="A100" s="644"/>
      <c r="B100" s="297">
        <v>0</v>
      </c>
      <c r="C100" s="6" t="s">
        <v>433</v>
      </c>
      <c r="D100" s="645" t="s">
        <v>414</v>
      </c>
      <c r="E100" s="646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2209.7619047619032</v>
      </c>
      <c r="L100" s="314">
        <f>AVERAGE(L92:L99)</f>
        <v>612.21825396825363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434</v>
      </c>
      <c r="B101" s="297" t="s">
        <v>184</v>
      </c>
      <c r="C101" s="6"/>
      <c r="D101" s="341" t="s">
        <v>173</v>
      </c>
      <c r="E101" s="354"/>
      <c r="F101" s="299">
        <v>25.03</v>
      </c>
      <c r="G101" s="448">
        <v>1052</v>
      </c>
      <c r="H101" s="300">
        <f t="shared" ref="H101:H110" si="26">F101*G101</f>
        <v>26331.56</v>
      </c>
      <c r="I101" s="450"/>
      <c r="J101" s="301">
        <v>4</v>
      </c>
      <c r="K101" s="302">
        <f>G101/P101*60</f>
        <v>3155.9999999999859</v>
      </c>
      <c r="L101" s="303">
        <f t="shared" ref="L101:L105" si="27">K101/J101</f>
        <v>788.99999999999648</v>
      </c>
      <c r="M101" s="304">
        <v>0.72222222222222221</v>
      </c>
      <c r="N101" s="304">
        <v>0.73611111111111116</v>
      </c>
      <c r="O101" s="296">
        <v>20</v>
      </c>
      <c r="P101" s="302">
        <f t="shared" ref="P101:P117" si="28">(N101-M101)*24*60</f>
        <v>20.000000000000089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48">
        <v>1676</v>
      </c>
      <c r="H102" s="300">
        <f t="shared" si="26"/>
        <v>41598.32</v>
      </c>
      <c r="I102" s="450"/>
      <c r="J102" s="301">
        <v>4</v>
      </c>
      <c r="K102" s="302">
        <f t="shared" ref="K102:K105" si="29">G102/P102*60</f>
        <v>2873.1428571428678</v>
      </c>
      <c r="L102" s="303">
        <f t="shared" si="27"/>
        <v>718.28571428571695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48">
        <v>2909</v>
      </c>
      <c r="H103" s="300">
        <f t="shared" si="26"/>
        <v>83110.13</v>
      </c>
      <c r="I103" s="450"/>
      <c r="J103" s="301">
        <v>3</v>
      </c>
      <c r="K103" s="302">
        <f t="shared" si="29"/>
        <v>3173.4545454545569</v>
      </c>
      <c r="L103" s="303">
        <f t="shared" si="27"/>
        <v>1057.8181818181856</v>
      </c>
      <c r="M103" s="304">
        <v>0.78819444444444453</v>
      </c>
      <c r="N103" s="304">
        <v>0.82638888888888884</v>
      </c>
      <c r="O103" s="296">
        <v>20</v>
      </c>
      <c r="P103" s="302">
        <f t="shared" si="28"/>
        <v>54.999999999999801</v>
      </c>
      <c r="Q103" s="305"/>
      <c r="R103" s="305"/>
    </row>
    <row r="104" spans="1:18">
      <c r="A104" s="647"/>
      <c r="B104" s="297" t="s">
        <v>184</v>
      </c>
      <c r="C104" s="6"/>
      <c r="D104" s="320" t="s">
        <v>435</v>
      </c>
      <c r="E104" s="341"/>
      <c r="F104" s="299">
        <v>14.03</v>
      </c>
      <c r="G104" s="448">
        <v>6540</v>
      </c>
      <c r="H104" s="300">
        <f t="shared" si="26"/>
        <v>91756.2</v>
      </c>
      <c r="I104" s="450"/>
      <c r="J104" s="301">
        <v>3</v>
      </c>
      <c r="K104" s="302">
        <f t="shared" si="29"/>
        <v>3567.2727272727298</v>
      </c>
      <c r="L104" s="303">
        <f t="shared" si="27"/>
        <v>1189.0909090909099</v>
      </c>
      <c r="M104" s="304">
        <v>0.84027777777777779</v>
      </c>
      <c r="N104" s="304">
        <v>0.91666666666666663</v>
      </c>
      <c r="O104" s="296">
        <v>20</v>
      </c>
      <c r="P104" s="302">
        <f>(N104-M104)*24*60</f>
        <v>109.99999999999993</v>
      </c>
      <c r="Q104" s="305">
        <v>0.91666666666666663</v>
      </c>
      <c r="R104" s="305">
        <v>0.95833333333333337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48">
        <v>8096</v>
      </c>
      <c r="H105" s="300">
        <f t="shared" si="26"/>
        <v>115657.14285714284</v>
      </c>
      <c r="I105" s="450"/>
      <c r="J105" s="301">
        <v>3</v>
      </c>
      <c r="K105" s="302">
        <f t="shared" si="29"/>
        <v>3238.400000000001</v>
      </c>
      <c r="L105" s="303">
        <f t="shared" si="27"/>
        <v>1079.4666666666669</v>
      </c>
      <c r="M105" s="304">
        <v>0.93055555555555547</v>
      </c>
      <c r="N105" s="304">
        <v>1.0347222222222221</v>
      </c>
      <c r="O105" s="296">
        <v>20</v>
      </c>
      <c r="P105" s="302">
        <f t="shared" ref="P105:P106" si="30">(N105-M105)*24*60</f>
        <v>149.99999999999994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26"/>
        <v>0</v>
      </c>
      <c r="I106" s="450"/>
      <c r="J106" s="301"/>
      <c r="K106" s="302"/>
      <c r="L106" s="303"/>
      <c r="M106" s="304"/>
      <c r="N106" s="304"/>
      <c r="O106" s="302"/>
      <c r="P106" s="302">
        <f t="shared" si="30"/>
        <v>0</v>
      </c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48"/>
      <c r="H107" s="300">
        <f t="shared" si="26"/>
        <v>0</v>
      </c>
      <c r="I107" s="450"/>
      <c r="J107" s="301"/>
      <c r="K107" s="302"/>
      <c r="L107" s="303"/>
      <c r="M107" s="304"/>
      <c r="N107" s="304"/>
      <c r="O107" s="302"/>
      <c r="P107" s="302">
        <f t="shared" si="28"/>
        <v>0</v>
      </c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48"/>
      <c r="H108" s="300">
        <f t="shared" si="26"/>
        <v>0</v>
      </c>
      <c r="I108" s="450"/>
      <c r="J108" s="301"/>
      <c r="K108" s="302"/>
      <c r="L108" s="303"/>
      <c r="M108" s="304"/>
      <c r="N108" s="304"/>
      <c r="O108" s="302"/>
      <c r="P108" s="302">
        <f t="shared" si="28"/>
        <v>0</v>
      </c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48"/>
      <c r="H109" s="300">
        <f t="shared" si="26"/>
        <v>0</v>
      </c>
      <c r="I109" s="450"/>
      <c r="J109" s="301"/>
      <c r="K109" s="302"/>
      <c r="L109" s="303"/>
      <c r="M109" s="304"/>
      <c r="N109" s="304"/>
      <c r="O109" s="302"/>
      <c r="P109" s="302">
        <f t="shared" si="28"/>
        <v>0</v>
      </c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48"/>
      <c r="H110" s="300">
        <f t="shared" si="26"/>
        <v>0</v>
      </c>
      <c r="I110" s="450"/>
      <c r="J110" s="301"/>
      <c r="K110" s="302"/>
      <c r="L110" s="303"/>
      <c r="M110" s="304"/>
      <c r="N110" s="304"/>
      <c r="O110" s="302"/>
      <c r="P110" s="302">
        <f t="shared" si="28"/>
        <v>0</v>
      </c>
      <c r="Q110" s="303"/>
      <c r="R110" s="305"/>
    </row>
    <row r="111" spans="1:18" ht="15.75" customHeight="1">
      <c r="A111" s="647"/>
      <c r="B111" s="297">
        <v>0</v>
      </c>
      <c r="C111" s="6" t="s">
        <v>423</v>
      </c>
      <c r="D111" s="624" t="s">
        <v>414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3201.6540259740282</v>
      </c>
      <c r="L111" s="314">
        <f>AVERAGE(L101:L110)</f>
        <v>966.73229437229509</v>
      </c>
      <c r="M111" s="304"/>
      <c r="N111" s="304"/>
      <c r="O111" s="302"/>
      <c r="P111" s="302">
        <f t="shared" si="28"/>
        <v>0</v>
      </c>
      <c r="Q111" s="303"/>
      <c r="R111" s="296"/>
    </row>
    <row r="112" spans="1:18" ht="16.2" customHeight="1">
      <c r="A112" s="637" t="s">
        <v>436</v>
      </c>
      <c r="B112" s="297" t="s">
        <v>184</v>
      </c>
      <c r="C112" s="6"/>
      <c r="D112" s="337" t="s">
        <v>169</v>
      </c>
      <c r="E112" s="357"/>
      <c r="F112" s="299">
        <v>16.7</v>
      </c>
      <c r="G112" s="448">
        <v>1137</v>
      </c>
      <c r="H112" s="347">
        <f t="shared" si="3"/>
        <v>18987.899999999998</v>
      </c>
      <c r="I112" s="450"/>
      <c r="J112" s="301">
        <v>3</v>
      </c>
      <c r="K112" s="302">
        <f t="shared" ref="K112:K117" si="31">G112/P112*60</f>
        <v>3410.9999999999845</v>
      </c>
      <c r="L112" s="303">
        <f t="shared" ref="L112:L117" si="32">K112/J112</f>
        <v>1136.9999999999948</v>
      </c>
      <c r="M112" s="304">
        <v>0.72222222222222221</v>
      </c>
      <c r="N112" s="304">
        <v>0.73611111111111116</v>
      </c>
      <c r="O112" s="296">
        <v>20</v>
      </c>
      <c r="P112" s="443">
        <f t="shared" si="28"/>
        <v>20.000000000000089</v>
      </c>
      <c r="Q112" s="296"/>
      <c r="R112" s="296"/>
    </row>
    <row r="113" spans="1:18">
      <c r="A113" s="637"/>
      <c r="B113" s="297" t="s">
        <v>184</v>
      </c>
      <c r="C113" s="319"/>
      <c r="D113" s="442" t="s">
        <v>177</v>
      </c>
      <c r="E113" s="442"/>
      <c r="F113" s="299">
        <v>18.18</v>
      </c>
      <c r="G113" s="448">
        <v>1019</v>
      </c>
      <c r="H113" s="347">
        <f t="shared" si="3"/>
        <v>18525.419999999998</v>
      </c>
      <c r="I113" s="450"/>
      <c r="J113" s="301">
        <v>4</v>
      </c>
      <c r="K113" s="302">
        <f t="shared" si="31"/>
        <v>3057.0000000000109</v>
      </c>
      <c r="L113" s="303">
        <f t="shared" si="32"/>
        <v>764.25000000000273</v>
      </c>
      <c r="M113" s="304">
        <v>0.75</v>
      </c>
      <c r="N113" s="304">
        <v>0.76388888888888884</v>
      </c>
      <c r="O113" s="296">
        <v>20</v>
      </c>
      <c r="P113" s="443">
        <f t="shared" si="28"/>
        <v>19.999999999999929</v>
      </c>
      <c r="Q113" s="305"/>
      <c r="R113" s="305"/>
    </row>
    <row r="114" spans="1:18">
      <c r="A114" s="637"/>
      <c r="B114" s="297" t="s">
        <v>184</v>
      </c>
      <c r="C114" s="319"/>
      <c r="D114" s="442" t="s">
        <v>437</v>
      </c>
      <c r="E114" s="320"/>
      <c r="F114" s="299">
        <v>18.18</v>
      </c>
      <c r="G114" s="448">
        <v>1152</v>
      </c>
      <c r="H114" s="347">
        <f>F114*G114</f>
        <v>20943.36</v>
      </c>
      <c r="I114" s="450"/>
      <c r="J114" s="301">
        <v>3</v>
      </c>
      <c r="K114" s="302">
        <f t="shared" si="31"/>
        <v>2764.8000000000097</v>
      </c>
      <c r="L114" s="303">
        <f t="shared" si="32"/>
        <v>921.60000000000321</v>
      </c>
      <c r="M114" s="304">
        <v>0.77777777777777779</v>
      </c>
      <c r="N114" s="304">
        <v>0.79513888888888884</v>
      </c>
      <c r="O114" s="296">
        <v>20</v>
      </c>
      <c r="P114" s="443">
        <f t="shared" si="28"/>
        <v>24.999999999999911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48">
        <v>5340</v>
      </c>
      <c r="H115" s="347">
        <f t="shared" ref="H115:H123" si="33">F115*G115</f>
        <v>88964.4</v>
      </c>
      <c r="I115" s="450"/>
      <c r="J115" s="301">
        <v>4</v>
      </c>
      <c r="K115" s="302">
        <f t="shared" si="31"/>
        <v>3051.4285714285684</v>
      </c>
      <c r="L115" s="303">
        <f t="shared" si="32"/>
        <v>762.85714285714209</v>
      </c>
      <c r="M115" s="304">
        <v>0.80902777777777779</v>
      </c>
      <c r="N115" s="304">
        <v>0.88194444444444453</v>
      </c>
      <c r="O115" s="296">
        <v>20</v>
      </c>
      <c r="P115" s="443">
        <f t="shared" si="28"/>
        <v>105.00000000000011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48">
        <v>1043</v>
      </c>
      <c r="H116" s="347">
        <f t="shared" si="33"/>
        <v>23239.936363636363</v>
      </c>
      <c r="I116" s="450"/>
      <c r="J116" s="301">
        <v>4</v>
      </c>
      <c r="K116" s="302">
        <f t="shared" si="31"/>
        <v>3129.0000000000109</v>
      </c>
      <c r="L116" s="303">
        <f t="shared" si="32"/>
        <v>782.25000000000273</v>
      </c>
      <c r="M116" s="304">
        <v>0.89583333333333337</v>
      </c>
      <c r="N116" s="349">
        <v>0.90972222222222221</v>
      </c>
      <c r="O116" s="296">
        <v>20</v>
      </c>
      <c r="P116" s="443">
        <f t="shared" si="28"/>
        <v>19.999999999999929</v>
      </c>
      <c r="Q116" s="305">
        <v>0.90972222222222221</v>
      </c>
      <c r="R116" s="305">
        <v>0.95138888888888884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48">
        <v>3699</v>
      </c>
      <c r="H117" s="347">
        <f t="shared" si="33"/>
        <v>66178.472727272732</v>
      </c>
      <c r="I117" s="450"/>
      <c r="J117" s="301">
        <v>3</v>
      </c>
      <c r="K117" s="302">
        <f t="shared" si="31"/>
        <v>2959.2000002755967</v>
      </c>
      <c r="L117" s="303">
        <f t="shared" si="32"/>
        <v>986.40000009186554</v>
      </c>
      <c r="M117" s="304">
        <v>46113.965277777781</v>
      </c>
      <c r="N117" s="304">
        <v>46114.017361111109</v>
      </c>
      <c r="O117" s="302">
        <v>20</v>
      </c>
      <c r="P117" s="443">
        <f t="shared" si="28"/>
        <v>74.999999993015081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48"/>
      <c r="H118" s="347">
        <f t="shared" si="33"/>
        <v>0</v>
      </c>
      <c r="I118" s="450"/>
      <c r="J118" s="301"/>
      <c r="K118" s="302"/>
      <c r="L118" s="303"/>
      <c r="M118" s="304"/>
      <c r="N118" s="304"/>
      <c r="O118" s="296"/>
      <c r="P118" s="443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48"/>
      <c r="H119" s="347">
        <f t="shared" si="33"/>
        <v>0</v>
      </c>
      <c r="I119" s="450"/>
      <c r="J119" s="301"/>
      <c r="K119" s="302"/>
      <c r="L119" s="303"/>
      <c r="M119" s="304"/>
      <c r="N119" s="304"/>
      <c r="O119" s="296"/>
      <c r="P119" s="443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48"/>
      <c r="H120" s="347"/>
      <c r="I120" s="450"/>
      <c r="J120" s="301"/>
      <c r="K120" s="302"/>
      <c r="L120" s="303"/>
      <c r="M120" s="304"/>
      <c r="N120" s="304"/>
      <c r="O120" s="296"/>
      <c r="P120" s="443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48"/>
      <c r="H121" s="347"/>
      <c r="I121" s="450"/>
      <c r="J121" s="301"/>
      <c r="K121" s="302"/>
      <c r="L121" s="303"/>
      <c r="M121" s="304"/>
      <c r="N121" s="304"/>
      <c r="O121" s="296"/>
      <c r="P121" s="443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48"/>
      <c r="H122" s="347"/>
      <c r="I122" s="450"/>
      <c r="J122" s="301"/>
      <c r="K122" s="302"/>
      <c r="L122" s="303"/>
      <c r="M122" s="304"/>
      <c r="N122" s="304"/>
      <c r="O122" s="296"/>
      <c r="P122" s="443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48"/>
      <c r="H123" s="347">
        <f t="shared" si="33"/>
        <v>0</v>
      </c>
      <c r="I123" s="450"/>
      <c r="J123" s="301"/>
      <c r="K123" s="302"/>
      <c r="L123" s="303"/>
      <c r="M123" s="304"/>
      <c r="N123" s="304"/>
      <c r="O123" s="296"/>
      <c r="P123" s="443"/>
      <c r="Q123" s="305"/>
      <c r="R123" s="305"/>
    </row>
    <row r="124" spans="1:18" ht="17.399999999999999" customHeight="1">
      <c r="A124" s="637"/>
      <c r="B124" s="308">
        <v>0</v>
      </c>
      <c r="C124" s="6" t="s">
        <v>428</v>
      </c>
      <c r="D124" s="638" t="s">
        <v>414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3062.0714286173638</v>
      </c>
      <c r="L124" s="314">
        <f>AVERAGE(L112:L123)</f>
        <v>892.39285715816857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M87" sqref="M87"/>
      <selection pane="bottomLeft" activeCell="A70" sqref="A70:A8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441</v>
      </c>
      <c r="B1" s="28"/>
      <c r="C1" s="28"/>
      <c r="D1" s="471" t="s">
        <v>384</v>
      </c>
      <c r="E1" s="29">
        <f>SUM(G5:G173)</f>
        <v>163846</v>
      </c>
      <c r="F1" s="455" t="s">
        <v>3</v>
      </c>
      <c r="G1" s="30">
        <f>SUM(H5:H173)</f>
        <v>6200281.5629317276</v>
      </c>
      <c r="H1" s="470" t="s">
        <v>52</v>
      </c>
      <c r="I1" s="31">
        <f>M17+M30+M43+M56+M69+M82+M95+M108+M121+M134+M147+M160+M173</f>
        <v>198.15753968253969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442</v>
      </c>
      <c r="Q1" s="649"/>
      <c r="R1" s="649"/>
      <c r="S1" s="649"/>
      <c r="T1" s="649" t="s">
        <v>387</v>
      </c>
      <c r="U1" s="649"/>
      <c r="V1" s="649"/>
      <c r="W1" s="649"/>
      <c r="X1" s="649"/>
      <c r="Y1" s="649"/>
      <c r="Z1" s="32" t="s">
        <v>443</v>
      </c>
      <c r="AA1" s="32" t="s">
        <v>444</v>
      </c>
      <c r="AB1" s="665" t="s">
        <v>445</v>
      </c>
      <c r="AC1" s="666"/>
      <c r="AD1" s="32" t="s">
        <v>443</v>
      </c>
      <c r="AE1" s="32" t="s">
        <v>446</v>
      </c>
      <c r="AF1" s="649" t="s">
        <v>447</v>
      </c>
      <c r="AG1" s="650"/>
      <c r="AH1" s="650"/>
    </row>
    <row r="2" spans="1:34" ht="26.25" customHeight="1">
      <c r="A2" s="657" t="s">
        <v>448</v>
      </c>
      <c r="B2" s="657"/>
      <c r="C2" s="471"/>
      <c r="D2" s="471" t="s">
        <v>389</v>
      </c>
      <c r="E2" s="34">
        <f>AVERAGE(O17,O30,O43,O56,O69,O82,O95,O108,O121,O134,O147,O160,O173)</f>
        <v>128.2887187230516</v>
      </c>
      <c r="F2" s="35" t="s">
        <v>55</v>
      </c>
      <c r="G2" s="36">
        <f>G1/E1</f>
        <v>37.842129578578223</v>
      </c>
      <c r="H2" s="470" t="s">
        <v>56</v>
      </c>
      <c r="I2" s="470">
        <f>COUNT(I5:I173)</f>
        <v>6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3</v>
      </c>
      <c r="AE2" s="38">
        <f>AE17+AE30+AE43+AE56+AE69+AE82+AE95+AE108+AE121+AE134+AE147+AE160+AE173</f>
        <v>4</v>
      </c>
      <c r="AF2" s="650"/>
      <c r="AG2" s="650"/>
      <c r="AH2" s="650"/>
    </row>
    <row r="3" spans="1:34" ht="30.6" customHeight="1">
      <c r="A3" s="658" t="s">
        <v>391</v>
      </c>
      <c r="B3" s="658" t="s">
        <v>57</v>
      </c>
      <c r="C3" s="659"/>
      <c r="D3" s="658" t="s">
        <v>393</v>
      </c>
      <c r="E3" s="658"/>
      <c r="F3" s="659" t="s">
        <v>58</v>
      </c>
      <c r="G3" s="674" t="s">
        <v>59</v>
      </c>
      <c r="H3" s="659" t="s">
        <v>60</v>
      </c>
      <c r="I3" s="651" t="s">
        <v>396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398</v>
      </c>
      <c r="O3" s="654" t="s">
        <v>389</v>
      </c>
      <c r="P3" s="652" t="s">
        <v>397</v>
      </c>
      <c r="Q3" s="654" t="s">
        <v>389</v>
      </c>
      <c r="R3" s="655" t="s">
        <v>449</v>
      </c>
      <c r="S3" s="656" t="s">
        <v>450</v>
      </c>
      <c r="T3" s="674" t="s">
        <v>63</v>
      </c>
      <c r="U3" s="674"/>
      <c r="V3" s="675" t="s">
        <v>64</v>
      </c>
      <c r="W3" s="651" t="s">
        <v>451</v>
      </c>
      <c r="X3" s="674" t="s">
        <v>452</v>
      </c>
      <c r="Y3" s="674"/>
      <c r="Z3" s="676" t="s">
        <v>453</v>
      </c>
      <c r="AA3" s="677"/>
      <c r="AB3" s="661" t="s">
        <v>454</v>
      </c>
      <c r="AC3" s="662"/>
      <c r="AD3" s="663" t="s">
        <v>455</v>
      </c>
      <c r="AE3" s="664"/>
      <c r="AF3" s="653" t="s">
        <v>456</v>
      </c>
      <c r="AG3" s="655" t="s">
        <v>457</v>
      </c>
      <c r="AH3" s="656" t="s">
        <v>458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65" t="s">
        <v>65</v>
      </c>
      <c r="U4" s="465" t="s">
        <v>66</v>
      </c>
      <c r="V4" s="674"/>
      <c r="W4" s="651"/>
      <c r="X4" s="455" t="s">
        <v>459</v>
      </c>
      <c r="Y4" s="455" t="s">
        <v>51</v>
      </c>
      <c r="Z4" s="465" t="s">
        <v>460</v>
      </c>
      <c r="AA4" s="465" t="s">
        <v>461</v>
      </c>
      <c r="AB4" s="662"/>
      <c r="AC4" s="662"/>
      <c r="AD4" s="465" t="s">
        <v>462</v>
      </c>
      <c r="AE4" s="39" t="s">
        <v>463</v>
      </c>
      <c r="AF4" s="653"/>
      <c r="AG4" s="655"/>
      <c r="AH4" s="656"/>
    </row>
    <row r="5" spans="1:34" ht="18.75" customHeight="1">
      <c r="A5" s="669" t="s">
        <v>464</v>
      </c>
      <c r="B5" s="40" t="s">
        <v>180</v>
      </c>
      <c r="C5" s="41"/>
      <c r="D5" s="42" t="s">
        <v>70</v>
      </c>
      <c r="E5" s="43"/>
      <c r="F5" s="361">
        <v>37.94</v>
      </c>
      <c r="G5" s="44">
        <v>3939</v>
      </c>
      <c r="H5" s="45">
        <f t="shared" ref="H5:H16" si="0">F5*G5</f>
        <v>149445.66</v>
      </c>
      <c r="I5" s="466"/>
      <c r="J5" s="46">
        <v>20</v>
      </c>
      <c r="K5" s="44">
        <v>2400</v>
      </c>
      <c r="L5" s="47">
        <v>120</v>
      </c>
      <c r="M5" s="467">
        <v>20</v>
      </c>
      <c r="N5" s="44">
        <f t="shared" ref="N5:N10" si="1">G5/W5*60</f>
        <v>2250.8571428571422</v>
      </c>
      <c r="O5" s="47">
        <f t="shared" ref="O5:O10" si="2">N5/M5</f>
        <v>112.54285714285712</v>
      </c>
      <c r="P5" s="48">
        <f t="shared" ref="P5:P10" si="3">M5-J5</f>
        <v>0</v>
      </c>
      <c r="Q5" s="49">
        <f t="shared" ref="Q5:Q10" si="4">O5-L5</f>
        <v>-7.4571428571428839</v>
      </c>
      <c r="R5" s="457">
        <f t="shared" ref="R5:R10" si="5">O5/L5</f>
        <v>0.93785714285714261</v>
      </c>
      <c r="S5" s="672">
        <f>R17</f>
        <v>0.92212471979307442</v>
      </c>
      <c r="T5" s="50">
        <v>0.29166666666666669</v>
      </c>
      <c r="U5" s="50">
        <v>0.36458333333333337</v>
      </c>
      <c r="V5" s="455">
        <v>5</v>
      </c>
      <c r="W5" s="466">
        <f>(U5-T5)*24*60</f>
        <v>105.00000000000003</v>
      </c>
      <c r="X5" s="455"/>
      <c r="Y5" s="455"/>
      <c r="Z5" s="51"/>
      <c r="AA5" s="51"/>
      <c r="AB5" s="658"/>
      <c r="AC5" s="658"/>
      <c r="AD5" s="52"/>
      <c r="AE5" s="52"/>
      <c r="AF5" s="48">
        <f t="shared" ref="AF5:AF70" si="6">N5-K5</f>
        <v>-149.14285714285779</v>
      </c>
      <c r="AG5" s="457">
        <f t="shared" ref="AG5:AG70" si="7">N5/K5</f>
        <v>0.93785714285714261</v>
      </c>
      <c r="AH5" s="672">
        <f>AG17</f>
        <v>0.95643506882426543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2531.1</v>
      </c>
      <c r="H6" s="45">
        <f t="shared" si="0"/>
        <v>79137.706237060047</v>
      </c>
      <c r="I6" s="466"/>
      <c r="J6" s="46">
        <v>18</v>
      </c>
      <c r="K6" s="44">
        <v>2600</v>
      </c>
      <c r="L6" s="47">
        <v>144.44444444444446</v>
      </c>
      <c r="M6" s="467">
        <v>19</v>
      </c>
      <c r="N6" s="44">
        <f t="shared" si="1"/>
        <v>2531.099999999999</v>
      </c>
      <c r="O6" s="47">
        <f t="shared" si="2"/>
        <v>133.21578947368417</v>
      </c>
      <c r="P6" s="48">
        <f t="shared" si="3"/>
        <v>1</v>
      </c>
      <c r="Q6" s="49">
        <f t="shared" si="4"/>
        <v>-11.228654970760289</v>
      </c>
      <c r="R6" s="457">
        <f t="shared" si="5"/>
        <v>0.92226315789473645</v>
      </c>
      <c r="S6" s="672"/>
      <c r="T6" s="50">
        <v>0.36944444444444446</v>
      </c>
      <c r="U6" s="50">
        <v>0.41111111111111115</v>
      </c>
      <c r="V6" s="455">
        <v>7</v>
      </c>
      <c r="W6" s="466">
        <f t="shared" ref="W6:W17" si="8">(U6-T6)*24*60</f>
        <v>60.000000000000028</v>
      </c>
      <c r="X6" s="53"/>
      <c r="Y6" s="53"/>
      <c r="Z6" s="54"/>
      <c r="AA6" s="54"/>
      <c r="AB6" s="658"/>
      <c r="AC6" s="658"/>
      <c r="AD6" s="453"/>
      <c r="AE6" s="453"/>
      <c r="AF6" s="48">
        <f t="shared" si="6"/>
        <v>-68.900000000001</v>
      </c>
      <c r="AG6" s="457">
        <f t="shared" si="7"/>
        <v>0.97349999999999959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4687.76</v>
      </c>
      <c r="H7" s="45">
        <f t="shared" si="0"/>
        <v>178134.88</v>
      </c>
      <c r="I7" s="466"/>
      <c r="J7" s="46">
        <v>19</v>
      </c>
      <c r="K7" s="44">
        <v>2600</v>
      </c>
      <c r="L7" s="47">
        <v>136.84210526315789</v>
      </c>
      <c r="M7" s="467">
        <v>20</v>
      </c>
      <c r="N7" s="44">
        <f t="shared" si="1"/>
        <v>2533.9243243243259</v>
      </c>
      <c r="O7" s="47">
        <f t="shared" si="2"/>
        <v>126.6962162162163</v>
      </c>
      <c r="P7" s="48">
        <f t="shared" si="3"/>
        <v>1</v>
      </c>
      <c r="Q7" s="49">
        <f t="shared" si="4"/>
        <v>-10.145889046941591</v>
      </c>
      <c r="R7" s="457">
        <f t="shared" si="5"/>
        <v>0.92585696465696532</v>
      </c>
      <c r="S7" s="672"/>
      <c r="T7" s="50">
        <v>0.42708333333333337</v>
      </c>
      <c r="U7" s="50">
        <v>0.50416666666666665</v>
      </c>
      <c r="V7" s="455">
        <v>23</v>
      </c>
      <c r="W7" s="466">
        <f t="shared" si="8"/>
        <v>110.99999999999993</v>
      </c>
      <c r="X7" s="53">
        <v>0.4145833333333333</v>
      </c>
      <c r="Y7" s="53">
        <v>0.42430555555555555</v>
      </c>
      <c r="Z7" s="54"/>
      <c r="AA7" s="54"/>
      <c r="AB7" s="658"/>
      <c r="AC7" s="658"/>
      <c r="AD7" s="453">
        <v>1</v>
      </c>
      <c r="AE7" s="453"/>
      <c r="AF7" s="48">
        <f t="shared" si="6"/>
        <v>-66.07567567567412</v>
      </c>
      <c r="AG7" s="457">
        <f t="shared" si="7"/>
        <v>0.97458627858627922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3683.2400000000002</v>
      </c>
      <c r="H8" s="45">
        <f t="shared" si="0"/>
        <v>139963.12</v>
      </c>
      <c r="I8" s="466"/>
      <c r="J8" s="46">
        <v>19</v>
      </c>
      <c r="K8" s="44">
        <v>2600</v>
      </c>
      <c r="L8" s="47">
        <v>136.84210526315789</v>
      </c>
      <c r="M8" s="467">
        <v>20</v>
      </c>
      <c r="N8" s="44">
        <f t="shared" si="1"/>
        <v>2511.3000000000002</v>
      </c>
      <c r="O8" s="47">
        <f t="shared" si="2"/>
        <v>125.56500000000001</v>
      </c>
      <c r="P8" s="48">
        <f t="shared" si="3"/>
        <v>1</v>
      </c>
      <c r="Q8" s="49">
        <f t="shared" si="4"/>
        <v>-11.277105263157878</v>
      </c>
      <c r="R8" s="457">
        <f t="shared" si="5"/>
        <v>0.91759038461538478</v>
      </c>
      <c r="S8" s="672"/>
      <c r="T8" s="50">
        <v>0.54374999999999996</v>
      </c>
      <c r="U8" s="50">
        <v>0.60486111111111107</v>
      </c>
      <c r="V8" s="455">
        <v>5</v>
      </c>
      <c r="W8" s="466">
        <f t="shared" si="8"/>
        <v>88</v>
      </c>
      <c r="X8" s="53"/>
      <c r="Y8" s="53"/>
      <c r="Z8" s="54"/>
      <c r="AA8" s="54"/>
      <c r="AB8" s="658"/>
      <c r="AC8" s="658"/>
      <c r="AD8" s="453"/>
      <c r="AE8" s="453"/>
      <c r="AF8" s="48">
        <f t="shared" si="6"/>
        <v>-88.699999999999818</v>
      </c>
      <c r="AG8" s="457">
        <f t="shared" si="7"/>
        <v>0.96588461538461545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1362.8999999999999</v>
      </c>
      <c r="H9" s="45">
        <f t="shared" si="0"/>
        <v>42612.611050724634</v>
      </c>
      <c r="I9" s="453"/>
      <c r="J9" s="46">
        <v>18</v>
      </c>
      <c r="K9" s="44">
        <v>2600</v>
      </c>
      <c r="L9" s="47">
        <v>144.44444444444446</v>
      </c>
      <c r="M9" s="467">
        <v>19</v>
      </c>
      <c r="N9" s="44">
        <f t="shared" si="1"/>
        <v>2477.9999999999964</v>
      </c>
      <c r="O9" s="47">
        <f t="shared" si="2"/>
        <v>130.42105263157876</v>
      </c>
      <c r="P9" s="48">
        <f t="shared" si="3"/>
        <v>1</v>
      </c>
      <c r="Q9" s="49">
        <f t="shared" si="4"/>
        <v>-14.023391812865697</v>
      </c>
      <c r="R9" s="457">
        <f t="shared" si="5"/>
        <v>0.90291497975708368</v>
      </c>
      <c r="S9" s="672"/>
      <c r="T9" s="50">
        <v>0.6201388888888888</v>
      </c>
      <c r="U9" s="50">
        <v>0.64305555555555549</v>
      </c>
      <c r="V9" s="455">
        <v>22</v>
      </c>
      <c r="W9" s="466">
        <f t="shared" si="8"/>
        <v>33.000000000000043</v>
      </c>
      <c r="X9" s="53">
        <v>0.60833333333333328</v>
      </c>
      <c r="Y9" s="53">
        <v>0.61736111111111114</v>
      </c>
      <c r="Z9" s="54"/>
      <c r="AA9" s="54"/>
      <c r="AB9" s="658"/>
      <c r="AC9" s="658"/>
      <c r="AD9" s="453"/>
      <c r="AE9" s="453"/>
      <c r="AF9" s="48">
        <f t="shared" si="6"/>
        <v>-122.00000000000364</v>
      </c>
      <c r="AG9" s="457">
        <f t="shared" si="7"/>
        <v>0.95307692307692171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2121</v>
      </c>
      <c r="H10" s="45">
        <f t="shared" si="0"/>
        <v>80470.739999999991</v>
      </c>
      <c r="I10" s="466"/>
      <c r="J10" s="46">
        <v>20</v>
      </c>
      <c r="K10" s="44">
        <v>2400</v>
      </c>
      <c r="L10" s="47">
        <v>120</v>
      </c>
      <c r="M10" s="467">
        <v>20</v>
      </c>
      <c r="N10" s="44">
        <f t="shared" si="1"/>
        <v>2232.6315789473701</v>
      </c>
      <c r="O10" s="47">
        <f t="shared" si="2"/>
        <v>111.63157894736851</v>
      </c>
      <c r="P10" s="48">
        <f t="shared" si="3"/>
        <v>0</v>
      </c>
      <c r="Q10" s="49">
        <f t="shared" si="4"/>
        <v>-8.3684210526314899</v>
      </c>
      <c r="R10" s="457">
        <f t="shared" si="5"/>
        <v>0.93026315789473757</v>
      </c>
      <c r="S10" s="673"/>
      <c r="T10" s="50">
        <v>0.64791666666666659</v>
      </c>
      <c r="U10" s="50">
        <v>0.68749999999999989</v>
      </c>
      <c r="V10" s="455">
        <v>7</v>
      </c>
      <c r="W10" s="466">
        <f t="shared" si="8"/>
        <v>56.999999999999957</v>
      </c>
      <c r="X10" s="53"/>
      <c r="Y10" s="53"/>
      <c r="Z10" s="54"/>
      <c r="AA10" s="54"/>
      <c r="AB10" s="658"/>
      <c r="AC10" s="658"/>
      <c r="AD10" s="453"/>
      <c r="AE10" s="453"/>
      <c r="AF10" s="48">
        <f t="shared" si="6"/>
        <v>-167.36842105262986</v>
      </c>
      <c r="AG10" s="457">
        <f t="shared" si="7"/>
        <v>0.93026315789473757</v>
      </c>
      <c r="AH10" s="673"/>
    </row>
    <row r="11" spans="1:34" ht="19.2" customHeight="1">
      <c r="A11" s="671"/>
      <c r="B11" s="40">
        <v>0</v>
      </c>
      <c r="C11" s="41"/>
      <c r="D11" s="42"/>
      <c r="E11" s="43"/>
      <c r="F11" s="361" t="s">
        <v>186</v>
      </c>
      <c r="G11" s="44"/>
      <c r="H11" s="45">
        <f t="shared" si="0"/>
        <v>0</v>
      </c>
      <c r="I11" s="466"/>
      <c r="J11" s="46"/>
      <c r="K11" s="44"/>
      <c r="L11" s="47"/>
      <c r="M11" s="467"/>
      <c r="N11" s="44"/>
      <c r="O11" s="47"/>
      <c r="P11" s="48"/>
      <c r="Q11" s="49"/>
      <c r="R11" s="457"/>
      <c r="S11" s="673"/>
      <c r="T11" s="50"/>
      <c r="U11" s="50"/>
      <c r="V11" s="455"/>
      <c r="W11" s="466"/>
      <c r="X11" s="53"/>
      <c r="Y11" s="53"/>
      <c r="Z11" s="54"/>
      <c r="AA11" s="54"/>
      <c r="AB11" s="658"/>
      <c r="AC11" s="658"/>
      <c r="AD11" s="453"/>
      <c r="AE11" s="453"/>
      <c r="AF11" s="48">
        <f t="shared" si="6"/>
        <v>0</v>
      </c>
      <c r="AG11" s="457" t="e">
        <f t="shared" si="7"/>
        <v>#DIV/0!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66"/>
      <c r="J12" s="46"/>
      <c r="K12" s="44"/>
      <c r="L12" s="47"/>
      <c r="M12" s="467"/>
      <c r="N12" s="44"/>
      <c r="O12" s="47"/>
      <c r="P12" s="48"/>
      <c r="Q12" s="49"/>
      <c r="R12" s="457"/>
      <c r="S12" s="673"/>
      <c r="T12" s="50"/>
      <c r="U12" s="50"/>
      <c r="V12" s="455"/>
      <c r="W12" s="466"/>
      <c r="X12" s="53"/>
      <c r="Y12" s="53"/>
      <c r="Z12" s="54"/>
      <c r="AA12" s="54"/>
      <c r="AB12" s="658"/>
      <c r="AC12" s="658"/>
      <c r="AD12" s="453"/>
      <c r="AE12" s="453"/>
      <c r="AF12" s="48">
        <f t="shared" si="6"/>
        <v>0</v>
      </c>
      <c r="AG12" s="457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68"/>
      <c r="J13" s="46"/>
      <c r="K13" s="44"/>
      <c r="L13" s="47"/>
      <c r="M13" s="62"/>
      <c r="N13" s="44"/>
      <c r="O13" s="47"/>
      <c r="P13" s="48"/>
      <c r="Q13" s="49"/>
      <c r="R13" s="457"/>
      <c r="S13" s="673"/>
      <c r="T13" s="63"/>
      <c r="U13" s="63"/>
      <c r="V13" s="468"/>
      <c r="W13" s="466"/>
      <c r="X13" s="64"/>
      <c r="Y13" s="64"/>
      <c r="Z13" s="54"/>
      <c r="AA13" s="54"/>
      <c r="AB13" s="658"/>
      <c r="AC13" s="658"/>
      <c r="AD13" s="453"/>
      <c r="AE13" s="453"/>
      <c r="AF13" s="48">
        <f t="shared" si="6"/>
        <v>0</v>
      </c>
      <c r="AG13" s="457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68"/>
      <c r="J14" s="46"/>
      <c r="K14" s="44"/>
      <c r="L14" s="47"/>
      <c r="M14" s="62"/>
      <c r="N14" s="44"/>
      <c r="O14" s="47"/>
      <c r="P14" s="48"/>
      <c r="Q14" s="49"/>
      <c r="R14" s="457"/>
      <c r="S14" s="673"/>
      <c r="T14" s="63"/>
      <c r="U14" s="63"/>
      <c r="V14" s="468"/>
      <c r="W14" s="466">
        <f t="shared" si="8"/>
        <v>0</v>
      </c>
      <c r="X14" s="64"/>
      <c r="Y14" s="64"/>
      <c r="Z14" s="54"/>
      <c r="AA14" s="54"/>
      <c r="AB14" s="658"/>
      <c r="AC14" s="658"/>
      <c r="AD14" s="453"/>
      <c r="AE14" s="453"/>
      <c r="AF14" s="65"/>
      <c r="AG14" s="458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68"/>
      <c r="J15" s="46"/>
      <c r="K15" s="44"/>
      <c r="L15" s="47"/>
      <c r="M15" s="62"/>
      <c r="N15" s="68"/>
      <c r="O15" s="47"/>
      <c r="P15" s="48"/>
      <c r="Q15" s="49"/>
      <c r="R15" s="457"/>
      <c r="S15" s="673"/>
      <c r="T15" s="63"/>
      <c r="U15" s="63"/>
      <c r="V15" s="468"/>
      <c r="W15" s="466">
        <f t="shared" si="8"/>
        <v>0</v>
      </c>
      <c r="X15" s="64"/>
      <c r="Y15" s="64"/>
      <c r="Z15" s="54"/>
      <c r="AA15" s="54"/>
      <c r="AB15" s="658"/>
      <c r="AC15" s="658"/>
      <c r="AD15" s="453"/>
      <c r="AE15" s="453"/>
      <c r="AF15" s="65"/>
      <c r="AG15" s="458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68"/>
      <c r="J16" s="46"/>
      <c r="K16" s="44"/>
      <c r="L16" s="47"/>
      <c r="M16" s="62"/>
      <c r="N16" s="68"/>
      <c r="O16" s="47"/>
      <c r="P16" s="48"/>
      <c r="Q16" s="49"/>
      <c r="R16" s="457"/>
      <c r="S16" s="673"/>
      <c r="T16" s="63"/>
      <c r="U16" s="63"/>
      <c r="V16" s="468"/>
      <c r="W16" s="466">
        <f t="shared" si="8"/>
        <v>0</v>
      </c>
      <c r="X16" s="64"/>
      <c r="Y16" s="64"/>
      <c r="Z16" s="54"/>
      <c r="AA16" s="54"/>
      <c r="AB16" s="658"/>
      <c r="AC16" s="658"/>
      <c r="AD16" s="453"/>
      <c r="AE16" s="453"/>
      <c r="AF16" s="65"/>
      <c r="AG16" s="458"/>
      <c r="AH16" s="673"/>
    </row>
    <row r="17" spans="1:34" ht="19.2" customHeight="1">
      <c r="A17" s="671"/>
      <c r="B17" s="69">
        <v>0</v>
      </c>
      <c r="C17" s="69" t="s">
        <v>465</v>
      </c>
      <c r="D17" s="678" t="s">
        <v>414</v>
      </c>
      <c r="E17" s="678"/>
      <c r="F17" s="362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2422.9688410214726</v>
      </c>
      <c r="O17" s="73">
        <f t="shared" si="9"/>
        <v>123.34541573528416</v>
      </c>
      <c r="P17" s="65">
        <f t="shared" ref="P17:P24" si="10">M17-J17</f>
        <v>0.66666666666666785</v>
      </c>
      <c r="Q17" s="74">
        <f t="shared" ref="Q17:Q24" si="11">O17-L17</f>
        <v>-10.416767500583305</v>
      </c>
      <c r="R17" s="75">
        <f>O17/L17</f>
        <v>0.92212471979307442</v>
      </c>
      <c r="S17" s="673"/>
      <c r="T17" s="63"/>
      <c r="U17" s="63"/>
      <c r="V17" s="46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1</v>
      </c>
      <c r="AE17" s="79">
        <f>SUM(AE5:AE16)</f>
        <v>0</v>
      </c>
      <c r="AF17" s="65">
        <f t="shared" si="6"/>
        <v>-110.36449231186089</v>
      </c>
      <c r="AG17" s="458">
        <f t="shared" si="7"/>
        <v>0.95643506882426543</v>
      </c>
      <c r="AH17" s="673"/>
    </row>
    <row r="18" spans="1:34" ht="19.2" customHeight="1">
      <c r="A18" s="680" t="s">
        <v>466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2853.8999999999996</v>
      </c>
      <c r="H18" s="84">
        <f t="shared" ref="H18:H29" si="12">F18*G18</f>
        <v>105194.75399999999</v>
      </c>
      <c r="I18" s="45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2167.5189873417721</v>
      </c>
      <c r="O18" s="86">
        <f t="shared" ref="O18:O24" si="14">N18/M18</f>
        <v>120.41772151898734</v>
      </c>
      <c r="P18" s="54">
        <f t="shared" si="10"/>
        <v>1</v>
      </c>
      <c r="Q18" s="88">
        <f t="shared" si="11"/>
        <v>-11.935219657483245</v>
      </c>
      <c r="R18" s="454">
        <f t="shared" ref="R18:R24" si="15">O18/L18</f>
        <v>0.90982278481012657</v>
      </c>
      <c r="S18" s="681">
        <f>R30</f>
        <v>0.87556331278435828</v>
      </c>
      <c r="T18" s="89">
        <v>0.16666666666666666</v>
      </c>
      <c r="U18" s="89">
        <v>0.22152777777777777</v>
      </c>
      <c r="V18" s="453">
        <v>5</v>
      </c>
      <c r="W18" s="90">
        <f>(U18-T18)*24*60</f>
        <v>79</v>
      </c>
      <c r="X18" s="86"/>
      <c r="Y18" s="86"/>
      <c r="Z18" s="54"/>
      <c r="AA18" s="54"/>
      <c r="AB18" s="658"/>
      <c r="AC18" s="658"/>
      <c r="AD18" s="453"/>
      <c r="AE18" s="453"/>
      <c r="AF18" s="91">
        <f t="shared" si="6"/>
        <v>-82.481012658227883</v>
      </c>
      <c r="AG18" s="92">
        <f t="shared" si="7"/>
        <v>0.96334177215189876</v>
      </c>
      <c r="AH18" s="682">
        <f>AG30</f>
        <v>0.90844142316143739</v>
      </c>
    </row>
    <row r="19" spans="1:34" ht="19.2" customHeight="1">
      <c r="A19" s="680"/>
      <c r="B19" s="463" t="s">
        <v>180</v>
      </c>
      <c r="C19" s="462"/>
      <c r="D19" s="82" t="s">
        <v>72</v>
      </c>
      <c r="E19" s="83"/>
      <c r="F19" s="361">
        <v>38.630952380952372</v>
      </c>
      <c r="G19" s="57">
        <v>1179</v>
      </c>
      <c r="H19" s="84">
        <f t="shared" si="12"/>
        <v>45545.892857142848</v>
      </c>
      <c r="I19" s="453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2357.9999999999991</v>
      </c>
      <c r="O19" s="95">
        <f t="shared" si="14"/>
        <v>124.10526315789468</v>
      </c>
      <c r="P19" s="54">
        <f t="shared" si="10"/>
        <v>1</v>
      </c>
      <c r="Q19" s="88">
        <f t="shared" si="11"/>
        <v>-20.339181286549774</v>
      </c>
      <c r="R19" s="454">
        <f t="shared" si="15"/>
        <v>0.85919028340080927</v>
      </c>
      <c r="S19" s="681"/>
      <c r="T19" s="89">
        <v>0.22708333333333333</v>
      </c>
      <c r="U19" s="89">
        <v>0.24791666666666667</v>
      </c>
      <c r="V19" s="453">
        <v>8</v>
      </c>
      <c r="W19" s="90">
        <f>(U19-T19)*24*60</f>
        <v>30.000000000000014</v>
      </c>
      <c r="X19" s="96"/>
      <c r="Y19" s="96"/>
      <c r="Z19" s="54"/>
      <c r="AA19" s="54"/>
      <c r="AB19" s="658"/>
      <c r="AC19" s="658"/>
      <c r="AD19" s="453"/>
      <c r="AE19" s="453"/>
      <c r="AF19" s="48">
        <f t="shared" si="6"/>
        <v>-242.00000000000091</v>
      </c>
      <c r="AG19" s="457">
        <f t="shared" si="7"/>
        <v>0.90692307692307661</v>
      </c>
      <c r="AH19" s="683"/>
    </row>
    <row r="20" spans="1:34" ht="19.2" customHeight="1">
      <c r="A20" s="680"/>
      <c r="B20" s="463" t="s">
        <v>182</v>
      </c>
      <c r="C20" s="55"/>
      <c r="D20" s="42" t="s">
        <v>80</v>
      </c>
      <c r="E20" s="83"/>
      <c r="F20" s="361">
        <v>38.39</v>
      </c>
      <c r="G20" s="57">
        <v>2395</v>
      </c>
      <c r="H20" s="84">
        <f t="shared" si="12"/>
        <v>91944.05</v>
      </c>
      <c r="I20" s="453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1436.9999999999993</v>
      </c>
      <c r="O20" s="95">
        <f t="shared" si="14"/>
        <v>84.529411764705841</v>
      </c>
      <c r="P20" s="54">
        <f t="shared" si="10"/>
        <v>1</v>
      </c>
      <c r="Q20" s="88">
        <f t="shared" si="11"/>
        <v>-17.720588235294159</v>
      </c>
      <c r="R20" s="454">
        <f t="shared" si="15"/>
        <v>0.8266935135912552</v>
      </c>
      <c r="S20" s="681"/>
      <c r="T20" s="89">
        <v>0.2638888888888889</v>
      </c>
      <c r="U20" s="89">
        <v>0.33333333333333337</v>
      </c>
      <c r="V20" s="453">
        <v>23</v>
      </c>
      <c r="W20" s="90">
        <f t="shared" ref="W20:W29" si="16">(U20-T20)*24*60</f>
        <v>100.00000000000004</v>
      </c>
      <c r="X20" s="96">
        <v>0.25138888888888888</v>
      </c>
      <c r="Y20" s="96">
        <v>0.26111111111111113</v>
      </c>
      <c r="Z20" s="54"/>
      <c r="AA20" s="54"/>
      <c r="AB20" s="658"/>
      <c r="AC20" s="658"/>
      <c r="AD20" s="453"/>
      <c r="AE20" s="453">
        <v>1</v>
      </c>
      <c r="AF20" s="91">
        <f t="shared" si="6"/>
        <v>-199.00000000000068</v>
      </c>
      <c r="AG20" s="92">
        <f t="shared" si="7"/>
        <v>0.87836185819070867</v>
      </c>
      <c r="AH20" s="683"/>
    </row>
    <row r="21" spans="1:34" ht="19.2" customHeight="1">
      <c r="A21" s="680"/>
      <c r="B21" s="463" t="s">
        <v>183</v>
      </c>
      <c r="C21" s="97"/>
      <c r="D21" s="98" t="s">
        <v>79</v>
      </c>
      <c r="E21" s="43"/>
      <c r="F21" s="361">
        <v>43.14</v>
      </c>
      <c r="G21" s="44">
        <v>1852</v>
      </c>
      <c r="H21" s="84">
        <f t="shared" si="12"/>
        <v>79895.28</v>
      </c>
      <c r="I21" s="455"/>
      <c r="J21" s="93">
        <v>16</v>
      </c>
      <c r="K21" s="44">
        <v>1440</v>
      </c>
      <c r="L21" s="47">
        <v>90</v>
      </c>
      <c r="M21" s="467">
        <v>16</v>
      </c>
      <c r="N21" s="94">
        <f t="shared" si="13"/>
        <v>1406.5822784810118</v>
      </c>
      <c r="O21" s="95">
        <f t="shared" si="14"/>
        <v>87.911392405063239</v>
      </c>
      <c r="P21" s="54">
        <f t="shared" si="10"/>
        <v>0</v>
      </c>
      <c r="Q21" s="88">
        <f t="shared" si="11"/>
        <v>-2.0886075949367608</v>
      </c>
      <c r="R21" s="454">
        <f t="shared" si="15"/>
        <v>0.97679324894514707</v>
      </c>
      <c r="S21" s="681"/>
      <c r="T21" s="89">
        <v>0.33819444444444446</v>
      </c>
      <c r="U21" s="89">
        <v>0.3930555555555556</v>
      </c>
      <c r="V21" s="453">
        <v>7</v>
      </c>
      <c r="W21" s="90">
        <f t="shared" si="16"/>
        <v>79.000000000000043</v>
      </c>
      <c r="X21" s="96"/>
      <c r="Y21" s="96"/>
      <c r="Z21" s="54"/>
      <c r="AA21" s="54"/>
      <c r="AB21" s="658"/>
      <c r="AC21" s="658"/>
      <c r="AD21" s="453"/>
      <c r="AE21" s="453"/>
      <c r="AF21" s="48">
        <f t="shared" si="6"/>
        <v>-33.417721518988174</v>
      </c>
      <c r="AG21" s="457">
        <f t="shared" si="7"/>
        <v>0.97679324894514707</v>
      </c>
      <c r="AH21" s="684"/>
    </row>
    <row r="22" spans="1:34" ht="19.2" customHeight="1">
      <c r="A22" s="680"/>
      <c r="B22" s="463" t="s">
        <v>182</v>
      </c>
      <c r="C22" s="97"/>
      <c r="D22" s="42" t="s">
        <v>198</v>
      </c>
      <c r="E22" s="43"/>
      <c r="F22" s="361">
        <v>38.1</v>
      </c>
      <c r="G22" s="44">
        <v>1470</v>
      </c>
      <c r="H22" s="84">
        <f t="shared" si="12"/>
        <v>56007</v>
      </c>
      <c r="I22" s="455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1297.0588235294117</v>
      </c>
      <c r="O22" s="95">
        <f t="shared" si="14"/>
        <v>81.066176470588232</v>
      </c>
      <c r="P22" s="54">
        <f t="shared" si="10"/>
        <v>-1</v>
      </c>
      <c r="Q22" s="88">
        <f t="shared" si="11"/>
        <v>-7.169117647058826</v>
      </c>
      <c r="R22" s="454">
        <f t="shared" si="15"/>
        <v>0.91874999999999996</v>
      </c>
      <c r="S22" s="681"/>
      <c r="T22" s="89">
        <v>0.39861111111111114</v>
      </c>
      <c r="U22" s="89">
        <v>0.44583333333333336</v>
      </c>
      <c r="V22" s="453">
        <v>8</v>
      </c>
      <c r="W22" s="90">
        <f t="shared" si="16"/>
        <v>68</v>
      </c>
      <c r="X22" s="96"/>
      <c r="Y22" s="96"/>
      <c r="Z22" s="54"/>
      <c r="AA22" s="54"/>
      <c r="AB22" s="658"/>
      <c r="AC22" s="658"/>
      <c r="AD22" s="453"/>
      <c r="AE22" s="453">
        <v>1</v>
      </c>
      <c r="AF22" s="91">
        <f t="shared" si="6"/>
        <v>-202.94117647058829</v>
      </c>
      <c r="AG22" s="92">
        <f t="shared" si="7"/>
        <v>0.8647058823529411</v>
      </c>
      <c r="AH22" s="684"/>
    </row>
    <row r="23" spans="1:34" ht="19.2" customHeight="1">
      <c r="A23" s="680"/>
      <c r="B23" s="463" t="s">
        <v>180</v>
      </c>
      <c r="C23" s="97"/>
      <c r="D23" s="42" t="s">
        <v>72</v>
      </c>
      <c r="E23" s="43"/>
      <c r="F23" s="361">
        <v>38.630952380952372</v>
      </c>
      <c r="G23" s="44">
        <v>4716</v>
      </c>
      <c r="H23" s="84">
        <f t="shared" si="12"/>
        <v>182183.57142857139</v>
      </c>
      <c r="I23" s="455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2319.3442622950824</v>
      </c>
      <c r="O23" s="95">
        <f t="shared" si="14"/>
        <v>122.07075064710961</v>
      </c>
      <c r="P23" s="54">
        <f t="shared" si="10"/>
        <v>1</v>
      </c>
      <c r="Q23" s="88">
        <f t="shared" si="11"/>
        <v>-22.373693797334852</v>
      </c>
      <c r="R23" s="454">
        <f t="shared" si="15"/>
        <v>0.84510519678768181</v>
      </c>
      <c r="S23" s="681"/>
      <c r="T23" s="89">
        <v>0.4861111111111111</v>
      </c>
      <c r="U23" s="89">
        <v>0.5708333333333333</v>
      </c>
      <c r="V23" s="453">
        <v>5</v>
      </c>
      <c r="W23" s="90">
        <f t="shared" si="16"/>
        <v>121.99999999999997</v>
      </c>
      <c r="X23" s="96"/>
      <c r="Y23" s="96"/>
      <c r="Z23" s="54"/>
      <c r="AA23" s="54"/>
      <c r="AB23" s="658"/>
      <c r="AC23" s="658"/>
      <c r="AD23" s="453"/>
      <c r="AE23" s="453"/>
      <c r="AF23" s="48">
        <f t="shared" si="6"/>
        <v>-280.65573770491756</v>
      </c>
      <c r="AG23" s="457">
        <f t="shared" si="7"/>
        <v>0.89205548549810865</v>
      </c>
      <c r="AH23" s="684"/>
    </row>
    <row r="24" spans="1:34" ht="19.2" customHeight="1">
      <c r="A24" s="680"/>
      <c r="B24" s="463" t="s">
        <v>180</v>
      </c>
      <c r="C24" s="81"/>
      <c r="D24" s="82" t="s">
        <v>78</v>
      </c>
      <c r="E24" s="83"/>
      <c r="F24" s="361">
        <v>36.86</v>
      </c>
      <c r="G24" s="57">
        <v>1223.0999999999999</v>
      </c>
      <c r="H24" s="84">
        <f t="shared" si="12"/>
        <v>45083.465999999993</v>
      </c>
      <c r="I24" s="90"/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1983.4054054054036</v>
      </c>
      <c r="O24" s="95">
        <f t="shared" si="14"/>
        <v>110.18918918918909</v>
      </c>
      <c r="P24" s="54">
        <f t="shared" si="10"/>
        <v>1</v>
      </c>
      <c r="Q24" s="88">
        <f t="shared" si="11"/>
        <v>-22.163751987281486</v>
      </c>
      <c r="R24" s="454">
        <f t="shared" si="15"/>
        <v>0.83254054054053983</v>
      </c>
      <c r="S24" s="681"/>
      <c r="T24" s="89">
        <v>0.5756944444444444</v>
      </c>
      <c r="U24" s="89">
        <v>0.60138888888888886</v>
      </c>
      <c r="V24" s="453">
        <v>7</v>
      </c>
      <c r="W24" s="90">
        <f t="shared" si="16"/>
        <v>37.000000000000028</v>
      </c>
      <c r="X24" s="453"/>
      <c r="Y24" s="453"/>
      <c r="Z24" s="54"/>
      <c r="AA24" s="54"/>
      <c r="AB24" s="658"/>
      <c r="AC24" s="658"/>
      <c r="AD24" s="453"/>
      <c r="AE24" s="453"/>
      <c r="AF24" s="91">
        <f t="shared" si="6"/>
        <v>-266.5945945945964</v>
      </c>
      <c r="AG24" s="92">
        <f t="shared" si="7"/>
        <v>0.8815135135135127</v>
      </c>
      <c r="AH24" s="684"/>
    </row>
    <row r="25" spans="1:34" ht="19.2" customHeight="1">
      <c r="A25" s="680"/>
      <c r="B25" s="463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54"/>
      <c r="S25" s="681"/>
      <c r="T25" s="89"/>
      <c r="U25" s="89"/>
      <c r="V25" s="453"/>
      <c r="W25" s="90">
        <f t="shared" si="16"/>
        <v>0</v>
      </c>
      <c r="X25" s="453"/>
      <c r="Y25" s="453"/>
      <c r="Z25" s="54"/>
      <c r="AA25" s="54"/>
      <c r="AB25" s="658"/>
      <c r="AC25" s="658"/>
      <c r="AD25" s="453"/>
      <c r="AE25" s="453"/>
      <c r="AF25" s="48">
        <f t="shared" si="6"/>
        <v>0</v>
      </c>
      <c r="AG25" s="457" t="e">
        <f t="shared" si="7"/>
        <v>#DIV/0!</v>
      </c>
      <c r="AH25" s="684"/>
    </row>
    <row r="26" spans="1:34" ht="19.2" customHeight="1">
      <c r="A26" s="680"/>
      <c r="B26" s="463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4"/>
      <c r="S26" s="681"/>
      <c r="T26" s="89"/>
      <c r="U26" s="89"/>
      <c r="V26" s="453"/>
      <c r="W26" s="90">
        <f t="shared" si="16"/>
        <v>0</v>
      </c>
      <c r="X26" s="453"/>
      <c r="Y26" s="453"/>
      <c r="Z26" s="54"/>
      <c r="AA26" s="54"/>
      <c r="AB26" s="658"/>
      <c r="AC26" s="658"/>
      <c r="AD26" s="453"/>
      <c r="AE26" s="453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4"/>
      <c r="S27" s="681"/>
      <c r="T27" s="89"/>
      <c r="U27" s="89"/>
      <c r="V27" s="453"/>
      <c r="W27" s="90">
        <f t="shared" si="16"/>
        <v>0</v>
      </c>
      <c r="X27" s="453"/>
      <c r="Y27" s="453"/>
      <c r="Z27" s="54"/>
      <c r="AA27" s="54"/>
      <c r="AB27" s="658"/>
      <c r="AC27" s="658"/>
      <c r="AD27" s="453"/>
      <c r="AE27" s="453"/>
      <c r="AF27" s="48">
        <f t="shared" si="6"/>
        <v>0</v>
      </c>
      <c r="AG27" s="457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4"/>
      <c r="S28" s="681"/>
      <c r="T28" s="89"/>
      <c r="U28" s="89"/>
      <c r="V28" s="453"/>
      <c r="W28" s="90">
        <f t="shared" si="16"/>
        <v>0</v>
      </c>
      <c r="X28" s="453"/>
      <c r="Y28" s="453"/>
      <c r="Z28" s="54"/>
      <c r="AA28" s="54"/>
      <c r="AB28" s="658"/>
      <c r="AC28" s="658"/>
      <c r="AD28" s="453"/>
      <c r="AE28" s="453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4"/>
      <c r="S29" s="681"/>
      <c r="T29" s="89"/>
      <c r="U29" s="89"/>
      <c r="V29" s="453"/>
      <c r="W29" s="90">
        <f t="shared" si="16"/>
        <v>0</v>
      </c>
      <c r="X29" s="453"/>
      <c r="Y29" s="453"/>
      <c r="Z29" s="54"/>
      <c r="AA29" s="54"/>
      <c r="AB29" s="658"/>
      <c r="AC29" s="658"/>
      <c r="AD29" s="453"/>
      <c r="AE29" s="453"/>
      <c r="AF29" s="48">
        <f t="shared" si="6"/>
        <v>0</v>
      </c>
      <c r="AG29" s="457"/>
      <c r="AH29" s="684"/>
    </row>
    <row r="30" spans="1:34" ht="19.2" customHeight="1">
      <c r="A30" s="680"/>
      <c r="B30" s="99">
        <v>0</v>
      </c>
      <c r="C30" s="100" t="s">
        <v>467</v>
      </c>
      <c r="D30" s="679" t="s">
        <v>414</v>
      </c>
      <c r="E30" s="679"/>
      <c r="F30" s="365"/>
      <c r="G30" s="101"/>
      <c r="H30" s="102"/>
      <c r="I30" s="103"/>
      <c r="J30" s="101">
        <v>17</v>
      </c>
      <c r="K30" s="101">
        <v>2039.4285714285713</v>
      </c>
      <c r="L30" s="104">
        <v>119.15429505135388</v>
      </c>
      <c r="M30" s="101">
        <f t="shared" ref="M30:O30" si="17">AVERAGE(M18:M29)</f>
        <v>17.571428571428573</v>
      </c>
      <c r="N30" s="101">
        <f t="shared" si="17"/>
        <v>1852.7013938646685</v>
      </c>
      <c r="O30" s="104">
        <f t="shared" si="17"/>
        <v>104.32712930764828</v>
      </c>
      <c r="P30" s="54">
        <f t="shared" ref="P30:P35" si="18">M30-J30</f>
        <v>0.57142857142857295</v>
      </c>
      <c r="Q30" s="88">
        <f t="shared" ref="Q30:Q35" si="19">O30-L30</f>
        <v>-14.827165743705606</v>
      </c>
      <c r="R30" s="105">
        <f t="shared" ref="R30:R35" si="20">O30/L30</f>
        <v>0.87556331278435828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0</v>
      </c>
      <c r="AE30" s="107">
        <f>SUM(AE18:AE29)</f>
        <v>2</v>
      </c>
      <c r="AF30" s="108">
        <f t="shared" si="6"/>
        <v>-186.72717756390284</v>
      </c>
      <c r="AG30" s="109">
        <f t="shared" ref="AG30" si="21">N30/K30</f>
        <v>0.90844142316143739</v>
      </c>
      <c r="AH30" s="685"/>
    </row>
    <row r="31" spans="1:34" ht="19.2" customHeight="1">
      <c r="A31" s="688" t="s">
        <v>468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1982</v>
      </c>
      <c r="H31" s="113">
        <f t="shared" ref="H31:H40" si="22">F31*G31</f>
        <v>70024.06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5" si="23">G31/W31*60</f>
        <v>1887.6190476190482</v>
      </c>
      <c r="O31" s="116">
        <f t="shared" ref="O31:O35" si="24">N31/M31</f>
        <v>157.30158730158735</v>
      </c>
      <c r="P31" s="117">
        <f t="shared" si="18"/>
        <v>0</v>
      </c>
      <c r="Q31" s="118">
        <f t="shared" si="19"/>
        <v>-19.198412698412653</v>
      </c>
      <c r="R31" s="456">
        <f t="shared" si="20"/>
        <v>0.89122712352174138</v>
      </c>
      <c r="S31" s="690">
        <f>R43</f>
        <v>0.84620672977248212</v>
      </c>
      <c r="T31" s="119">
        <v>0.16666666666666666</v>
      </c>
      <c r="U31" s="119">
        <v>0.21041666666666664</v>
      </c>
      <c r="V31" s="52">
        <v>5</v>
      </c>
      <c r="W31" s="120">
        <f t="shared" ref="W31:W42" si="25">(U31-T31)*24*60</f>
        <v>62.999999999999979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-230.38095238095184</v>
      </c>
      <c r="AG31" s="121">
        <f t="shared" si="7"/>
        <v>0.89122712352174138</v>
      </c>
      <c r="AH31" s="686">
        <f>AG43</f>
        <v>0.84913746065594842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2094</v>
      </c>
      <c r="H32" s="84">
        <f t="shared" si="22"/>
        <v>71677.62</v>
      </c>
      <c r="I32" s="46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1903.6363636363644</v>
      </c>
      <c r="O32" s="47">
        <f t="shared" si="24"/>
        <v>158.63636363636371</v>
      </c>
      <c r="P32" s="48">
        <f t="shared" si="18"/>
        <v>0</v>
      </c>
      <c r="Q32" s="49">
        <f t="shared" si="19"/>
        <v>-17.863636363636289</v>
      </c>
      <c r="R32" s="457">
        <f t="shared" si="20"/>
        <v>0.89878959567344874</v>
      </c>
      <c r="S32" s="681"/>
      <c r="T32" s="89">
        <v>0.21527777777777776</v>
      </c>
      <c r="U32" s="89">
        <v>0.26111111111111107</v>
      </c>
      <c r="V32" s="453">
        <v>7</v>
      </c>
      <c r="W32" s="90">
        <f t="shared" si="25"/>
        <v>65.999999999999972</v>
      </c>
      <c r="X32" s="124"/>
      <c r="Y32" s="124"/>
      <c r="Z32" s="125"/>
      <c r="AA32" s="125"/>
      <c r="AB32" s="658"/>
      <c r="AC32" s="658"/>
      <c r="AD32" s="453"/>
      <c r="AE32" s="453"/>
      <c r="AF32" s="48">
        <f t="shared" si="6"/>
        <v>-214.36363636363558</v>
      </c>
      <c r="AG32" s="457">
        <f t="shared" si="7"/>
        <v>0.89878959567344874</v>
      </c>
      <c r="AH32" s="672"/>
    </row>
    <row r="33" spans="1:34" ht="19.2" customHeight="1">
      <c r="A33" s="689"/>
      <c r="B33" s="122" t="s">
        <v>184</v>
      </c>
      <c r="C33" s="453"/>
      <c r="D33" s="82" t="s">
        <v>82</v>
      </c>
      <c r="E33" s="83"/>
      <c r="F33" s="361">
        <v>36.409999999999997</v>
      </c>
      <c r="G33" s="57">
        <v>2612.75</v>
      </c>
      <c r="H33" s="84">
        <f t="shared" si="22"/>
        <v>95130.227499999994</v>
      </c>
      <c r="I33" s="453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2177.291666666667</v>
      </c>
      <c r="O33" s="47">
        <f t="shared" si="24"/>
        <v>217.72916666666669</v>
      </c>
      <c r="P33" s="48">
        <f t="shared" si="18"/>
        <v>0</v>
      </c>
      <c r="Q33" s="49">
        <f t="shared" si="19"/>
        <v>-59.170833333333292</v>
      </c>
      <c r="R33" s="457">
        <f t="shared" si="20"/>
        <v>0.78630973877452759</v>
      </c>
      <c r="S33" s="681"/>
      <c r="T33" s="89">
        <v>0.27638888888888885</v>
      </c>
      <c r="U33" s="89">
        <v>0.32638888888888884</v>
      </c>
      <c r="V33" s="453">
        <v>22</v>
      </c>
      <c r="W33" s="90">
        <f t="shared" si="25"/>
        <v>71.999999999999986</v>
      </c>
      <c r="X33" s="124">
        <v>0.26458333333333334</v>
      </c>
      <c r="Y33" s="124">
        <v>0.27361111111111108</v>
      </c>
      <c r="Z33" s="125"/>
      <c r="AA33" s="125"/>
      <c r="AB33" s="658"/>
      <c r="AC33" s="658"/>
      <c r="AD33" s="453"/>
      <c r="AE33" s="453"/>
      <c r="AF33" s="48">
        <f t="shared" si="6"/>
        <v>-591.70833333333303</v>
      </c>
      <c r="AG33" s="126">
        <f t="shared" si="7"/>
        <v>0.78630973877452759</v>
      </c>
      <c r="AH33" s="672"/>
    </row>
    <row r="34" spans="1:34" ht="19.2" customHeight="1">
      <c r="A34" s="689"/>
      <c r="B34" s="122" t="s">
        <v>185</v>
      </c>
      <c r="C34" s="127"/>
      <c r="D34" s="82" t="s">
        <v>270</v>
      </c>
      <c r="E34" s="83"/>
      <c r="F34" s="361">
        <v>54.09</v>
      </c>
      <c r="G34" s="57">
        <v>4071</v>
      </c>
      <c r="H34" s="84">
        <f t="shared" si="22"/>
        <v>220200.39</v>
      </c>
      <c r="I34" s="453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1252.6153846153845</v>
      </c>
      <c r="O34" s="47">
        <f t="shared" si="24"/>
        <v>69.589743589743591</v>
      </c>
      <c r="P34" s="48">
        <f t="shared" si="18"/>
        <v>0</v>
      </c>
      <c r="Q34" s="49">
        <f t="shared" si="19"/>
        <v>-13.743589743589737</v>
      </c>
      <c r="R34" s="457">
        <f t="shared" si="20"/>
        <v>0.83507692307692316</v>
      </c>
      <c r="S34" s="681"/>
      <c r="T34" s="89">
        <v>0.34236111111111106</v>
      </c>
      <c r="U34" s="89">
        <v>0.47777777777777775</v>
      </c>
      <c r="V34" s="453">
        <v>23</v>
      </c>
      <c r="W34" s="90">
        <f t="shared" si="25"/>
        <v>195.00000000000003</v>
      </c>
      <c r="X34" s="124">
        <v>0.3298611111111111</v>
      </c>
      <c r="Y34" s="124">
        <v>0.33958333333333335</v>
      </c>
      <c r="Z34" s="125"/>
      <c r="AA34" s="125"/>
      <c r="AB34" s="658"/>
      <c r="AC34" s="658"/>
      <c r="AD34" s="453"/>
      <c r="AE34" s="453"/>
      <c r="AF34" s="48">
        <f t="shared" si="6"/>
        <v>-247.38461538461547</v>
      </c>
      <c r="AG34" s="126">
        <f t="shared" si="7"/>
        <v>0.83507692307692305</v>
      </c>
      <c r="AH34" s="672"/>
    </row>
    <row r="35" spans="1:34" ht="19.2" customHeight="1">
      <c r="A35" s="689"/>
      <c r="B35" s="122" t="s">
        <v>185</v>
      </c>
      <c r="C35" s="41"/>
      <c r="D35" s="42" t="s">
        <v>308</v>
      </c>
      <c r="E35" s="43"/>
      <c r="F35" s="361">
        <v>50.67</v>
      </c>
      <c r="G35" s="128">
        <v>1763</v>
      </c>
      <c r="H35" s="84">
        <f t="shared" si="22"/>
        <v>89331.21</v>
      </c>
      <c r="I35" s="455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1274.4578313253007</v>
      </c>
      <c r="O35" s="47">
        <f t="shared" si="24"/>
        <v>70.80321285140559</v>
      </c>
      <c r="P35" s="48">
        <f t="shared" si="18"/>
        <v>0</v>
      </c>
      <c r="Q35" s="49">
        <f t="shared" si="19"/>
        <v>-12.530120481927739</v>
      </c>
      <c r="R35" s="457">
        <f t="shared" si="20"/>
        <v>0.84963855421686718</v>
      </c>
      <c r="S35" s="681"/>
      <c r="T35" s="89">
        <v>0.51805555555555549</v>
      </c>
      <c r="U35" s="89">
        <v>0.5756944444444444</v>
      </c>
      <c r="V35" s="453">
        <v>5</v>
      </c>
      <c r="W35" s="90">
        <f t="shared" si="25"/>
        <v>83.000000000000028</v>
      </c>
      <c r="X35" s="124"/>
      <c r="Y35" s="124"/>
      <c r="Z35" s="125"/>
      <c r="AA35" s="125"/>
      <c r="AB35" s="658"/>
      <c r="AC35" s="658"/>
      <c r="AD35" s="453"/>
      <c r="AE35" s="453"/>
      <c r="AF35" s="117">
        <f t="shared" si="6"/>
        <v>-225.54216867469927</v>
      </c>
      <c r="AG35" s="121">
        <f t="shared" si="7"/>
        <v>0.84963855421686718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453"/>
      <c r="J36" s="46"/>
      <c r="K36" s="44"/>
      <c r="L36" s="47"/>
      <c r="M36" s="46"/>
      <c r="N36" s="44"/>
      <c r="O36" s="47"/>
      <c r="P36" s="48"/>
      <c r="Q36" s="49"/>
      <c r="R36" s="457"/>
      <c r="S36" s="681"/>
      <c r="T36" s="89"/>
      <c r="U36" s="89"/>
      <c r="V36" s="453"/>
      <c r="W36" s="90">
        <f t="shared" si="25"/>
        <v>0</v>
      </c>
      <c r="X36" s="124"/>
      <c r="Y36" s="124"/>
      <c r="Z36" s="125"/>
      <c r="AA36" s="125"/>
      <c r="AB36" s="658"/>
      <c r="AC36" s="658"/>
      <c r="AD36" s="453"/>
      <c r="AE36" s="453"/>
      <c r="AF36" s="48">
        <f t="shared" si="6"/>
        <v>0</v>
      </c>
      <c r="AG36" s="457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453"/>
      <c r="J37" s="46"/>
      <c r="K37" s="44"/>
      <c r="L37" s="47"/>
      <c r="M37" s="46"/>
      <c r="N37" s="44"/>
      <c r="O37" s="47"/>
      <c r="P37" s="48"/>
      <c r="Q37" s="49"/>
      <c r="R37" s="457"/>
      <c r="S37" s="681"/>
      <c r="T37" s="89"/>
      <c r="U37" s="89"/>
      <c r="V37" s="453"/>
      <c r="W37" s="90">
        <f t="shared" si="25"/>
        <v>0</v>
      </c>
      <c r="X37" s="124"/>
      <c r="Y37" s="124"/>
      <c r="Z37" s="125"/>
      <c r="AA37" s="125"/>
      <c r="AB37" s="658"/>
      <c r="AC37" s="658"/>
      <c r="AD37" s="453"/>
      <c r="AE37" s="453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453"/>
      <c r="J38" s="46"/>
      <c r="K38" s="44"/>
      <c r="L38" s="47"/>
      <c r="M38" s="464"/>
      <c r="N38" s="44"/>
      <c r="O38" s="47"/>
      <c r="P38" s="48"/>
      <c r="Q38" s="49"/>
      <c r="R38" s="457"/>
      <c r="S38" s="681"/>
      <c r="T38" s="89"/>
      <c r="U38" s="89"/>
      <c r="V38" s="453"/>
      <c r="W38" s="90">
        <f t="shared" si="25"/>
        <v>0</v>
      </c>
      <c r="X38" s="124"/>
      <c r="Y38" s="124"/>
      <c r="Z38" s="125"/>
      <c r="AA38" s="125"/>
      <c r="AB38" s="658"/>
      <c r="AC38" s="658"/>
      <c r="AD38" s="453"/>
      <c r="AE38" s="453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453"/>
      <c r="J39" s="46"/>
      <c r="K39" s="44"/>
      <c r="L39" s="47"/>
      <c r="M39" s="464"/>
      <c r="N39" s="44"/>
      <c r="O39" s="47"/>
      <c r="P39" s="48"/>
      <c r="Q39" s="49"/>
      <c r="R39" s="457"/>
      <c r="S39" s="681"/>
      <c r="T39" s="89"/>
      <c r="U39" s="89"/>
      <c r="V39" s="453"/>
      <c r="W39" s="90">
        <f t="shared" si="25"/>
        <v>0</v>
      </c>
      <c r="X39" s="124"/>
      <c r="Y39" s="124"/>
      <c r="Z39" s="125"/>
      <c r="AA39" s="125"/>
      <c r="AB39" s="658"/>
      <c r="AC39" s="658"/>
      <c r="AD39" s="453"/>
      <c r="AE39" s="453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55"/>
      <c r="J40" s="132"/>
      <c r="K40" s="133"/>
      <c r="L40" s="134"/>
      <c r="M40" s="467"/>
      <c r="N40" s="44"/>
      <c r="O40" s="47"/>
      <c r="P40" s="48"/>
      <c r="Q40" s="49"/>
      <c r="R40" s="457"/>
      <c r="S40" s="681"/>
      <c r="T40" s="89"/>
      <c r="U40" s="89"/>
      <c r="V40" s="453"/>
      <c r="W40" s="90">
        <f t="shared" si="25"/>
        <v>0</v>
      </c>
      <c r="X40" s="124"/>
      <c r="Y40" s="124"/>
      <c r="Z40" s="125"/>
      <c r="AA40" s="125"/>
      <c r="AB40" s="658"/>
      <c r="AC40" s="658"/>
      <c r="AD40" s="453"/>
      <c r="AE40" s="453"/>
      <c r="AF40" s="48">
        <f t="shared" si="6"/>
        <v>0</v>
      </c>
      <c r="AG40" s="457" t="e">
        <f t="shared" si="7"/>
        <v>#DIV/0!</v>
      </c>
      <c r="AH40" s="673"/>
    </row>
    <row r="41" spans="1:34" ht="19.2" customHeight="1">
      <c r="A41" s="689"/>
      <c r="B41" s="453">
        <v>0</v>
      </c>
      <c r="C41" s="55"/>
      <c r="D41" s="82"/>
      <c r="E41" s="83"/>
      <c r="F41" s="361" t="s">
        <v>186</v>
      </c>
      <c r="G41" s="57"/>
      <c r="H41" s="84"/>
      <c r="I41" s="453"/>
      <c r="J41" s="87"/>
      <c r="K41" s="57"/>
      <c r="L41" s="86"/>
      <c r="M41" s="464"/>
      <c r="N41" s="57"/>
      <c r="O41" s="86"/>
      <c r="P41" s="54"/>
      <c r="Q41" s="88"/>
      <c r="R41" s="454"/>
      <c r="S41" s="681"/>
      <c r="T41" s="89"/>
      <c r="U41" s="89"/>
      <c r="V41" s="453"/>
      <c r="W41" s="90">
        <f t="shared" si="25"/>
        <v>0</v>
      </c>
      <c r="X41" s="124"/>
      <c r="Y41" s="124"/>
      <c r="Z41" s="125"/>
      <c r="AA41" s="125"/>
      <c r="AB41" s="658"/>
      <c r="AC41" s="658"/>
      <c r="AD41" s="453"/>
      <c r="AE41" s="453"/>
      <c r="AF41" s="48"/>
      <c r="AG41" s="130"/>
      <c r="AH41" s="673"/>
    </row>
    <row r="42" spans="1:34" ht="19.2" customHeight="1">
      <c r="A42" s="689"/>
      <c r="B42" s="453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453"/>
      <c r="J42" s="87"/>
      <c r="K42" s="57"/>
      <c r="L42" s="86"/>
      <c r="M42" s="464"/>
      <c r="N42" s="57"/>
      <c r="O42" s="86"/>
      <c r="P42" s="54"/>
      <c r="Q42" s="88"/>
      <c r="R42" s="454"/>
      <c r="S42" s="681"/>
      <c r="T42" s="89"/>
      <c r="U42" s="89"/>
      <c r="V42" s="453"/>
      <c r="W42" s="90">
        <f t="shared" si="25"/>
        <v>0</v>
      </c>
      <c r="X42" s="124"/>
      <c r="Y42" s="124"/>
      <c r="Z42" s="125"/>
      <c r="AA42" s="125"/>
      <c r="AB42" s="658"/>
      <c r="AC42" s="658"/>
      <c r="AD42" s="453"/>
      <c r="AE42" s="453"/>
      <c r="AF42" s="48"/>
      <c r="AG42" s="130"/>
      <c r="AH42" s="673"/>
    </row>
    <row r="43" spans="1:34" ht="19.2" customHeight="1">
      <c r="A43" s="689"/>
      <c r="B43" s="122">
        <v>0</v>
      </c>
      <c r="C43" s="100" t="s">
        <v>469</v>
      </c>
      <c r="D43" s="687" t="s">
        <v>414</v>
      </c>
      <c r="E43" s="687"/>
      <c r="F43" s="365"/>
      <c r="G43" s="101"/>
      <c r="H43" s="102"/>
      <c r="I43" s="103"/>
      <c r="J43" s="101">
        <v>14</v>
      </c>
      <c r="K43" s="101">
        <v>2001</v>
      </c>
      <c r="L43" s="104">
        <v>159.31333333333333</v>
      </c>
      <c r="M43" s="101">
        <f t="shared" ref="M43:O43" si="26">AVERAGE(M31:M42)</f>
        <v>14</v>
      </c>
      <c r="N43" s="101">
        <f t="shared" si="26"/>
        <v>1699.1240587725529</v>
      </c>
      <c r="O43" s="104">
        <f t="shared" si="26"/>
        <v>134.81201480915337</v>
      </c>
      <c r="P43" s="54">
        <f>M43-J43</f>
        <v>0</v>
      </c>
      <c r="Q43" s="88">
        <f>N43-K43</f>
        <v>-301.87594122744713</v>
      </c>
      <c r="R43" s="105">
        <f t="shared" ref="R43:R49" si="27">O43/L43</f>
        <v>0.84620672977248212</v>
      </c>
      <c r="S43" s="681"/>
      <c r="T43" s="89"/>
      <c r="U43" s="89"/>
      <c r="V43" s="453"/>
      <c r="W43" s="453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0</v>
      </c>
      <c r="AE43" s="107">
        <f>SUM(AE31:AE42)</f>
        <v>0</v>
      </c>
      <c r="AF43" s="48">
        <f t="shared" ref="AF43:AF54" si="28">N43-K43</f>
        <v>-301.87594122744713</v>
      </c>
      <c r="AG43" s="458">
        <f t="shared" si="7"/>
        <v>0.84913746065594842</v>
      </c>
      <c r="AH43" s="673"/>
    </row>
    <row r="44" spans="1:34" s="148" customFormat="1" ht="19.2" customHeight="1">
      <c r="A44" s="691" t="s">
        <v>470</v>
      </c>
      <c r="B44" s="97" t="s">
        <v>184</v>
      </c>
      <c r="C44" s="136"/>
      <c r="D44" s="42" t="s">
        <v>98</v>
      </c>
      <c r="E44" s="43"/>
      <c r="F44" s="368">
        <v>24.73</v>
      </c>
      <c r="G44" s="137">
        <v>2128</v>
      </c>
      <c r="H44" s="45">
        <f>F44*G44</f>
        <v>52625.440000000002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2164.0677966101698</v>
      </c>
      <c r="O44" s="141">
        <f t="shared" ref="O44:O49" si="30">N44/M44</f>
        <v>432.81355932203394</v>
      </c>
      <c r="P44" s="51">
        <f t="shared" ref="P44:P49" si="31">M44-J44</f>
        <v>1</v>
      </c>
      <c r="Q44" s="142">
        <f t="shared" ref="Q44:Q49" si="32">O44-L44</f>
        <v>-67.186440677966061</v>
      </c>
      <c r="R44" s="143">
        <f t="shared" si="27"/>
        <v>0.86562711864406783</v>
      </c>
      <c r="S44" s="672">
        <f>R56</f>
        <v>0.89453293754382168</v>
      </c>
      <c r="T44" s="144">
        <v>0.16666666666666666</v>
      </c>
      <c r="U44" s="144">
        <v>0.20763888888888887</v>
      </c>
      <c r="V44" s="145">
        <v>5</v>
      </c>
      <c r="W44" s="146">
        <f t="shared" ref="W44:W56" si="33">(U44-T44)*24*60</f>
        <v>58.999999999999993</v>
      </c>
      <c r="X44" s="124"/>
      <c r="Y44" s="124"/>
      <c r="Z44" s="125"/>
      <c r="AA44" s="125"/>
      <c r="AB44" s="658"/>
      <c r="AC44" s="658"/>
      <c r="AD44" s="453"/>
      <c r="AE44" s="453"/>
      <c r="AF44" s="147">
        <f t="shared" si="28"/>
        <v>164.06779661016981</v>
      </c>
      <c r="AG44" s="461">
        <f t="shared" si="7"/>
        <v>1.082033898305085</v>
      </c>
      <c r="AH44" s="694">
        <f>AG56</f>
        <v>1.0275603339538217</v>
      </c>
    </row>
    <row r="45" spans="1:34" s="148" customFormat="1" ht="19.2" customHeight="1">
      <c r="A45" s="692"/>
      <c r="B45" s="97" t="s">
        <v>184</v>
      </c>
      <c r="C45" s="136"/>
      <c r="D45" s="42" t="s">
        <v>99</v>
      </c>
      <c r="E45" s="43"/>
      <c r="F45" s="368">
        <v>24.73</v>
      </c>
      <c r="G45" s="137">
        <v>2018</v>
      </c>
      <c r="H45" s="45">
        <f>F45*G45</f>
        <v>49905.14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2162.1428571428569</v>
      </c>
      <c r="O45" s="141">
        <f t="shared" si="30"/>
        <v>432.42857142857139</v>
      </c>
      <c r="P45" s="51">
        <f t="shared" si="31"/>
        <v>1</v>
      </c>
      <c r="Q45" s="142">
        <f t="shared" si="32"/>
        <v>-67.571428571428612</v>
      </c>
      <c r="R45" s="143">
        <f t="shared" si="27"/>
        <v>0.86485714285714277</v>
      </c>
      <c r="S45" s="672"/>
      <c r="T45" s="144">
        <v>0.21111111111111108</v>
      </c>
      <c r="U45" s="144">
        <v>0.24999999999999997</v>
      </c>
      <c r="V45" s="145">
        <v>5</v>
      </c>
      <c r="W45" s="146">
        <f t="shared" si="33"/>
        <v>56</v>
      </c>
      <c r="X45" s="124"/>
      <c r="Y45" s="124"/>
      <c r="Z45" s="125"/>
      <c r="AA45" s="125"/>
      <c r="AB45" s="658"/>
      <c r="AC45" s="658"/>
      <c r="AD45" s="453"/>
      <c r="AE45" s="453"/>
      <c r="AF45" s="147">
        <f t="shared" si="28"/>
        <v>162.14285714285688</v>
      </c>
      <c r="AG45" s="461">
        <f t="shared" si="7"/>
        <v>1.0810714285714285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199</v>
      </c>
      <c r="E46" s="43"/>
      <c r="F46" s="368">
        <v>21.92</v>
      </c>
      <c r="G46" s="137">
        <v>822</v>
      </c>
      <c r="H46" s="45">
        <f t="shared" ref="H46:H50" si="34">F46*G46</f>
        <v>18018.240000000002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2144.3478260869565</v>
      </c>
      <c r="O46" s="141">
        <f t="shared" si="30"/>
        <v>428.86956521739131</v>
      </c>
      <c r="P46" s="51">
        <f t="shared" si="31"/>
        <v>1</v>
      </c>
      <c r="Q46" s="142">
        <f t="shared" si="32"/>
        <v>-71.130434782608688</v>
      </c>
      <c r="R46" s="143">
        <f t="shared" si="27"/>
        <v>0.85773913043478267</v>
      </c>
      <c r="S46" s="672"/>
      <c r="T46" s="144">
        <v>0.25347222222222221</v>
      </c>
      <c r="U46" s="144">
        <v>0.26944444444444443</v>
      </c>
      <c r="V46" s="145">
        <v>5</v>
      </c>
      <c r="W46" s="146">
        <f t="shared" si="33"/>
        <v>23</v>
      </c>
      <c r="X46" s="124"/>
      <c r="Y46" s="124"/>
      <c r="Z46" s="125"/>
      <c r="AA46" s="125"/>
      <c r="AB46" s="658"/>
      <c r="AC46" s="658"/>
      <c r="AD46" s="453"/>
      <c r="AE46" s="453"/>
      <c r="AF46" s="147">
        <f t="shared" si="28"/>
        <v>144.3478260869565</v>
      </c>
      <c r="AG46" s="461">
        <f t="shared" si="7"/>
        <v>1.0721739130434782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86</v>
      </c>
      <c r="E47" s="151"/>
      <c r="F47" s="368">
        <v>31.43</v>
      </c>
      <c r="G47" s="140">
        <v>2159</v>
      </c>
      <c r="H47" s="45">
        <f t="shared" si="34"/>
        <v>67857.37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1392.9032258064517</v>
      </c>
      <c r="O47" s="141">
        <f t="shared" si="30"/>
        <v>198.98617511520737</v>
      </c>
      <c r="P47" s="51">
        <f t="shared" si="31"/>
        <v>0</v>
      </c>
      <c r="Q47" s="142">
        <f t="shared" si="32"/>
        <v>-15.299539170506904</v>
      </c>
      <c r="R47" s="143">
        <f t="shared" si="27"/>
        <v>0.9286021505376344</v>
      </c>
      <c r="S47" s="672"/>
      <c r="T47" s="144">
        <v>0.28680555555555554</v>
      </c>
      <c r="U47" s="144">
        <v>0.35138888888888886</v>
      </c>
      <c r="V47" s="140">
        <v>25</v>
      </c>
      <c r="W47" s="146">
        <f t="shared" si="33"/>
        <v>92.999999999999986</v>
      </c>
      <c r="X47" s="124">
        <v>0.27291666666666664</v>
      </c>
      <c r="Y47" s="124">
        <v>0.28402777777777777</v>
      </c>
      <c r="Z47" s="125"/>
      <c r="AA47" s="125"/>
      <c r="AB47" s="658"/>
      <c r="AC47" s="658"/>
      <c r="AD47" s="453"/>
      <c r="AE47" s="453"/>
      <c r="AF47" s="147">
        <f t="shared" si="28"/>
        <v>-107.0967741935483</v>
      </c>
      <c r="AG47" s="461">
        <f t="shared" si="7"/>
        <v>0.92860215053763451</v>
      </c>
      <c r="AH47" s="694"/>
    </row>
    <row r="48" spans="1:34" s="148" customFormat="1" ht="19.2" customHeight="1">
      <c r="A48" s="692"/>
      <c r="B48" s="97" t="s">
        <v>183</v>
      </c>
      <c r="C48" s="136"/>
      <c r="D48" s="153" t="s">
        <v>471</v>
      </c>
      <c r="E48" s="151"/>
      <c r="F48" s="368">
        <v>11.26</v>
      </c>
      <c r="G48" s="140">
        <v>8892</v>
      </c>
      <c r="H48" s="45">
        <f t="shared" si="34"/>
        <v>100123.92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1461.6986301369864</v>
      </c>
      <c r="O48" s="141">
        <f t="shared" si="30"/>
        <v>243.61643835616439</v>
      </c>
      <c r="P48" s="51">
        <f t="shared" si="31"/>
        <v>0</v>
      </c>
      <c r="Q48" s="142">
        <f t="shared" si="32"/>
        <v>-6.3835616438356055</v>
      </c>
      <c r="R48" s="143">
        <f t="shared" si="27"/>
        <v>0.97446575342465758</v>
      </c>
      <c r="S48" s="672"/>
      <c r="T48" s="154">
        <v>0.37222222222222218</v>
      </c>
      <c r="U48" s="154">
        <v>0.62569444444444433</v>
      </c>
      <c r="V48" s="137">
        <v>30</v>
      </c>
      <c r="W48" s="146">
        <f t="shared" si="33"/>
        <v>364.99999999999994</v>
      </c>
      <c r="X48" s="124">
        <v>0.35486111111111113</v>
      </c>
      <c r="Y48" s="124">
        <v>0.36944444444444446</v>
      </c>
      <c r="Z48" s="125"/>
      <c r="AA48" s="125"/>
      <c r="AB48" s="658"/>
      <c r="AC48" s="658"/>
      <c r="AD48" s="453"/>
      <c r="AE48" s="453"/>
      <c r="AF48" s="147">
        <f t="shared" si="28"/>
        <v>-38.301369863013633</v>
      </c>
      <c r="AG48" s="461">
        <f t="shared" si="7"/>
        <v>0.97446575342465758</v>
      </c>
      <c r="AH48" s="694"/>
    </row>
    <row r="49" spans="1:34" s="148" customFormat="1" ht="19.2" customHeight="1">
      <c r="A49" s="692"/>
      <c r="B49" s="97" t="s">
        <v>185</v>
      </c>
      <c r="C49" s="136"/>
      <c r="D49" s="153" t="s">
        <v>85</v>
      </c>
      <c r="E49" s="151"/>
      <c r="F49" s="368">
        <v>10.09</v>
      </c>
      <c r="G49" s="137">
        <v>4002.21</v>
      </c>
      <c r="H49" s="45">
        <f t="shared" si="34"/>
        <v>40382.298900000002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1464.2231707317069</v>
      </c>
      <c r="O49" s="141">
        <f t="shared" si="30"/>
        <v>244.03719512195116</v>
      </c>
      <c r="P49" s="51">
        <f t="shared" si="31"/>
        <v>0</v>
      </c>
      <c r="Q49" s="142">
        <f t="shared" si="32"/>
        <v>-5.9628048780488427</v>
      </c>
      <c r="R49" s="143">
        <f t="shared" si="27"/>
        <v>0.97614878048780462</v>
      </c>
      <c r="S49" s="672"/>
      <c r="T49" s="154">
        <v>0.6465277777777777</v>
      </c>
      <c r="U49" s="154">
        <v>0.76041666666666663</v>
      </c>
      <c r="V49" s="137">
        <v>30</v>
      </c>
      <c r="W49" s="146">
        <f t="shared" si="33"/>
        <v>164.00000000000006</v>
      </c>
      <c r="X49" s="155">
        <v>0.62916666666666665</v>
      </c>
      <c r="Y49" s="155">
        <v>0.64374999999999993</v>
      </c>
      <c r="Z49" s="156"/>
      <c r="AA49" s="125"/>
      <c r="AB49" s="658"/>
      <c r="AC49" s="658"/>
      <c r="AD49" s="453"/>
      <c r="AE49" s="453"/>
      <c r="AF49" s="147">
        <f t="shared" si="28"/>
        <v>-35.776829268293113</v>
      </c>
      <c r="AG49" s="461">
        <f t="shared" si="7"/>
        <v>0.97614878048780462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453"/>
      <c r="AE50" s="453"/>
      <c r="AF50" s="147">
        <f t="shared" si="28"/>
        <v>0</v>
      </c>
      <c r="AG50" s="461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453"/>
      <c r="AE51" s="453"/>
      <c r="AF51" s="147">
        <f t="shared" si="28"/>
        <v>0</v>
      </c>
      <c r="AG51" s="461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54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453"/>
      <c r="AE52" s="453"/>
      <c r="AF52" s="147">
        <f t="shared" si="28"/>
        <v>0</v>
      </c>
      <c r="AG52" s="461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54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453"/>
      <c r="AE53" s="453"/>
      <c r="AF53" s="147">
        <f t="shared" si="28"/>
        <v>0</v>
      </c>
      <c r="AG53" s="461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54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453"/>
      <c r="AE54" s="453"/>
      <c r="AF54" s="147">
        <f t="shared" si="28"/>
        <v>0</v>
      </c>
      <c r="AG54" s="461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54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453"/>
      <c r="AE55" s="453"/>
      <c r="AF55" s="147"/>
      <c r="AG55" s="461"/>
      <c r="AH55" s="694"/>
    </row>
    <row r="56" spans="1:34" ht="19.2" customHeight="1">
      <c r="A56" s="693"/>
      <c r="B56" s="160">
        <v>0</v>
      </c>
      <c r="C56" s="100" t="s">
        <v>472</v>
      </c>
      <c r="D56" s="687" t="s">
        <v>414</v>
      </c>
      <c r="E56" s="687"/>
      <c r="F56" s="365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1798.2305844191881</v>
      </c>
      <c r="O56" s="104">
        <f t="shared" si="35"/>
        <v>330.1252507602199</v>
      </c>
      <c r="P56" s="161">
        <f>M56-J56</f>
        <v>0.5</v>
      </c>
      <c r="Q56" s="118">
        <f>N56-K56</f>
        <v>48.230584419188062</v>
      </c>
      <c r="R56" s="162">
        <f t="shared" ref="R56:R61" si="36">O56/L56</f>
        <v>0.89453293754382168</v>
      </c>
      <c r="S56" s="672"/>
      <c r="T56" s="163"/>
      <c r="U56" s="163"/>
      <c r="V56" s="46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0</v>
      </c>
      <c r="AE56" s="107">
        <f>SUM(AE44:AE55)</f>
        <v>0</v>
      </c>
      <c r="AF56" s="165">
        <f>N56-K56</f>
        <v>48.230584419188062</v>
      </c>
      <c r="AG56" s="454">
        <f>N56/K56</f>
        <v>1.0275603339538217</v>
      </c>
      <c r="AH56" s="694"/>
    </row>
    <row r="57" spans="1:34" ht="19.2" customHeight="1">
      <c r="A57" s="697" t="s">
        <v>473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1630</v>
      </c>
      <c r="H57" s="84">
        <f t="shared" ref="H57:H66" si="37">F57*G57</f>
        <v>46063.8</v>
      </c>
      <c r="I57" s="453"/>
      <c r="J57" s="87">
        <v>7</v>
      </c>
      <c r="K57" s="57">
        <v>1500</v>
      </c>
      <c r="L57" s="86">
        <v>214.28571428571428</v>
      </c>
      <c r="M57" s="464">
        <v>7</v>
      </c>
      <c r="N57" s="57">
        <f t="shared" ref="N57:N61" si="38">G57/W57*60</f>
        <v>1504.6153846153843</v>
      </c>
      <c r="O57" s="86">
        <f t="shared" ref="O57:O61" si="39">N57/M57</f>
        <v>214.94505494505489</v>
      </c>
      <c r="P57" s="168">
        <f t="shared" ref="P57:P61" si="40">M57-J57</f>
        <v>0</v>
      </c>
      <c r="Q57" s="49">
        <f t="shared" ref="Q57:Q61" si="41">O57-L57</f>
        <v>0.65934065934061437</v>
      </c>
      <c r="R57" s="457">
        <f t="shared" si="36"/>
        <v>1.003076923076923</v>
      </c>
      <c r="S57" s="672">
        <f>R69</f>
        <v>0.98519222450320643</v>
      </c>
      <c r="T57" s="144">
        <v>0.16666666666666666</v>
      </c>
      <c r="U57" s="144">
        <v>0.21180555555555555</v>
      </c>
      <c r="V57" s="455">
        <v>5</v>
      </c>
      <c r="W57" s="466">
        <f>(U57-T57)*24*60</f>
        <v>65.000000000000014</v>
      </c>
      <c r="X57" s="53"/>
      <c r="Y57" s="53"/>
      <c r="Z57" s="54"/>
      <c r="AA57" s="54"/>
      <c r="AB57" s="658"/>
      <c r="AC57" s="658"/>
      <c r="AD57" s="453"/>
      <c r="AE57" s="453"/>
      <c r="AF57" s="48">
        <f t="shared" si="6"/>
        <v>4.6153846153843006</v>
      </c>
      <c r="AG57" s="456">
        <f t="shared" si="7"/>
        <v>1.003076923076923</v>
      </c>
      <c r="AH57" s="686">
        <f>AG69</f>
        <v>0.9858938418539418</v>
      </c>
    </row>
    <row r="58" spans="1:34" ht="19.2" customHeight="1">
      <c r="A58" s="654"/>
      <c r="B58" s="97" t="s">
        <v>183</v>
      </c>
      <c r="C58" s="462"/>
      <c r="D58" s="42" t="s">
        <v>88</v>
      </c>
      <c r="E58" s="43"/>
      <c r="F58" s="361">
        <v>27.88</v>
      </c>
      <c r="G58" s="137">
        <v>2829</v>
      </c>
      <c r="H58" s="45">
        <f t="shared" si="37"/>
        <v>78872.52</v>
      </c>
      <c r="I58" s="455"/>
      <c r="J58" s="46">
        <v>7</v>
      </c>
      <c r="K58" s="44">
        <v>1500</v>
      </c>
      <c r="L58" s="86">
        <v>214.28571428571428</v>
      </c>
      <c r="M58" s="467">
        <v>7</v>
      </c>
      <c r="N58" s="44">
        <f t="shared" si="38"/>
        <v>1488.9473684210523</v>
      </c>
      <c r="O58" s="47">
        <f t="shared" si="39"/>
        <v>212.70676691729318</v>
      </c>
      <c r="P58" s="168">
        <f t="shared" si="40"/>
        <v>0</v>
      </c>
      <c r="Q58" s="49">
        <f t="shared" si="41"/>
        <v>-1.5789473684210975</v>
      </c>
      <c r="R58" s="457">
        <f t="shared" si="36"/>
        <v>0.9926315789473682</v>
      </c>
      <c r="S58" s="672"/>
      <c r="T58" s="169">
        <v>0.22916666666666666</v>
      </c>
      <c r="U58" s="169">
        <v>0.30833333333333335</v>
      </c>
      <c r="V58" s="455">
        <v>25</v>
      </c>
      <c r="W58" s="466">
        <f>(U58-T58)*24*60</f>
        <v>114.00000000000003</v>
      </c>
      <c r="X58" s="53">
        <v>0.21527777777777779</v>
      </c>
      <c r="Y58" s="53">
        <v>0.22638888888888889</v>
      </c>
      <c r="Z58" s="54"/>
      <c r="AA58" s="54"/>
      <c r="AB58" s="695"/>
      <c r="AC58" s="696"/>
      <c r="AD58" s="453"/>
      <c r="AE58" s="453"/>
      <c r="AF58" s="48">
        <f t="shared" si="6"/>
        <v>-11.052631578947739</v>
      </c>
      <c r="AG58" s="457">
        <f t="shared" si="7"/>
        <v>0.9926315789473682</v>
      </c>
      <c r="AH58" s="672"/>
    </row>
    <row r="59" spans="1:34" ht="19.2" customHeight="1">
      <c r="A59" s="654"/>
      <c r="B59" s="97" t="s">
        <v>183</v>
      </c>
      <c r="C59" s="462"/>
      <c r="D59" s="42" t="s">
        <v>89</v>
      </c>
      <c r="E59" s="43"/>
      <c r="F59" s="361">
        <v>28</v>
      </c>
      <c r="G59" s="137">
        <v>2781</v>
      </c>
      <c r="H59" s="45">
        <f t="shared" si="37"/>
        <v>77868</v>
      </c>
      <c r="I59" s="455"/>
      <c r="J59" s="46">
        <v>7</v>
      </c>
      <c r="K59" s="44">
        <v>1500</v>
      </c>
      <c r="L59" s="86">
        <v>214.28571428571428</v>
      </c>
      <c r="M59" s="467">
        <v>7</v>
      </c>
      <c r="N59" s="44">
        <f t="shared" si="38"/>
        <v>1476.6371681415928</v>
      </c>
      <c r="O59" s="47">
        <f t="shared" si="39"/>
        <v>210.9481668773704</v>
      </c>
      <c r="P59" s="168">
        <f t="shared" si="40"/>
        <v>0</v>
      </c>
      <c r="Q59" s="49">
        <f t="shared" si="41"/>
        <v>-3.3375474083438803</v>
      </c>
      <c r="R59" s="457">
        <f t="shared" si="36"/>
        <v>0.98442477876106194</v>
      </c>
      <c r="S59" s="672"/>
      <c r="T59" s="169">
        <v>0.32569444444444445</v>
      </c>
      <c r="U59" s="169">
        <v>0.40416666666666667</v>
      </c>
      <c r="V59" s="145">
        <v>25</v>
      </c>
      <c r="W59" s="466">
        <f t="shared" ref="W59:W69" si="42">(U59-T59)*24*60</f>
        <v>113</v>
      </c>
      <c r="X59" s="53">
        <v>0.31180555555555556</v>
      </c>
      <c r="Y59" s="53">
        <v>0.32291666666666669</v>
      </c>
      <c r="Z59" s="54"/>
      <c r="AA59" s="54"/>
      <c r="AB59" s="658"/>
      <c r="AC59" s="658"/>
      <c r="AD59" s="453"/>
      <c r="AE59" s="453"/>
      <c r="AF59" s="48">
        <f t="shared" si="6"/>
        <v>-23.362831858407162</v>
      </c>
      <c r="AG59" s="457">
        <f t="shared" si="7"/>
        <v>0.98442477876106194</v>
      </c>
      <c r="AH59" s="672"/>
    </row>
    <row r="60" spans="1:34" ht="19.2" customHeight="1">
      <c r="A60" s="654"/>
      <c r="B60" s="97" t="s">
        <v>185</v>
      </c>
      <c r="C60" s="462"/>
      <c r="D60" s="42" t="s">
        <v>85</v>
      </c>
      <c r="E60" s="43"/>
      <c r="F60" s="361">
        <v>10.09</v>
      </c>
      <c r="G60" s="137">
        <v>5188.0499999999993</v>
      </c>
      <c r="H60" s="45">
        <f t="shared" si="37"/>
        <v>52347.424499999994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1454.5934579439252</v>
      </c>
      <c r="O60" s="47">
        <f t="shared" si="39"/>
        <v>242.4322429906542</v>
      </c>
      <c r="P60" s="168">
        <f t="shared" si="40"/>
        <v>0</v>
      </c>
      <c r="Q60" s="49">
        <f t="shared" si="41"/>
        <v>-7.5677570093457973</v>
      </c>
      <c r="R60" s="457">
        <f t="shared" si="36"/>
        <v>0.96972897196261676</v>
      </c>
      <c r="S60" s="672"/>
      <c r="T60" s="169">
        <v>0.42499999999999999</v>
      </c>
      <c r="U60" s="169">
        <v>0.57361111111111107</v>
      </c>
      <c r="V60" s="145">
        <v>30</v>
      </c>
      <c r="W60" s="466">
        <f t="shared" si="42"/>
        <v>213.99999999999997</v>
      </c>
      <c r="X60" s="53">
        <v>0.40763888888888888</v>
      </c>
      <c r="Y60" s="53">
        <v>0.42222222222222222</v>
      </c>
      <c r="Z60" s="54"/>
      <c r="AA60" s="54"/>
      <c r="AB60" s="658"/>
      <c r="AC60" s="658"/>
      <c r="AD60" s="453"/>
      <c r="AE60" s="453"/>
      <c r="AF60" s="48">
        <f t="shared" si="6"/>
        <v>-45.406542056074841</v>
      </c>
      <c r="AG60" s="456">
        <f t="shared" si="7"/>
        <v>0.96972897196261676</v>
      </c>
      <c r="AH60" s="672"/>
    </row>
    <row r="61" spans="1:34" ht="19.2" customHeight="1">
      <c r="A61" s="654"/>
      <c r="B61" s="97" t="s">
        <v>185</v>
      </c>
      <c r="C61" s="462"/>
      <c r="D61" s="42" t="s">
        <v>85</v>
      </c>
      <c r="E61" s="43"/>
      <c r="F61" s="361">
        <v>10.09</v>
      </c>
      <c r="G61" s="137">
        <v>5632.74</v>
      </c>
      <c r="H61" s="45">
        <f t="shared" si="37"/>
        <v>56834.346599999997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1469.4104347826089</v>
      </c>
      <c r="O61" s="47">
        <f t="shared" si="39"/>
        <v>244.90173913043483</v>
      </c>
      <c r="P61" s="168">
        <f t="shared" si="40"/>
        <v>0</v>
      </c>
      <c r="Q61" s="49">
        <f t="shared" si="41"/>
        <v>-5.0982608695651663</v>
      </c>
      <c r="R61" s="457">
        <f t="shared" si="36"/>
        <v>0.97960695652173935</v>
      </c>
      <c r="S61" s="672"/>
      <c r="T61" s="169">
        <v>0.59444444444444444</v>
      </c>
      <c r="U61" s="169">
        <v>0.75416666666666665</v>
      </c>
      <c r="V61" s="145">
        <v>30</v>
      </c>
      <c r="W61" s="466">
        <f t="shared" si="42"/>
        <v>229.99999999999997</v>
      </c>
      <c r="X61" s="53">
        <v>0.57708333333333328</v>
      </c>
      <c r="Y61" s="53">
        <v>0.59166666666666667</v>
      </c>
      <c r="Z61" s="54"/>
      <c r="AA61" s="54"/>
      <c r="AB61" s="658"/>
      <c r="AC61" s="658"/>
      <c r="AD61" s="453"/>
      <c r="AE61" s="453"/>
      <c r="AF61" s="48">
        <f t="shared" si="6"/>
        <v>-30.589565217391055</v>
      </c>
      <c r="AG61" s="457">
        <f t="shared" si="7"/>
        <v>0.97960695652173935</v>
      </c>
      <c r="AH61" s="672"/>
    </row>
    <row r="62" spans="1:34" ht="19.2" customHeight="1">
      <c r="A62" s="654"/>
      <c r="B62" s="97">
        <v>0</v>
      </c>
      <c r="C62" s="462"/>
      <c r="D62" s="42"/>
      <c r="E62" s="43"/>
      <c r="F62" s="361" t="s">
        <v>186</v>
      </c>
      <c r="G62" s="137"/>
      <c r="H62" s="45">
        <f t="shared" si="37"/>
        <v>0</v>
      </c>
      <c r="I62" s="455"/>
      <c r="J62" s="170"/>
      <c r="K62" s="61"/>
      <c r="L62" s="86"/>
      <c r="M62" s="62"/>
      <c r="N62" s="44"/>
      <c r="O62" s="47"/>
      <c r="P62" s="168"/>
      <c r="Q62" s="49"/>
      <c r="R62" s="457"/>
      <c r="S62" s="672"/>
      <c r="T62" s="169"/>
      <c r="U62" s="169"/>
      <c r="V62" s="145"/>
      <c r="W62" s="466">
        <f t="shared" si="42"/>
        <v>0</v>
      </c>
      <c r="X62" s="53"/>
      <c r="Y62" s="53"/>
      <c r="Z62" s="54"/>
      <c r="AA62" s="54"/>
      <c r="AB62" s="658"/>
      <c r="AC62" s="658"/>
      <c r="AD62" s="453"/>
      <c r="AE62" s="453"/>
      <c r="AF62" s="48">
        <f t="shared" si="6"/>
        <v>0</v>
      </c>
      <c r="AG62" s="457" t="e">
        <f t="shared" si="7"/>
        <v>#DIV/0!</v>
      </c>
      <c r="AH62" s="672"/>
    </row>
    <row r="63" spans="1:34" ht="19.2" customHeight="1">
      <c r="A63" s="654"/>
      <c r="B63" s="97">
        <v>0</v>
      </c>
      <c r="C63" s="462"/>
      <c r="D63" s="42"/>
      <c r="E63" s="43"/>
      <c r="F63" s="361" t="s">
        <v>186</v>
      </c>
      <c r="G63" s="137"/>
      <c r="H63" s="45">
        <f t="shared" si="37"/>
        <v>0</v>
      </c>
      <c r="I63" s="455"/>
      <c r="J63" s="46"/>
      <c r="K63" s="44"/>
      <c r="L63" s="86"/>
      <c r="M63" s="62"/>
      <c r="N63" s="44"/>
      <c r="O63" s="47"/>
      <c r="P63" s="168"/>
      <c r="Q63" s="49"/>
      <c r="R63" s="457"/>
      <c r="S63" s="672"/>
      <c r="T63" s="169"/>
      <c r="U63" s="169"/>
      <c r="V63" s="145"/>
      <c r="W63" s="466">
        <f t="shared" si="42"/>
        <v>0</v>
      </c>
      <c r="X63" s="53"/>
      <c r="Y63" s="53"/>
      <c r="Z63" s="54"/>
      <c r="AA63" s="54"/>
      <c r="AB63" s="658"/>
      <c r="AC63" s="658"/>
      <c r="AD63" s="453"/>
      <c r="AE63" s="453"/>
      <c r="AF63" s="48">
        <f t="shared" si="6"/>
        <v>0</v>
      </c>
      <c r="AG63" s="456" t="e">
        <f t="shared" si="7"/>
        <v>#DIV/0!</v>
      </c>
      <c r="AH63" s="672"/>
    </row>
    <row r="64" spans="1:34" ht="19.2" customHeight="1">
      <c r="A64" s="654"/>
      <c r="B64" s="97">
        <v>0</v>
      </c>
      <c r="C64" s="462"/>
      <c r="D64" s="42"/>
      <c r="E64" s="43"/>
      <c r="F64" s="361" t="s">
        <v>186</v>
      </c>
      <c r="G64" s="137"/>
      <c r="H64" s="45">
        <f t="shared" si="37"/>
        <v>0</v>
      </c>
      <c r="I64" s="455"/>
      <c r="J64" s="170"/>
      <c r="K64" s="61"/>
      <c r="L64" s="86"/>
      <c r="M64" s="62"/>
      <c r="N64" s="44"/>
      <c r="O64" s="47"/>
      <c r="P64" s="168"/>
      <c r="Q64" s="49"/>
      <c r="R64" s="457"/>
      <c r="S64" s="672"/>
      <c r="T64" s="169"/>
      <c r="U64" s="169"/>
      <c r="V64" s="145"/>
      <c r="W64" s="466">
        <f t="shared" si="42"/>
        <v>0</v>
      </c>
      <c r="X64" s="455"/>
      <c r="Y64" s="455"/>
      <c r="Z64" s="54"/>
      <c r="AA64" s="54"/>
      <c r="AB64" s="658"/>
      <c r="AC64" s="658"/>
      <c r="AD64" s="453"/>
      <c r="AE64" s="453"/>
      <c r="AF64" s="48">
        <f t="shared" si="6"/>
        <v>0</v>
      </c>
      <c r="AG64" s="457" t="e">
        <f t="shared" si="7"/>
        <v>#DIV/0!</v>
      </c>
      <c r="AH64" s="672"/>
    </row>
    <row r="65" spans="1:34" ht="19.2" customHeight="1">
      <c r="A65" s="654"/>
      <c r="B65" s="97">
        <v>0</v>
      </c>
      <c r="C65" s="462"/>
      <c r="D65" s="42"/>
      <c r="E65" s="43"/>
      <c r="F65" s="361" t="s">
        <v>186</v>
      </c>
      <c r="G65" s="137"/>
      <c r="H65" s="45">
        <f t="shared" si="37"/>
        <v>0</v>
      </c>
      <c r="I65" s="455"/>
      <c r="J65" s="170"/>
      <c r="K65" s="61"/>
      <c r="L65" s="86"/>
      <c r="M65" s="62"/>
      <c r="N65" s="61"/>
      <c r="O65" s="77"/>
      <c r="P65" s="48"/>
      <c r="Q65" s="49"/>
      <c r="R65" s="457"/>
      <c r="S65" s="672"/>
      <c r="T65" s="169"/>
      <c r="U65" s="169"/>
      <c r="V65" s="145"/>
      <c r="W65" s="466">
        <f t="shared" si="42"/>
        <v>0</v>
      </c>
      <c r="X65" s="455"/>
      <c r="Y65" s="455"/>
      <c r="Z65" s="54"/>
      <c r="AA65" s="54"/>
      <c r="AB65" s="658"/>
      <c r="AC65" s="658"/>
      <c r="AD65" s="453"/>
      <c r="AE65" s="453"/>
      <c r="AF65" s="48">
        <f t="shared" si="6"/>
        <v>0</v>
      </c>
      <c r="AG65" s="457" t="e">
        <f t="shared" si="7"/>
        <v>#DIV/0!</v>
      </c>
      <c r="AH65" s="672"/>
    </row>
    <row r="66" spans="1:34" ht="19.2" customHeight="1">
      <c r="A66" s="654"/>
      <c r="B66" s="97">
        <v>0</v>
      </c>
      <c r="C66" s="462"/>
      <c r="D66" s="42"/>
      <c r="E66" s="43"/>
      <c r="F66" s="361" t="s">
        <v>186</v>
      </c>
      <c r="G66" s="137"/>
      <c r="H66" s="45">
        <f t="shared" si="37"/>
        <v>0</v>
      </c>
      <c r="I66" s="455"/>
      <c r="J66" s="170"/>
      <c r="K66" s="61"/>
      <c r="L66" s="86"/>
      <c r="M66" s="62"/>
      <c r="N66" s="61"/>
      <c r="O66" s="77"/>
      <c r="P66" s="48"/>
      <c r="Q66" s="49"/>
      <c r="R66" s="457"/>
      <c r="S66" s="672"/>
      <c r="T66" s="169"/>
      <c r="U66" s="169"/>
      <c r="V66" s="145"/>
      <c r="W66" s="466">
        <f t="shared" si="42"/>
        <v>0</v>
      </c>
      <c r="X66" s="455"/>
      <c r="Y66" s="455"/>
      <c r="Z66" s="54"/>
      <c r="AA66" s="54"/>
      <c r="AB66" s="658"/>
      <c r="AC66" s="658"/>
      <c r="AD66" s="453"/>
      <c r="AE66" s="453"/>
      <c r="AF66" s="48">
        <f t="shared" si="6"/>
        <v>0</v>
      </c>
      <c r="AG66" s="456" t="e">
        <f t="shared" si="7"/>
        <v>#DIV/0!</v>
      </c>
      <c r="AH66" s="672"/>
    </row>
    <row r="67" spans="1:34" ht="19.2" customHeight="1">
      <c r="A67" s="654"/>
      <c r="B67" s="97">
        <v>0</v>
      </c>
      <c r="C67" s="462"/>
      <c r="D67" s="42"/>
      <c r="E67" s="43"/>
      <c r="F67" s="361" t="s">
        <v>186</v>
      </c>
      <c r="G67" s="137"/>
      <c r="H67" s="45">
        <f>F67*G67</f>
        <v>0</v>
      </c>
      <c r="I67" s="455"/>
      <c r="J67" s="170"/>
      <c r="K67" s="61"/>
      <c r="L67" s="86"/>
      <c r="M67" s="62"/>
      <c r="N67" s="61"/>
      <c r="O67" s="77"/>
      <c r="P67" s="48"/>
      <c r="Q67" s="49"/>
      <c r="R67" s="457"/>
      <c r="S67" s="672"/>
      <c r="T67" s="169"/>
      <c r="U67" s="169"/>
      <c r="V67" s="145"/>
      <c r="W67" s="466">
        <f t="shared" si="42"/>
        <v>0</v>
      </c>
      <c r="X67" s="455"/>
      <c r="Y67" s="455"/>
      <c r="Z67" s="54"/>
      <c r="AA67" s="54"/>
      <c r="AB67" s="658"/>
      <c r="AC67" s="658"/>
      <c r="AD67" s="453"/>
      <c r="AE67" s="453"/>
      <c r="AF67" s="48">
        <f t="shared" si="6"/>
        <v>0</v>
      </c>
      <c r="AG67" s="457" t="e">
        <f t="shared" si="7"/>
        <v>#DIV/0!</v>
      </c>
      <c r="AH67" s="672"/>
    </row>
    <row r="68" spans="1:34" ht="19.2" customHeight="1">
      <c r="A68" s="654"/>
      <c r="B68" s="455">
        <v>0</v>
      </c>
      <c r="C68" s="462"/>
      <c r="D68" s="42"/>
      <c r="E68" s="43"/>
      <c r="F68" s="368" t="s">
        <v>186</v>
      </c>
      <c r="G68" s="137"/>
      <c r="H68" s="45">
        <f>F68*G68</f>
        <v>0</v>
      </c>
      <c r="I68" s="455"/>
      <c r="J68" s="170"/>
      <c r="K68" s="61"/>
      <c r="L68" s="86"/>
      <c r="M68" s="62"/>
      <c r="N68" s="61"/>
      <c r="O68" s="77"/>
      <c r="P68" s="48"/>
      <c r="Q68" s="49"/>
      <c r="R68" s="457"/>
      <c r="S68" s="672"/>
      <c r="T68" s="169"/>
      <c r="U68" s="169"/>
      <c r="V68" s="145"/>
      <c r="W68" s="466">
        <f t="shared" si="42"/>
        <v>0</v>
      </c>
      <c r="X68" s="455"/>
      <c r="Y68" s="455"/>
      <c r="Z68" s="54"/>
      <c r="AA68" s="54"/>
      <c r="AB68" s="658"/>
      <c r="AC68" s="658"/>
      <c r="AD68" s="453"/>
      <c r="AE68" s="453"/>
      <c r="AF68" s="48"/>
      <c r="AG68" s="457"/>
      <c r="AH68" s="672"/>
    </row>
    <row r="69" spans="1:34" ht="19.2" customHeight="1">
      <c r="A69" s="654"/>
      <c r="B69" s="171">
        <v>0</v>
      </c>
      <c r="C69" s="6" t="s">
        <v>474</v>
      </c>
      <c r="D69" s="687" t="s">
        <v>414</v>
      </c>
      <c r="E69" s="687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1478.8407627809127</v>
      </c>
      <c r="O69" s="73">
        <f t="shared" si="43"/>
        <v>225.18679417216148</v>
      </c>
      <c r="P69" s="48">
        <f>M69-J69</f>
        <v>0</v>
      </c>
      <c r="Q69" s="49">
        <f>N69-K69</f>
        <v>-21.159237219087345</v>
      </c>
      <c r="R69" s="175">
        <f t="shared" ref="R69:R74" si="44">O69/L69</f>
        <v>0.98519222450320643</v>
      </c>
      <c r="S69" s="672"/>
      <c r="T69" s="144"/>
      <c r="U69" s="144"/>
      <c r="V69" s="44"/>
      <c r="W69" s="46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0</v>
      </c>
      <c r="AF69" s="48">
        <f t="shared" si="6"/>
        <v>-21.159237219087345</v>
      </c>
      <c r="AG69" s="457">
        <f t="shared" si="7"/>
        <v>0.9858938418539418</v>
      </c>
      <c r="AH69" s="672"/>
    </row>
    <row r="70" spans="1:34" ht="19.2" customHeight="1">
      <c r="A70" s="656" t="s">
        <v>475</v>
      </c>
      <c r="B70" s="455" t="s">
        <v>182</v>
      </c>
      <c r="C70" s="97"/>
      <c r="D70" s="42" t="s">
        <v>91</v>
      </c>
      <c r="E70" s="43"/>
      <c r="F70" s="361">
        <v>62.13</v>
      </c>
      <c r="G70" s="44">
        <v>400</v>
      </c>
      <c r="H70" s="45">
        <f>F70*G70</f>
        <v>24852</v>
      </c>
      <c r="I70" s="455"/>
      <c r="J70" s="46">
        <v>14</v>
      </c>
      <c r="K70" s="44">
        <v>1500</v>
      </c>
      <c r="L70" s="47">
        <v>107.14285714285714</v>
      </c>
      <c r="M70" s="467">
        <v>13</v>
      </c>
      <c r="N70" s="44">
        <f t="shared" ref="N70:N74" si="45">G70/W70*60</f>
        <v>1263.1578947368412</v>
      </c>
      <c r="O70" s="47">
        <f t="shared" ref="O70:O74" si="46">N70/M70</f>
        <v>97.165991902833937</v>
      </c>
      <c r="P70" s="48">
        <f t="shared" ref="P70:P74" si="47">M70-J70</f>
        <v>-1</v>
      </c>
      <c r="Q70" s="49">
        <f t="shared" ref="Q70:Q74" si="48">O70-L70</f>
        <v>-9.9768652400232014</v>
      </c>
      <c r="R70" s="457">
        <f t="shared" si="44"/>
        <v>0.90688259109311675</v>
      </c>
      <c r="S70" s="672">
        <f>R82</f>
        <v>0.89618764513040927</v>
      </c>
      <c r="T70" s="50">
        <v>0.29166666666666669</v>
      </c>
      <c r="U70" s="50">
        <v>0.30486111111111114</v>
      </c>
      <c r="V70" s="455">
        <v>5</v>
      </c>
      <c r="W70" s="466">
        <f>(U70-T70)*24*60</f>
        <v>19.000000000000014</v>
      </c>
      <c r="X70" s="455"/>
      <c r="Y70" s="455"/>
      <c r="Z70" s="54"/>
      <c r="AA70" s="54"/>
      <c r="AB70" s="658"/>
      <c r="AC70" s="658"/>
      <c r="AD70" s="453"/>
      <c r="AE70" s="453"/>
      <c r="AF70" s="48">
        <f t="shared" si="6"/>
        <v>-236.84210526315883</v>
      </c>
      <c r="AG70" s="457">
        <f t="shared" si="7"/>
        <v>0.84210526315789413</v>
      </c>
      <c r="AH70" s="672">
        <f>AG82</f>
        <v>0.88081835505185224</v>
      </c>
    </row>
    <row r="71" spans="1:34" ht="19.2" customHeight="1">
      <c r="A71" s="656"/>
      <c r="B71" s="455" t="s">
        <v>181</v>
      </c>
      <c r="C71" s="41"/>
      <c r="D71" s="176" t="s">
        <v>92</v>
      </c>
      <c r="E71" s="43"/>
      <c r="F71" s="361">
        <v>47.65</v>
      </c>
      <c r="G71" s="44">
        <v>2082</v>
      </c>
      <c r="H71" s="45">
        <f>F71*G71</f>
        <v>99207.3</v>
      </c>
      <c r="I71" s="455"/>
      <c r="J71" s="46">
        <v>18</v>
      </c>
      <c r="K71" s="177">
        <v>1440</v>
      </c>
      <c r="L71" s="47">
        <v>80</v>
      </c>
      <c r="M71" s="464">
        <v>18</v>
      </c>
      <c r="N71" s="44">
        <f t="shared" si="45"/>
        <v>1357.8260869565217</v>
      </c>
      <c r="O71" s="47">
        <f t="shared" si="46"/>
        <v>75.434782608695656</v>
      </c>
      <c r="P71" s="48">
        <f t="shared" si="47"/>
        <v>0</v>
      </c>
      <c r="Q71" s="49">
        <f t="shared" si="48"/>
        <v>-4.5652173913043441</v>
      </c>
      <c r="R71" s="457">
        <f t="shared" si="44"/>
        <v>0.94293478260869568</v>
      </c>
      <c r="S71" s="672"/>
      <c r="T71" s="50">
        <v>0.30972222222222223</v>
      </c>
      <c r="U71" s="50">
        <v>0.37361111111111112</v>
      </c>
      <c r="V71" s="455">
        <v>7</v>
      </c>
      <c r="W71" s="466">
        <f t="shared" ref="W71:W81" si="49">(U71-T71)*24*60</f>
        <v>92</v>
      </c>
      <c r="X71" s="53"/>
      <c r="Y71" s="53"/>
      <c r="Z71" s="54"/>
      <c r="AA71" s="54"/>
      <c r="AB71" s="658"/>
      <c r="AC71" s="658"/>
      <c r="AD71" s="453"/>
      <c r="AE71" s="453"/>
      <c r="AF71" s="48">
        <f>N71-K71</f>
        <v>-82.173913043478251</v>
      </c>
      <c r="AG71" s="457">
        <f>N71/K71</f>
        <v>0.94293478260869568</v>
      </c>
      <c r="AH71" s="672"/>
    </row>
    <row r="72" spans="1:34" ht="19.2" customHeight="1">
      <c r="A72" s="656"/>
      <c r="B72" s="455" t="s">
        <v>185</v>
      </c>
      <c r="C72" s="66"/>
      <c r="D72" s="176" t="s">
        <v>200</v>
      </c>
      <c r="E72" s="43"/>
      <c r="F72" s="361">
        <v>56.85</v>
      </c>
      <c r="G72" s="57">
        <v>2661</v>
      </c>
      <c r="H72" s="45">
        <f t="shared" ref="H72:H80" si="50">F72*G72</f>
        <v>151277.85</v>
      </c>
      <c r="I72" s="455"/>
      <c r="J72" s="87">
        <v>18</v>
      </c>
      <c r="K72" s="57">
        <v>1636</v>
      </c>
      <c r="L72" s="86">
        <v>90.888888888888886</v>
      </c>
      <c r="M72" s="467">
        <v>18</v>
      </c>
      <c r="N72" s="44">
        <f t="shared" si="45"/>
        <v>1218.7786259541983</v>
      </c>
      <c r="O72" s="47">
        <f t="shared" si="46"/>
        <v>67.70992366412213</v>
      </c>
      <c r="P72" s="48">
        <f t="shared" si="47"/>
        <v>0</v>
      </c>
      <c r="Q72" s="49">
        <f t="shared" si="48"/>
        <v>-23.178965224766756</v>
      </c>
      <c r="R72" s="457">
        <f t="shared" si="44"/>
        <v>0.74497471024095252</v>
      </c>
      <c r="S72" s="672"/>
      <c r="T72" s="50">
        <v>0.3888888888888889</v>
      </c>
      <c r="U72" s="50">
        <v>0.47986111111111113</v>
      </c>
      <c r="V72" s="455">
        <v>22</v>
      </c>
      <c r="W72" s="466">
        <f t="shared" si="49"/>
        <v>131</v>
      </c>
      <c r="X72" s="53">
        <v>0.37708333333333338</v>
      </c>
      <c r="Y72" s="53">
        <v>0.38611111111111113</v>
      </c>
      <c r="Z72" s="54"/>
      <c r="AA72" s="54"/>
      <c r="AB72" s="658"/>
      <c r="AC72" s="658"/>
      <c r="AD72" s="453"/>
      <c r="AE72" s="453"/>
      <c r="AF72" s="48">
        <f>N72-K72</f>
        <v>-417.22137404580167</v>
      </c>
      <c r="AG72" s="457">
        <f>N72/K72</f>
        <v>0.74497471024095252</v>
      </c>
      <c r="AH72" s="672"/>
    </row>
    <row r="73" spans="1:34" ht="19.2" customHeight="1">
      <c r="A73" s="656"/>
      <c r="B73" s="455" t="s">
        <v>181</v>
      </c>
      <c r="C73" s="178"/>
      <c r="D73" s="179" t="s">
        <v>94</v>
      </c>
      <c r="E73" s="180"/>
      <c r="F73" s="361">
        <v>53.76</v>
      </c>
      <c r="G73" s="57">
        <v>2370</v>
      </c>
      <c r="H73" s="45">
        <f t="shared" si="50"/>
        <v>127411.2</v>
      </c>
      <c r="I73" s="453"/>
      <c r="J73" s="181">
        <v>16</v>
      </c>
      <c r="K73" s="182">
        <v>1440</v>
      </c>
      <c r="L73" s="86">
        <v>90</v>
      </c>
      <c r="M73" s="464">
        <v>16</v>
      </c>
      <c r="N73" s="44">
        <f t="shared" si="45"/>
        <v>1354.2857142857151</v>
      </c>
      <c r="O73" s="47">
        <f t="shared" si="46"/>
        <v>84.642857142857196</v>
      </c>
      <c r="P73" s="48">
        <f t="shared" si="47"/>
        <v>0</v>
      </c>
      <c r="Q73" s="49">
        <f t="shared" si="48"/>
        <v>-5.3571428571428044</v>
      </c>
      <c r="R73" s="457">
        <f t="shared" si="44"/>
        <v>0.94047619047619102</v>
      </c>
      <c r="S73" s="672"/>
      <c r="T73" s="50">
        <v>0.52013888888888882</v>
      </c>
      <c r="U73" s="50">
        <v>0.59305555555555545</v>
      </c>
      <c r="V73" s="455">
        <v>5</v>
      </c>
      <c r="W73" s="466">
        <f t="shared" si="49"/>
        <v>104.99999999999994</v>
      </c>
      <c r="X73" s="183"/>
      <c r="Y73" s="183"/>
      <c r="Z73" s="125"/>
      <c r="AA73" s="125"/>
      <c r="AB73" s="658"/>
      <c r="AC73" s="658"/>
      <c r="AD73" s="453"/>
      <c r="AE73" s="453"/>
      <c r="AF73" s="48">
        <f>N73-K73</f>
        <v>-85.71428571428487</v>
      </c>
      <c r="AG73" s="457">
        <f>N73/K73</f>
        <v>0.94047619047619102</v>
      </c>
      <c r="AH73" s="672"/>
    </row>
    <row r="74" spans="1:34" ht="19.2" customHeight="1">
      <c r="A74" s="656"/>
      <c r="B74" s="455" t="s">
        <v>181</v>
      </c>
      <c r="C74" s="178"/>
      <c r="D74" s="179" t="s">
        <v>95</v>
      </c>
      <c r="E74" s="180"/>
      <c r="F74" s="361">
        <v>47.51</v>
      </c>
      <c r="G74" s="177">
        <v>2266</v>
      </c>
      <c r="H74" s="45">
        <f t="shared" si="50"/>
        <v>107657.65999999999</v>
      </c>
      <c r="I74" s="455"/>
      <c r="J74" s="46">
        <v>17</v>
      </c>
      <c r="K74" s="177">
        <v>1440</v>
      </c>
      <c r="L74" s="47">
        <v>84.705882352941174</v>
      </c>
      <c r="M74" s="467">
        <v>17</v>
      </c>
      <c r="N74" s="44">
        <f t="shared" si="45"/>
        <v>1373.3333333333337</v>
      </c>
      <c r="O74" s="47">
        <f t="shared" si="46"/>
        <v>80.784313725490222</v>
      </c>
      <c r="P74" s="48">
        <f t="shared" si="47"/>
        <v>0</v>
      </c>
      <c r="Q74" s="49">
        <f t="shared" si="48"/>
        <v>-3.9215686274509522</v>
      </c>
      <c r="R74" s="457">
        <f t="shared" si="44"/>
        <v>0.95370370370370405</v>
      </c>
      <c r="S74" s="672"/>
      <c r="T74" s="50">
        <v>0.60902777777777772</v>
      </c>
      <c r="U74" s="50">
        <v>0.6777777777777777</v>
      </c>
      <c r="V74" s="455">
        <v>23</v>
      </c>
      <c r="W74" s="466">
        <f t="shared" si="49"/>
        <v>98.999999999999972</v>
      </c>
      <c r="X74" s="183">
        <v>0.59652777777777777</v>
      </c>
      <c r="Y74" s="183">
        <v>0.60625000000000007</v>
      </c>
      <c r="Z74" s="125"/>
      <c r="AA74" s="125"/>
      <c r="AB74" s="658"/>
      <c r="AC74" s="658"/>
      <c r="AD74" s="453"/>
      <c r="AE74" s="453"/>
      <c r="AF74" s="48">
        <f t="shared" ref="AF74:AF80" si="51">N74-K74</f>
        <v>-66.666666666666288</v>
      </c>
      <c r="AG74" s="457">
        <f t="shared" ref="AG74:AG80" si="52">N74/K74</f>
        <v>0.95370370370370394</v>
      </c>
      <c r="AH74" s="672"/>
    </row>
    <row r="75" spans="1:34" ht="19.2" customHeight="1">
      <c r="A75" s="656"/>
      <c r="B75" s="455">
        <v>0</v>
      </c>
      <c r="C75" s="66"/>
      <c r="D75" s="176"/>
      <c r="E75" s="43"/>
      <c r="F75" s="361" t="s">
        <v>186</v>
      </c>
      <c r="G75" s="57"/>
      <c r="H75" s="45">
        <f t="shared" si="50"/>
        <v>0</v>
      </c>
      <c r="I75" s="455"/>
      <c r="J75" s="181"/>
      <c r="K75" s="182"/>
      <c r="L75" s="86"/>
      <c r="M75" s="467"/>
      <c r="N75" s="44"/>
      <c r="O75" s="47"/>
      <c r="P75" s="48"/>
      <c r="Q75" s="49"/>
      <c r="R75" s="457"/>
      <c r="S75" s="672"/>
      <c r="T75" s="50"/>
      <c r="U75" s="50"/>
      <c r="V75" s="455"/>
      <c r="W75" s="466"/>
      <c r="X75" s="183"/>
      <c r="Y75" s="183"/>
      <c r="Z75" s="125"/>
      <c r="AA75" s="125"/>
      <c r="AB75" s="658"/>
      <c r="AC75" s="658"/>
      <c r="AD75" s="453"/>
      <c r="AE75" s="453"/>
      <c r="AF75" s="48">
        <f t="shared" si="51"/>
        <v>0</v>
      </c>
      <c r="AG75" s="457" t="e">
        <f t="shared" si="52"/>
        <v>#DIV/0!</v>
      </c>
      <c r="AH75" s="672"/>
    </row>
    <row r="76" spans="1:34" ht="19.2" customHeight="1">
      <c r="A76" s="656"/>
      <c r="B76" s="455">
        <v>0</v>
      </c>
      <c r="C76" s="178"/>
      <c r="D76" s="179"/>
      <c r="E76" s="180"/>
      <c r="F76" s="361" t="s">
        <v>186</v>
      </c>
      <c r="G76" s="177"/>
      <c r="H76" s="45">
        <f t="shared" si="50"/>
        <v>0</v>
      </c>
      <c r="I76" s="455"/>
      <c r="J76" s="181"/>
      <c r="K76" s="182"/>
      <c r="L76" s="86"/>
      <c r="M76" s="464"/>
      <c r="N76" s="44"/>
      <c r="O76" s="47"/>
      <c r="P76" s="48"/>
      <c r="Q76" s="49"/>
      <c r="R76" s="457"/>
      <c r="S76" s="672"/>
      <c r="T76" s="50"/>
      <c r="U76" s="50"/>
      <c r="V76" s="455"/>
      <c r="W76" s="466"/>
      <c r="X76" s="183"/>
      <c r="Y76" s="183"/>
      <c r="Z76" s="125"/>
      <c r="AA76" s="125"/>
      <c r="AB76" s="658"/>
      <c r="AC76" s="658"/>
      <c r="AD76" s="453"/>
      <c r="AE76" s="453"/>
      <c r="AF76" s="48">
        <f t="shared" si="51"/>
        <v>0</v>
      </c>
      <c r="AG76" s="457" t="e">
        <f t="shared" si="52"/>
        <v>#DIV/0!</v>
      </c>
      <c r="AH76" s="672"/>
    </row>
    <row r="77" spans="1:34" ht="19.2" customHeight="1">
      <c r="A77" s="656"/>
      <c r="B77" s="455">
        <v>0</v>
      </c>
      <c r="C77" s="462"/>
      <c r="D77" s="179"/>
      <c r="E77" s="43"/>
      <c r="F77" s="361" t="s">
        <v>186</v>
      </c>
      <c r="G77" s="177"/>
      <c r="H77" s="45">
        <f t="shared" si="50"/>
        <v>0</v>
      </c>
      <c r="I77" s="453"/>
      <c r="J77" s="181"/>
      <c r="K77" s="182"/>
      <c r="L77" s="86"/>
      <c r="M77" s="464" t="s">
        <v>30</v>
      </c>
      <c r="N77" s="44"/>
      <c r="O77" s="47"/>
      <c r="P77" s="48"/>
      <c r="Q77" s="49"/>
      <c r="R77" s="457"/>
      <c r="S77" s="672"/>
      <c r="T77" s="50"/>
      <c r="U77" s="50"/>
      <c r="V77" s="455"/>
      <c r="W77" s="466"/>
      <c r="X77" s="183"/>
      <c r="Y77" s="183"/>
      <c r="Z77" s="125"/>
      <c r="AA77" s="125"/>
      <c r="AB77" s="658"/>
      <c r="AC77" s="658"/>
      <c r="AD77" s="453"/>
      <c r="AE77" s="453"/>
      <c r="AF77" s="48">
        <f t="shared" si="51"/>
        <v>0</v>
      </c>
      <c r="AG77" s="457" t="e">
        <f t="shared" si="52"/>
        <v>#DIV/0!</v>
      </c>
      <c r="AH77" s="672"/>
    </row>
    <row r="78" spans="1:34" ht="19.2" customHeight="1">
      <c r="A78" s="656"/>
      <c r="B78" s="455">
        <v>0</v>
      </c>
      <c r="C78" s="462"/>
      <c r="D78" s="42"/>
      <c r="E78" s="43"/>
      <c r="F78" s="361" t="s">
        <v>186</v>
      </c>
      <c r="G78" s="57"/>
      <c r="H78" s="45">
        <f t="shared" si="50"/>
        <v>0</v>
      </c>
      <c r="I78" s="453"/>
      <c r="J78" s="87"/>
      <c r="K78" s="57"/>
      <c r="L78" s="86"/>
      <c r="M78" s="464"/>
      <c r="N78" s="44"/>
      <c r="O78" s="47"/>
      <c r="P78" s="48"/>
      <c r="Q78" s="49"/>
      <c r="R78" s="457"/>
      <c r="S78" s="672"/>
      <c r="T78" s="50"/>
      <c r="U78" s="50"/>
      <c r="V78" s="455"/>
      <c r="W78" s="466">
        <f t="shared" si="49"/>
        <v>0</v>
      </c>
      <c r="X78" s="183"/>
      <c r="Y78" s="183"/>
      <c r="Z78" s="125"/>
      <c r="AA78" s="125"/>
      <c r="AB78" s="658"/>
      <c r="AC78" s="658"/>
      <c r="AD78" s="453"/>
      <c r="AE78" s="453"/>
      <c r="AF78" s="48">
        <f t="shared" si="51"/>
        <v>0</v>
      </c>
      <c r="AG78" s="457" t="e">
        <f t="shared" si="52"/>
        <v>#DIV/0!</v>
      </c>
      <c r="AH78" s="672"/>
    </row>
    <row r="79" spans="1:34" ht="19.2" customHeight="1">
      <c r="A79" s="656"/>
      <c r="B79" s="455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453"/>
      <c r="J79" s="87"/>
      <c r="K79" s="57"/>
      <c r="L79" s="86"/>
      <c r="M79" s="464"/>
      <c r="N79" s="57"/>
      <c r="O79" s="184"/>
      <c r="P79" s="108"/>
      <c r="Q79" s="185"/>
      <c r="R79" s="109"/>
      <c r="S79" s="672"/>
      <c r="T79" s="50"/>
      <c r="U79" s="50"/>
      <c r="V79" s="455"/>
      <c r="W79" s="466">
        <f t="shared" si="49"/>
        <v>0</v>
      </c>
      <c r="X79" s="183"/>
      <c r="Y79" s="183"/>
      <c r="Z79" s="125"/>
      <c r="AA79" s="125"/>
      <c r="AB79" s="658"/>
      <c r="AC79" s="658"/>
      <c r="AD79" s="453"/>
      <c r="AE79" s="453"/>
      <c r="AF79" s="48">
        <f t="shared" si="51"/>
        <v>0</v>
      </c>
      <c r="AG79" s="457" t="e">
        <f t="shared" si="52"/>
        <v>#DIV/0!</v>
      </c>
      <c r="AH79" s="672"/>
    </row>
    <row r="80" spans="1:34" ht="19.2" customHeight="1">
      <c r="A80" s="656"/>
      <c r="B80" s="455">
        <v>0</v>
      </c>
      <c r="C80" s="462"/>
      <c r="D80" s="42"/>
      <c r="E80" s="43"/>
      <c r="F80" s="361"/>
      <c r="G80" s="57"/>
      <c r="H80" s="45">
        <f t="shared" si="50"/>
        <v>0</v>
      </c>
      <c r="I80" s="453"/>
      <c r="J80" s="87"/>
      <c r="K80" s="57"/>
      <c r="L80" s="86"/>
      <c r="M80" s="464"/>
      <c r="N80" s="57"/>
      <c r="O80" s="186"/>
      <c r="P80" s="54"/>
      <c r="Q80" s="88"/>
      <c r="R80" s="459"/>
      <c r="S80" s="672"/>
      <c r="T80" s="50"/>
      <c r="U80" s="50"/>
      <c r="V80" s="455"/>
      <c r="W80" s="466">
        <f t="shared" si="49"/>
        <v>0</v>
      </c>
      <c r="X80" s="183"/>
      <c r="Y80" s="183"/>
      <c r="Z80" s="125"/>
      <c r="AA80" s="125"/>
      <c r="AB80" s="658"/>
      <c r="AC80" s="658"/>
      <c r="AD80" s="453"/>
      <c r="AE80" s="453"/>
      <c r="AF80" s="48">
        <f t="shared" si="51"/>
        <v>0</v>
      </c>
      <c r="AG80" s="457" t="e">
        <f t="shared" si="52"/>
        <v>#DIV/0!</v>
      </c>
      <c r="AH80" s="672"/>
    </row>
    <row r="81" spans="1:34" ht="19.2" customHeight="1">
      <c r="A81" s="656"/>
      <c r="B81" s="455">
        <v>0</v>
      </c>
      <c r="C81" s="462"/>
      <c r="D81" s="42"/>
      <c r="E81" s="43"/>
      <c r="F81" s="368"/>
      <c r="G81" s="57"/>
      <c r="H81" s="84"/>
      <c r="I81" s="453"/>
      <c r="J81" s="87"/>
      <c r="K81" s="57"/>
      <c r="L81" s="86"/>
      <c r="M81" s="464"/>
      <c r="N81" s="57"/>
      <c r="O81" s="186"/>
      <c r="P81" s="54"/>
      <c r="Q81" s="88"/>
      <c r="R81" s="459"/>
      <c r="S81" s="672"/>
      <c r="T81" s="50"/>
      <c r="U81" s="50"/>
      <c r="V81" s="455"/>
      <c r="W81" s="466">
        <f t="shared" si="49"/>
        <v>0</v>
      </c>
      <c r="X81" s="183"/>
      <c r="Y81" s="183"/>
      <c r="Z81" s="125"/>
      <c r="AA81" s="125"/>
      <c r="AB81" s="658"/>
      <c r="AC81" s="658"/>
      <c r="AD81" s="453"/>
      <c r="AE81" s="453"/>
      <c r="AF81" s="48"/>
      <c r="AG81" s="126"/>
      <c r="AH81" s="672"/>
    </row>
    <row r="82" spans="1:34" ht="19.2" customHeight="1">
      <c r="A82" s="698"/>
      <c r="B82" s="171">
        <v>0</v>
      </c>
      <c r="C82" s="100" t="s">
        <v>476</v>
      </c>
      <c r="D82" s="687" t="s">
        <v>414</v>
      </c>
      <c r="E82" s="687"/>
      <c r="F82" s="371"/>
      <c r="G82" s="101"/>
      <c r="H82" s="102"/>
      <c r="I82" s="103"/>
      <c r="J82" s="101">
        <v>16.600000000000001</v>
      </c>
      <c r="K82" s="101">
        <v>1491.2</v>
      </c>
      <c r="L82" s="104">
        <v>90.54752567693744</v>
      </c>
      <c r="M82" s="101">
        <f t="shared" ref="M82:O82" si="53">AVERAGE(M70:M81)</f>
        <v>16.399999999999999</v>
      </c>
      <c r="N82" s="101">
        <f t="shared" si="53"/>
        <v>1313.4763310533222</v>
      </c>
      <c r="O82" s="187">
        <f t="shared" si="53"/>
        <v>81.147573808799834</v>
      </c>
      <c r="P82" s="117">
        <f>M82-J82</f>
        <v>-0.20000000000000284</v>
      </c>
      <c r="Q82" s="118">
        <f>N82-K82</f>
        <v>-177.72366894667789</v>
      </c>
      <c r="R82" s="175">
        <f>O82/L82</f>
        <v>0.89618764513040927</v>
      </c>
      <c r="S82" s="672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0</v>
      </c>
      <c r="AE82" s="107">
        <f>SUM(AE70:AE81)</f>
        <v>0</v>
      </c>
      <c r="AF82" s="48">
        <f>N82-K82</f>
        <v>-177.72366894667789</v>
      </c>
      <c r="AG82" s="457">
        <f>N82/K82</f>
        <v>0.88081835505185224</v>
      </c>
      <c r="AH82" s="672"/>
    </row>
    <row r="83" spans="1:34" ht="19.2" customHeight="1">
      <c r="A83" s="699" t="s">
        <v>477</v>
      </c>
      <c r="B83" s="110" t="s">
        <v>181</v>
      </c>
      <c r="C83" s="66"/>
      <c r="D83" s="377" t="s">
        <v>93</v>
      </c>
      <c r="E83" s="43"/>
      <c r="F83" s="368">
        <v>53.36</v>
      </c>
      <c r="G83" s="57">
        <v>2721.15</v>
      </c>
      <c r="H83" s="84">
        <f t="shared" ref="H83:H94" si="54">F83*G83</f>
        <v>145200.56400000001</v>
      </c>
      <c r="I83" s="453"/>
      <c r="J83" s="87">
        <v>19</v>
      </c>
      <c r="K83" s="57">
        <v>1440</v>
      </c>
      <c r="L83" s="86">
        <v>75.78947368421052</v>
      </c>
      <c r="M83" s="464">
        <v>19</v>
      </c>
      <c r="N83" s="57">
        <f t="shared" ref="N83:N87" si="55">G83/W83*60</f>
        <v>1316.6854838709683</v>
      </c>
      <c r="O83" s="186">
        <f t="shared" ref="O83:O87" si="56">N83/M83</f>
        <v>69.299235993208853</v>
      </c>
      <c r="P83" s="54">
        <f t="shared" ref="P83:P87" si="57">M83-J83</f>
        <v>0</v>
      </c>
      <c r="Q83" s="88">
        <f t="shared" ref="Q83:Q87" si="58">O83-L83</f>
        <v>-6.490237691001667</v>
      </c>
      <c r="R83" s="188">
        <f t="shared" ref="R83:R87" si="59">O83/L83</f>
        <v>0.9143649193548391</v>
      </c>
      <c r="S83" s="672">
        <f>R95</f>
        <v>0.91083766419307211</v>
      </c>
      <c r="T83" s="50">
        <v>0.33333333333333331</v>
      </c>
      <c r="U83" s="50">
        <v>0.4194444444444444</v>
      </c>
      <c r="V83" s="455">
        <v>5</v>
      </c>
      <c r="W83" s="466">
        <f t="shared" ref="W83:W93" si="60">(U83-T83)*24*60</f>
        <v>123.99999999999996</v>
      </c>
      <c r="X83" s="53"/>
      <c r="Y83" s="53"/>
      <c r="Z83" s="54"/>
      <c r="AA83" s="54"/>
      <c r="AB83" s="658"/>
      <c r="AC83" s="658"/>
      <c r="AD83" s="453"/>
      <c r="AE83" s="453"/>
      <c r="AF83" s="48">
        <f t="shared" ref="AF83:AF173" si="61">N83-K83</f>
        <v>-123.31451612903174</v>
      </c>
      <c r="AG83" s="457">
        <f t="shared" ref="AG83:AG173" si="62">N83/K83</f>
        <v>0.9143649193548391</v>
      </c>
      <c r="AH83" s="672">
        <f>AG95</f>
        <v>0.9109178303147375</v>
      </c>
    </row>
    <row r="84" spans="1:34" ht="19.2" customHeight="1">
      <c r="A84" s="700"/>
      <c r="B84" s="110" t="s">
        <v>181</v>
      </c>
      <c r="C84" s="462"/>
      <c r="D84" s="189" t="s">
        <v>93</v>
      </c>
      <c r="E84" s="43"/>
      <c r="F84" s="368">
        <v>53.36</v>
      </c>
      <c r="G84" s="44">
        <v>1995.51</v>
      </c>
      <c r="H84" s="84">
        <f t="shared" si="54"/>
        <v>106480.4136</v>
      </c>
      <c r="I84" s="455"/>
      <c r="J84" s="87">
        <v>19</v>
      </c>
      <c r="K84" s="57">
        <v>1440</v>
      </c>
      <c r="L84" s="86">
        <v>75.78947368421052</v>
      </c>
      <c r="M84" s="464">
        <v>19</v>
      </c>
      <c r="N84" s="57">
        <f t="shared" si="55"/>
        <v>1315.7208791208791</v>
      </c>
      <c r="O84" s="186">
        <f t="shared" si="56"/>
        <v>69.248467322151527</v>
      </c>
      <c r="P84" s="54">
        <f t="shared" si="57"/>
        <v>0</v>
      </c>
      <c r="Q84" s="88">
        <f t="shared" si="58"/>
        <v>-6.5410063620589938</v>
      </c>
      <c r="R84" s="188">
        <f t="shared" si="59"/>
        <v>0.91369505494505499</v>
      </c>
      <c r="S84" s="672"/>
      <c r="T84" s="50">
        <v>0.43472222222222218</v>
      </c>
      <c r="U84" s="50">
        <v>0.49791666666666662</v>
      </c>
      <c r="V84" s="455">
        <v>22</v>
      </c>
      <c r="W84" s="466">
        <f t="shared" si="60"/>
        <v>91</v>
      </c>
      <c r="X84" s="53">
        <v>0.42291666666666666</v>
      </c>
      <c r="Y84" s="53">
        <v>0.43194444444444446</v>
      </c>
      <c r="Z84" s="54"/>
      <c r="AA84" s="54"/>
      <c r="AB84" s="658"/>
      <c r="AC84" s="658"/>
      <c r="AD84" s="453"/>
      <c r="AE84" s="453"/>
      <c r="AF84" s="48">
        <f t="shared" si="61"/>
        <v>-124.27912087912091</v>
      </c>
      <c r="AG84" s="457">
        <f t="shared" si="62"/>
        <v>0.91369505494505487</v>
      </c>
      <c r="AH84" s="672"/>
    </row>
    <row r="85" spans="1:34" ht="19.2" customHeight="1">
      <c r="A85" s="700"/>
      <c r="B85" s="110" t="s">
        <v>181</v>
      </c>
      <c r="C85" s="123"/>
      <c r="D85" s="189" t="s">
        <v>77</v>
      </c>
      <c r="E85" s="43"/>
      <c r="F85" s="368">
        <v>59.54</v>
      </c>
      <c r="G85" s="44">
        <v>1564</v>
      </c>
      <c r="H85" s="84">
        <f t="shared" si="54"/>
        <v>93120.56</v>
      </c>
      <c r="I85" s="455"/>
      <c r="J85" s="87">
        <v>18</v>
      </c>
      <c r="K85" s="57">
        <v>1385</v>
      </c>
      <c r="L85" s="86">
        <v>76.944444444444443</v>
      </c>
      <c r="M85" s="464">
        <v>18</v>
      </c>
      <c r="N85" s="57">
        <f t="shared" si="55"/>
        <v>1251.1999999999991</v>
      </c>
      <c r="O85" s="186">
        <f t="shared" si="56"/>
        <v>69.511111111111063</v>
      </c>
      <c r="P85" s="54">
        <f t="shared" si="57"/>
        <v>0</v>
      </c>
      <c r="Q85" s="88">
        <f t="shared" si="58"/>
        <v>-7.4333333333333798</v>
      </c>
      <c r="R85" s="188">
        <f t="shared" si="59"/>
        <v>0.90339350180505351</v>
      </c>
      <c r="S85" s="672"/>
      <c r="T85" s="50">
        <v>0.53819444444444442</v>
      </c>
      <c r="U85" s="50">
        <v>0.59027777777777779</v>
      </c>
      <c r="V85" s="455">
        <v>5</v>
      </c>
      <c r="W85" s="466">
        <f t="shared" si="60"/>
        <v>75.000000000000057</v>
      </c>
      <c r="X85" s="53"/>
      <c r="Y85" s="53"/>
      <c r="Z85" s="54"/>
      <c r="AA85" s="54"/>
      <c r="AB85" s="658"/>
      <c r="AC85" s="658"/>
      <c r="AD85" s="453"/>
      <c r="AE85" s="453">
        <v>1</v>
      </c>
      <c r="AF85" s="48">
        <f t="shared" si="61"/>
        <v>-133.80000000000086</v>
      </c>
      <c r="AG85" s="457">
        <f t="shared" si="62"/>
        <v>0.90339350180505351</v>
      </c>
      <c r="AH85" s="672"/>
    </row>
    <row r="86" spans="1:34" ht="19.2" customHeight="1">
      <c r="A86" s="700"/>
      <c r="B86" s="110" t="s">
        <v>181</v>
      </c>
      <c r="C86" s="97"/>
      <c r="D86" s="189" t="s">
        <v>360</v>
      </c>
      <c r="E86" s="43"/>
      <c r="F86" s="368">
        <v>73.94</v>
      </c>
      <c r="G86" s="44">
        <v>2296</v>
      </c>
      <c r="H86" s="84">
        <f t="shared" si="54"/>
        <v>169766.24</v>
      </c>
      <c r="I86" s="455"/>
      <c r="J86" s="87">
        <v>19</v>
      </c>
      <c r="K86" s="57">
        <v>1440</v>
      </c>
      <c r="L86" s="86">
        <v>75.78947368421052</v>
      </c>
      <c r="M86" s="464">
        <v>19</v>
      </c>
      <c r="N86" s="57">
        <f t="shared" si="55"/>
        <v>1337.4757281553402</v>
      </c>
      <c r="O86" s="186">
        <f t="shared" si="56"/>
        <v>70.393459376596851</v>
      </c>
      <c r="P86" s="54">
        <f t="shared" si="57"/>
        <v>0</v>
      </c>
      <c r="Q86" s="88">
        <f t="shared" si="58"/>
        <v>-5.3960143076136688</v>
      </c>
      <c r="R86" s="188">
        <f t="shared" si="59"/>
        <v>0.92880258899676404</v>
      </c>
      <c r="S86" s="672"/>
      <c r="T86" s="50">
        <v>0.60624999999999996</v>
      </c>
      <c r="U86" s="50">
        <v>0.6777777777777777</v>
      </c>
      <c r="V86" s="455">
        <v>23</v>
      </c>
      <c r="W86" s="466">
        <f t="shared" si="60"/>
        <v>102.99999999999996</v>
      </c>
      <c r="X86" s="53">
        <v>0.59375</v>
      </c>
      <c r="Y86" s="53">
        <v>0.60347222222222219</v>
      </c>
      <c r="Z86" s="54"/>
      <c r="AA86" s="54"/>
      <c r="AB86" s="658"/>
      <c r="AC86" s="658"/>
      <c r="AD86" s="453"/>
      <c r="AE86" s="453"/>
      <c r="AF86" s="48">
        <f t="shared" si="61"/>
        <v>-102.52427184465978</v>
      </c>
      <c r="AG86" s="457">
        <f t="shared" si="62"/>
        <v>0.92880258899676404</v>
      </c>
      <c r="AH86" s="672"/>
    </row>
    <row r="87" spans="1:34" ht="19.2" customHeight="1">
      <c r="A87" s="700"/>
      <c r="B87" s="110" t="s">
        <v>181</v>
      </c>
      <c r="C87" s="97"/>
      <c r="D87" s="189" t="s">
        <v>93</v>
      </c>
      <c r="E87" s="43"/>
      <c r="F87" s="368">
        <v>53.36</v>
      </c>
      <c r="G87" s="44">
        <v>1330.34</v>
      </c>
      <c r="H87" s="84">
        <f t="shared" si="54"/>
        <v>70986.9424</v>
      </c>
      <c r="I87" s="455">
        <v>1</v>
      </c>
      <c r="J87" s="87">
        <v>19</v>
      </c>
      <c r="K87" s="57">
        <v>1440</v>
      </c>
      <c r="L87" s="86">
        <v>75.78947368421052</v>
      </c>
      <c r="M87" s="464">
        <v>19</v>
      </c>
      <c r="N87" s="57">
        <f t="shared" si="55"/>
        <v>1287.4258064516139</v>
      </c>
      <c r="O87" s="186">
        <f t="shared" si="56"/>
        <v>67.75925297113757</v>
      </c>
      <c r="P87" s="54">
        <f t="shared" si="57"/>
        <v>0</v>
      </c>
      <c r="Q87" s="88">
        <f t="shared" si="58"/>
        <v>-8.0302207130729499</v>
      </c>
      <c r="R87" s="188">
        <f t="shared" si="59"/>
        <v>0.89404569892473196</v>
      </c>
      <c r="S87" s="672"/>
      <c r="T87" s="50">
        <v>0.6826388888888888</v>
      </c>
      <c r="U87" s="50">
        <v>0.72569444444444431</v>
      </c>
      <c r="V87" s="455">
        <v>7</v>
      </c>
      <c r="W87" s="466">
        <f t="shared" si="60"/>
        <v>61.999999999999943</v>
      </c>
      <c r="X87" s="53"/>
      <c r="Y87" s="53"/>
      <c r="Z87" s="54"/>
      <c r="AA87" s="54"/>
      <c r="AB87" s="658"/>
      <c r="AC87" s="658"/>
      <c r="AD87" s="453"/>
      <c r="AE87" s="453"/>
      <c r="AF87" s="48">
        <f t="shared" si="61"/>
        <v>-152.57419354838612</v>
      </c>
      <c r="AG87" s="457">
        <f t="shared" si="62"/>
        <v>0.89404569892473185</v>
      </c>
      <c r="AH87" s="672"/>
    </row>
    <row r="88" spans="1:34" ht="19.2" customHeight="1">
      <c r="A88" s="700"/>
      <c r="B88" s="110">
        <v>0</v>
      </c>
      <c r="C88" s="462"/>
      <c r="D88" s="189"/>
      <c r="E88" s="43"/>
      <c r="F88" s="368" t="s">
        <v>186</v>
      </c>
      <c r="G88" s="57"/>
      <c r="H88" s="84">
        <f t="shared" si="54"/>
        <v>0</v>
      </c>
      <c r="I88" s="455"/>
      <c r="J88" s="87"/>
      <c r="K88" s="57"/>
      <c r="L88" s="86"/>
      <c r="M88" s="464"/>
      <c r="N88" s="57"/>
      <c r="O88" s="186"/>
      <c r="P88" s="54"/>
      <c r="Q88" s="88"/>
      <c r="R88" s="188"/>
      <c r="S88" s="672"/>
      <c r="T88" s="50"/>
      <c r="U88" s="50"/>
      <c r="V88" s="455"/>
      <c r="W88" s="466"/>
      <c r="X88" s="53"/>
      <c r="Y88" s="53"/>
      <c r="Z88" s="54"/>
      <c r="AA88" s="54"/>
      <c r="AB88" s="658"/>
      <c r="AC88" s="658"/>
      <c r="AD88" s="453"/>
      <c r="AE88" s="453"/>
      <c r="AF88" s="48">
        <f t="shared" si="61"/>
        <v>0</v>
      </c>
      <c r="AG88" s="457" t="e">
        <f t="shared" si="62"/>
        <v>#DIV/0!</v>
      </c>
      <c r="AH88" s="672"/>
    </row>
    <row r="89" spans="1:34" ht="19.2" customHeight="1">
      <c r="A89" s="700"/>
      <c r="B89" s="110">
        <v>0</v>
      </c>
      <c r="C89" s="462"/>
      <c r="D89" s="42"/>
      <c r="E89" s="43"/>
      <c r="F89" s="368" t="s">
        <v>186</v>
      </c>
      <c r="G89" s="115"/>
      <c r="H89" s="84">
        <f t="shared" si="54"/>
        <v>0</v>
      </c>
      <c r="I89" s="455"/>
      <c r="J89" s="87"/>
      <c r="K89" s="57"/>
      <c r="L89" s="86"/>
      <c r="M89" s="464"/>
      <c r="N89" s="57"/>
      <c r="O89" s="186"/>
      <c r="P89" s="54"/>
      <c r="Q89" s="88"/>
      <c r="R89" s="188"/>
      <c r="S89" s="672"/>
      <c r="T89" s="50"/>
      <c r="U89" s="50"/>
      <c r="V89" s="455"/>
      <c r="W89" s="466"/>
      <c r="X89" s="53"/>
      <c r="Y89" s="53"/>
      <c r="Z89" s="54"/>
      <c r="AA89" s="54"/>
      <c r="AB89" s="658"/>
      <c r="AC89" s="658"/>
      <c r="AD89" s="453"/>
      <c r="AE89" s="453"/>
      <c r="AF89" s="48">
        <f t="shared" si="61"/>
        <v>0</v>
      </c>
      <c r="AG89" s="457" t="e">
        <f t="shared" si="62"/>
        <v>#DIV/0!</v>
      </c>
      <c r="AH89" s="672"/>
    </row>
    <row r="90" spans="1:34" ht="19.2" customHeight="1">
      <c r="A90" s="700"/>
      <c r="B90" s="110">
        <v>0</v>
      </c>
      <c r="C90" s="462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64"/>
      <c r="N90" s="57"/>
      <c r="O90" s="186"/>
      <c r="P90" s="54"/>
      <c r="Q90" s="88"/>
      <c r="R90" s="188"/>
      <c r="S90" s="672"/>
      <c r="T90" s="50"/>
      <c r="U90" s="50"/>
      <c r="V90" s="455"/>
      <c r="W90" s="466"/>
      <c r="X90" s="191"/>
      <c r="Y90" s="191"/>
      <c r="Z90" s="54"/>
      <c r="AA90" s="54"/>
      <c r="AB90" s="658"/>
      <c r="AC90" s="658"/>
      <c r="AD90" s="453"/>
      <c r="AE90" s="453"/>
      <c r="AF90" s="48">
        <f t="shared" si="61"/>
        <v>0</v>
      </c>
      <c r="AG90" s="457" t="e">
        <f t="shared" si="62"/>
        <v>#DIV/0!</v>
      </c>
      <c r="AH90" s="672"/>
    </row>
    <row r="91" spans="1:34" ht="19.2" customHeight="1">
      <c r="A91" s="700"/>
      <c r="B91" s="110">
        <v>0</v>
      </c>
      <c r="C91" s="462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64" t="s">
        <v>30</v>
      </c>
      <c r="N91" s="57"/>
      <c r="O91" s="186"/>
      <c r="P91" s="54"/>
      <c r="Q91" s="88"/>
      <c r="R91" s="188"/>
      <c r="S91" s="673"/>
      <c r="T91" s="50"/>
      <c r="U91" s="50"/>
      <c r="V91" s="455"/>
      <c r="W91" s="466">
        <f t="shared" si="60"/>
        <v>0</v>
      </c>
      <c r="X91" s="116"/>
      <c r="Y91" s="116"/>
      <c r="Z91" s="54"/>
      <c r="AA91" s="54"/>
      <c r="AB91" s="658"/>
      <c r="AC91" s="658"/>
      <c r="AD91" s="453"/>
      <c r="AE91" s="453"/>
      <c r="AF91" s="48">
        <f t="shared" si="61"/>
        <v>0</v>
      </c>
      <c r="AG91" s="457" t="e">
        <f t="shared" si="62"/>
        <v>#DIV/0!</v>
      </c>
      <c r="AH91" s="673"/>
    </row>
    <row r="92" spans="1:34" ht="19.2" customHeight="1">
      <c r="A92" s="700"/>
      <c r="B92" s="110">
        <v>0</v>
      </c>
      <c r="C92" s="462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60"/>
      <c r="S92" s="673"/>
      <c r="T92" s="50"/>
      <c r="U92" s="50"/>
      <c r="V92" s="455"/>
      <c r="W92" s="466"/>
      <c r="X92" s="183"/>
      <c r="Y92" s="183"/>
      <c r="Z92" s="125"/>
      <c r="AA92" s="125"/>
      <c r="AB92" s="658"/>
      <c r="AC92" s="658"/>
      <c r="AD92" s="453"/>
      <c r="AE92" s="453"/>
      <c r="AF92" s="48">
        <f t="shared" si="61"/>
        <v>0</v>
      </c>
      <c r="AG92" s="457" t="e">
        <f t="shared" si="62"/>
        <v>#DIV/0!</v>
      </c>
      <c r="AH92" s="673"/>
    </row>
    <row r="93" spans="1:34" ht="19.2" customHeight="1">
      <c r="A93" s="700"/>
      <c r="B93" s="468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64"/>
      <c r="N93" s="57"/>
      <c r="O93" s="86"/>
      <c r="P93" s="54"/>
      <c r="Q93" s="88"/>
      <c r="R93" s="454"/>
      <c r="S93" s="701"/>
      <c r="T93" s="63"/>
      <c r="U93" s="63"/>
      <c r="V93" s="468"/>
      <c r="W93" s="466">
        <f t="shared" si="60"/>
        <v>0</v>
      </c>
      <c r="X93" s="200"/>
      <c r="Y93" s="200"/>
      <c r="Z93" s="125"/>
      <c r="AA93" s="125"/>
      <c r="AB93" s="658"/>
      <c r="AC93" s="658"/>
      <c r="AD93" s="453"/>
      <c r="AE93" s="453"/>
      <c r="AF93" s="48">
        <f t="shared" si="61"/>
        <v>0</v>
      </c>
      <c r="AG93" s="457" t="e">
        <f t="shared" si="62"/>
        <v>#DIV/0!</v>
      </c>
      <c r="AH93" s="673"/>
    </row>
    <row r="94" spans="1:34" ht="19.2" customHeight="1">
      <c r="A94" s="700"/>
      <c r="B94" s="468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54"/>
      <c r="S94" s="701"/>
      <c r="T94" s="63"/>
      <c r="U94" s="63"/>
      <c r="V94" s="468"/>
      <c r="W94" s="466">
        <f>(U94-T94)*24*60</f>
        <v>0</v>
      </c>
      <c r="X94" s="200"/>
      <c r="Y94" s="200"/>
      <c r="Z94" s="125"/>
      <c r="AA94" s="125"/>
      <c r="AB94" s="658"/>
      <c r="AC94" s="658"/>
      <c r="AD94" s="453"/>
      <c r="AE94" s="453"/>
      <c r="AF94" s="48">
        <f t="shared" si="61"/>
        <v>0</v>
      </c>
      <c r="AG94" s="457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478</v>
      </c>
      <c r="D95" s="687" t="s">
        <v>414</v>
      </c>
      <c r="E95" s="687"/>
      <c r="F95" s="362"/>
      <c r="G95" s="70"/>
      <c r="H95" s="204"/>
      <c r="I95" s="103"/>
      <c r="J95" s="205">
        <v>18.8</v>
      </c>
      <c r="K95" s="205">
        <v>1429</v>
      </c>
      <c r="L95" s="206">
        <v>76.020467836257311</v>
      </c>
      <c r="M95" s="205">
        <f t="shared" ref="M95:O95" si="63">AVERAGE(M83:M94)</f>
        <v>18.8</v>
      </c>
      <c r="N95" s="205">
        <f t="shared" si="63"/>
        <v>1301.7015795197599</v>
      </c>
      <c r="O95" s="206">
        <f t="shared" si="63"/>
        <v>69.242305354841179</v>
      </c>
      <c r="P95" s="207">
        <f>M95-J95</f>
        <v>0</v>
      </c>
      <c r="Q95" s="208">
        <f t="shared" ref="Q95:Q100" si="64">O95-L95</f>
        <v>-6.7781624814161319</v>
      </c>
      <c r="R95" s="209">
        <f>O95/L95</f>
        <v>0.91083766419307211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1</v>
      </c>
      <c r="AF95" s="65">
        <f t="shared" si="61"/>
        <v>-127.29842048024011</v>
      </c>
      <c r="AG95" s="458">
        <f t="shared" si="62"/>
        <v>0.9109178303147375</v>
      </c>
      <c r="AH95" s="673"/>
    </row>
    <row r="96" spans="1:34" ht="19.2" customHeight="1">
      <c r="A96" s="702" t="s">
        <v>479</v>
      </c>
      <c r="B96" s="455" t="s">
        <v>183</v>
      </c>
      <c r="C96" s="97"/>
      <c r="D96" s="42" t="s">
        <v>250</v>
      </c>
      <c r="E96" s="43"/>
      <c r="F96" s="361">
        <v>36.92</v>
      </c>
      <c r="G96" s="44">
        <v>2777</v>
      </c>
      <c r="H96" s="45">
        <f t="shared" ref="H96:H106" si="65">F96*G96</f>
        <v>102526.84000000001</v>
      </c>
      <c r="I96" s="455"/>
      <c r="J96" s="46">
        <v>6</v>
      </c>
      <c r="K96" s="44">
        <v>1636</v>
      </c>
      <c r="L96" s="47">
        <v>272.66666666666669</v>
      </c>
      <c r="M96" s="467">
        <v>6</v>
      </c>
      <c r="N96" s="44">
        <f t="shared" ref="N96:N100" si="66">G96/W96*60</f>
        <v>1557.1962616822429</v>
      </c>
      <c r="O96" s="47">
        <f t="shared" ref="O96:O100" si="67">N96/M96</f>
        <v>259.53271028037381</v>
      </c>
      <c r="P96" s="48">
        <f t="shared" ref="P96:P100" si="68">M96-J96</f>
        <v>0</v>
      </c>
      <c r="Q96" s="49">
        <f t="shared" si="64"/>
        <v>-13.13395638629288</v>
      </c>
      <c r="R96" s="457">
        <f t="shared" ref="R96:R100" si="69">O96/L96</f>
        <v>0.95183145579599193</v>
      </c>
      <c r="S96" s="672">
        <f>R108</f>
        <v>0.92642548905300748</v>
      </c>
      <c r="T96" s="89">
        <v>0.33333333333333331</v>
      </c>
      <c r="U96" s="89">
        <v>0.40763888888888888</v>
      </c>
      <c r="V96" s="453">
        <v>5</v>
      </c>
      <c r="W96" s="90">
        <f t="shared" ref="W96:W122" si="70">(U96-T96)*24*60</f>
        <v>107.00000000000001</v>
      </c>
      <c r="X96" s="96"/>
      <c r="Y96" s="96"/>
      <c r="Z96" s="54"/>
      <c r="AA96" s="54"/>
      <c r="AB96" s="658"/>
      <c r="AC96" s="658"/>
      <c r="AD96" s="453"/>
      <c r="AE96" s="453"/>
      <c r="AF96" s="54">
        <f t="shared" si="61"/>
        <v>-78.803738317757052</v>
      </c>
      <c r="AG96" s="454">
        <f t="shared" si="62"/>
        <v>0.95183145579599204</v>
      </c>
      <c r="AH96" s="681">
        <f>AG108</f>
        <v>0.91622156216126793</v>
      </c>
    </row>
    <row r="97" spans="1:34" s="218" customFormat="1" ht="19.2" customHeight="1">
      <c r="A97" s="702"/>
      <c r="B97" s="455" t="s">
        <v>183</v>
      </c>
      <c r="C97" s="210"/>
      <c r="D97" s="211" t="s">
        <v>83</v>
      </c>
      <c r="E97" s="56"/>
      <c r="F97" s="372">
        <v>29.113149847094796</v>
      </c>
      <c r="G97" s="212">
        <v>2691.2000000000003</v>
      </c>
      <c r="H97" s="213">
        <f t="shared" si="65"/>
        <v>78349.308868501525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1428.9557522123894</v>
      </c>
      <c r="O97" s="47">
        <f t="shared" si="67"/>
        <v>71.447787610619471</v>
      </c>
      <c r="P97" s="48">
        <f t="shared" si="68"/>
        <v>0</v>
      </c>
      <c r="Q97" s="49">
        <f t="shared" si="64"/>
        <v>-3.5522123893805286</v>
      </c>
      <c r="R97" s="457">
        <f t="shared" si="69"/>
        <v>0.95263716814159294</v>
      </c>
      <c r="S97" s="672"/>
      <c r="T97" s="214">
        <v>0.4236111111111111</v>
      </c>
      <c r="U97" s="214">
        <v>0.50208333333333333</v>
      </c>
      <c r="V97" s="215">
        <v>23</v>
      </c>
      <c r="W97" s="90">
        <f t="shared" si="70"/>
        <v>113</v>
      </c>
      <c r="X97" s="53">
        <v>0.41111111111111115</v>
      </c>
      <c r="Y97" s="53">
        <v>0.42083333333333334</v>
      </c>
      <c r="Z97" s="54"/>
      <c r="AA97" s="54"/>
      <c r="AB97" s="658"/>
      <c r="AC97" s="658"/>
      <c r="AD97" s="215"/>
      <c r="AE97" s="215"/>
      <c r="AF97" s="216">
        <f t="shared" si="61"/>
        <v>-71.04424778761063</v>
      </c>
      <c r="AG97" s="217">
        <f t="shared" si="62"/>
        <v>0.95263716814159294</v>
      </c>
      <c r="AH97" s="681"/>
    </row>
    <row r="98" spans="1:34" s="221" customFormat="1" ht="19.2" customHeight="1">
      <c r="A98" s="702"/>
      <c r="B98" s="455" t="s">
        <v>181</v>
      </c>
      <c r="C98" s="55"/>
      <c r="D98" s="42" t="s">
        <v>76</v>
      </c>
      <c r="E98" s="83"/>
      <c r="F98" s="372">
        <v>77.34</v>
      </c>
      <c r="G98" s="57">
        <v>910</v>
      </c>
      <c r="H98" s="213">
        <f t="shared" si="65"/>
        <v>70379.400000000009</v>
      </c>
      <c r="I98" s="453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1299.9999999999995</v>
      </c>
      <c r="O98" s="47">
        <f t="shared" si="67"/>
        <v>72.2222222222222</v>
      </c>
      <c r="P98" s="48">
        <f t="shared" si="68"/>
        <v>0</v>
      </c>
      <c r="Q98" s="49">
        <f t="shared" si="64"/>
        <v>-7.7777777777777999</v>
      </c>
      <c r="R98" s="457">
        <f t="shared" si="69"/>
        <v>0.90277777777777746</v>
      </c>
      <c r="S98" s="672"/>
      <c r="T98" s="89">
        <v>0.54236111111111107</v>
      </c>
      <c r="U98" s="89">
        <v>0.57152777777777775</v>
      </c>
      <c r="V98" s="453">
        <v>5</v>
      </c>
      <c r="W98" s="90">
        <f t="shared" si="70"/>
        <v>42.000000000000014</v>
      </c>
      <c r="X98" s="219"/>
      <c r="Y98" s="219"/>
      <c r="Z98" s="220"/>
      <c r="AA98" s="220"/>
      <c r="AB98" s="658"/>
      <c r="AC98" s="658"/>
      <c r="AD98" s="453"/>
      <c r="AE98" s="453"/>
      <c r="AF98" s="54">
        <f t="shared" si="61"/>
        <v>-140.00000000000045</v>
      </c>
      <c r="AG98" s="454">
        <f t="shared" si="62"/>
        <v>0.90277777777777746</v>
      </c>
      <c r="AH98" s="681"/>
    </row>
    <row r="99" spans="1:34" ht="19.2" customHeight="1">
      <c r="A99" s="702"/>
      <c r="B99" s="455" t="s">
        <v>181</v>
      </c>
      <c r="C99" s="81"/>
      <c r="D99" s="82" t="s">
        <v>74</v>
      </c>
      <c r="E99" s="83"/>
      <c r="F99" s="372">
        <v>59.34</v>
      </c>
      <c r="G99" s="57">
        <v>1102</v>
      </c>
      <c r="H99" s="213">
        <f t="shared" si="65"/>
        <v>65392.68</v>
      </c>
      <c r="I99" s="453"/>
      <c r="J99" s="46">
        <v>17</v>
      </c>
      <c r="K99" s="44">
        <v>1440</v>
      </c>
      <c r="L99" s="47">
        <v>84.705882352941174</v>
      </c>
      <c r="M99" s="467">
        <v>17</v>
      </c>
      <c r="N99" s="44">
        <f t="shared" si="66"/>
        <v>1271.5384615384623</v>
      </c>
      <c r="O99" s="47">
        <f t="shared" si="67"/>
        <v>74.796380090497792</v>
      </c>
      <c r="P99" s="48">
        <f t="shared" si="68"/>
        <v>0</v>
      </c>
      <c r="Q99" s="49">
        <f t="shared" si="64"/>
        <v>-9.9095022624433824</v>
      </c>
      <c r="R99" s="457">
        <f t="shared" si="69"/>
        <v>0.88301282051282115</v>
      </c>
      <c r="S99" s="672"/>
      <c r="T99" s="89">
        <v>0.57638888888888884</v>
      </c>
      <c r="U99" s="89">
        <v>0.61249999999999993</v>
      </c>
      <c r="V99" s="453">
        <v>7</v>
      </c>
      <c r="W99" s="90">
        <f t="shared" si="70"/>
        <v>51.999999999999972</v>
      </c>
      <c r="X99" s="183"/>
      <c r="Y99" s="183"/>
      <c r="Z99" s="125"/>
      <c r="AA99" s="125"/>
      <c r="AB99" s="658"/>
      <c r="AC99" s="658"/>
      <c r="AD99" s="453"/>
      <c r="AE99" s="453"/>
      <c r="AF99" s="216">
        <f t="shared" si="61"/>
        <v>-168.46153846153766</v>
      </c>
      <c r="AG99" s="217">
        <f t="shared" si="62"/>
        <v>0.88301282051282104</v>
      </c>
      <c r="AH99" s="681"/>
    </row>
    <row r="100" spans="1:34" s="221" customFormat="1" ht="19.2" customHeight="1">
      <c r="A100" s="702"/>
      <c r="B100" s="455" t="s">
        <v>181</v>
      </c>
      <c r="C100" s="55"/>
      <c r="D100" s="42" t="s">
        <v>75</v>
      </c>
      <c r="E100" s="83"/>
      <c r="F100" s="372">
        <v>71.55</v>
      </c>
      <c r="G100" s="57">
        <v>999</v>
      </c>
      <c r="H100" s="213">
        <f t="shared" si="65"/>
        <v>71478.45</v>
      </c>
      <c r="I100" s="453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1223.2653061224491</v>
      </c>
      <c r="O100" s="47">
        <f t="shared" si="67"/>
        <v>67.959183673469397</v>
      </c>
      <c r="P100" s="48">
        <f t="shared" si="68"/>
        <v>0</v>
      </c>
      <c r="Q100" s="49">
        <f t="shared" si="64"/>
        <v>-8.9852607709750458</v>
      </c>
      <c r="R100" s="457">
        <f t="shared" si="69"/>
        <v>0.8832240477418406</v>
      </c>
      <c r="S100" s="672"/>
      <c r="T100" s="214">
        <v>0.61666666666666659</v>
      </c>
      <c r="U100" s="214">
        <v>0.65069444444444435</v>
      </c>
      <c r="V100" s="215">
        <v>6</v>
      </c>
      <c r="W100" s="90">
        <f t="shared" si="70"/>
        <v>48.999999999999986</v>
      </c>
      <c r="X100" s="222"/>
      <c r="Y100" s="222"/>
      <c r="Z100" s="220"/>
      <c r="AA100" s="220"/>
      <c r="AB100" s="658"/>
      <c r="AC100" s="658"/>
      <c r="AD100" s="453"/>
      <c r="AE100" s="453"/>
      <c r="AF100" s="54">
        <f t="shared" si="61"/>
        <v>-161.73469387755085</v>
      </c>
      <c r="AG100" s="454">
        <f t="shared" si="62"/>
        <v>0.88322404774184049</v>
      </c>
      <c r="AH100" s="681"/>
    </row>
    <row r="101" spans="1:34" s="221" customFormat="1" ht="19.2" customHeight="1">
      <c r="A101" s="702"/>
      <c r="B101" s="455">
        <v>0</v>
      </c>
      <c r="C101" s="55"/>
      <c r="D101" s="82"/>
      <c r="E101" s="83"/>
      <c r="F101" s="372" t="s">
        <v>186</v>
      </c>
      <c r="G101" s="57"/>
      <c r="H101" s="213">
        <f t="shared" si="65"/>
        <v>0</v>
      </c>
      <c r="I101" s="453"/>
      <c r="J101" s="46"/>
      <c r="K101" s="44"/>
      <c r="L101" s="47"/>
      <c r="M101" s="87"/>
      <c r="N101" s="44"/>
      <c r="O101" s="47"/>
      <c r="P101" s="48"/>
      <c r="Q101" s="49"/>
      <c r="R101" s="457"/>
      <c r="S101" s="672"/>
      <c r="T101" s="214"/>
      <c r="U101" s="89"/>
      <c r="V101" s="215"/>
      <c r="W101" s="90"/>
      <c r="X101" s="223"/>
      <c r="Y101" s="223"/>
      <c r="Z101" s="220"/>
      <c r="AA101" s="220"/>
      <c r="AB101" s="658"/>
      <c r="AC101" s="658"/>
      <c r="AD101" s="453"/>
      <c r="AE101" s="453"/>
      <c r="AF101" s="216">
        <f t="shared" si="61"/>
        <v>0</v>
      </c>
      <c r="AG101" s="217" t="e">
        <f t="shared" si="62"/>
        <v>#DIV/0!</v>
      </c>
      <c r="AH101" s="681"/>
    </row>
    <row r="102" spans="1:34" s="221" customFormat="1" ht="19.2" customHeight="1">
      <c r="A102" s="702"/>
      <c r="B102" s="455">
        <v>0</v>
      </c>
      <c r="C102" s="178"/>
      <c r="D102" s="179"/>
      <c r="E102" s="180"/>
      <c r="F102" s="372" t="s">
        <v>186</v>
      </c>
      <c r="G102" s="57"/>
      <c r="H102" s="213">
        <f t="shared" si="65"/>
        <v>0</v>
      </c>
      <c r="I102" s="455"/>
      <c r="J102" s="46"/>
      <c r="K102" s="44"/>
      <c r="L102" s="47"/>
      <c r="M102" s="87"/>
      <c r="N102" s="44"/>
      <c r="O102" s="47"/>
      <c r="P102" s="48"/>
      <c r="Q102" s="49"/>
      <c r="R102" s="457"/>
      <c r="S102" s="672"/>
      <c r="T102" s="214"/>
      <c r="U102" s="214"/>
      <c r="V102" s="215"/>
      <c r="W102" s="90"/>
      <c r="X102" s="223"/>
      <c r="Y102" s="223"/>
      <c r="Z102" s="220"/>
      <c r="AA102" s="220"/>
      <c r="AB102" s="658"/>
      <c r="AC102" s="658"/>
      <c r="AD102" s="453"/>
      <c r="AE102" s="453"/>
      <c r="AF102" s="54">
        <f t="shared" si="61"/>
        <v>0</v>
      </c>
      <c r="AG102" s="454" t="e">
        <f t="shared" si="62"/>
        <v>#DIV/0!</v>
      </c>
      <c r="AH102" s="681"/>
    </row>
    <row r="103" spans="1:34" s="221" customFormat="1" ht="19.2" customHeight="1">
      <c r="A103" s="702"/>
      <c r="B103" s="455">
        <v>0</v>
      </c>
      <c r="C103" s="224"/>
      <c r="D103" s="82"/>
      <c r="E103" s="83"/>
      <c r="F103" s="372" t="s">
        <v>186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57"/>
      <c r="S103" s="672"/>
      <c r="T103" s="214"/>
      <c r="U103" s="214"/>
      <c r="V103" s="215"/>
      <c r="W103" s="90"/>
      <c r="X103" s="223"/>
      <c r="Y103" s="223"/>
      <c r="Z103" s="220"/>
      <c r="AA103" s="220"/>
      <c r="AB103" s="658"/>
      <c r="AC103" s="658"/>
      <c r="AD103" s="453"/>
      <c r="AE103" s="453"/>
      <c r="AF103" s="216">
        <f t="shared" si="61"/>
        <v>0</v>
      </c>
      <c r="AG103" s="217" t="e">
        <f t="shared" si="62"/>
        <v>#DIV/0!</v>
      </c>
      <c r="AH103" s="681"/>
    </row>
    <row r="104" spans="1:34" s="221" customFormat="1" ht="19.2" customHeight="1">
      <c r="A104" s="702"/>
      <c r="B104" s="455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57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453"/>
      <c r="AE104" s="453"/>
      <c r="AF104" s="54">
        <f t="shared" si="61"/>
        <v>0</v>
      </c>
      <c r="AG104" s="454" t="e">
        <f t="shared" si="62"/>
        <v>#DIV/0!</v>
      </c>
      <c r="AH104" s="681"/>
    </row>
    <row r="105" spans="1:34" s="221" customFormat="1" ht="19.2" customHeight="1">
      <c r="A105" s="702"/>
      <c r="B105" s="455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57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453"/>
      <c r="AE105" s="453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55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54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453"/>
      <c r="AE106" s="453"/>
      <c r="AF106" s="220"/>
      <c r="AG106" s="454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54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453"/>
      <c r="AE107" s="453"/>
      <c r="AF107" s="220"/>
      <c r="AG107" s="454"/>
      <c r="AH107" s="681"/>
    </row>
    <row r="108" spans="1:34" ht="19.2" customHeight="1">
      <c r="A108" s="702"/>
      <c r="B108" s="110">
        <v>0</v>
      </c>
      <c r="C108" s="100" t="s">
        <v>480</v>
      </c>
      <c r="D108" s="687" t="s">
        <v>414</v>
      </c>
      <c r="E108" s="687"/>
      <c r="F108" s="373"/>
      <c r="G108" s="101"/>
      <c r="H108" s="102"/>
      <c r="I108" s="103"/>
      <c r="J108" s="101">
        <v>15.8</v>
      </c>
      <c r="K108" s="101">
        <v>1480.2</v>
      </c>
      <c r="L108" s="104">
        <v>117.86339869281046</v>
      </c>
      <c r="M108" s="101">
        <f t="shared" ref="M108:O108" si="71">AVERAGE(M96:M107)</f>
        <v>15.8</v>
      </c>
      <c r="N108" s="101">
        <f t="shared" si="71"/>
        <v>1356.1911563111089</v>
      </c>
      <c r="O108" s="104">
        <f t="shared" si="71"/>
        <v>109.19165677543654</v>
      </c>
      <c r="P108" s="54">
        <f t="shared" ref="P108:P117" si="72">M108-J108</f>
        <v>0</v>
      </c>
      <c r="Q108" s="88">
        <f t="shared" ref="Q108:Q117" si="73">O108-L108</f>
        <v>-8.6717419173739216</v>
      </c>
      <c r="R108" s="105">
        <f t="shared" ref="R108:R117" si="74">O108/L108</f>
        <v>0.92642548905300748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0</v>
      </c>
      <c r="AE108" s="107">
        <f>SUM(AE96:AE107)</f>
        <v>0</v>
      </c>
      <c r="AF108" s="54">
        <f t="shared" si="61"/>
        <v>-124.00884368889115</v>
      </c>
      <c r="AG108" s="454">
        <f t="shared" si="62"/>
        <v>0.91622156216126793</v>
      </c>
      <c r="AH108" s="681"/>
    </row>
    <row r="109" spans="1:34" ht="19.2" customHeight="1">
      <c r="A109" s="703" t="s">
        <v>481</v>
      </c>
      <c r="B109" s="455" t="s">
        <v>185</v>
      </c>
      <c r="C109" s="462"/>
      <c r="D109" s="179" t="s">
        <v>104</v>
      </c>
      <c r="E109" s="43"/>
      <c r="F109" s="361">
        <v>51.75</v>
      </c>
      <c r="G109" s="44">
        <v>945</v>
      </c>
      <c r="H109" s="45">
        <f t="shared" ref="H109:H119" si="75">F109*G109</f>
        <v>48903.75</v>
      </c>
      <c r="I109" s="455"/>
      <c r="J109" s="46">
        <v>21</v>
      </c>
      <c r="K109" s="44">
        <v>1500</v>
      </c>
      <c r="L109" s="47">
        <v>71.428571428571431</v>
      </c>
      <c r="M109" s="467">
        <v>21</v>
      </c>
      <c r="N109" s="44">
        <f t="shared" ref="N109:N117" si="76">G109/W109*60</f>
        <v>1318.6046511627903</v>
      </c>
      <c r="O109" s="47">
        <f t="shared" ref="O109:O117" si="77">N109/M109</f>
        <v>62.790697674418588</v>
      </c>
      <c r="P109" s="48">
        <f t="shared" si="72"/>
        <v>0</v>
      </c>
      <c r="Q109" s="49">
        <f t="shared" si="73"/>
        <v>-8.6378737541528423</v>
      </c>
      <c r="R109" s="457">
        <f t="shared" si="74"/>
        <v>0.87906976744186016</v>
      </c>
      <c r="S109" s="706">
        <f>R121</f>
        <v>0.88572051918185768</v>
      </c>
      <c r="T109" s="230">
        <v>0.5</v>
      </c>
      <c r="U109" s="230">
        <v>0.52986111111111112</v>
      </c>
      <c r="V109" s="231">
        <v>5</v>
      </c>
      <c r="W109" s="466">
        <f t="shared" si="70"/>
        <v>43.000000000000007</v>
      </c>
      <c r="X109" s="53"/>
      <c r="Y109" s="53"/>
      <c r="Z109" s="54"/>
      <c r="AA109" s="54"/>
      <c r="AB109" s="658"/>
      <c r="AC109" s="658"/>
      <c r="AD109" s="453">
        <v>1</v>
      </c>
      <c r="AE109" s="453"/>
      <c r="AF109" s="48">
        <f t="shared" si="61"/>
        <v>-181.39534883720967</v>
      </c>
      <c r="AG109" s="126">
        <f t="shared" si="62"/>
        <v>0.87906976744186027</v>
      </c>
      <c r="AH109" s="681">
        <f>AG121</f>
        <v>0.89586970405806898</v>
      </c>
    </row>
    <row r="110" spans="1:34" ht="19.2" customHeight="1">
      <c r="A110" s="704"/>
      <c r="B110" s="455" t="s">
        <v>185</v>
      </c>
      <c r="C110" s="178"/>
      <c r="D110" s="42" t="s">
        <v>103</v>
      </c>
      <c r="E110" s="180"/>
      <c r="F110" s="361">
        <v>56.43</v>
      </c>
      <c r="G110" s="177">
        <v>862</v>
      </c>
      <c r="H110" s="45">
        <f t="shared" si="75"/>
        <v>48642.659999999996</v>
      </c>
      <c r="I110" s="455"/>
      <c r="J110" s="46">
        <v>18</v>
      </c>
      <c r="K110" s="44">
        <v>1500</v>
      </c>
      <c r="L110" s="47">
        <v>83.333333333333329</v>
      </c>
      <c r="M110" s="467">
        <v>18</v>
      </c>
      <c r="N110" s="44">
        <f t="shared" si="76"/>
        <v>1326.1538461538455</v>
      </c>
      <c r="O110" s="47">
        <f t="shared" si="77"/>
        <v>73.675213675213641</v>
      </c>
      <c r="P110" s="48">
        <f t="shared" si="72"/>
        <v>0</v>
      </c>
      <c r="Q110" s="49">
        <f t="shared" si="73"/>
        <v>-9.6581196581196878</v>
      </c>
      <c r="R110" s="457">
        <f t="shared" si="74"/>
        <v>0.88410256410256371</v>
      </c>
      <c r="S110" s="707"/>
      <c r="T110" s="230">
        <v>0.53402777777777777</v>
      </c>
      <c r="U110" s="230">
        <v>0.56111111111111112</v>
      </c>
      <c r="V110" s="231">
        <v>6</v>
      </c>
      <c r="W110" s="466">
        <f t="shared" si="70"/>
        <v>39.000000000000021</v>
      </c>
      <c r="X110" s="191"/>
      <c r="Y110" s="191"/>
      <c r="Z110" s="54"/>
      <c r="AA110" s="54"/>
      <c r="AB110" s="658"/>
      <c r="AC110" s="658"/>
      <c r="AD110" s="453"/>
      <c r="AE110" s="453"/>
      <c r="AF110" s="48">
        <f t="shared" si="61"/>
        <v>-173.84615384615449</v>
      </c>
      <c r="AG110" s="126">
        <f t="shared" si="62"/>
        <v>0.88410256410256371</v>
      </c>
      <c r="AH110" s="681"/>
    </row>
    <row r="111" spans="1:34" ht="19.2" customHeight="1">
      <c r="A111" s="704"/>
      <c r="B111" s="455" t="s">
        <v>183</v>
      </c>
      <c r="C111" s="178"/>
      <c r="D111" s="42" t="s">
        <v>83</v>
      </c>
      <c r="E111" s="180"/>
      <c r="F111" s="361">
        <v>29.113149847094796</v>
      </c>
      <c r="G111" s="57">
        <v>672.80000000000007</v>
      </c>
      <c r="H111" s="45">
        <f t="shared" si="75"/>
        <v>19587.327217125381</v>
      </c>
      <c r="I111" s="455">
        <v>1</v>
      </c>
      <c r="J111" s="46">
        <v>20</v>
      </c>
      <c r="K111" s="44">
        <v>1500</v>
      </c>
      <c r="L111" s="47">
        <v>75</v>
      </c>
      <c r="M111" s="232">
        <v>20</v>
      </c>
      <c r="N111" s="44">
        <f t="shared" si="76"/>
        <v>1441.7142857142828</v>
      </c>
      <c r="O111" s="47">
        <f t="shared" si="77"/>
        <v>72.085714285714147</v>
      </c>
      <c r="P111" s="48">
        <f t="shared" si="72"/>
        <v>0</v>
      </c>
      <c r="Q111" s="49">
        <f t="shared" si="73"/>
        <v>-2.9142857142858531</v>
      </c>
      <c r="R111" s="457">
        <f t="shared" si="74"/>
        <v>0.9611428571428553</v>
      </c>
      <c r="S111" s="707"/>
      <c r="T111" s="230">
        <v>0.57638888888888884</v>
      </c>
      <c r="U111" s="230">
        <v>0.59583333333333333</v>
      </c>
      <c r="V111" s="231">
        <v>22</v>
      </c>
      <c r="W111" s="466">
        <f t="shared" si="70"/>
        <v>28.00000000000006</v>
      </c>
      <c r="X111" s="53">
        <v>0.56458333333333333</v>
      </c>
      <c r="Y111" s="53">
        <v>0.57361111111111118</v>
      </c>
      <c r="Z111" s="54"/>
      <c r="AA111" s="54"/>
      <c r="AB111" s="658"/>
      <c r="AC111" s="658"/>
      <c r="AD111" s="453"/>
      <c r="AE111" s="453"/>
      <c r="AF111" s="48">
        <f t="shared" si="61"/>
        <v>-58.285714285717177</v>
      </c>
      <c r="AG111" s="126">
        <f t="shared" si="62"/>
        <v>0.96114285714285519</v>
      </c>
      <c r="AH111" s="681"/>
    </row>
    <row r="112" spans="1:34" ht="19.2" customHeight="1">
      <c r="A112" s="704"/>
      <c r="B112" s="455" t="s">
        <v>184</v>
      </c>
      <c r="C112" s="178"/>
      <c r="D112" s="179" t="s">
        <v>82</v>
      </c>
      <c r="E112" s="180"/>
      <c r="F112" s="361">
        <v>36.409999999999997</v>
      </c>
      <c r="G112" s="57">
        <v>1493</v>
      </c>
      <c r="H112" s="45">
        <f t="shared" si="75"/>
        <v>54360.13</v>
      </c>
      <c r="I112" s="453">
        <v>1</v>
      </c>
      <c r="J112" s="46">
        <v>10</v>
      </c>
      <c r="K112" s="44">
        <v>2769</v>
      </c>
      <c r="L112" s="47">
        <v>276.89999999999998</v>
      </c>
      <c r="M112" s="232">
        <v>10</v>
      </c>
      <c r="N112" s="44">
        <f t="shared" si="76"/>
        <v>2296.9230769230758</v>
      </c>
      <c r="O112" s="47">
        <f t="shared" si="77"/>
        <v>229.69230769230757</v>
      </c>
      <c r="P112" s="48">
        <f t="shared" si="72"/>
        <v>0</v>
      </c>
      <c r="Q112" s="49">
        <f t="shared" si="73"/>
        <v>-47.207692307692412</v>
      </c>
      <c r="R112" s="457">
        <f t="shared" si="74"/>
        <v>0.82951357057532538</v>
      </c>
      <c r="S112" s="707"/>
      <c r="T112" s="230">
        <v>0.60069444444444442</v>
      </c>
      <c r="U112" s="230">
        <v>0.62777777777777777</v>
      </c>
      <c r="V112" s="231">
        <v>7</v>
      </c>
      <c r="W112" s="466">
        <f t="shared" si="70"/>
        <v>39.000000000000021</v>
      </c>
      <c r="X112" s="53"/>
      <c r="Y112" s="53"/>
      <c r="Z112" s="54"/>
      <c r="AA112" s="54"/>
      <c r="AB112" s="658"/>
      <c r="AC112" s="658"/>
      <c r="AD112" s="453"/>
      <c r="AE112" s="453"/>
      <c r="AF112" s="48">
        <f t="shared" si="61"/>
        <v>-472.07692307692423</v>
      </c>
      <c r="AG112" s="126">
        <f t="shared" si="62"/>
        <v>0.82951357057532527</v>
      </c>
      <c r="AH112" s="681"/>
    </row>
    <row r="113" spans="1:34" s="221" customFormat="1" ht="19.2" customHeight="1">
      <c r="A113" s="704"/>
      <c r="B113" s="455" t="s">
        <v>185</v>
      </c>
      <c r="C113" s="178"/>
      <c r="D113" s="179" t="s">
        <v>106</v>
      </c>
      <c r="E113" s="180"/>
      <c r="F113" s="361">
        <v>55.32</v>
      </c>
      <c r="G113" s="57">
        <v>639</v>
      </c>
      <c r="H113" s="45">
        <f t="shared" si="75"/>
        <v>35349.480000000003</v>
      </c>
      <c r="I113" s="453"/>
      <c r="J113" s="46">
        <v>14</v>
      </c>
      <c r="K113" s="44">
        <v>1440</v>
      </c>
      <c r="L113" s="47">
        <v>102.85714285714286</v>
      </c>
      <c r="M113" s="232">
        <v>15</v>
      </c>
      <c r="N113" s="44">
        <f t="shared" si="76"/>
        <v>1277.9999999999977</v>
      </c>
      <c r="O113" s="47">
        <f t="shared" si="77"/>
        <v>85.199999999999847</v>
      </c>
      <c r="P113" s="48">
        <f t="shared" si="72"/>
        <v>1</v>
      </c>
      <c r="Q113" s="49">
        <f t="shared" si="73"/>
        <v>-17.657142857143015</v>
      </c>
      <c r="R113" s="457">
        <f t="shared" si="74"/>
        <v>0.82833333333333181</v>
      </c>
      <c r="S113" s="707"/>
      <c r="T113" s="230">
        <v>0.70833333333333337</v>
      </c>
      <c r="U113" s="230">
        <v>0.72916666666666674</v>
      </c>
      <c r="V113" s="231">
        <v>5</v>
      </c>
      <c r="W113" s="466">
        <f t="shared" si="70"/>
        <v>30.000000000000053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-162.00000000000227</v>
      </c>
      <c r="AG113" s="126">
        <f t="shared" si="62"/>
        <v>0.8874999999999984</v>
      </c>
      <c r="AH113" s="681"/>
    </row>
    <row r="114" spans="1:34" s="221" customFormat="1" ht="19.2" customHeight="1">
      <c r="A114" s="704"/>
      <c r="B114" s="455" t="s">
        <v>185</v>
      </c>
      <c r="C114" s="178"/>
      <c r="D114" s="179" t="s">
        <v>107</v>
      </c>
      <c r="E114" s="180"/>
      <c r="F114" s="361">
        <v>55.56</v>
      </c>
      <c r="G114" s="57">
        <v>808</v>
      </c>
      <c r="H114" s="45">
        <f t="shared" si="75"/>
        <v>44892.480000000003</v>
      </c>
      <c r="I114" s="453"/>
      <c r="J114" s="46">
        <v>16</v>
      </c>
      <c r="K114" s="44">
        <v>1440</v>
      </c>
      <c r="L114" s="47">
        <v>90</v>
      </c>
      <c r="M114" s="232">
        <v>16</v>
      </c>
      <c r="N114" s="44">
        <f t="shared" si="76"/>
        <v>1275.7894736842095</v>
      </c>
      <c r="O114" s="47">
        <f t="shared" si="77"/>
        <v>79.736842105263094</v>
      </c>
      <c r="P114" s="48">
        <f t="shared" si="72"/>
        <v>0</v>
      </c>
      <c r="Q114" s="49">
        <f t="shared" si="73"/>
        <v>-10.263157894736906</v>
      </c>
      <c r="R114" s="457">
        <f t="shared" si="74"/>
        <v>0.88596491228070107</v>
      </c>
      <c r="S114" s="707"/>
      <c r="T114" s="230">
        <v>0.73402777777777783</v>
      </c>
      <c r="U114" s="230">
        <v>0.76041666666666674</v>
      </c>
      <c r="V114" s="231">
        <v>7</v>
      </c>
      <c r="W114" s="466">
        <f t="shared" si="70"/>
        <v>38.000000000000028</v>
      </c>
      <c r="X114" s="219"/>
      <c r="Y114" s="219"/>
      <c r="Z114" s="220"/>
      <c r="AA114" s="220"/>
      <c r="AB114" s="658"/>
      <c r="AC114" s="658"/>
      <c r="AD114" s="224"/>
      <c r="AE114" s="224"/>
      <c r="AF114" s="48">
        <f t="shared" si="61"/>
        <v>-164.2105263157905</v>
      </c>
      <c r="AG114" s="126">
        <f t="shared" si="62"/>
        <v>0.88596491228070107</v>
      </c>
      <c r="AH114" s="681"/>
    </row>
    <row r="115" spans="1:34" s="221" customFormat="1" ht="19.2" customHeight="1">
      <c r="A115" s="704"/>
      <c r="B115" s="455" t="s">
        <v>185</v>
      </c>
      <c r="C115" s="178"/>
      <c r="D115" s="179" t="s">
        <v>105</v>
      </c>
      <c r="E115" s="180"/>
      <c r="F115" s="361">
        <v>54.29</v>
      </c>
      <c r="G115" s="177">
        <v>689</v>
      </c>
      <c r="H115" s="45">
        <f t="shared" si="75"/>
        <v>37405.81</v>
      </c>
      <c r="I115" s="453"/>
      <c r="J115" s="46">
        <v>15</v>
      </c>
      <c r="K115" s="44">
        <v>1440</v>
      </c>
      <c r="L115" s="47">
        <v>96</v>
      </c>
      <c r="M115" s="467">
        <v>15</v>
      </c>
      <c r="N115" s="44">
        <f t="shared" si="76"/>
        <v>1291.8749999999982</v>
      </c>
      <c r="O115" s="47">
        <f t="shared" si="77"/>
        <v>86.124999999999872</v>
      </c>
      <c r="P115" s="48">
        <f t="shared" si="72"/>
        <v>0</v>
      </c>
      <c r="Q115" s="49">
        <f t="shared" si="73"/>
        <v>-9.8750000000001279</v>
      </c>
      <c r="R115" s="457">
        <f t="shared" si="74"/>
        <v>0.8971354166666653</v>
      </c>
      <c r="S115" s="707"/>
      <c r="T115" s="230">
        <v>0.76458333333333339</v>
      </c>
      <c r="U115" s="230">
        <v>0.78680555555555565</v>
      </c>
      <c r="V115" s="231">
        <v>6</v>
      </c>
      <c r="W115" s="466">
        <f t="shared" si="70"/>
        <v>32.000000000000043</v>
      </c>
      <c r="X115" s="219"/>
      <c r="Y115" s="219"/>
      <c r="Z115" s="220"/>
      <c r="AA115" s="220"/>
      <c r="AB115" s="658"/>
      <c r="AC115" s="658"/>
      <c r="AD115" s="224"/>
      <c r="AE115" s="224"/>
      <c r="AF115" s="48">
        <f t="shared" si="61"/>
        <v>-148.12500000000182</v>
      </c>
      <c r="AG115" s="126">
        <f t="shared" si="62"/>
        <v>0.89713541666666541</v>
      </c>
      <c r="AH115" s="681"/>
    </row>
    <row r="116" spans="1:34" s="221" customFormat="1" ht="19.2" customHeight="1">
      <c r="A116" s="704"/>
      <c r="B116" s="455" t="s">
        <v>184</v>
      </c>
      <c r="C116" s="55"/>
      <c r="D116" s="82" t="s">
        <v>259</v>
      </c>
      <c r="E116" s="83"/>
      <c r="F116" s="361">
        <v>20.170000000000002</v>
      </c>
      <c r="G116" s="57">
        <v>670</v>
      </c>
      <c r="H116" s="45">
        <f t="shared" si="75"/>
        <v>13513.900000000001</v>
      </c>
      <c r="I116" s="453"/>
      <c r="J116" s="46">
        <v>12</v>
      </c>
      <c r="K116" s="44">
        <v>1500</v>
      </c>
      <c r="L116" s="47">
        <v>125</v>
      </c>
      <c r="M116" s="464">
        <v>12</v>
      </c>
      <c r="N116" s="44">
        <f t="shared" si="76"/>
        <v>1435.7142857142826</v>
      </c>
      <c r="O116" s="47">
        <f t="shared" si="77"/>
        <v>119.64285714285688</v>
      </c>
      <c r="P116" s="48">
        <f t="shared" si="72"/>
        <v>0</v>
      </c>
      <c r="Q116" s="49">
        <f t="shared" si="73"/>
        <v>-5.357142857143117</v>
      </c>
      <c r="R116" s="457">
        <f t="shared" si="74"/>
        <v>0.95714285714285507</v>
      </c>
      <c r="S116" s="707"/>
      <c r="T116" s="230">
        <v>0.80208333333333337</v>
      </c>
      <c r="U116" s="230">
        <v>0.82152777777777786</v>
      </c>
      <c r="V116" s="231">
        <v>22</v>
      </c>
      <c r="W116" s="466">
        <f t="shared" si="70"/>
        <v>28.00000000000006</v>
      </c>
      <c r="X116" s="219">
        <v>0.79027777777777775</v>
      </c>
      <c r="Y116" s="219">
        <v>0.7993055555555556</v>
      </c>
      <c r="Z116" s="220"/>
      <c r="AA116" s="220"/>
      <c r="AB116" s="658"/>
      <c r="AC116" s="658"/>
      <c r="AD116" s="224"/>
      <c r="AE116" s="224"/>
      <c r="AF116" s="48">
        <f t="shared" si="61"/>
        <v>-64.285714285717404</v>
      </c>
      <c r="AG116" s="126">
        <f t="shared" si="62"/>
        <v>0.95714285714285507</v>
      </c>
      <c r="AH116" s="681"/>
    </row>
    <row r="117" spans="1:34" s="221" customFormat="1" ht="19.2" customHeight="1">
      <c r="A117" s="704"/>
      <c r="B117" s="455" t="s">
        <v>184</v>
      </c>
      <c r="C117" s="55"/>
      <c r="D117" s="179" t="s">
        <v>309</v>
      </c>
      <c r="E117" s="83"/>
      <c r="F117" s="361">
        <v>19.41</v>
      </c>
      <c r="G117" s="57">
        <v>3419</v>
      </c>
      <c r="H117" s="45">
        <f t="shared" si="75"/>
        <v>66362.789999999994</v>
      </c>
      <c r="I117" s="453"/>
      <c r="J117" s="46">
        <v>12</v>
      </c>
      <c r="K117" s="44">
        <v>1500</v>
      </c>
      <c r="L117" s="47">
        <v>125</v>
      </c>
      <c r="M117" s="464">
        <v>12</v>
      </c>
      <c r="N117" s="44">
        <f t="shared" si="76"/>
        <v>1405.0684931506853</v>
      </c>
      <c r="O117" s="47">
        <f t="shared" si="77"/>
        <v>117.08904109589044</v>
      </c>
      <c r="P117" s="48">
        <f t="shared" si="72"/>
        <v>0</v>
      </c>
      <c r="Q117" s="49">
        <f t="shared" si="73"/>
        <v>-7.9109589041095632</v>
      </c>
      <c r="R117" s="457">
        <f t="shared" si="74"/>
        <v>0.93671232876712351</v>
      </c>
      <c r="S117" s="707"/>
      <c r="T117" s="230">
        <v>0.82638888888888895</v>
      </c>
      <c r="U117" s="230">
        <v>0.92777777777777781</v>
      </c>
      <c r="V117" s="231">
        <v>7</v>
      </c>
      <c r="W117" s="466">
        <f t="shared" si="70"/>
        <v>145.99999999999997</v>
      </c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-94.931506849314701</v>
      </c>
      <c r="AG117" s="126">
        <f t="shared" si="62"/>
        <v>0.93671232876712351</v>
      </c>
      <c r="AH117" s="681"/>
    </row>
    <row r="118" spans="1:34" s="221" customFormat="1" ht="19.2" customHeight="1">
      <c r="A118" s="704"/>
      <c r="B118" s="455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453"/>
      <c r="J118" s="46"/>
      <c r="K118" s="44"/>
      <c r="L118" s="47"/>
      <c r="M118" s="464"/>
      <c r="N118" s="44"/>
      <c r="O118" s="47"/>
      <c r="P118" s="48"/>
      <c r="Q118" s="49"/>
      <c r="R118" s="457"/>
      <c r="S118" s="707"/>
      <c r="T118" s="230"/>
      <c r="U118" s="230"/>
      <c r="V118" s="231"/>
      <c r="W118" s="466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453"/>
      <c r="J119" s="181"/>
      <c r="K119" s="235"/>
      <c r="L119" s="47"/>
      <c r="M119" s="464"/>
      <c r="N119" s="182"/>
      <c r="O119" s="228"/>
      <c r="P119" s="168"/>
      <c r="Q119" s="49"/>
      <c r="R119" s="457"/>
      <c r="S119" s="707"/>
      <c r="T119" s="230"/>
      <c r="U119" s="230"/>
      <c r="V119" s="231"/>
      <c r="W119" s="466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453"/>
      <c r="J120" s="181"/>
      <c r="K120" s="235"/>
      <c r="L120" s="47"/>
      <c r="M120" s="464"/>
      <c r="N120" s="182"/>
      <c r="O120" s="228"/>
      <c r="P120" s="168"/>
      <c r="Q120" s="49"/>
      <c r="R120" s="457"/>
      <c r="S120" s="707"/>
      <c r="T120" s="230"/>
      <c r="U120" s="230"/>
      <c r="V120" s="231"/>
      <c r="W120" s="466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482</v>
      </c>
      <c r="D121" s="236" t="s">
        <v>414</v>
      </c>
      <c r="E121" s="237"/>
      <c r="F121" s="370"/>
      <c r="G121" s="238"/>
      <c r="H121" s="239"/>
      <c r="I121" s="240"/>
      <c r="J121" s="205">
        <v>15.333333333333334</v>
      </c>
      <c r="K121" s="205">
        <v>1621</v>
      </c>
      <c r="L121" s="206">
        <v>116.16878306878306</v>
      </c>
      <c r="M121" s="205">
        <f t="shared" ref="M121:O121" si="78">AVERAGE(M109:M120)</f>
        <v>15.444444444444445</v>
      </c>
      <c r="N121" s="205">
        <f t="shared" si="78"/>
        <v>1452.2047902781298</v>
      </c>
      <c r="O121" s="206">
        <f t="shared" si="78"/>
        <v>102.89307485240712</v>
      </c>
      <c r="P121" s="48">
        <f t="shared" ref="P121:P129" si="79">M121-J121</f>
        <v>0.11111111111111072</v>
      </c>
      <c r="Q121" s="49">
        <f t="shared" ref="Q121:Q129" si="80">O121-L121</f>
        <v>-13.275708216375932</v>
      </c>
      <c r="R121" s="175">
        <f t="shared" ref="R121:R129" si="81">O121/L121</f>
        <v>0.88572051918185768</v>
      </c>
      <c r="S121" s="686"/>
      <c r="T121" s="50"/>
      <c r="U121" s="50"/>
      <c r="V121" s="44"/>
      <c r="W121" s="46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1</v>
      </c>
      <c r="AE121" s="107">
        <f>SUM(AE109:AE120)</f>
        <v>0</v>
      </c>
      <c r="AF121" s="48">
        <f>N121-K121</f>
        <v>-168.79520972187015</v>
      </c>
      <c r="AG121" s="126">
        <f>N121/K121</f>
        <v>0.89586970405806898</v>
      </c>
      <c r="AH121" s="681"/>
    </row>
    <row r="122" spans="1:34" ht="19.2" customHeight="1">
      <c r="A122" s="708" t="s">
        <v>483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1779</v>
      </c>
      <c r="H122" s="45">
        <f t="shared" ref="H122:H132" si="82">F122*G122</f>
        <v>104373.93000000001</v>
      </c>
      <c r="I122" s="455"/>
      <c r="J122" s="46">
        <v>19</v>
      </c>
      <c r="K122" s="44">
        <v>1440</v>
      </c>
      <c r="L122" s="47">
        <v>75.78947368421052</v>
      </c>
      <c r="M122" s="467">
        <v>19</v>
      </c>
      <c r="N122" s="177">
        <f t="shared" ref="N122:N129" si="83">G122/W122*60</f>
        <v>1351.1392405063284</v>
      </c>
      <c r="O122" s="241">
        <f t="shared" ref="O122:O129" si="84">N122/M122</f>
        <v>71.112591605596236</v>
      </c>
      <c r="P122" s="108">
        <f t="shared" si="79"/>
        <v>0</v>
      </c>
      <c r="Q122" s="185">
        <f t="shared" si="80"/>
        <v>-4.676882078614284</v>
      </c>
      <c r="R122" s="109">
        <f t="shared" si="81"/>
        <v>0.938291139240506</v>
      </c>
      <c r="S122" s="672">
        <f>R134</f>
        <v>0.8916211829641657</v>
      </c>
      <c r="T122" s="50">
        <v>0.5</v>
      </c>
      <c r="U122" s="50">
        <v>0.55486111111111114</v>
      </c>
      <c r="V122" s="231">
        <v>5</v>
      </c>
      <c r="W122" s="466">
        <f t="shared" si="70"/>
        <v>79.000000000000043</v>
      </c>
      <c r="X122" s="53"/>
      <c r="Y122" s="53"/>
      <c r="Z122" s="54"/>
      <c r="AA122" s="54"/>
      <c r="AB122" s="658"/>
      <c r="AC122" s="658"/>
      <c r="AD122" s="453"/>
      <c r="AE122" s="453"/>
      <c r="AF122" s="48">
        <f t="shared" si="61"/>
        <v>-88.860759493671594</v>
      </c>
      <c r="AG122" s="457">
        <f t="shared" si="62"/>
        <v>0.93829113924050589</v>
      </c>
      <c r="AH122" s="686">
        <f>AG134</f>
        <v>0.90483722303183722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2263</v>
      </c>
      <c r="H123" s="45">
        <f t="shared" si="82"/>
        <v>134693.76000000001</v>
      </c>
      <c r="I123" s="453"/>
      <c r="J123" s="87">
        <v>21</v>
      </c>
      <c r="K123" s="57">
        <v>1385</v>
      </c>
      <c r="L123" s="86">
        <v>65.952380952380949</v>
      </c>
      <c r="M123" s="464">
        <v>21</v>
      </c>
      <c r="N123" s="57">
        <f t="shared" si="83"/>
        <v>1305.5769230769238</v>
      </c>
      <c r="O123" s="86">
        <f t="shared" si="84"/>
        <v>62.170329670329707</v>
      </c>
      <c r="P123" s="54">
        <f t="shared" si="79"/>
        <v>0</v>
      </c>
      <c r="Q123" s="88">
        <f t="shared" si="80"/>
        <v>-3.782051282051242</v>
      </c>
      <c r="R123" s="454">
        <f t="shared" si="81"/>
        <v>0.9426548181060822</v>
      </c>
      <c r="S123" s="672"/>
      <c r="T123" s="50">
        <v>0.57013888888888886</v>
      </c>
      <c r="U123" s="50">
        <v>0.64236111111111105</v>
      </c>
      <c r="V123" s="231">
        <v>22</v>
      </c>
      <c r="W123" s="466">
        <f>(U123-T123)*24*60</f>
        <v>103.99999999999994</v>
      </c>
      <c r="X123" s="53">
        <v>0.55833333333333335</v>
      </c>
      <c r="Y123" s="53">
        <v>0.56736111111111109</v>
      </c>
      <c r="Z123" s="54"/>
      <c r="AA123" s="54"/>
      <c r="AB123" s="658"/>
      <c r="AC123" s="658"/>
      <c r="AD123" s="453"/>
      <c r="AE123" s="453"/>
      <c r="AF123" s="48">
        <f t="shared" si="61"/>
        <v>-79.423076923076223</v>
      </c>
      <c r="AG123" s="457">
        <f t="shared" si="62"/>
        <v>0.9426548181060822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1237</v>
      </c>
      <c r="H124" s="45">
        <f t="shared" si="82"/>
        <v>70249.23</v>
      </c>
      <c r="I124" s="242"/>
      <c r="J124" s="87">
        <v>18</v>
      </c>
      <c r="K124" s="57">
        <v>1636</v>
      </c>
      <c r="L124" s="86">
        <v>90.888888888888886</v>
      </c>
      <c r="M124" s="467">
        <v>18</v>
      </c>
      <c r="N124" s="177">
        <f t="shared" si="83"/>
        <v>1514.6938775510209</v>
      </c>
      <c r="O124" s="241">
        <f t="shared" si="84"/>
        <v>84.149659863945601</v>
      </c>
      <c r="P124" s="108">
        <f t="shared" si="79"/>
        <v>0</v>
      </c>
      <c r="Q124" s="185">
        <f t="shared" si="80"/>
        <v>-6.7392290249432847</v>
      </c>
      <c r="R124" s="109">
        <f t="shared" si="81"/>
        <v>0.92585200339304452</v>
      </c>
      <c r="S124" s="709"/>
      <c r="T124" s="50">
        <v>0.70833333333333337</v>
      </c>
      <c r="U124" s="50">
        <v>0.74236111111111114</v>
      </c>
      <c r="V124" s="231">
        <v>5</v>
      </c>
      <c r="W124" s="243">
        <f>(U124-T124)*24*60</f>
        <v>48.999999999999986</v>
      </c>
      <c r="X124" s="191"/>
      <c r="Y124" s="191"/>
      <c r="Z124" s="54"/>
      <c r="AA124" s="54"/>
      <c r="AB124" s="658"/>
      <c r="AC124" s="658"/>
      <c r="AD124" s="453"/>
      <c r="AE124" s="453"/>
      <c r="AF124" s="108">
        <f t="shared" si="61"/>
        <v>-121.30612244897907</v>
      </c>
      <c r="AG124" s="109">
        <f t="shared" si="62"/>
        <v>0.92585200339304463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890</v>
      </c>
      <c r="H125" s="45">
        <f t="shared" si="82"/>
        <v>50614.299999999996</v>
      </c>
      <c r="I125" s="455"/>
      <c r="J125" s="87">
        <v>18</v>
      </c>
      <c r="K125" s="57">
        <v>1636</v>
      </c>
      <c r="L125" s="86">
        <v>90.888888888888886</v>
      </c>
      <c r="M125" s="467">
        <v>18</v>
      </c>
      <c r="N125" s="57">
        <f t="shared" si="83"/>
        <v>1525.7142857142842</v>
      </c>
      <c r="O125" s="86">
        <f t="shared" si="84"/>
        <v>84.761904761904674</v>
      </c>
      <c r="P125" s="54">
        <f t="shared" si="79"/>
        <v>0</v>
      </c>
      <c r="Q125" s="88">
        <f t="shared" si="80"/>
        <v>-6.1269841269842118</v>
      </c>
      <c r="R125" s="454">
        <f t="shared" si="81"/>
        <v>0.93258819420188521</v>
      </c>
      <c r="S125" s="709"/>
      <c r="T125" s="50">
        <v>0.74722222222222223</v>
      </c>
      <c r="U125" s="50">
        <v>0.77152777777777781</v>
      </c>
      <c r="V125" s="231">
        <v>7</v>
      </c>
      <c r="W125" s="243">
        <f t="shared" ref="W125:W133" si="85">(U125-T125)*24*60</f>
        <v>35.000000000000036</v>
      </c>
      <c r="X125" s="64"/>
      <c r="Y125" s="64"/>
      <c r="Z125" s="54"/>
      <c r="AA125" s="54"/>
      <c r="AB125" s="658"/>
      <c r="AC125" s="658"/>
      <c r="AD125" s="453"/>
      <c r="AE125" s="453"/>
      <c r="AF125" s="48">
        <f t="shared" si="61"/>
        <v>-110.28571428571581</v>
      </c>
      <c r="AG125" s="457">
        <f t="shared" si="62"/>
        <v>0.93258819420188521</v>
      </c>
      <c r="AH125" s="673"/>
    </row>
    <row r="126" spans="1:34" ht="19.2" customHeight="1">
      <c r="A126" s="708"/>
      <c r="B126" s="131" t="s">
        <v>185</v>
      </c>
      <c r="C126" s="453"/>
      <c r="D126" s="42" t="s">
        <v>113</v>
      </c>
      <c r="E126" s="180"/>
      <c r="F126" s="361">
        <v>54.09</v>
      </c>
      <c r="G126" s="57">
        <v>896</v>
      </c>
      <c r="H126" s="45">
        <f t="shared" si="82"/>
        <v>48464.639999999999</v>
      </c>
      <c r="I126" s="453"/>
      <c r="J126" s="87">
        <v>17</v>
      </c>
      <c r="K126" s="57">
        <v>1565</v>
      </c>
      <c r="L126" s="86">
        <v>92.058823529411768</v>
      </c>
      <c r="M126" s="464">
        <v>18</v>
      </c>
      <c r="N126" s="57">
        <f t="shared" si="83"/>
        <v>1414.736842105262</v>
      </c>
      <c r="O126" s="86">
        <f t="shared" si="84"/>
        <v>78.596491228070107</v>
      </c>
      <c r="P126" s="54">
        <f t="shared" si="79"/>
        <v>1</v>
      </c>
      <c r="Q126" s="88">
        <f t="shared" si="80"/>
        <v>-13.462332301341661</v>
      </c>
      <c r="R126" s="454">
        <f t="shared" si="81"/>
        <v>0.85376380247743888</v>
      </c>
      <c r="S126" s="709"/>
      <c r="T126" s="50">
        <v>0.77569444444444446</v>
      </c>
      <c r="U126" s="50">
        <v>0.80208333333333337</v>
      </c>
      <c r="V126" s="231">
        <v>6</v>
      </c>
      <c r="W126" s="243">
        <f t="shared" si="85"/>
        <v>38.000000000000028</v>
      </c>
      <c r="X126" s="64"/>
      <c r="Y126" s="64"/>
      <c r="Z126" s="54"/>
      <c r="AA126" s="54"/>
      <c r="AB126" s="658"/>
      <c r="AC126" s="658"/>
      <c r="AD126" s="453"/>
      <c r="AE126" s="453"/>
      <c r="AF126" s="108">
        <f t="shared" si="61"/>
        <v>-150.26315789473801</v>
      </c>
      <c r="AG126" s="109">
        <f t="shared" si="62"/>
        <v>0.90398520262317061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1206</v>
      </c>
      <c r="H127" s="45">
        <f t="shared" si="82"/>
        <v>57405.599999999999</v>
      </c>
      <c r="I127" s="224"/>
      <c r="J127" s="87">
        <v>19</v>
      </c>
      <c r="K127" s="57">
        <v>1440</v>
      </c>
      <c r="L127" s="86">
        <v>75.78947368421052</v>
      </c>
      <c r="M127" s="467">
        <v>19</v>
      </c>
      <c r="N127" s="177">
        <f t="shared" si="83"/>
        <v>1315.6363636363644</v>
      </c>
      <c r="O127" s="241">
        <f t="shared" si="84"/>
        <v>69.244019138756016</v>
      </c>
      <c r="P127" s="108">
        <f t="shared" si="79"/>
        <v>0</v>
      </c>
      <c r="Q127" s="185">
        <f t="shared" si="80"/>
        <v>-6.5454545454545041</v>
      </c>
      <c r="R127" s="109">
        <f t="shared" si="81"/>
        <v>0.91363636363636413</v>
      </c>
      <c r="S127" s="709"/>
      <c r="T127" s="50">
        <v>0.81805555555555554</v>
      </c>
      <c r="U127" s="50">
        <v>0.85624999999999996</v>
      </c>
      <c r="V127" s="455">
        <v>23</v>
      </c>
      <c r="W127" s="243">
        <f t="shared" si="85"/>
        <v>54.999999999999964</v>
      </c>
      <c r="X127" s="64">
        <v>0.80555555555555547</v>
      </c>
      <c r="Y127" s="64">
        <v>0.81527777777777777</v>
      </c>
      <c r="Z127" s="54"/>
      <c r="AA127" s="54"/>
      <c r="AB127" s="658"/>
      <c r="AC127" s="658"/>
      <c r="AD127" s="453"/>
      <c r="AE127" s="453"/>
      <c r="AF127" s="108">
        <f t="shared" si="61"/>
        <v>-124.36363636363558</v>
      </c>
      <c r="AG127" s="109">
        <f t="shared" si="62"/>
        <v>0.91363636363636413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247</v>
      </c>
      <c r="H128" s="45">
        <f t="shared" si="82"/>
        <v>12515.49</v>
      </c>
      <c r="I128" s="453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1235.0000000000043</v>
      </c>
      <c r="O128" s="86">
        <f t="shared" si="84"/>
        <v>58.809523809524016</v>
      </c>
      <c r="P128" s="54">
        <f t="shared" si="79"/>
        <v>0</v>
      </c>
      <c r="Q128" s="88">
        <f t="shared" si="80"/>
        <v>-19.095238095237882</v>
      </c>
      <c r="R128" s="454">
        <f t="shared" si="81"/>
        <v>0.75488997555012494</v>
      </c>
      <c r="S128" s="709"/>
      <c r="T128" s="50">
        <v>0.86111111111111105</v>
      </c>
      <c r="U128" s="50">
        <v>0.86944444444444435</v>
      </c>
      <c r="V128" s="455">
        <v>7</v>
      </c>
      <c r="W128" s="243">
        <f t="shared" si="85"/>
        <v>11.999999999999957</v>
      </c>
      <c r="X128" s="64"/>
      <c r="Y128" s="64"/>
      <c r="Z128" s="54"/>
      <c r="AA128" s="54"/>
      <c r="AB128" s="658"/>
      <c r="AC128" s="658"/>
      <c r="AD128" s="453"/>
      <c r="AE128" s="453"/>
      <c r="AF128" s="108">
        <f t="shared" si="61"/>
        <v>-400.99999999999568</v>
      </c>
      <c r="AG128" s="109">
        <f t="shared" si="62"/>
        <v>0.75488997555012494</v>
      </c>
      <c r="AH128" s="673"/>
    </row>
    <row r="129" spans="1:34" ht="19.2" customHeight="1">
      <c r="A129" s="708"/>
      <c r="B129" s="131" t="s">
        <v>185</v>
      </c>
      <c r="C129" s="160"/>
      <c r="D129" s="59" t="s">
        <v>121</v>
      </c>
      <c r="E129" s="60"/>
      <c r="F129" s="361">
        <v>50.49</v>
      </c>
      <c r="G129" s="57">
        <v>1334</v>
      </c>
      <c r="H129" s="45">
        <f t="shared" si="82"/>
        <v>67353.66</v>
      </c>
      <c r="I129" s="453">
        <v>1</v>
      </c>
      <c r="J129" s="87">
        <v>14</v>
      </c>
      <c r="K129" s="57">
        <v>1440</v>
      </c>
      <c r="L129" s="86">
        <v>102.85714285714286</v>
      </c>
      <c r="M129" s="464">
        <v>15</v>
      </c>
      <c r="N129" s="57">
        <f t="shared" si="83"/>
        <v>1356.6101694915267</v>
      </c>
      <c r="O129" s="86">
        <f t="shared" si="84"/>
        <v>90.440677966101774</v>
      </c>
      <c r="P129" s="54">
        <f t="shared" si="79"/>
        <v>1</v>
      </c>
      <c r="Q129" s="88">
        <f t="shared" si="80"/>
        <v>-12.416464891041088</v>
      </c>
      <c r="R129" s="454">
        <f t="shared" si="81"/>
        <v>0.87928436911487828</v>
      </c>
      <c r="S129" s="709"/>
      <c r="T129" s="50">
        <v>0.87361111111111101</v>
      </c>
      <c r="U129" s="50">
        <v>0.91458333333333319</v>
      </c>
      <c r="V129" s="455">
        <v>6</v>
      </c>
      <c r="W129" s="243">
        <f t="shared" si="85"/>
        <v>58.99999999999995</v>
      </c>
      <c r="X129" s="64"/>
      <c r="Y129" s="64"/>
      <c r="Z129" s="54"/>
      <c r="AA129" s="54"/>
      <c r="AB129" s="658"/>
      <c r="AC129" s="658"/>
      <c r="AD129" s="453"/>
      <c r="AE129" s="453"/>
      <c r="AF129" s="108"/>
      <c r="AG129" s="109"/>
      <c r="AH129" s="673"/>
    </row>
    <row r="130" spans="1:34" ht="19.2" customHeight="1">
      <c r="A130" s="708"/>
      <c r="B130" s="203">
        <v>0</v>
      </c>
      <c r="C130" s="160"/>
      <c r="D130" s="59"/>
      <c r="E130" s="60"/>
      <c r="F130" s="361" t="s">
        <v>186</v>
      </c>
      <c r="G130" s="57"/>
      <c r="H130" s="45">
        <f t="shared" si="82"/>
        <v>0</v>
      </c>
      <c r="I130" s="453"/>
      <c r="J130" s="87"/>
      <c r="K130" s="57"/>
      <c r="L130" s="86"/>
      <c r="M130" s="464"/>
      <c r="N130" s="177"/>
      <c r="O130" s="241"/>
      <c r="P130" s="108"/>
      <c r="Q130" s="185"/>
      <c r="R130" s="109"/>
      <c r="S130" s="709"/>
      <c r="T130" s="50"/>
      <c r="U130" s="50"/>
      <c r="V130" s="455"/>
      <c r="W130" s="243"/>
      <c r="X130" s="64"/>
      <c r="Y130" s="64"/>
      <c r="Z130" s="54"/>
      <c r="AA130" s="54"/>
      <c r="AB130" s="658"/>
      <c r="AC130" s="658"/>
      <c r="AD130" s="453"/>
      <c r="AE130" s="453"/>
      <c r="AF130" s="65"/>
      <c r="AG130" s="458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54"/>
      <c r="S131" s="709"/>
      <c r="T131" s="50"/>
      <c r="U131" s="50"/>
      <c r="V131" s="455"/>
      <c r="W131" s="243"/>
      <c r="X131" s="64"/>
      <c r="Y131" s="64"/>
      <c r="Z131" s="54"/>
      <c r="AA131" s="54"/>
      <c r="AB131" s="658"/>
      <c r="AC131" s="658"/>
      <c r="AD131" s="453"/>
      <c r="AE131" s="453"/>
      <c r="AF131" s="65"/>
      <c r="AG131" s="458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453"/>
      <c r="J132" s="87"/>
      <c r="K132" s="57"/>
      <c r="L132" s="86"/>
      <c r="M132" s="464"/>
      <c r="N132" s="57"/>
      <c r="O132" s="86"/>
      <c r="P132" s="54"/>
      <c r="Q132" s="88"/>
      <c r="R132" s="454"/>
      <c r="S132" s="709"/>
      <c r="T132" s="50"/>
      <c r="U132" s="50"/>
      <c r="V132" s="455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453"/>
      <c r="AE132" s="453"/>
      <c r="AF132" s="65"/>
      <c r="AG132" s="458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453"/>
      <c r="J133" s="87"/>
      <c r="K133" s="57"/>
      <c r="L133" s="86"/>
      <c r="M133" s="464"/>
      <c r="N133" s="57"/>
      <c r="O133" s="86"/>
      <c r="P133" s="54"/>
      <c r="Q133" s="88"/>
      <c r="R133" s="454"/>
      <c r="S133" s="709"/>
      <c r="T133" s="50"/>
      <c r="U133" s="50"/>
      <c r="V133" s="455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453"/>
      <c r="AE133" s="453"/>
      <c r="AF133" s="65"/>
      <c r="AG133" s="458"/>
      <c r="AH133" s="673"/>
    </row>
    <row r="134" spans="1:34" ht="19.2" customHeight="1">
      <c r="A134" s="708"/>
      <c r="B134" s="171">
        <v>0</v>
      </c>
      <c r="C134" s="100" t="s">
        <v>484</v>
      </c>
      <c r="D134" s="687" t="s">
        <v>414</v>
      </c>
      <c r="E134" s="687"/>
      <c r="F134" s="371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1377.3884627602142</v>
      </c>
      <c r="O134" s="247">
        <f t="shared" si="86"/>
        <v>74.910649755528524</v>
      </c>
      <c r="P134" s="51">
        <f t="shared" ref="P134:P142" si="87">M134-J134</f>
        <v>0.25</v>
      </c>
      <c r="Q134" s="142">
        <f t="shared" ref="Q134:Q142" si="88">O134-L134</f>
        <v>-9.1055795432085205</v>
      </c>
      <c r="R134" s="248">
        <f t="shared" ref="R134:R142" si="89">O134/L134</f>
        <v>0.8916211829641657</v>
      </c>
      <c r="S134" s="672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0</v>
      </c>
      <c r="AE134" s="107">
        <f>SUM(AE122:AE133)</f>
        <v>0</v>
      </c>
      <c r="AF134" s="48">
        <f t="shared" si="61"/>
        <v>-144.86153723978578</v>
      </c>
      <c r="AG134" s="457">
        <f t="shared" si="62"/>
        <v>0.90483722303183722</v>
      </c>
      <c r="AH134" s="673"/>
    </row>
    <row r="135" spans="1:34" ht="19.2" customHeight="1">
      <c r="A135" s="710" t="s">
        <v>485</v>
      </c>
      <c r="B135" s="455" t="s">
        <v>185</v>
      </c>
      <c r="C135" s="453"/>
      <c r="D135" s="82" t="s">
        <v>101</v>
      </c>
      <c r="E135" s="83"/>
      <c r="F135" s="361">
        <v>53.68</v>
      </c>
      <c r="G135" s="57">
        <v>806</v>
      </c>
      <c r="H135" s="249">
        <f t="shared" ref="H135:H146" si="90">F135*G135</f>
        <v>43266.080000000002</v>
      </c>
      <c r="I135" s="453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1422.3529411764687</v>
      </c>
      <c r="O135" s="116">
        <f t="shared" ref="O135:O142" si="92">N135/M135</f>
        <v>88.897058823529292</v>
      </c>
      <c r="P135" s="54">
        <f t="shared" si="87"/>
        <v>0</v>
      </c>
      <c r="Q135" s="88">
        <f t="shared" si="88"/>
        <v>-4.8529411764707078</v>
      </c>
      <c r="R135" s="454">
        <f t="shared" si="89"/>
        <v>0.94823529411764573</v>
      </c>
      <c r="S135" s="707">
        <f>R147</f>
        <v>0.92228653136109784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69"/>
      <c r="Y135" s="469"/>
      <c r="Z135" s="54"/>
      <c r="AA135" s="54"/>
      <c r="AB135" s="658"/>
      <c r="AC135" s="658"/>
      <c r="AD135" s="453"/>
      <c r="AE135" s="453"/>
      <c r="AF135" s="117">
        <f t="shared" si="61"/>
        <v>-77.647058823531324</v>
      </c>
      <c r="AG135" s="121">
        <f t="shared" si="62"/>
        <v>0.94823529411764573</v>
      </c>
      <c r="AH135" s="681">
        <f>AG147</f>
        <v>0.92265736508355711</v>
      </c>
    </row>
    <row r="136" spans="1:34" ht="19.2" customHeight="1">
      <c r="A136" s="711"/>
      <c r="B136" s="455" t="s">
        <v>185</v>
      </c>
      <c r="C136" s="453"/>
      <c r="D136" s="82" t="s">
        <v>102</v>
      </c>
      <c r="E136" s="252"/>
      <c r="F136" s="361">
        <v>57.734999999999999</v>
      </c>
      <c r="G136" s="57">
        <v>1514</v>
      </c>
      <c r="H136" s="84">
        <f t="shared" si="90"/>
        <v>87410.79</v>
      </c>
      <c r="I136" s="453"/>
      <c r="J136" s="46">
        <v>16</v>
      </c>
      <c r="K136" s="57">
        <v>1565</v>
      </c>
      <c r="L136" s="86">
        <v>97.8125</v>
      </c>
      <c r="M136" s="464">
        <v>16</v>
      </c>
      <c r="N136" s="57">
        <f t="shared" si="91"/>
        <v>1376.3636363636379</v>
      </c>
      <c r="O136" s="86">
        <f t="shared" si="92"/>
        <v>86.022727272727366</v>
      </c>
      <c r="P136" s="54">
        <f t="shared" si="87"/>
        <v>0</v>
      </c>
      <c r="Q136" s="88">
        <f t="shared" si="88"/>
        <v>-11.789772727272634</v>
      </c>
      <c r="R136" s="454">
        <f t="shared" si="89"/>
        <v>0.8794655823409826</v>
      </c>
      <c r="S136" s="707"/>
      <c r="T136" s="250">
        <v>0.52847222222222223</v>
      </c>
      <c r="U136" s="50">
        <v>0.57430555555555551</v>
      </c>
      <c r="V136" s="145">
        <v>7</v>
      </c>
      <c r="W136" s="251">
        <f t="shared" si="93"/>
        <v>65.999999999999929</v>
      </c>
      <c r="X136" s="53"/>
      <c r="Y136" s="53"/>
      <c r="Z136" s="54"/>
      <c r="AA136" s="54"/>
      <c r="AB136" s="658"/>
      <c r="AC136" s="658"/>
      <c r="AD136" s="453"/>
      <c r="AE136" s="453"/>
      <c r="AF136" s="48">
        <f t="shared" si="61"/>
        <v>-188.63636363636215</v>
      </c>
      <c r="AG136" s="126">
        <f t="shared" si="62"/>
        <v>0.8794655823409826</v>
      </c>
      <c r="AH136" s="681"/>
    </row>
    <row r="137" spans="1:34" ht="19.2" customHeight="1">
      <c r="A137" s="711"/>
      <c r="B137" s="455" t="s">
        <v>185</v>
      </c>
      <c r="C137" s="453"/>
      <c r="D137" s="82" t="s">
        <v>116</v>
      </c>
      <c r="E137" s="83"/>
      <c r="F137" s="361">
        <v>50.67</v>
      </c>
      <c r="G137" s="212">
        <v>842</v>
      </c>
      <c r="H137" s="84">
        <f t="shared" si="90"/>
        <v>42664.14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1403.3333333333323</v>
      </c>
      <c r="O137" s="86">
        <f t="shared" si="92"/>
        <v>82.549019607843078</v>
      </c>
      <c r="P137" s="54">
        <f t="shared" si="87"/>
        <v>0</v>
      </c>
      <c r="Q137" s="88">
        <f t="shared" si="88"/>
        <v>-5.6862745098039795</v>
      </c>
      <c r="R137" s="454">
        <f t="shared" si="89"/>
        <v>0.93555555555555492</v>
      </c>
      <c r="S137" s="707"/>
      <c r="T137" s="50">
        <v>0.70833333333333337</v>
      </c>
      <c r="U137" s="50">
        <v>0.73333333333333339</v>
      </c>
      <c r="V137" s="253">
        <v>5</v>
      </c>
      <c r="W137" s="251">
        <f t="shared" si="93"/>
        <v>36.000000000000028</v>
      </c>
      <c r="X137" s="53"/>
      <c r="Y137" s="53"/>
      <c r="Z137" s="54"/>
      <c r="AA137" s="54"/>
      <c r="AB137" s="658"/>
      <c r="AC137" s="658"/>
      <c r="AD137" s="453"/>
      <c r="AE137" s="453"/>
      <c r="AF137" s="48">
        <f t="shared" si="61"/>
        <v>-96.666666666667652</v>
      </c>
      <c r="AG137" s="126">
        <f t="shared" si="62"/>
        <v>0.93555555555555492</v>
      </c>
      <c r="AH137" s="681"/>
    </row>
    <row r="138" spans="1:34" ht="19.2" customHeight="1">
      <c r="A138" s="711"/>
      <c r="B138" s="455" t="s">
        <v>185</v>
      </c>
      <c r="C138" s="226"/>
      <c r="D138" s="82" t="s">
        <v>117</v>
      </c>
      <c r="E138" s="83"/>
      <c r="F138" s="361">
        <v>50.98</v>
      </c>
      <c r="G138" s="57">
        <v>1503</v>
      </c>
      <c r="H138" s="84">
        <f t="shared" si="90"/>
        <v>76622.94</v>
      </c>
      <c r="I138" s="453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1326.176470588237</v>
      </c>
      <c r="O138" s="86">
        <f t="shared" si="92"/>
        <v>66.308823529411853</v>
      </c>
      <c r="P138" s="54">
        <f t="shared" si="87"/>
        <v>0</v>
      </c>
      <c r="Q138" s="88">
        <f t="shared" si="88"/>
        <v>-5.6911764705881467</v>
      </c>
      <c r="R138" s="459">
        <f t="shared" si="89"/>
        <v>0.92095588235294246</v>
      </c>
      <c r="S138" s="707"/>
      <c r="T138" s="50">
        <v>0.73819444444444449</v>
      </c>
      <c r="U138" s="50">
        <v>0.78541666666666665</v>
      </c>
      <c r="V138" s="253">
        <v>7</v>
      </c>
      <c r="W138" s="251">
        <f t="shared" si="93"/>
        <v>67.999999999999915</v>
      </c>
      <c r="X138" s="53"/>
      <c r="Y138" s="53"/>
      <c r="Z138" s="54"/>
      <c r="AA138" s="54"/>
      <c r="AB138" s="658"/>
      <c r="AC138" s="658"/>
      <c r="AD138" s="453"/>
      <c r="AE138" s="453">
        <v>1</v>
      </c>
      <c r="AF138" s="48">
        <f t="shared" si="61"/>
        <v>-113.82352941176305</v>
      </c>
      <c r="AG138" s="126">
        <f t="shared" si="62"/>
        <v>0.92095588235294235</v>
      </c>
      <c r="AH138" s="681"/>
    </row>
    <row r="139" spans="1:34" ht="19.2" customHeight="1">
      <c r="A139" s="711"/>
      <c r="B139" s="455" t="s">
        <v>185</v>
      </c>
      <c r="C139" s="462"/>
      <c r="D139" s="42" t="s">
        <v>118</v>
      </c>
      <c r="E139" s="43"/>
      <c r="F139" s="361">
        <v>54.09</v>
      </c>
      <c r="G139" s="57">
        <v>837</v>
      </c>
      <c r="H139" s="84">
        <f t="shared" si="90"/>
        <v>45273.33</v>
      </c>
      <c r="I139" s="453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1394.9999999999989</v>
      </c>
      <c r="O139" s="86">
        <f t="shared" si="92"/>
        <v>73.421052631578888</v>
      </c>
      <c r="P139" s="54">
        <f t="shared" si="87"/>
        <v>0</v>
      </c>
      <c r="Q139" s="88">
        <f t="shared" si="88"/>
        <v>-5.5263157894737418</v>
      </c>
      <c r="R139" s="454">
        <f t="shared" si="89"/>
        <v>0.92999999999999927</v>
      </c>
      <c r="S139" s="707"/>
      <c r="T139" s="50">
        <v>0.7895833333333333</v>
      </c>
      <c r="U139" s="50">
        <v>0.81458333333333333</v>
      </c>
      <c r="V139" s="254">
        <v>6</v>
      </c>
      <c r="W139" s="251">
        <f t="shared" si="93"/>
        <v>36.000000000000028</v>
      </c>
      <c r="X139" s="53"/>
      <c r="Y139" s="53"/>
      <c r="Z139" s="54"/>
      <c r="AA139" s="54"/>
      <c r="AB139" s="658"/>
      <c r="AC139" s="658"/>
      <c r="AD139" s="453"/>
      <c r="AE139" s="453"/>
      <c r="AF139" s="48">
        <f t="shared" si="61"/>
        <v>-105.00000000000114</v>
      </c>
      <c r="AG139" s="126">
        <f t="shared" si="62"/>
        <v>0.92999999999999927</v>
      </c>
      <c r="AH139" s="681"/>
    </row>
    <row r="140" spans="1:34" ht="19.2" customHeight="1">
      <c r="A140" s="712"/>
      <c r="B140" s="455" t="s">
        <v>185</v>
      </c>
      <c r="C140" s="462"/>
      <c r="D140" s="255" t="s">
        <v>119</v>
      </c>
      <c r="E140" s="83"/>
      <c r="F140" s="361">
        <v>50.92</v>
      </c>
      <c r="G140" s="57">
        <v>1801</v>
      </c>
      <c r="H140" s="84">
        <f t="shared" si="90"/>
        <v>91706.92</v>
      </c>
      <c r="I140" s="453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1334.0740740740735</v>
      </c>
      <c r="O140" s="86">
        <f t="shared" si="92"/>
        <v>70.21442495126702</v>
      </c>
      <c r="P140" s="54">
        <f t="shared" si="87"/>
        <v>0</v>
      </c>
      <c r="Q140" s="88">
        <f t="shared" si="88"/>
        <v>-5.5750487329435003</v>
      </c>
      <c r="R140" s="454">
        <f t="shared" si="89"/>
        <v>0.9264403292181066</v>
      </c>
      <c r="S140" s="714"/>
      <c r="T140" s="63">
        <v>0.83055555555555549</v>
      </c>
      <c r="U140" s="256">
        <v>0.88680555555555551</v>
      </c>
      <c r="V140" s="257">
        <v>23</v>
      </c>
      <c r="W140" s="251">
        <f t="shared" si="93"/>
        <v>81.000000000000028</v>
      </c>
      <c r="X140" s="53">
        <v>0.81805555555555554</v>
      </c>
      <c r="Y140" s="53">
        <v>0.82777777777777783</v>
      </c>
      <c r="Z140" s="54"/>
      <c r="AA140" s="54"/>
      <c r="AB140" s="658"/>
      <c r="AC140" s="658"/>
      <c r="AD140" s="453"/>
      <c r="AE140" s="453"/>
      <c r="AF140" s="48">
        <f t="shared" si="61"/>
        <v>-105.92592592592655</v>
      </c>
      <c r="AG140" s="126">
        <f t="shared" si="62"/>
        <v>0.9264403292181066</v>
      </c>
      <c r="AH140" s="681"/>
    </row>
    <row r="141" spans="1:34" ht="19.2" customHeight="1">
      <c r="A141" s="712"/>
      <c r="B141" s="455" t="s">
        <v>185</v>
      </c>
      <c r="C141" s="462"/>
      <c r="D141" s="42" t="s">
        <v>120</v>
      </c>
      <c r="E141" s="258"/>
      <c r="F141" s="361">
        <v>50.67</v>
      </c>
      <c r="G141" s="57">
        <v>805</v>
      </c>
      <c r="H141" s="84">
        <f t="shared" si="90"/>
        <v>40789.35</v>
      </c>
      <c r="I141" s="453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1305.4054054054045</v>
      </c>
      <c r="O141" s="86">
        <f t="shared" si="92"/>
        <v>76.788553259141437</v>
      </c>
      <c r="P141" s="54">
        <f t="shared" si="87"/>
        <v>0</v>
      </c>
      <c r="Q141" s="88">
        <f t="shared" si="88"/>
        <v>-7.9173290937997365</v>
      </c>
      <c r="R141" s="454">
        <f t="shared" si="89"/>
        <v>0.90653153153153088</v>
      </c>
      <c r="S141" s="714"/>
      <c r="T141" s="63">
        <v>0.89166666666666661</v>
      </c>
      <c r="U141" s="256">
        <v>0.91736111111111107</v>
      </c>
      <c r="V141" s="55">
        <v>7</v>
      </c>
      <c r="W141" s="251">
        <f t="shared" si="93"/>
        <v>37.000000000000028</v>
      </c>
      <c r="X141" s="53"/>
      <c r="Y141" s="53"/>
      <c r="Z141" s="54"/>
      <c r="AA141" s="54"/>
      <c r="AB141" s="658"/>
      <c r="AC141" s="658"/>
      <c r="AD141" s="453"/>
      <c r="AE141" s="453"/>
      <c r="AF141" s="48">
        <f t="shared" si="61"/>
        <v>-134.59459459459549</v>
      </c>
      <c r="AG141" s="126">
        <f t="shared" si="62"/>
        <v>0.90653153153153088</v>
      </c>
      <c r="AH141" s="681"/>
    </row>
    <row r="142" spans="1:34" ht="19.2" customHeight="1">
      <c r="A142" s="712"/>
      <c r="B142" s="455" t="s">
        <v>185</v>
      </c>
      <c r="C142" s="462"/>
      <c r="D142" s="42" t="s">
        <v>123</v>
      </c>
      <c r="E142" s="258"/>
      <c r="F142" s="361">
        <v>57.3</v>
      </c>
      <c r="G142" s="57">
        <v>1216</v>
      </c>
      <c r="H142" s="84">
        <f t="shared" si="90"/>
        <v>69676.800000000003</v>
      </c>
      <c r="I142" s="453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1403.0769230769238</v>
      </c>
      <c r="O142" s="86">
        <f t="shared" si="92"/>
        <v>77.948717948717984</v>
      </c>
      <c r="P142" s="54">
        <f t="shared" si="87"/>
        <v>0</v>
      </c>
      <c r="Q142" s="88">
        <f t="shared" si="88"/>
        <v>-5.3846153846153442</v>
      </c>
      <c r="R142" s="454">
        <f t="shared" si="89"/>
        <v>0.93538461538461581</v>
      </c>
      <c r="S142" s="714"/>
      <c r="T142" s="63">
        <v>0.92291666666666661</v>
      </c>
      <c r="U142" s="256">
        <v>0.9590277777777777</v>
      </c>
      <c r="V142" s="55">
        <v>8</v>
      </c>
      <c r="W142" s="251">
        <f t="shared" si="93"/>
        <v>51.999999999999972</v>
      </c>
      <c r="X142" s="53"/>
      <c r="Y142" s="53"/>
      <c r="Z142" s="54"/>
      <c r="AA142" s="54"/>
      <c r="AB142" s="658"/>
      <c r="AC142" s="658"/>
      <c r="AD142" s="453"/>
      <c r="AE142" s="453"/>
      <c r="AF142" s="48">
        <f t="shared" si="61"/>
        <v>-96.923076923076223</v>
      </c>
      <c r="AG142" s="126">
        <f t="shared" si="62"/>
        <v>0.93538461538461581</v>
      </c>
      <c r="AH142" s="681"/>
    </row>
    <row r="143" spans="1:34" ht="19.2" customHeight="1">
      <c r="A143" s="712"/>
      <c r="B143" s="455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453"/>
      <c r="J143" s="46"/>
      <c r="K143" s="44"/>
      <c r="L143" s="47"/>
      <c r="M143" s="232"/>
      <c r="N143" s="57"/>
      <c r="O143" s="86"/>
      <c r="P143" s="54"/>
      <c r="Q143" s="88"/>
      <c r="R143" s="454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453"/>
      <c r="AE143" s="453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55">
        <v>0</v>
      </c>
      <c r="C144" s="462"/>
      <c r="D144" s="42"/>
      <c r="E144" s="258"/>
      <c r="F144" s="361" t="s">
        <v>186</v>
      </c>
      <c r="G144" s="57"/>
      <c r="H144" s="84">
        <f t="shared" si="90"/>
        <v>0</v>
      </c>
      <c r="I144" s="453"/>
      <c r="J144" s="46"/>
      <c r="K144" s="57"/>
      <c r="L144" s="86"/>
      <c r="M144" s="464"/>
      <c r="N144" s="57"/>
      <c r="O144" s="86"/>
      <c r="P144" s="54"/>
      <c r="Q144" s="88"/>
      <c r="R144" s="459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453"/>
      <c r="AE144" s="453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55">
        <v>0</v>
      </c>
      <c r="C145" s="462"/>
      <c r="D145" s="42"/>
      <c r="E145" s="258"/>
      <c r="F145" s="361" t="s">
        <v>186</v>
      </c>
      <c r="G145" s="57"/>
      <c r="H145" s="84">
        <f t="shared" si="90"/>
        <v>0</v>
      </c>
      <c r="I145" s="453"/>
      <c r="J145" s="87"/>
      <c r="K145" s="57"/>
      <c r="L145" s="86"/>
      <c r="M145" s="464"/>
      <c r="N145" s="57"/>
      <c r="O145" s="86"/>
      <c r="P145" s="54"/>
      <c r="Q145" s="88"/>
      <c r="R145" s="454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453"/>
      <c r="AE145" s="453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69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453"/>
      <c r="J146" s="87"/>
      <c r="K146" s="57"/>
      <c r="L146" s="86"/>
      <c r="M146" s="464"/>
      <c r="N146" s="57"/>
      <c r="O146" s="86"/>
      <c r="P146" s="54"/>
      <c r="Q146" s="88"/>
      <c r="R146" s="454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453"/>
      <c r="AE146" s="453"/>
      <c r="AF146" s="54"/>
      <c r="AG146" s="454"/>
      <c r="AH146" s="681"/>
    </row>
    <row r="147" spans="1:34" ht="19.2" customHeight="1">
      <c r="A147" s="713"/>
      <c r="B147" s="261">
        <v>0</v>
      </c>
      <c r="C147" s="100" t="s">
        <v>486</v>
      </c>
      <c r="D147" s="687" t="s">
        <v>414</v>
      </c>
      <c r="E147" s="687"/>
      <c r="F147" s="375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1370.7228480022595</v>
      </c>
      <c r="O147" s="247">
        <f t="shared" si="94"/>
        <v>77.768797253027117</v>
      </c>
      <c r="P147" s="51">
        <f t="shared" ref="P147:P153" si="95">M147-J147</f>
        <v>0</v>
      </c>
      <c r="Q147" s="142">
        <f t="shared" ref="Q147:Q153" si="96">O147-L147</f>
        <v>-6.552934235620981</v>
      </c>
      <c r="R147" s="262">
        <f t="shared" ref="R147:R153" si="97">O147/L147</f>
        <v>0.92228653136109784</v>
      </c>
      <c r="S147" s="715"/>
      <c r="T147" s="63"/>
      <c r="U147" s="63"/>
      <c r="V147" s="55"/>
      <c r="W147" s="466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0</v>
      </c>
      <c r="AE147" s="107">
        <f>SUM(AE135:AE146)</f>
        <v>1</v>
      </c>
      <c r="AF147" s="207">
        <f t="shared" si="61"/>
        <v>-114.90215199774048</v>
      </c>
      <c r="AG147" s="263">
        <f t="shared" si="62"/>
        <v>0.92265736508355711</v>
      </c>
      <c r="AH147" s="681"/>
    </row>
    <row r="148" spans="1:34" ht="19.2" customHeight="1">
      <c r="A148" s="717" t="s">
        <v>487</v>
      </c>
      <c r="B148" s="453" t="s">
        <v>185</v>
      </c>
      <c r="C148" s="122"/>
      <c r="D148" s="176" t="s">
        <v>201</v>
      </c>
      <c r="E148" s="43"/>
      <c r="F148" s="368">
        <v>44.98</v>
      </c>
      <c r="G148" s="57">
        <v>1070.3</v>
      </c>
      <c r="H148" s="84">
        <f t="shared" ref="H148:H172" si="98">F148*G148</f>
        <v>48142.093999999997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1259.1764705882358</v>
      </c>
      <c r="O148" s="47">
        <f t="shared" ref="O148:O153" si="100">N148/M148</f>
        <v>66.272445820433461</v>
      </c>
      <c r="P148" s="48">
        <f t="shared" si="95"/>
        <v>0</v>
      </c>
      <c r="Q148" s="49">
        <f t="shared" si="96"/>
        <v>-12.674922600619169</v>
      </c>
      <c r="R148" s="457">
        <f t="shared" si="97"/>
        <v>0.83945098039215715</v>
      </c>
      <c r="S148" s="718">
        <f>R160</f>
        <v>0.84067400431818251</v>
      </c>
      <c r="T148" s="250">
        <v>0.70833333333333337</v>
      </c>
      <c r="U148" s="50">
        <v>0.74375000000000002</v>
      </c>
      <c r="V148" s="455">
        <v>5</v>
      </c>
      <c r="W148" s="466">
        <f>(U148-T148)*24*60</f>
        <v>50.999999999999979</v>
      </c>
      <c r="X148" s="53"/>
      <c r="Y148" s="53"/>
      <c r="Z148" s="54"/>
      <c r="AA148" s="54"/>
      <c r="AB148" s="658"/>
      <c r="AC148" s="658"/>
      <c r="AD148" s="453"/>
      <c r="AE148" s="453"/>
      <c r="AF148" s="48">
        <f t="shared" si="61"/>
        <v>-240.82352941176418</v>
      </c>
      <c r="AG148" s="126">
        <f t="shared" si="62"/>
        <v>0.83945098039215726</v>
      </c>
      <c r="AH148" s="681">
        <f>AG160</f>
        <v>0.85644813530385111</v>
      </c>
    </row>
    <row r="149" spans="1:34" ht="19.2" customHeight="1">
      <c r="A149" s="717"/>
      <c r="B149" s="453" t="s">
        <v>185</v>
      </c>
      <c r="C149" s="224"/>
      <c r="D149" s="255" t="s">
        <v>97</v>
      </c>
      <c r="E149" s="60"/>
      <c r="F149" s="368">
        <v>53.68</v>
      </c>
      <c r="G149" s="57">
        <v>982</v>
      </c>
      <c r="H149" s="84">
        <f t="shared" si="98"/>
        <v>52713.760000000002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1227.5000000000005</v>
      </c>
      <c r="O149" s="47">
        <f t="shared" si="100"/>
        <v>61.375000000000021</v>
      </c>
      <c r="P149" s="48">
        <f t="shared" si="95"/>
        <v>0</v>
      </c>
      <c r="Q149" s="49">
        <f t="shared" si="96"/>
        <v>-13.624999999999979</v>
      </c>
      <c r="R149" s="457">
        <f t="shared" si="97"/>
        <v>0.81833333333333358</v>
      </c>
      <c r="S149" s="719"/>
      <c r="T149" s="250">
        <v>0.74861111111111112</v>
      </c>
      <c r="U149" s="50">
        <v>0.78194444444444444</v>
      </c>
      <c r="V149" s="455">
        <v>7</v>
      </c>
      <c r="W149" s="466">
        <f t="shared" ref="W149:W159" si="101">(U149-T149)*24*60</f>
        <v>47.999999999999986</v>
      </c>
      <c r="X149" s="53"/>
      <c r="Y149" s="53"/>
      <c r="Z149" s="54"/>
      <c r="AA149" s="54"/>
      <c r="AB149" s="658"/>
      <c r="AC149" s="658"/>
      <c r="AD149" s="453"/>
      <c r="AE149" s="453"/>
      <c r="AF149" s="48">
        <f t="shared" si="61"/>
        <v>-272.49999999999955</v>
      </c>
      <c r="AG149" s="126">
        <f t="shared" si="62"/>
        <v>0.81833333333333369</v>
      </c>
      <c r="AH149" s="721"/>
    </row>
    <row r="150" spans="1:34" ht="19.2" customHeight="1">
      <c r="A150" s="717"/>
      <c r="B150" s="453" t="s">
        <v>185</v>
      </c>
      <c r="C150" s="224"/>
      <c r="D150" s="179" t="s">
        <v>96</v>
      </c>
      <c r="E150" s="60"/>
      <c r="F150" s="368">
        <v>58.17</v>
      </c>
      <c r="G150" s="57">
        <v>857</v>
      </c>
      <c r="H150" s="84">
        <f t="shared" si="98"/>
        <v>49851.69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1224.2857142857138</v>
      </c>
      <c r="O150" s="47">
        <f t="shared" si="100"/>
        <v>61.214285714285687</v>
      </c>
      <c r="P150" s="48">
        <f t="shared" si="95"/>
        <v>1</v>
      </c>
      <c r="Q150" s="49">
        <f t="shared" si="96"/>
        <v>-11.680451127819573</v>
      </c>
      <c r="R150" s="457">
        <f t="shared" si="97"/>
        <v>0.83976276431150043</v>
      </c>
      <c r="S150" s="719"/>
      <c r="T150" s="250">
        <v>0.78611111111111109</v>
      </c>
      <c r="U150" s="50">
        <v>0.81527777777777777</v>
      </c>
      <c r="V150" s="455">
        <v>6</v>
      </c>
      <c r="W150" s="466">
        <f t="shared" si="101"/>
        <v>42.000000000000014</v>
      </c>
      <c r="X150" s="219"/>
      <c r="Y150" s="219"/>
      <c r="Z150" s="220"/>
      <c r="AA150" s="220"/>
      <c r="AB150" s="658"/>
      <c r="AC150" s="658"/>
      <c r="AD150" s="453"/>
      <c r="AE150" s="453"/>
      <c r="AF150" s="48">
        <f t="shared" si="61"/>
        <v>-160.71428571428623</v>
      </c>
      <c r="AG150" s="126">
        <f t="shared" si="62"/>
        <v>0.88396080453842152</v>
      </c>
      <c r="AH150" s="721"/>
    </row>
    <row r="151" spans="1:34" s="221" customFormat="1" ht="19.2" customHeight="1">
      <c r="A151" s="717"/>
      <c r="B151" s="453" t="s">
        <v>185</v>
      </c>
      <c r="C151" s="224"/>
      <c r="D151" s="59" t="s">
        <v>108</v>
      </c>
      <c r="E151" s="60"/>
      <c r="F151" s="368">
        <v>57.73</v>
      </c>
      <c r="G151" s="57">
        <v>746</v>
      </c>
      <c r="H151" s="84">
        <f t="shared" si="98"/>
        <v>43066.579999999994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1177.8947368421045</v>
      </c>
      <c r="O151" s="47">
        <f t="shared" si="100"/>
        <v>69.287925696594385</v>
      </c>
      <c r="P151" s="48">
        <f t="shared" si="95"/>
        <v>1</v>
      </c>
      <c r="Q151" s="49">
        <f t="shared" si="96"/>
        <v>-20.712074303405615</v>
      </c>
      <c r="R151" s="457">
        <f t="shared" si="97"/>
        <v>0.76986584107327094</v>
      </c>
      <c r="S151" s="719"/>
      <c r="T151" s="250">
        <v>0.83055555555555549</v>
      </c>
      <c r="U151" s="50">
        <v>0.8569444444444444</v>
      </c>
      <c r="V151" s="455">
        <v>22</v>
      </c>
      <c r="W151" s="466">
        <f t="shared" si="101"/>
        <v>38.000000000000028</v>
      </c>
      <c r="X151" s="219">
        <v>0.81874999999999998</v>
      </c>
      <c r="Y151" s="219">
        <v>0.82777777777777783</v>
      </c>
      <c r="Z151" s="220"/>
      <c r="AA151" s="220"/>
      <c r="AB151" s="658"/>
      <c r="AC151" s="658"/>
      <c r="AD151" s="224"/>
      <c r="AE151" s="224"/>
      <c r="AF151" s="48">
        <f t="shared" si="61"/>
        <v>-262.10526315789548</v>
      </c>
      <c r="AG151" s="126">
        <f t="shared" si="62"/>
        <v>0.81798245614035037</v>
      </c>
      <c r="AH151" s="721"/>
    </row>
    <row r="152" spans="1:34" s="221" customFormat="1" ht="19.2" customHeight="1">
      <c r="A152" s="717"/>
      <c r="B152" s="453" t="s">
        <v>185</v>
      </c>
      <c r="C152" s="224"/>
      <c r="D152" s="255" t="s">
        <v>197</v>
      </c>
      <c r="E152" s="60"/>
      <c r="F152" s="368">
        <v>50.67</v>
      </c>
      <c r="G152" s="57">
        <v>1111</v>
      </c>
      <c r="H152" s="84">
        <f t="shared" si="98"/>
        <v>56294.37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1418.2978723404258</v>
      </c>
      <c r="O152" s="47">
        <f t="shared" si="100"/>
        <v>78.794326241134769</v>
      </c>
      <c r="P152" s="48">
        <f t="shared" si="95"/>
        <v>0</v>
      </c>
      <c r="Q152" s="49">
        <f t="shared" si="96"/>
        <v>-4.5390070921985597</v>
      </c>
      <c r="R152" s="457">
        <f t="shared" si="97"/>
        <v>0.94553191489361732</v>
      </c>
      <c r="S152" s="719"/>
      <c r="T152" s="265">
        <v>0.86180555555555549</v>
      </c>
      <c r="U152" s="63">
        <v>0.89444444444444438</v>
      </c>
      <c r="V152" s="468">
        <v>7</v>
      </c>
      <c r="W152" s="466">
        <f t="shared" si="101"/>
        <v>46.999999999999993</v>
      </c>
      <c r="X152" s="222"/>
      <c r="Y152" s="222"/>
      <c r="Z152" s="220"/>
      <c r="AA152" s="220"/>
      <c r="AB152" s="658"/>
      <c r="AC152" s="658"/>
      <c r="AD152" s="224"/>
      <c r="AE152" s="224"/>
      <c r="AF152" s="48">
        <f t="shared" si="61"/>
        <v>-81.702127659574217</v>
      </c>
      <c r="AG152" s="126">
        <f t="shared" si="62"/>
        <v>0.94553191489361721</v>
      </c>
      <c r="AH152" s="721"/>
    </row>
    <row r="153" spans="1:34" s="221" customFormat="1" ht="19.2" customHeight="1">
      <c r="A153" s="717"/>
      <c r="B153" s="453" t="s">
        <v>185</v>
      </c>
      <c r="C153" s="224"/>
      <c r="D153" s="255" t="s">
        <v>201</v>
      </c>
      <c r="E153" s="60"/>
      <c r="F153" s="368">
        <v>44.98</v>
      </c>
      <c r="G153" s="57">
        <v>458.7</v>
      </c>
      <c r="H153" s="84">
        <f t="shared" si="98"/>
        <v>20632.325999999997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1251.0000000000043</v>
      </c>
      <c r="O153" s="47">
        <f t="shared" si="100"/>
        <v>65.842105263158118</v>
      </c>
      <c r="P153" s="48">
        <f t="shared" si="95"/>
        <v>0</v>
      </c>
      <c r="Q153" s="49">
        <f t="shared" si="96"/>
        <v>-13.105263157894512</v>
      </c>
      <c r="R153" s="457">
        <f t="shared" si="97"/>
        <v>0.83400000000000285</v>
      </c>
      <c r="S153" s="719"/>
      <c r="T153" s="265">
        <v>0.89791666666666659</v>
      </c>
      <c r="U153" s="63">
        <v>0.91319444444444431</v>
      </c>
      <c r="V153" s="468">
        <v>5</v>
      </c>
      <c r="W153" s="466">
        <f t="shared" si="101"/>
        <v>21.999999999999922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-248.99999999999568</v>
      </c>
      <c r="AG153" s="126">
        <f t="shared" si="62"/>
        <v>0.83400000000000285</v>
      </c>
      <c r="AH153" s="721"/>
    </row>
    <row r="154" spans="1:34" s="221" customFormat="1" ht="19.2" customHeight="1">
      <c r="A154" s="717"/>
      <c r="B154" s="453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68"/>
      <c r="W154" s="466">
        <f t="shared" si="101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453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68"/>
      <c r="W155" s="466">
        <f t="shared" si="101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68"/>
      <c r="W156" s="269">
        <f t="shared" si="101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68"/>
      <c r="W157" s="269">
        <f t="shared" si="101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68"/>
      <c r="W158" s="269">
        <f t="shared" si="101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64"/>
      <c r="N159" s="182"/>
      <c r="O159" s="228"/>
      <c r="P159" s="267"/>
      <c r="Q159" s="74"/>
      <c r="R159" s="130"/>
      <c r="S159" s="719"/>
      <c r="T159" s="265"/>
      <c r="U159" s="63"/>
      <c r="V159" s="468"/>
      <c r="W159" s="270">
        <f t="shared" si="101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488</v>
      </c>
      <c r="D160" s="716" t="s">
        <v>414</v>
      </c>
      <c r="E160" s="678"/>
      <c r="F160" s="362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18.833333333333332</v>
      </c>
      <c r="N160" s="273">
        <f t="shared" si="102"/>
        <v>1259.6924656760809</v>
      </c>
      <c r="O160" s="274">
        <f t="shared" si="102"/>
        <v>67.131014789267738</v>
      </c>
      <c r="P160" s="65">
        <f t="shared" ref="P160:P165" si="103">M160-J160</f>
        <v>0.33333333333333215</v>
      </c>
      <c r="Q160" s="74">
        <f t="shared" ref="Q160:Q165" si="104">O160-L160</f>
        <v>-12.722786380322916</v>
      </c>
      <c r="R160" s="275">
        <f>O160/L160</f>
        <v>0.84067400431818251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0</v>
      </c>
      <c r="AF160" s="65">
        <f t="shared" si="61"/>
        <v>-211.14086765725233</v>
      </c>
      <c r="AG160" s="130">
        <f t="shared" si="62"/>
        <v>0.85644813530385111</v>
      </c>
      <c r="AH160" s="721"/>
    </row>
    <row r="161" spans="1:36" ht="19.2" customHeight="1">
      <c r="A161" s="680" t="s">
        <v>489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1865</v>
      </c>
      <c r="H161" s="84">
        <f t="shared" ref="H161:H170" si="105">F161*G161</f>
        <v>55885.645272601781</v>
      </c>
      <c r="I161" s="45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1216.304347826087</v>
      </c>
      <c r="O161" s="86">
        <f t="shared" ref="O161:O165" si="107">N161/M161</f>
        <v>67.572463768115938</v>
      </c>
      <c r="P161" s="54">
        <f t="shared" si="103"/>
        <v>0</v>
      </c>
      <c r="Q161" s="88">
        <f t="shared" si="104"/>
        <v>0.90579710144926651</v>
      </c>
      <c r="R161" s="454">
        <f t="shared" ref="R161:R165" si="108">O161/L161</f>
        <v>1.013586956521739</v>
      </c>
      <c r="S161" s="681">
        <f>R173</f>
        <v>0.93748209226706425</v>
      </c>
      <c r="T161" s="89">
        <v>0.16666666666666666</v>
      </c>
      <c r="U161" s="89">
        <v>0.23055555555555554</v>
      </c>
      <c r="V161" s="453">
        <v>5</v>
      </c>
      <c r="W161" s="90">
        <f t="shared" ref="W161:W172" si="109">(U161-T161)*24*60</f>
        <v>92</v>
      </c>
      <c r="X161" s="96"/>
      <c r="Y161" s="96"/>
      <c r="Z161" s="54"/>
      <c r="AA161" s="54"/>
      <c r="AB161" s="658"/>
      <c r="AC161" s="658"/>
      <c r="AD161" s="453"/>
      <c r="AE161" s="453"/>
      <c r="AF161" s="54">
        <f t="shared" si="61"/>
        <v>16.304347826086996</v>
      </c>
      <c r="AG161" s="454">
        <f t="shared" si="62"/>
        <v>1.0135869565217392</v>
      </c>
      <c r="AH161" s="681">
        <f>AG173</f>
        <v>0.94390747848422762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2920</v>
      </c>
      <c r="H162" s="84">
        <f t="shared" si="105"/>
        <v>99951.599999999991</v>
      </c>
      <c r="I162" s="45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2190.0000000000014</v>
      </c>
      <c r="O162" s="86">
        <f t="shared" si="107"/>
        <v>168.46153846153857</v>
      </c>
      <c r="P162" s="54">
        <f t="shared" si="103"/>
        <v>0</v>
      </c>
      <c r="Q162" s="88">
        <f t="shared" si="104"/>
        <v>-4.6153846153844995</v>
      </c>
      <c r="R162" s="454">
        <f t="shared" si="108"/>
        <v>0.97333333333333405</v>
      </c>
      <c r="S162" s="681"/>
      <c r="T162" s="89">
        <v>0.2361111111111111</v>
      </c>
      <c r="U162" s="89">
        <v>0.29166666666666663</v>
      </c>
      <c r="V162" s="453">
        <v>8</v>
      </c>
      <c r="W162" s="90">
        <f t="shared" si="109"/>
        <v>79.999999999999957</v>
      </c>
      <c r="X162" s="96"/>
      <c r="Y162" s="96"/>
      <c r="Z162" s="54"/>
      <c r="AA162" s="54"/>
      <c r="AB162" s="658"/>
      <c r="AC162" s="658"/>
      <c r="AD162" s="453">
        <v>1</v>
      </c>
      <c r="AE162" s="453"/>
      <c r="AF162" s="54">
        <f t="shared" si="61"/>
        <v>-59.999999999998636</v>
      </c>
      <c r="AG162" s="454">
        <f t="shared" si="62"/>
        <v>0.97333333333333394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3565</v>
      </c>
      <c r="H163" s="84">
        <f t="shared" si="105"/>
        <v>122029.94999999998</v>
      </c>
      <c r="I163" s="453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2117.8217821782173</v>
      </c>
      <c r="O163" s="86">
        <f t="shared" si="107"/>
        <v>162.90936785986287</v>
      </c>
      <c r="P163" s="54">
        <f t="shared" si="103"/>
        <v>0</v>
      </c>
      <c r="Q163" s="88">
        <f t="shared" si="104"/>
        <v>-10.167555217060197</v>
      </c>
      <c r="R163" s="454">
        <f t="shared" si="108"/>
        <v>0.94125412541254105</v>
      </c>
      <c r="S163" s="681"/>
      <c r="T163" s="89">
        <v>0.30694444444444441</v>
      </c>
      <c r="U163" s="89">
        <v>0.37708333333333333</v>
      </c>
      <c r="V163" s="453">
        <v>22</v>
      </c>
      <c r="W163" s="90">
        <f t="shared" si="109"/>
        <v>101.00000000000004</v>
      </c>
      <c r="X163" s="96">
        <v>0.2951388888888889</v>
      </c>
      <c r="Y163" s="96">
        <v>0.30416666666666664</v>
      </c>
      <c r="Z163" s="54"/>
      <c r="AA163" s="54"/>
      <c r="AB163" s="658"/>
      <c r="AC163" s="658"/>
      <c r="AD163" s="453"/>
      <c r="AE163" s="453"/>
      <c r="AF163" s="54">
        <f t="shared" si="61"/>
        <v>-132.17821782178271</v>
      </c>
      <c r="AG163" s="454">
        <f t="shared" si="62"/>
        <v>0.94125412541254105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4754</v>
      </c>
      <c r="H164" s="84">
        <f t="shared" si="105"/>
        <v>170335.81999999998</v>
      </c>
      <c r="I164" s="45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2194.1538461538457</v>
      </c>
      <c r="O164" s="86">
        <f t="shared" si="107"/>
        <v>199.46853146853144</v>
      </c>
      <c r="P164" s="54">
        <f t="shared" si="103"/>
        <v>0</v>
      </c>
      <c r="Q164" s="88">
        <f t="shared" si="104"/>
        <v>-5.0769230769230944</v>
      </c>
      <c r="R164" s="454">
        <f t="shared" si="108"/>
        <v>0.9751794871794871</v>
      </c>
      <c r="S164" s="681"/>
      <c r="T164" s="89">
        <v>0.41736111111111107</v>
      </c>
      <c r="U164" s="89">
        <v>0.50763888888888886</v>
      </c>
      <c r="V164" s="453">
        <v>5</v>
      </c>
      <c r="W164" s="90">
        <f t="shared" si="109"/>
        <v>130.00000000000003</v>
      </c>
      <c r="X164" s="96"/>
      <c r="Y164" s="96"/>
      <c r="Z164" s="54"/>
      <c r="AA164" s="54"/>
      <c r="AB164" s="658"/>
      <c r="AC164" s="658"/>
      <c r="AD164" s="453"/>
      <c r="AE164" s="453"/>
      <c r="AF164" s="54">
        <f t="shared" si="61"/>
        <v>-55.846153846154266</v>
      </c>
      <c r="AG164" s="454">
        <f t="shared" si="62"/>
        <v>0.97517948717948699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3359.25</v>
      </c>
      <c r="H165" s="84">
        <f t="shared" si="105"/>
        <v>122310.29249999998</v>
      </c>
      <c r="I165" s="45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2399.4642857142849</v>
      </c>
      <c r="O165" s="86">
        <f t="shared" si="107"/>
        <v>239.9464285714285</v>
      </c>
      <c r="P165" s="54">
        <f t="shared" si="103"/>
        <v>0</v>
      </c>
      <c r="Q165" s="88">
        <f t="shared" si="104"/>
        <v>-36.953571428571479</v>
      </c>
      <c r="R165" s="454">
        <f t="shared" si="108"/>
        <v>0.8665454264045811</v>
      </c>
      <c r="S165" s="681"/>
      <c r="T165" s="89">
        <v>0.51249999999999996</v>
      </c>
      <c r="U165" s="89">
        <v>0.5708333333333333</v>
      </c>
      <c r="V165" s="453">
        <v>7</v>
      </c>
      <c r="W165" s="90">
        <f t="shared" si="109"/>
        <v>84.000000000000028</v>
      </c>
      <c r="X165" s="96"/>
      <c r="Y165" s="96"/>
      <c r="Z165" s="54"/>
      <c r="AA165" s="54"/>
      <c r="AB165" s="658"/>
      <c r="AC165" s="658"/>
      <c r="AD165" s="453"/>
      <c r="AE165" s="453"/>
      <c r="AF165" s="54">
        <f t="shared" si="61"/>
        <v>-369.53571428571513</v>
      </c>
      <c r="AG165" s="454">
        <f t="shared" si="62"/>
        <v>0.86654542640458099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5"/>
        <v>0</v>
      </c>
      <c r="I166" s="453"/>
      <c r="J166" s="87"/>
      <c r="K166" s="57"/>
      <c r="L166" s="86"/>
      <c r="M166" s="87"/>
      <c r="N166" s="57"/>
      <c r="O166" s="86"/>
      <c r="P166" s="54"/>
      <c r="Q166" s="88"/>
      <c r="R166" s="454"/>
      <c r="S166" s="681"/>
      <c r="T166" s="89"/>
      <c r="U166" s="89"/>
      <c r="V166" s="453"/>
      <c r="W166" s="90">
        <f t="shared" si="109"/>
        <v>0</v>
      </c>
      <c r="X166" s="96"/>
      <c r="Y166" s="96"/>
      <c r="Z166" s="54"/>
      <c r="AA166" s="54"/>
      <c r="AB166" s="658"/>
      <c r="AC166" s="658"/>
      <c r="AD166" s="453"/>
      <c r="AE166" s="453"/>
      <c r="AF166" s="54">
        <f t="shared" si="61"/>
        <v>0</v>
      </c>
      <c r="AG166" s="454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5"/>
        <v>0</v>
      </c>
      <c r="I167" s="453"/>
      <c r="J167" s="87"/>
      <c r="K167" s="57"/>
      <c r="L167" s="86"/>
      <c r="M167" s="87"/>
      <c r="N167" s="57"/>
      <c r="O167" s="86"/>
      <c r="P167" s="54"/>
      <c r="Q167" s="88"/>
      <c r="R167" s="454"/>
      <c r="S167" s="681"/>
      <c r="T167" s="89"/>
      <c r="U167" s="89"/>
      <c r="V167" s="453"/>
      <c r="W167" s="90">
        <f t="shared" si="109"/>
        <v>0</v>
      </c>
      <c r="X167" s="96"/>
      <c r="Y167" s="96"/>
      <c r="Z167" s="54"/>
      <c r="AA167" s="54"/>
      <c r="AB167" s="658"/>
      <c r="AC167" s="658"/>
      <c r="AD167" s="453"/>
      <c r="AE167" s="453"/>
      <c r="AF167" s="54">
        <f t="shared" si="61"/>
        <v>0</v>
      </c>
      <c r="AG167" s="454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5"/>
        <v>0</v>
      </c>
      <c r="I168" s="453"/>
      <c r="J168" s="87"/>
      <c r="K168" s="57"/>
      <c r="L168" s="86"/>
      <c r="M168" s="87"/>
      <c r="N168" s="57"/>
      <c r="O168" s="86"/>
      <c r="P168" s="54"/>
      <c r="Q168" s="88"/>
      <c r="R168" s="454"/>
      <c r="S168" s="681"/>
      <c r="T168" s="89"/>
      <c r="U168" s="89"/>
      <c r="V168" s="453"/>
      <c r="W168" s="90">
        <f t="shared" si="109"/>
        <v>0</v>
      </c>
      <c r="X168" s="96"/>
      <c r="Y168" s="96"/>
      <c r="Z168" s="54"/>
      <c r="AA168" s="54"/>
      <c r="AB168" s="658"/>
      <c r="AC168" s="658"/>
      <c r="AD168" s="453"/>
      <c r="AE168" s="453"/>
      <c r="AF168" s="54">
        <f t="shared" si="61"/>
        <v>0</v>
      </c>
      <c r="AG168" s="454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5"/>
        <v>0</v>
      </c>
      <c r="I169" s="453"/>
      <c r="J169" s="87"/>
      <c r="K169" s="57"/>
      <c r="L169" s="86"/>
      <c r="M169" s="87"/>
      <c r="N169" s="57"/>
      <c r="O169" s="86"/>
      <c r="P169" s="54"/>
      <c r="Q169" s="88"/>
      <c r="R169" s="454"/>
      <c r="S169" s="681"/>
      <c r="T169" s="89"/>
      <c r="U169" s="89"/>
      <c r="V169" s="453" t="s">
        <v>30</v>
      </c>
      <c r="W169" s="90">
        <f t="shared" si="109"/>
        <v>0</v>
      </c>
      <c r="X169" s="96"/>
      <c r="Y169" s="96"/>
      <c r="Z169" s="54"/>
      <c r="AA169" s="54"/>
      <c r="AB169" s="658"/>
      <c r="AC169" s="658"/>
      <c r="AD169" s="453"/>
      <c r="AE169" s="453"/>
      <c r="AF169" s="54">
        <f t="shared" si="61"/>
        <v>0</v>
      </c>
      <c r="AG169" s="454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5"/>
        <v>0</v>
      </c>
      <c r="I170" s="453"/>
      <c r="J170" s="87"/>
      <c r="K170" s="57"/>
      <c r="L170" s="86"/>
      <c r="M170" s="87"/>
      <c r="N170" s="57"/>
      <c r="O170" s="86"/>
      <c r="P170" s="54"/>
      <c r="Q170" s="88"/>
      <c r="R170" s="454"/>
      <c r="S170" s="681"/>
      <c r="T170" s="89"/>
      <c r="U170" s="89"/>
      <c r="V170" s="453"/>
      <c r="W170" s="90">
        <f t="shared" si="109"/>
        <v>0</v>
      </c>
      <c r="X170" s="96"/>
      <c r="Y170" s="96"/>
      <c r="Z170" s="54"/>
      <c r="AA170" s="54"/>
      <c r="AB170" s="658"/>
      <c r="AC170" s="658"/>
      <c r="AD170" s="453"/>
      <c r="AE170" s="453"/>
      <c r="AF170" s="54">
        <f t="shared" si="61"/>
        <v>0</v>
      </c>
      <c r="AG170" s="454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453"/>
      <c r="J171" s="87"/>
      <c r="K171" s="57"/>
      <c r="L171" s="86"/>
      <c r="M171" s="87"/>
      <c r="N171" s="57"/>
      <c r="O171" s="86"/>
      <c r="P171" s="54"/>
      <c r="Q171" s="88"/>
      <c r="R171" s="454"/>
      <c r="S171" s="681"/>
      <c r="T171" s="89"/>
      <c r="U171" s="89"/>
      <c r="V171" s="453"/>
      <c r="W171" s="90">
        <f t="shared" si="109"/>
        <v>0</v>
      </c>
      <c r="X171" s="96"/>
      <c r="Y171" s="96"/>
      <c r="Z171" s="54"/>
      <c r="AA171" s="54"/>
      <c r="AB171" s="658"/>
      <c r="AC171" s="658"/>
      <c r="AD171" s="453"/>
      <c r="AE171" s="453"/>
      <c r="AF171" s="54"/>
      <c r="AG171" s="454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453"/>
      <c r="J172" s="87"/>
      <c r="K172" s="57"/>
      <c r="L172" s="86"/>
      <c r="M172" s="87"/>
      <c r="N172" s="57"/>
      <c r="O172" s="86"/>
      <c r="P172" s="54"/>
      <c r="Q172" s="88"/>
      <c r="R172" s="454"/>
      <c r="S172" s="681"/>
      <c r="T172" s="89"/>
      <c r="U172" s="89"/>
      <c r="V172" s="453"/>
      <c r="W172" s="90">
        <f t="shared" si="109"/>
        <v>0</v>
      </c>
      <c r="X172" s="96"/>
      <c r="Y172" s="96"/>
      <c r="Z172" s="54"/>
      <c r="AA172" s="54"/>
      <c r="AB172" s="658"/>
      <c r="AC172" s="658"/>
      <c r="AD172" s="453"/>
      <c r="AE172" s="453"/>
      <c r="AF172" s="54"/>
      <c r="AG172" s="454"/>
      <c r="AH172" s="681"/>
    </row>
    <row r="173" spans="1:36" ht="19.2" customHeight="1">
      <c r="A173" s="680"/>
      <c r="B173" s="122">
        <v>0</v>
      </c>
      <c r="C173" s="100" t="s">
        <v>490</v>
      </c>
      <c r="D173" s="687" t="s">
        <v>414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2023.5488523744873</v>
      </c>
      <c r="O173" s="104">
        <f t="shared" si="110"/>
        <v>167.67166602589546</v>
      </c>
      <c r="P173" s="54">
        <f>M173-J173</f>
        <v>0</v>
      </c>
      <c r="Q173" s="88">
        <f>O173-L173</f>
        <v>-11.181527447298009</v>
      </c>
      <c r="R173" s="105">
        <f>O173/L173</f>
        <v>0.93748209226706425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1</v>
      </c>
      <c r="AE173" s="107">
        <f>SUM(AE161:AE172)</f>
        <v>0</v>
      </c>
      <c r="AF173" s="54">
        <f t="shared" si="61"/>
        <v>-120.25114762551289</v>
      </c>
      <c r="AG173" s="454">
        <f t="shared" si="62"/>
        <v>0.94390747848422762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491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492</v>
      </c>
    </row>
    <row r="186" spans="23:36">
      <c r="W186" s="33"/>
      <c r="AJ186" s="279" t="s">
        <v>493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AF17:AF29 AF5:AF13 AF36 AF40 AF57:AF70 AF74 AF78 Q57:Q70 Q109:Q117">
    <cfRule type="cellIs" dxfId="19555" priority="3256" operator="lessThan">
      <formula>0</formula>
    </cfRule>
  </conditionalFormatting>
  <conditionalFormatting sqref="AH57 AH70 S43 S123 S95 AH95 S5:S9 AH5:AH9 S134 AH17:AH18 S17:S18 S32 S82 AH82 S57:S70">
    <cfRule type="cellIs" dxfId="19554" priority="3255" operator="lessThan">
      <formula>0.8</formula>
    </cfRule>
  </conditionalFormatting>
  <conditionalFormatting sqref="R147 R173 R30 R121 R95 R43 R134 R82 R154:R159 R17:R18 R57:R70 R109:R117">
    <cfRule type="cellIs" dxfId="19553" priority="3253" operator="lessThan">
      <formula>0.8</formula>
    </cfRule>
    <cfRule type="cellIs" dxfId="19552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57:R70 R109:R117">
    <cfRule type="cellIs" dxfId="19551" priority="3251" operator="greaterThan">
      <formula>1</formula>
    </cfRule>
    <cfRule type="cellIs" dxfId="19550" priority="3252" operator="lessThan">
      <formula>0.8</formula>
    </cfRule>
  </conditionalFormatting>
  <conditionalFormatting sqref="P147 P30 P121 P95 P43 P134 P82 P154:P159 P17:P18 P57:P70 P109:P117">
    <cfRule type="cellIs" dxfId="19549" priority="3250" operator="greaterThan">
      <formula>0</formula>
    </cfRule>
  </conditionalFormatting>
  <conditionalFormatting sqref="S161">
    <cfRule type="cellIs" dxfId="19548" priority="3249" operator="lessThan">
      <formula>0.8</formula>
    </cfRule>
  </conditionalFormatting>
  <conditionalFormatting sqref="Q161:Q166">
    <cfRule type="cellIs" dxfId="19547" priority="3248" operator="lessThan">
      <formula>0</formula>
    </cfRule>
  </conditionalFormatting>
  <conditionalFormatting sqref="R161:R166">
    <cfRule type="cellIs" dxfId="19546" priority="3246" operator="lessThan">
      <formula>0.8</formula>
    </cfRule>
    <cfRule type="cellIs" dxfId="19545" priority="3247" operator="greaterThan">
      <formula>1</formula>
    </cfRule>
  </conditionalFormatting>
  <conditionalFormatting sqref="R161:R166">
    <cfRule type="cellIs" dxfId="19544" priority="3244" operator="greaterThan">
      <formula>1</formula>
    </cfRule>
    <cfRule type="cellIs" dxfId="19543" priority="3245" operator="lessThan">
      <formula>0.8</formula>
    </cfRule>
  </conditionalFormatting>
  <conditionalFormatting sqref="P161:P166">
    <cfRule type="cellIs" dxfId="19542" priority="3243" operator="greaterThan">
      <formula>0</formula>
    </cfRule>
  </conditionalFormatting>
  <conditionalFormatting sqref="Q169:Q172 AF161:AF172">
    <cfRule type="cellIs" dxfId="19541" priority="3242" operator="lessThan">
      <formula>0</formula>
    </cfRule>
  </conditionalFormatting>
  <conditionalFormatting sqref="R169:R172">
    <cfRule type="cellIs" dxfId="19540" priority="3240" operator="lessThan">
      <formula>0.8</formula>
    </cfRule>
    <cfRule type="cellIs" dxfId="19539" priority="3241" operator="greaterThan">
      <formula>1</formula>
    </cfRule>
  </conditionalFormatting>
  <conditionalFormatting sqref="R169:R172 AG161:AG172">
    <cfRule type="cellIs" dxfId="19538" priority="3238" operator="greaterThan">
      <formula>1</formula>
    </cfRule>
    <cfRule type="cellIs" dxfId="19537" priority="3239" operator="lessThan">
      <formula>0.8</formula>
    </cfRule>
  </conditionalFormatting>
  <conditionalFormatting sqref="P169:P172">
    <cfRule type="cellIs" dxfId="19536" priority="3237" operator="greaterThan">
      <formula>0</formula>
    </cfRule>
  </conditionalFormatting>
  <conditionalFormatting sqref="AF145">
    <cfRule type="cellIs" dxfId="19535" priority="3236" operator="lessThan">
      <formula>0</formula>
    </cfRule>
  </conditionalFormatting>
  <conditionalFormatting sqref="AG145">
    <cfRule type="cellIs" dxfId="19534" priority="3234" operator="greaterThan">
      <formula>1</formula>
    </cfRule>
    <cfRule type="cellIs" dxfId="19533" priority="3235" operator="lessThan">
      <formula>0.8</formula>
    </cfRule>
  </conditionalFormatting>
  <conditionalFormatting sqref="AF44:AF54">
    <cfRule type="cellIs" dxfId="19532" priority="3233" operator="lessThan">
      <formula>0</formula>
    </cfRule>
  </conditionalFormatting>
  <conditionalFormatting sqref="AG44:AG54">
    <cfRule type="cellIs" dxfId="19531" priority="3231" operator="greaterThan">
      <formula>1</formula>
    </cfRule>
    <cfRule type="cellIs" dxfId="19530" priority="3232" operator="lessThan">
      <formula>0.8</formula>
    </cfRule>
  </conditionalFormatting>
  <conditionalFormatting sqref="AF83:AF94">
    <cfRule type="cellIs" dxfId="19529" priority="3230" operator="lessThan">
      <formula>0</formula>
    </cfRule>
  </conditionalFormatting>
  <conditionalFormatting sqref="AH83">
    <cfRule type="cellIs" dxfId="19528" priority="3229" operator="lessThan">
      <formula>0.8</formula>
    </cfRule>
  </conditionalFormatting>
  <conditionalFormatting sqref="AG83:AG94">
    <cfRule type="cellIs" dxfId="19527" priority="3227" operator="greaterThan">
      <formula>1</formula>
    </cfRule>
    <cfRule type="cellIs" dxfId="19526" priority="3228" operator="lessThan">
      <formula>0.8</formula>
    </cfRule>
  </conditionalFormatting>
  <conditionalFormatting sqref="S83">
    <cfRule type="cellIs" dxfId="19525" priority="3226" operator="lessThan">
      <formula>0.8</formula>
    </cfRule>
  </conditionalFormatting>
  <conditionalFormatting sqref="AH84">
    <cfRule type="cellIs" dxfId="19524" priority="3225" operator="lessThan">
      <formula>0.8</formula>
    </cfRule>
  </conditionalFormatting>
  <conditionalFormatting sqref="S84">
    <cfRule type="cellIs" dxfId="19523" priority="3224" operator="lessThan">
      <formula>0.8</formula>
    </cfRule>
  </conditionalFormatting>
  <conditionalFormatting sqref="S90">
    <cfRule type="cellIs" dxfId="19522" priority="3223" operator="lessThan">
      <formula>0.8</formula>
    </cfRule>
  </conditionalFormatting>
  <conditionalFormatting sqref="AH90">
    <cfRule type="cellIs" dxfId="19521" priority="3222" operator="lessThan">
      <formula>0.8</formula>
    </cfRule>
  </conditionalFormatting>
  <conditionalFormatting sqref="AF122">
    <cfRule type="cellIs" dxfId="19520" priority="3221" operator="lessThan">
      <formula>0</formula>
    </cfRule>
  </conditionalFormatting>
  <conditionalFormatting sqref="S122">
    <cfRule type="cellIs" dxfId="19519" priority="3220" operator="lessThan">
      <formula>0.8</formula>
    </cfRule>
  </conditionalFormatting>
  <conditionalFormatting sqref="AG122">
    <cfRule type="cellIs" dxfId="19518" priority="3218" operator="greaterThan">
      <formula>1</formula>
    </cfRule>
    <cfRule type="cellIs" dxfId="19517" priority="3219" operator="lessThan">
      <formula>0.8</formula>
    </cfRule>
  </conditionalFormatting>
  <conditionalFormatting sqref="P162:P168">
    <cfRule type="cellIs" dxfId="19516" priority="3212" operator="greaterThan">
      <formula>0</formula>
    </cfRule>
  </conditionalFormatting>
  <conditionalFormatting sqref="R162:R168">
    <cfRule type="cellIs" dxfId="19515" priority="3215" operator="lessThan">
      <formula>0.8</formula>
    </cfRule>
    <cfRule type="cellIs" dxfId="19514" priority="3216" operator="greaterThan">
      <formula>1</formula>
    </cfRule>
  </conditionalFormatting>
  <conditionalFormatting sqref="R162:R168">
    <cfRule type="cellIs" dxfId="19513" priority="3213" operator="greaterThan">
      <formula>1</formula>
    </cfRule>
    <cfRule type="cellIs" dxfId="19512" priority="3214" operator="lessThan">
      <formula>0.8</formula>
    </cfRule>
  </conditionalFormatting>
  <conditionalFormatting sqref="Q162:Q168">
    <cfRule type="cellIs" dxfId="19511" priority="3217" operator="lessThan">
      <formula>0</formula>
    </cfRule>
  </conditionalFormatting>
  <conditionalFormatting sqref="P132:P133">
    <cfRule type="cellIs" dxfId="19510" priority="3205" operator="greaterThan">
      <formula>0</formula>
    </cfRule>
  </conditionalFormatting>
  <conditionalFormatting sqref="AF124 Q132:Q133 AF126:AF133">
    <cfRule type="cellIs" dxfId="19509" priority="3211" operator="lessThan">
      <formula>0</formula>
    </cfRule>
  </conditionalFormatting>
  <conditionalFormatting sqref="S124:S133">
    <cfRule type="cellIs" dxfId="19508" priority="3210" operator="lessThan">
      <formula>0.8</formula>
    </cfRule>
  </conditionalFormatting>
  <conditionalFormatting sqref="R132:R133">
    <cfRule type="cellIs" dxfId="19507" priority="3208" operator="lessThan">
      <formula>0.8</formula>
    </cfRule>
    <cfRule type="cellIs" dxfId="19506" priority="3209" operator="greaterThan">
      <formula>1</formula>
    </cfRule>
  </conditionalFormatting>
  <conditionalFormatting sqref="AG124 R132:R133 AG126:AG133">
    <cfRule type="cellIs" dxfId="19505" priority="3206" operator="greaterThan">
      <formula>1</formula>
    </cfRule>
    <cfRule type="cellIs" dxfId="19504" priority="3207" operator="lessThan">
      <formula>0.8</formula>
    </cfRule>
  </conditionalFormatting>
  <conditionalFormatting sqref="AH109">
    <cfRule type="cellIs" dxfId="19503" priority="3204" operator="lessThan">
      <formula>0.8</formula>
    </cfRule>
  </conditionalFormatting>
  <conditionalFormatting sqref="R160 AG160">
    <cfRule type="cellIs" dxfId="19502" priority="3199" operator="greaterThan">
      <formula>1</formula>
    </cfRule>
    <cfRule type="cellIs" dxfId="19501" priority="3200" operator="lessThan">
      <formula>0.8</formula>
    </cfRule>
  </conditionalFormatting>
  <conditionalFormatting sqref="R160">
    <cfRule type="cellIs" dxfId="19500" priority="3201" operator="lessThan">
      <formula>0.8</formula>
    </cfRule>
    <cfRule type="cellIs" dxfId="19499" priority="3202" operator="greaterThan">
      <formula>1</formula>
    </cfRule>
  </conditionalFormatting>
  <conditionalFormatting sqref="P160">
    <cfRule type="cellIs" dxfId="19498" priority="3198" operator="greaterThan">
      <formula>0</formula>
    </cfRule>
  </conditionalFormatting>
  <conditionalFormatting sqref="AH148">
    <cfRule type="cellIs" dxfId="19497" priority="3197" operator="lessThan">
      <formula>0.8</formula>
    </cfRule>
  </conditionalFormatting>
  <conditionalFormatting sqref="Q160 AF160">
    <cfRule type="cellIs" dxfId="19496" priority="3203" operator="lessThan">
      <formula>0</formula>
    </cfRule>
  </conditionalFormatting>
  <conditionalFormatting sqref="AF148:AF154">
    <cfRule type="cellIs" dxfId="19495" priority="3196" operator="lessThan">
      <formula>0</formula>
    </cfRule>
  </conditionalFormatting>
  <conditionalFormatting sqref="S148">
    <cfRule type="cellIs" dxfId="19494" priority="3195" operator="lessThan">
      <formula>0.8</formula>
    </cfRule>
  </conditionalFormatting>
  <conditionalFormatting sqref="AG148:AG154">
    <cfRule type="cellIs" dxfId="19493" priority="3193" operator="greaterThan">
      <formula>1</formula>
    </cfRule>
    <cfRule type="cellIs" dxfId="19492" priority="3194" operator="lessThan">
      <formula>0.8</formula>
    </cfRule>
  </conditionalFormatting>
  <conditionalFormatting sqref="S86">
    <cfRule type="cellIs" dxfId="19491" priority="3192" operator="lessThan">
      <formula>0.8</formula>
    </cfRule>
  </conditionalFormatting>
  <conditionalFormatting sqref="S88 AH88">
    <cfRule type="cellIs" dxfId="19490" priority="3187" operator="lessThan">
      <formula>0.8</formula>
    </cfRule>
  </conditionalFormatting>
  <conditionalFormatting sqref="AH86">
    <cfRule type="cellIs" dxfId="19489" priority="3191" operator="lessThan">
      <formula>0.8</formula>
    </cfRule>
  </conditionalFormatting>
  <conditionalFormatting sqref="S87">
    <cfRule type="cellIs" dxfId="19488" priority="3190" operator="lessThan">
      <formula>0.8</formula>
    </cfRule>
  </conditionalFormatting>
  <conditionalFormatting sqref="AH87">
    <cfRule type="cellIs" dxfId="19487" priority="3189" operator="lessThan">
      <formula>0.8</formula>
    </cfRule>
  </conditionalFormatting>
  <conditionalFormatting sqref="S89 AH89">
    <cfRule type="cellIs" dxfId="19486" priority="3188" operator="lessThan">
      <formula>0.8</formula>
    </cfRule>
  </conditionalFormatting>
  <conditionalFormatting sqref="AF31 AF35 AF39">
    <cfRule type="cellIs" dxfId="19485" priority="3186" operator="lessThan">
      <formula>0</formula>
    </cfRule>
  </conditionalFormatting>
  <conditionalFormatting sqref="AH31 S31">
    <cfRule type="cellIs" dxfId="19484" priority="3185" operator="lessThan">
      <formula>0.8</formula>
    </cfRule>
  </conditionalFormatting>
  <conditionalFormatting sqref="AG31 AG35 AG39">
    <cfRule type="cellIs" dxfId="19483" priority="3183" operator="greaterThan">
      <formula>1</formula>
    </cfRule>
    <cfRule type="cellIs" dxfId="19482" priority="3184" operator="lessThan">
      <formula>0.8</formula>
    </cfRule>
  </conditionalFormatting>
  <conditionalFormatting sqref="AF135">
    <cfRule type="cellIs" dxfId="19481" priority="3182" operator="lessThan">
      <formula>0</formula>
    </cfRule>
  </conditionalFormatting>
  <conditionalFormatting sqref="AH135 S135">
    <cfRule type="cellIs" dxfId="19480" priority="3181" operator="lessThan">
      <formula>0.8</formula>
    </cfRule>
  </conditionalFormatting>
  <conditionalFormatting sqref="AG135">
    <cfRule type="cellIs" dxfId="19479" priority="3179" operator="greaterThan">
      <formula>1</formula>
    </cfRule>
    <cfRule type="cellIs" dxfId="19478" priority="3180" operator="lessThan">
      <formula>0.8</formula>
    </cfRule>
  </conditionalFormatting>
  <conditionalFormatting sqref="AF108 Q108">
    <cfRule type="cellIs" dxfId="19477" priority="3178" operator="lessThan">
      <formula>0</formula>
    </cfRule>
  </conditionalFormatting>
  <conditionalFormatting sqref="R108">
    <cfRule type="cellIs" dxfId="19476" priority="3176" operator="lessThan">
      <formula>0.8</formula>
    </cfRule>
    <cfRule type="cellIs" dxfId="19475" priority="3177" operator="greaterThan">
      <formula>1</formula>
    </cfRule>
  </conditionalFormatting>
  <conditionalFormatting sqref="AG108 R108">
    <cfRule type="cellIs" dxfId="19474" priority="3174" operator="greaterThan">
      <formula>1</formula>
    </cfRule>
    <cfRule type="cellIs" dxfId="19473" priority="3175" operator="lessThan">
      <formula>0.8</formula>
    </cfRule>
  </conditionalFormatting>
  <conditionalFormatting sqref="P108">
    <cfRule type="cellIs" dxfId="19472" priority="3173" operator="greaterThan">
      <formula>0</formula>
    </cfRule>
  </conditionalFormatting>
  <conditionalFormatting sqref="AH97">
    <cfRule type="cellIs" dxfId="19471" priority="3168" operator="lessThan">
      <formula>0.8</formula>
    </cfRule>
  </conditionalFormatting>
  <conditionalFormatting sqref="AG96 AG98 AG100 AG102 AG104">
    <cfRule type="cellIs" dxfId="19470" priority="3170" operator="greaterThan">
      <formula>1</formula>
    </cfRule>
    <cfRule type="cellIs" dxfId="19469" priority="3171" operator="lessThan">
      <formula>0.8</formula>
    </cfRule>
  </conditionalFormatting>
  <conditionalFormatting sqref="AF96 AF98 AF100 AF102 AF104">
    <cfRule type="cellIs" dxfId="19468" priority="3172" operator="lessThan">
      <formula>0</formula>
    </cfRule>
  </conditionalFormatting>
  <conditionalFormatting sqref="AG97 AG99 AG101 AG103 AG105">
    <cfRule type="cellIs" dxfId="19467" priority="3166" operator="greaterThan">
      <formula>1</formula>
    </cfRule>
    <cfRule type="cellIs" dxfId="19466" priority="3167" operator="lessThan">
      <formula>0.8</formula>
    </cfRule>
  </conditionalFormatting>
  <conditionalFormatting sqref="AF97 AF99 AF101 AF103 AF105">
    <cfRule type="cellIs" dxfId="19465" priority="3169" operator="lessThan">
      <formula>0</formula>
    </cfRule>
  </conditionalFormatting>
  <conditionalFormatting sqref="AF71 AF73 AF75 AF79 AF77">
    <cfRule type="cellIs" dxfId="19464" priority="3163" operator="lessThan">
      <formula>0</formula>
    </cfRule>
  </conditionalFormatting>
  <conditionalFormatting sqref="S71 AH71">
    <cfRule type="cellIs" dxfId="19463" priority="3162" operator="lessThan">
      <formula>0.8</formula>
    </cfRule>
  </conditionalFormatting>
  <conditionalFormatting sqref="AG71 AG73 AG75 AG79 AG77">
    <cfRule type="cellIs" dxfId="19462" priority="3160" operator="greaterThan">
      <formula>1</formula>
    </cfRule>
    <cfRule type="cellIs" dxfId="19461" priority="3161" operator="lessThan">
      <formula>0.8</formula>
    </cfRule>
  </conditionalFormatting>
  <conditionalFormatting sqref="AF72 AF76 AF80">
    <cfRule type="cellIs" dxfId="19460" priority="3159" operator="lessThan">
      <formula>0</formula>
    </cfRule>
  </conditionalFormatting>
  <conditionalFormatting sqref="S72 AH72">
    <cfRule type="cellIs" dxfId="19459" priority="3158" operator="lessThan">
      <formula>0.8</formula>
    </cfRule>
  </conditionalFormatting>
  <conditionalFormatting sqref="S11">
    <cfRule type="cellIs" dxfId="19458" priority="3165" operator="lessThan">
      <formula>0.8</formula>
    </cfRule>
  </conditionalFormatting>
  <conditionalFormatting sqref="S10">
    <cfRule type="cellIs" dxfId="19457" priority="3164" operator="lessThan">
      <formula>0.8</formula>
    </cfRule>
  </conditionalFormatting>
  <conditionalFormatting sqref="AG72 AG76 AG80">
    <cfRule type="cellIs" dxfId="19456" priority="3156" operator="greaterThan">
      <formula>1</formula>
    </cfRule>
    <cfRule type="cellIs" dxfId="19455" priority="3157" operator="lessThan">
      <formula>0.8</formula>
    </cfRule>
  </conditionalFormatting>
  <conditionalFormatting sqref="AF14:AF16 Q15:Q16">
    <cfRule type="cellIs" dxfId="19454" priority="3155" operator="lessThan">
      <formula>0</formula>
    </cfRule>
  </conditionalFormatting>
  <conditionalFormatting sqref="R15:R16">
    <cfRule type="cellIs" dxfId="19453" priority="3153" operator="lessThan">
      <formula>0.8</formula>
    </cfRule>
    <cfRule type="cellIs" dxfId="19452" priority="3154" operator="greaterThan">
      <formula>1</formula>
    </cfRule>
  </conditionalFormatting>
  <conditionalFormatting sqref="AG14:AG16 R15:R16">
    <cfRule type="cellIs" dxfId="19451" priority="3151" operator="greaterThan">
      <formula>1</formula>
    </cfRule>
    <cfRule type="cellIs" dxfId="19450" priority="3152" operator="lessThan">
      <formula>0.8</formula>
    </cfRule>
  </conditionalFormatting>
  <conditionalFormatting sqref="P15:P16">
    <cfRule type="cellIs" dxfId="19449" priority="3150" operator="greaterThan">
      <formula>0</formula>
    </cfRule>
  </conditionalFormatting>
  <conditionalFormatting sqref="AH98">
    <cfRule type="cellIs" dxfId="19448" priority="3149" operator="lessThan">
      <formula>0.8</formula>
    </cfRule>
  </conditionalFormatting>
  <conditionalFormatting sqref="AF33 AF37">
    <cfRule type="cellIs" dxfId="19447" priority="3148" operator="lessThan">
      <formula>0</formula>
    </cfRule>
  </conditionalFormatting>
  <conditionalFormatting sqref="AG33 AG37">
    <cfRule type="cellIs" dxfId="19446" priority="3146" operator="greaterThan">
      <formula>1</formula>
    </cfRule>
    <cfRule type="cellIs" dxfId="19445" priority="3147" operator="lessThan">
      <formula>0.8</formula>
    </cfRule>
  </conditionalFormatting>
  <conditionalFormatting sqref="P41:P42">
    <cfRule type="cellIs" dxfId="19444" priority="3140" operator="greaterThan">
      <formula>0</formula>
    </cfRule>
  </conditionalFormatting>
  <conditionalFormatting sqref="Q41:Q42 AF34 AF41:AF42 AF38">
    <cfRule type="cellIs" dxfId="19443" priority="3145" operator="lessThan">
      <formula>0</formula>
    </cfRule>
  </conditionalFormatting>
  <conditionalFormatting sqref="R41:R42">
    <cfRule type="cellIs" dxfId="19442" priority="3143" operator="lessThan">
      <formula>0.8</formula>
    </cfRule>
    <cfRule type="cellIs" dxfId="19441" priority="3144" operator="greaterThan">
      <formula>1</formula>
    </cfRule>
  </conditionalFormatting>
  <conditionalFormatting sqref="R41:R42 AG34 AG41:AG42 AG38">
    <cfRule type="cellIs" dxfId="19440" priority="3141" operator="greaterThan">
      <formula>1</formula>
    </cfRule>
    <cfRule type="cellIs" dxfId="19439" priority="3142" operator="lessThan">
      <formula>0.8</formula>
    </cfRule>
  </conditionalFormatting>
  <conditionalFormatting sqref="AF137:AF144">
    <cfRule type="cellIs" dxfId="19438" priority="3139" operator="lessThan">
      <formula>0</formula>
    </cfRule>
  </conditionalFormatting>
  <conditionalFormatting sqref="AH137 S137">
    <cfRule type="cellIs" dxfId="19437" priority="3138" operator="lessThan">
      <formula>0.8</formula>
    </cfRule>
  </conditionalFormatting>
  <conditionalFormatting sqref="AG137:AG144">
    <cfRule type="cellIs" dxfId="19436" priority="3136" operator="greaterThan">
      <formula>1</formula>
    </cfRule>
    <cfRule type="cellIs" dxfId="19435" priority="3137" operator="lessThan">
      <formula>0.8</formula>
    </cfRule>
  </conditionalFormatting>
  <conditionalFormatting sqref="AF55">
    <cfRule type="cellIs" dxfId="19434" priority="3135" operator="lessThan">
      <formula>0</formula>
    </cfRule>
  </conditionalFormatting>
  <conditionalFormatting sqref="AG55">
    <cfRule type="cellIs" dxfId="19433" priority="3133" operator="greaterThan">
      <formula>1</formula>
    </cfRule>
    <cfRule type="cellIs" dxfId="19432" priority="3134" operator="lessThan">
      <formula>0.8</formula>
    </cfRule>
  </conditionalFormatting>
  <conditionalFormatting sqref="AF56 Q56">
    <cfRule type="cellIs" dxfId="19431" priority="3132" operator="lessThan">
      <formula>0</formula>
    </cfRule>
  </conditionalFormatting>
  <conditionalFormatting sqref="R56">
    <cfRule type="cellIs" dxfId="19430" priority="3130" operator="lessThan">
      <formula>0.8</formula>
    </cfRule>
    <cfRule type="cellIs" dxfId="19429" priority="3131" operator="greaterThan">
      <formula>1</formula>
    </cfRule>
  </conditionalFormatting>
  <conditionalFormatting sqref="AG56 R56">
    <cfRule type="cellIs" dxfId="19428" priority="3128" operator="greaterThan">
      <formula>1</formula>
    </cfRule>
    <cfRule type="cellIs" dxfId="19427" priority="3129" operator="lessThan">
      <formula>0.8</formula>
    </cfRule>
  </conditionalFormatting>
  <conditionalFormatting sqref="P56">
    <cfRule type="cellIs" dxfId="19426" priority="3127" operator="greaterThan">
      <formula>0</formula>
    </cfRule>
  </conditionalFormatting>
  <conditionalFormatting sqref="P52:P55">
    <cfRule type="cellIs" dxfId="19425" priority="3121" operator="greaterThan">
      <formula>0</formula>
    </cfRule>
  </conditionalFormatting>
  <conditionalFormatting sqref="Q52:Q55">
    <cfRule type="cellIs" dxfId="19424" priority="3126" operator="lessThan">
      <formula>0</formula>
    </cfRule>
  </conditionalFormatting>
  <conditionalFormatting sqref="R52:R55">
    <cfRule type="cellIs" dxfId="19423" priority="3124" operator="lessThan">
      <formula>0.8</formula>
    </cfRule>
    <cfRule type="cellIs" dxfId="19422" priority="3125" operator="greaterThan">
      <formula>1</formula>
    </cfRule>
  </conditionalFormatting>
  <conditionalFormatting sqref="R52:R55">
    <cfRule type="cellIs" dxfId="19421" priority="3122" operator="greaterThan">
      <formula>1</formula>
    </cfRule>
    <cfRule type="cellIs" dxfId="19420" priority="3123" operator="lessThan">
      <formula>0.8</formula>
    </cfRule>
  </conditionalFormatting>
  <conditionalFormatting sqref="P80:P81">
    <cfRule type="cellIs" dxfId="19419" priority="3115" operator="greaterThan">
      <formula>0</formula>
    </cfRule>
  </conditionalFormatting>
  <conditionalFormatting sqref="AF81 Q80:Q81">
    <cfRule type="cellIs" dxfId="19418" priority="3120" operator="lessThan">
      <formula>0</formula>
    </cfRule>
  </conditionalFormatting>
  <conditionalFormatting sqref="R80:R81">
    <cfRule type="cellIs" dxfId="19417" priority="3118" operator="lessThan">
      <formula>0.8</formula>
    </cfRule>
    <cfRule type="cellIs" dxfId="19416" priority="3119" operator="greaterThan">
      <formula>1</formula>
    </cfRule>
  </conditionalFormatting>
  <conditionalFormatting sqref="AG81 R80:R81">
    <cfRule type="cellIs" dxfId="19415" priority="3116" operator="greaterThan">
      <formula>1</formula>
    </cfRule>
    <cfRule type="cellIs" dxfId="19414" priority="3117" operator="lessThan">
      <formula>0.8</formula>
    </cfRule>
  </conditionalFormatting>
  <conditionalFormatting sqref="AH85">
    <cfRule type="cellIs" dxfId="19413" priority="3114" operator="lessThan">
      <formula>0.8</formula>
    </cfRule>
  </conditionalFormatting>
  <conditionalFormatting sqref="S85">
    <cfRule type="cellIs" dxfId="19412" priority="3113" operator="lessThan">
      <formula>0.8</formula>
    </cfRule>
  </conditionalFormatting>
  <conditionalFormatting sqref="AF106:AF107">
    <cfRule type="cellIs" dxfId="19411" priority="3112" operator="lessThan">
      <formula>0</formula>
    </cfRule>
  </conditionalFormatting>
  <conditionalFormatting sqref="AH100:AH107">
    <cfRule type="cellIs" dxfId="19410" priority="3111" operator="lessThan">
      <formula>0.8</formula>
    </cfRule>
  </conditionalFormatting>
  <conditionalFormatting sqref="AG106:AG107">
    <cfRule type="cellIs" dxfId="19409" priority="3109" operator="greaterThan">
      <formula>1</formula>
    </cfRule>
    <cfRule type="cellIs" dxfId="19408" priority="3110" operator="lessThan">
      <formula>0.8</formula>
    </cfRule>
  </conditionalFormatting>
  <conditionalFormatting sqref="P106:P107">
    <cfRule type="cellIs" dxfId="19407" priority="3103" operator="greaterThan">
      <formula>0</formula>
    </cfRule>
  </conditionalFormatting>
  <conditionalFormatting sqref="Q106:Q107">
    <cfRule type="cellIs" dxfId="19406" priority="3108" operator="lessThan">
      <formula>0</formula>
    </cfRule>
  </conditionalFormatting>
  <conditionalFormatting sqref="R106:R107">
    <cfRule type="cellIs" dxfId="19405" priority="3106" operator="lessThan">
      <formula>0.8</formula>
    </cfRule>
    <cfRule type="cellIs" dxfId="19404" priority="3107" operator="greaterThan">
      <formula>1</formula>
    </cfRule>
  </conditionalFormatting>
  <conditionalFormatting sqref="R106:R107">
    <cfRule type="cellIs" dxfId="19403" priority="3104" operator="greaterThan">
      <formula>1</formula>
    </cfRule>
    <cfRule type="cellIs" dxfId="19402" priority="3105" operator="lessThan">
      <formula>0.8</formula>
    </cfRule>
  </conditionalFormatting>
  <conditionalFormatting sqref="AF109:AF120">
    <cfRule type="cellIs" dxfId="19401" priority="3102" operator="lessThan">
      <formula>0</formula>
    </cfRule>
  </conditionalFormatting>
  <conditionalFormatting sqref="S109">
    <cfRule type="cellIs" dxfId="19400" priority="3101" operator="lessThan">
      <formula>0.8</formula>
    </cfRule>
  </conditionalFormatting>
  <conditionalFormatting sqref="AG109:AG120">
    <cfRule type="cellIs" dxfId="19399" priority="3099" operator="greaterThan">
      <formula>1</formula>
    </cfRule>
    <cfRule type="cellIs" dxfId="19398" priority="3100" operator="lessThan">
      <formula>0.8</formula>
    </cfRule>
  </conditionalFormatting>
  <conditionalFormatting sqref="S150">
    <cfRule type="cellIs" dxfId="19397" priority="3098" operator="lessThan">
      <formula>0.8</formula>
    </cfRule>
  </conditionalFormatting>
  <conditionalFormatting sqref="AH150">
    <cfRule type="cellIs" dxfId="19396" priority="3097" operator="lessThan">
      <formula>0.8</formula>
    </cfRule>
  </conditionalFormatting>
  <conditionalFormatting sqref="S149">
    <cfRule type="cellIs" dxfId="19395" priority="3096" operator="lessThan">
      <formula>0.8</formula>
    </cfRule>
  </conditionalFormatting>
  <conditionalFormatting sqref="Q26:Q29">
    <cfRule type="cellIs" dxfId="19394" priority="3095" operator="lessThan">
      <formula>0</formula>
    </cfRule>
  </conditionalFormatting>
  <conditionalFormatting sqref="S21:S29 AH21:AH29">
    <cfRule type="cellIs" dxfId="19393" priority="3094" operator="lessThan">
      <formula>0.8</formula>
    </cfRule>
  </conditionalFormatting>
  <conditionalFormatting sqref="R26:R29">
    <cfRule type="cellIs" dxfId="19392" priority="3092" operator="lessThan">
      <formula>0.8</formula>
    </cfRule>
    <cfRule type="cellIs" dxfId="19391" priority="3093" operator="greaterThan">
      <formula>1</formula>
    </cfRule>
  </conditionalFormatting>
  <conditionalFormatting sqref="R26:R29">
    <cfRule type="cellIs" dxfId="19390" priority="3090" operator="greaterThan">
      <formula>1</formula>
    </cfRule>
    <cfRule type="cellIs" dxfId="19389" priority="3091" operator="lessThan">
      <formula>0.8</formula>
    </cfRule>
  </conditionalFormatting>
  <conditionalFormatting sqref="P26:P29">
    <cfRule type="cellIs" dxfId="19388" priority="3089" operator="greaterThan">
      <formula>0</formula>
    </cfRule>
  </conditionalFormatting>
  <conditionalFormatting sqref="AH91 S91">
    <cfRule type="cellIs" dxfId="19387" priority="3088" operator="lessThan">
      <formula>0.8</formula>
    </cfRule>
  </conditionalFormatting>
  <conditionalFormatting sqref="P92:P94">
    <cfRule type="cellIs" dxfId="19386" priority="3082" operator="greaterThan">
      <formula>0</formula>
    </cfRule>
  </conditionalFormatting>
  <conditionalFormatting sqref="Q92:Q94">
    <cfRule type="cellIs" dxfId="19385" priority="3087" operator="lessThan">
      <formula>0</formula>
    </cfRule>
  </conditionalFormatting>
  <conditionalFormatting sqref="R92:R94">
    <cfRule type="cellIs" dxfId="19384" priority="3085" operator="lessThan">
      <formula>0.8</formula>
    </cfRule>
    <cfRule type="cellIs" dxfId="19383" priority="3086" operator="greaterThan">
      <formula>1</formula>
    </cfRule>
  </conditionalFormatting>
  <conditionalFormatting sqref="R92:R94">
    <cfRule type="cellIs" dxfId="19382" priority="3083" operator="greaterThan">
      <formula>1</formula>
    </cfRule>
    <cfRule type="cellIs" dxfId="19381" priority="3084" operator="lessThan">
      <formula>0.8</formula>
    </cfRule>
  </conditionalFormatting>
  <conditionalFormatting sqref="AF146 Q145:Q146">
    <cfRule type="cellIs" dxfId="19380" priority="3081" operator="lessThan">
      <formula>0</formula>
    </cfRule>
  </conditionalFormatting>
  <conditionalFormatting sqref="AH139:AH146 S139:S146">
    <cfRule type="cellIs" dxfId="19379" priority="3080" operator="lessThan">
      <formula>0.8</formula>
    </cfRule>
  </conditionalFormatting>
  <conditionalFormatting sqref="R145:R146">
    <cfRule type="cellIs" dxfId="19378" priority="3078" operator="lessThan">
      <formula>0.8</formula>
    </cfRule>
    <cfRule type="cellIs" dxfId="19377" priority="3079" operator="greaterThan">
      <formula>1</formula>
    </cfRule>
  </conditionalFormatting>
  <conditionalFormatting sqref="AG146 R145:R146">
    <cfRule type="cellIs" dxfId="19376" priority="3076" operator="greaterThan">
      <formula>1</formula>
    </cfRule>
    <cfRule type="cellIs" dxfId="19375" priority="3077" operator="lessThan">
      <formula>0.8</formula>
    </cfRule>
  </conditionalFormatting>
  <conditionalFormatting sqref="P145:P146">
    <cfRule type="cellIs" dxfId="19374" priority="3075" operator="greaterThan">
      <formula>0</formula>
    </cfRule>
  </conditionalFormatting>
  <conditionalFormatting sqref="Q119:Q120">
    <cfRule type="cellIs" dxfId="19373" priority="3074" operator="lessThan">
      <formula>0</formula>
    </cfRule>
  </conditionalFormatting>
  <conditionalFormatting sqref="R119:R120">
    <cfRule type="cellIs" dxfId="19372" priority="3072" operator="lessThan">
      <formula>0.8</formula>
    </cfRule>
    <cfRule type="cellIs" dxfId="19371" priority="3073" operator="greaterThan">
      <formula>1</formula>
    </cfRule>
  </conditionalFormatting>
  <conditionalFormatting sqref="R119:R120">
    <cfRule type="cellIs" dxfId="19370" priority="3070" operator="greaterThan">
      <formula>1</formula>
    </cfRule>
    <cfRule type="cellIs" dxfId="19369" priority="3071" operator="lessThan">
      <formula>0.8</formula>
    </cfRule>
  </conditionalFormatting>
  <conditionalFormatting sqref="P119:P120">
    <cfRule type="cellIs" dxfId="19368" priority="3069" operator="greaterThan">
      <formula>0</formula>
    </cfRule>
  </conditionalFormatting>
  <conditionalFormatting sqref="S44:S56">
    <cfRule type="cellIs" dxfId="19367" priority="3068" operator="lessThan">
      <formula>0.8</formula>
    </cfRule>
  </conditionalFormatting>
  <conditionalFormatting sqref="S108">
    <cfRule type="cellIs" dxfId="19366" priority="3067" operator="lessThan">
      <formula>0.8</formula>
    </cfRule>
  </conditionalFormatting>
  <conditionalFormatting sqref="S96">
    <cfRule type="cellIs" dxfId="19365" priority="3066" operator="lessThan">
      <formula>0.8</formula>
    </cfRule>
  </conditionalFormatting>
  <conditionalFormatting sqref="S97">
    <cfRule type="cellIs" dxfId="19364" priority="3065" operator="lessThan">
      <formula>0.8</formula>
    </cfRule>
  </conditionalFormatting>
  <conditionalFormatting sqref="S103">
    <cfRule type="cellIs" dxfId="19363" priority="3064" operator="lessThan">
      <formula>0.8</formula>
    </cfRule>
  </conditionalFormatting>
  <conditionalFormatting sqref="S99">
    <cfRule type="cellIs" dxfId="19362" priority="3063" operator="lessThan">
      <formula>0.8</formula>
    </cfRule>
  </conditionalFormatting>
  <conditionalFormatting sqref="S101">
    <cfRule type="cellIs" dxfId="19361" priority="3060" operator="lessThan">
      <formula>0.8</formula>
    </cfRule>
  </conditionalFormatting>
  <conditionalFormatting sqref="S100">
    <cfRule type="cellIs" dxfId="19360" priority="3062" operator="lessThan">
      <formula>0.8</formula>
    </cfRule>
  </conditionalFormatting>
  <conditionalFormatting sqref="S102">
    <cfRule type="cellIs" dxfId="19359" priority="3061" operator="lessThan">
      <formula>0.8</formula>
    </cfRule>
  </conditionalFormatting>
  <conditionalFormatting sqref="S98">
    <cfRule type="cellIs" dxfId="19358" priority="3059" operator="lessThan">
      <formula>0.8</formula>
    </cfRule>
  </conditionalFormatting>
  <conditionalFormatting sqref="S104">
    <cfRule type="cellIs" dxfId="19357" priority="3058" operator="lessThan">
      <formula>0.8</formula>
    </cfRule>
  </conditionalFormatting>
  <conditionalFormatting sqref="P118">
    <cfRule type="cellIs" dxfId="19356" priority="3052" operator="greaterThan">
      <formula>0</formula>
    </cfRule>
  </conditionalFormatting>
  <conditionalFormatting sqref="Q118">
    <cfRule type="cellIs" dxfId="19355" priority="3057" operator="lessThan">
      <formula>0</formula>
    </cfRule>
  </conditionalFormatting>
  <conditionalFormatting sqref="R118">
    <cfRule type="cellIs" dxfId="19354" priority="3055" operator="lessThan">
      <formula>0.8</formula>
    </cfRule>
    <cfRule type="cellIs" dxfId="19353" priority="3056" operator="greaterThan">
      <formula>1</formula>
    </cfRule>
  </conditionalFormatting>
  <conditionalFormatting sqref="R118">
    <cfRule type="cellIs" dxfId="19352" priority="3053" operator="greaterThan">
      <formula>1</formula>
    </cfRule>
    <cfRule type="cellIs" dxfId="19351" priority="3054" operator="lessThan">
      <formula>0.8</formula>
    </cfRule>
  </conditionalFormatting>
  <conditionalFormatting sqref="Q162:Q166">
    <cfRule type="cellIs" dxfId="19350" priority="3051" operator="lessThan">
      <formula>0</formula>
    </cfRule>
  </conditionalFormatting>
  <conditionalFormatting sqref="R162:R166">
    <cfRule type="cellIs" dxfId="19349" priority="3049" operator="lessThan">
      <formula>0.8</formula>
    </cfRule>
    <cfRule type="cellIs" dxfId="19348" priority="3050" operator="greaterThan">
      <formula>1</formula>
    </cfRule>
  </conditionalFormatting>
  <conditionalFormatting sqref="R162:R166">
    <cfRule type="cellIs" dxfId="19347" priority="3047" operator="greaterThan">
      <formula>1</formula>
    </cfRule>
    <cfRule type="cellIs" dxfId="19346" priority="3048" operator="lessThan">
      <formula>0.8</formula>
    </cfRule>
  </conditionalFormatting>
  <conditionalFormatting sqref="P162:P166">
    <cfRule type="cellIs" dxfId="19345" priority="3046" operator="greaterThan">
      <formula>0</formula>
    </cfRule>
  </conditionalFormatting>
  <conditionalFormatting sqref="P167:P168">
    <cfRule type="cellIs" dxfId="19344" priority="3040" operator="greaterThan">
      <formula>0</formula>
    </cfRule>
  </conditionalFormatting>
  <conditionalFormatting sqref="R167:R168">
    <cfRule type="cellIs" dxfId="19343" priority="3043" operator="lessThan">
      <formula>0.8</formula>
    </cfRule>
    <cfRule type="cellIs" dxfId="19342" priority="3044" operator="greaterThan">
      <formula>1</formula>
    </cfRule>
  </conditionalFormatting>
  <conditionalFormatting sqref="R167:R168">
    <cfRule type="cellIs" dxfId="19341" priority="3041" operator="greaterThan">
      <formula>1</formula>
    </cfRule>
    <cfRule type="cellIs" dxfId="19340" priority="3042" operator="lessThan">
      <formula>0.8</formula>
    </cfRule>
  </conditionalFormatting>
  <conditionalFormatting sqref="Q167:Q168">
    <cfRule type="cellIs" dxfId="19339" priority="3045" operator="lessThan">
      <formula>0</formula>
    </cfRule>
  </conditionalFormatting>
  <conditionalFormatting sqref="Q83">
    <cfRule type="cellIs" dxfId="19338" priority="3039" operator="lessThan">
      <formula>0</formula>
    </cfRule>
  </conditionalFormatting>
  <conditionalFormatting sqref="R83">
    <cfRule type="cellIs" dxfId="19337" priority="3037" operator="lessThan">
      <formula>0.8</formula>
    </cfRule>
    <cfRule type="cellIs" dxfId="19336" priority="3038" operator="greaterThan">
      <formula>1</formula>
    </cfRule>
  </conditionalFormatting>
  <conditionalFormatting sqref="R83">
    <cfRule type="cellIs" dxfId="19335" priority="3035" operator="greaterThan">
      <formula>1</formula>
    </cfRule>
    <cfRule type="cellIs" dxfId="19334" priority="3036" operator="lessThan">
      <formula>0.8</formula>
    </cfRule>
  </conditionalFormatting>
  <conditionalFormatting sqref="P83">
    <cfRule type="cellIs" dxfId="19333" priority="3034" operator="greaterThan">
      <formula>0</formula>
    </cfRule>
  </conditionalFormatting>
  <conditionalFormatting sqref="Q83">
    <cfRule type="cellIs" dxfId="19332" priority="3033" operator="lessThan">
      <formula>0</formula>
    </cfRule>
  </conditionalFormatting>
  <conditionalFormatting sqref="R83">
    <cfRule type="cellIs" dxfId="19331" priority="3031" operator="lessThan">
      <formula>0.8</formula>
    </cfRule>
    <cfRule type="cellIs" dxfId="19330" priority="3032" operator="greaterThan">
      <formula>1</formula>
    </cfRule>
  </conditionalFormatting>
  <conditionalFormatting sqref="R83">
    <cfRule type="cellIs" dxfId="19329" priority="3029" operator="greaterThan">
      <formula>1</formula>
    </cfRule>
    <cfRule type="cellIs" dxfId="19328" priority="3030" operator="lessThan">
      <formula>0.8</formula>
    </cfRule>
  </conditionalFormatting>
  <conditionalFormatting sqref="P83">
    <cfRule type="cellIs" dxfId="19327" priority="3028" operator="greaterThan">
      <formula>0</formula>
    </cfRule>
  </conditionalFormatting>
  <conditionalFormatting sqref="Q83">
    <cfRule type="cellIs" dxfId="19326" priority="3027" operator="lessThan">
      <formula>0</formula>
    </cfRule>
  </conditionalFormatting>
  <conditionalFormatting sqref="R83">
    <cfRule type="cellIs" dxfId="19325" priority="3025" operator="lessThan">
      <formula>0.8</formula>
    </cfRule>
    <cfRule type="cellIs" dxfId="19324" priority="3026" operator="greaterThan">
      <formula>1</formula>
    </cfRule>
  </conditionalFormatting>
  <conditionalFormatting sqref="R83">
    <cfRule type="cellIs" dxfId="19323" priority="3023" operator="greaterThan">
      <formula>1</formula>
    </cfRule>
    <cfRule type="cellIs" dxfId="19322" priority="3024" operator="lessThan">
      <formula>0.8</formula>
    </cfRule>
  </conditionalFormatting>
  <conditionalFormatting sqref="P83">
    <cfRule type="cellIs" dxfId="19321" priority="3022" operator="greaterThan">
      <formula>0</formula>
    </cfRule>
  </conditionalFormatting>
  <conditionalFormatting sqref="Q83">
    <cfRule type="cellIs" dxfId="19320" priority="3021" operator="lessThan">
      <formula>0</formula>
    </cfRule>
  </conditionalFormatting>
  <conditionalFormatting sqref="R83">
    <cfRule type="cellIs" dxfId="19319" priority="3019" operator="lessThan">
      <formula>0.8</formula>
    </cfRule>
    <cfRule type="cellIs" dxfId="19318" priority="3020" operator="greaterThan">
      <formula>1</formula>
    </cfRule>
  </conditionalFormatting>
  <conditionalFormatting sqref="R83">
    <cfRule type="cellIs" dxfId="19317" priority="3017" operator="greaterThan">
      <formula>1</formula>
    </cfRule>
    <cfRule type="cellIs" dxfId="19316" priority="3018" operator="lessThan">
      <formula>0.8</formula>
    </cfRule>
  </conditionalFormatting>
  <conditionalFormatting sqref="P83">
    <cfRule type="cellIs" dxfId="19315" priority="3016" operator="greaterThan">
      <formula>0</formula>
    </cfRule>
  </conditionalFormatting>
  <conditionalFormatting sqref="P83">
    <cfRule type="cellIs" dxfId="19314" priority="3010" operator="greaterThan">
      <formula>0</formula>
    </cfRule>
  </conditionalFormatting>
  <conditionalFormatting sqref="Q83">
    <cfRule type="cellIs" dxfId="19313" priority="3015" operator="lessThan">
      <formula>0</formula>
    </cfRule>
  </conditionalFormatting>
  <conditionalFormatting sqref="R83">
    <cfRule type="cellIs" dxfId="19312" priority="3013" operator="lessThan">
      <formula>0.8</formula>
    </cfRule>
    <cfRule type="cellIs" dxfId="19311" priority="3014" operator="greaterThan">
      <formula>1</formula>
    </cfRule>
  </conditionalFormatting>
  <conditionalFormatting sqref="R83">
    <cfRule type="cellIs" dxfId="19310" priority="3011" operator="greaterThan">
      <formula>1</formula>
    </cfRule>
    <cfRule type="cellIs" dxfId="19309" priority="3012" operator="lessThan">
      <formula>0.8</formula>
    </cfRule>
  </conditionalFormatting>
  <conditionalFormatting sqref="P83">
    <cfRule type="cellIs" dxfId="19308" priority="3004" operator="greaterThan">
      <formula>0</formula>
    </cfRule>
  </conditionalFormatting>
  <conditionalFormatting sqref="Q83">
    <cfRule type="cellIs" dxfId="19307" priority="3009" operator="lessThan">
      <formula>0</formula>
    </cfRule>
  </conditionalFormatting>
  <conditionalFormatting sqref="R83">
    <cfRule type="cellIs" dxfId="19306" priority="3007" operator="lessThan">
      <formula>0.8</formula>
    </cfRule>
    <cfRule type="cellIs" dxfId="19305" priority="3008" operator="greaterThan">
      <formula>1</formula>
    </cfRule>
  </conditionalFormatting>
  <conditionalFormatting sqref="R83">
    <cfRule type="cellIs" dxfId="19304" priority="3005" operator="greaterThan">
      <formula>1</formula>
    </cfRule>
    <cfRule type="cellIs" dxfId="19303" priority="3006" operator="lessThan">
      <formula>0.8</formula>
    </cfRule>
  </conditionalFormatting>
  <conditionalFormatting sqref="R83">
    <cfRule type="cellIs" dxfId="19302" priority="3001" operator="lessThan">
      <formula>0.8</formula>
    </cfRule>
    <cfRule type="cellIs" dxfId="19301" priority="3002" operator="greaterThan">
      <formula>1</formula>
    </cfRule>
  </conditionalFormatting>
  <conditionalFormatting sqref="R83">
    <cfRule type="cellIs" dxfId="19300" priority="2999" operator="greaterThan">
      <formula>1</formula>
    </cfRule>
    <cfRule type="cellIs" dxfId="19299" priority="3000" operator="lessThan">
      <formula>0.8</formula>
    </cfRule>
  </conditionalFormatting>
  <conditionalFormatting sqref="P83">
    <cfRule type="cellIs" dxfId="19298" priority="2998" operator="greaterThan">
      <formula>0</formula>
    </cfRule>
  </conditionalFormatting>
  <conditionalFormatting sqref="Q83">
    <cfRule type="cellIs" dxfId="19297" priority="3003" operator="lessThan">
      <formula>0</formula>
    </cfRule>
  </conditionalFormatting>
  <conditionalFormatting sqref="Q83">
    <cfRule type="cellIs" dxfId="19296" priority="2997" operator="lessThan">
      <formula>0</formula>
    </cfRule>
  </conditionalFormatting>
  <conditionalFormatting sqref="R83">
    <cfRule type="cellIs" dxfId="19295" priority="2995" operator="lessThan">
      <formula>0.8</formula>
    </cfRule>
    <cfRule type="cellIs" dxfId="19294" priority="2996" operator="greaterThan">
      <formula>1</formula>
    </cfRule>
  </conditionalFormatting>
  <conditionalFormatting sqref="R83">
    <cfRule type="cellIs" dxfId="19293" priority="2993" operator="greaterThan">
      <formula>1</formula>
    </cfRule>
    <cfRule type="cellIs" dxfId="19292" priority="2994" operator="lessThan">
      <formula>0.8</formula>
    </cfRule>
  </conditionalFormatting>
  <conditionalFormatting sqref="P83">
    <cfRule type="cellIs" dxfId="19291" priority="2992" operator="greaterThan">
      <formula>0</formula>
    </cfRule>
  </conditionalFormatting>
  <conditionalFormatting sqref="P83">
    <cfRule type="cellIs" dxfId="19290" priority="2986" operator="greaterThan">
      <formula>0</formula>
    </cfRule>
  </conditionalFormatting>
  <conditionalFormatting sqref="Q83">
    <cfRule type="cellIs" dxfId="19289" priority="2991" operator="lessThan">
      <formula>0</formula>
    </cfRule>
  </conditionalFormatting>
  <conditionalFormatting sqref="R83">
    <cfRule type="cellIs" dxfId="19288" priority="2989" operator="lessThan">
      <formula>0.8</formula>
    </cfRule>
    <cfRule type="cellIs" dxfId="19287" priority="2990" operator="greaterThan">
      <formula>1</formula>
    </cfRule>
  </conditionalFormatting>
  <conditionalFormatting sqref="R83">
    <cfRule type="cellIs" dxfId="19286" priority="2987" operator="greaterThan">
      <formula>1</formula>
    </cfRule>
    <cfRule type="cellIs" dxfId="19285" priority="2988" operator="lessThan">
      <formula>0.8</formula>
    </cfRule>
  </conditionalFormatting>
  <conditionalFormatting sqref="P83">
    <cfRule type="cellIs" dxfId="19284" priority="2980" operator="greaterThan">
      <formula>0</formula>
    </cfRule>
  </conditionalFormatting>
  <conditionalFormatting sqref="Q83">
    <cfRule type="cellIs" dxfId="19283" priority="2985" operator="lessThan">
      <formula>0</formula>
    </cfRule>
  </conditionalFormatting>
  <conditionalFormatting sqref="R83">
    <cfRule type="cellIs" dxfId="19282" priority="2983" operator="lessThan">
      <formula>0.8</formula>
    </cfRule>
    <cfRule type="cellIs" dxfId="19281" priority="2984" operator="greaterThan">
      <formula>1</formula>
    </cfRule>
  </conditionalFormatting>
  <conditionalFormatting sqref="R83">
    <cfRule type="cellIs" dxfId="19280" priority="2981" operator="greaterThan">
      <formula>1</formula>
    </cfRule>
    <cfRule type="cellIs" dxfId="19279" priority="2982" operator="lessThan">
      <formula>0.8</formula>
    </cfRule>
  </conditionalFormatting>
  <conditionalFormatting sqref="R83">
    <cfRule type="cellIs" dxfId="19278" priority="2977" operator="lessThan">
      <formula>0.8</formula>
    </cfRule>
    <cfRule type="cellIs" dxfId="19277" priority="2978" operator="greaterThan">
      <formula>1</formula>
    </cfRule>
  </conditionalFormatting>
  <conditionalFormatting sqref="R83">
    <cfRule type="cellIs" dxfId="19276" priority="2975" operator="greaterThan">
      <formula>1</formula>
    </cfRule>
    <cfRule type="cellIs" dxfId="19275" priority="2976" operator="lessThan">
      <formula>0.8</formula>
    </cfRule>
  </conditionalFormatting>
  <conditionalFormatting sqref="P83">
    <cfRule type="cellIs" dxfId="19274" priority="2974" operator="greaterThan">
      <formula>0</formula>
    </cfRule>
  </conditionalFormatting>
  <conditionalFormatting sqref="Q83">
    <cfRule type="cellIs" dxfId="19273" priority="2979" operator="lessThan">
      <formula>0</formula>
    </cfRule>
  </conditionalFormatting>
  <conditionalFormatting sqref="P83">
    <cfRule type="cellIs" dxfId="19272" priority="2968" operator="greaterThan">
      <formula>0</formula>
    </cfRule>
  </conditionalFormatting>
  <conditionalFormatting sqref="Q83">
    <cfRule type="cellIs" dxfId="19271" priority="2973" operator="lessThan">
      <formula>0</formula>
    </cfRule>
  </conditionalFormatting>
  <conditionalFormatting sqref="R83">
    <cfRule type="cellIs" dxfId="19270" priority="2971" operator="lessThan">
      <formula>0.8</formula>
    </cfRule>
    <cfRule type="cellIs" dxfId="19269" priority="2972" operator="greaterThan">
      <formula>1</formula>
    </cfRule>
  </conditionalFormatting>
  <conditionalFormatting sqref="R83">
    <cfRule type="cellIs" dxfId="19268" priority="2969" operator="greaterThan">
      <formula>1</formula>
    </cfRule>
    <cfRule type="cellIs" dxfId="19267" priority="2970" operator="lessThan">
      <formula>0.8</formula>
    </cfRule>
  </conditionalFormatting>
  <conditionalFormatting sqref="R83">
    <cfRule type="cellIs" dxfId="19266" priority="2965" operator="lessThan">
      <formula>0.8</formula>
    </cfRule>
    <cfRule type="cellIs" dxfId="19265" priority="2966" operator="greaterThan">
      <formula>1</formula>
    </cfRule>
  </conditionalFormatting>
  <conditionalFormatting sqref="R83">
    <cfRule type="cellIs" dxfId="19264" priority="2963" operator="greaterThan">
      <formula>1</formula>
    </cfRule>
    <cfRule type="cellIs" dxfId="19263" priority="2964" operator="lessThan">
      <formula>0.8</formula>
    </cfRule>
  </conditionalFormatting>
  <conditionalFormatting sqref="P83">
    <cfRule type="cellIs" dxfId="19262" priority="2962" operator="greaterThan">
      <formula>0</formula>
    </cfRule>
  </conditionalFormatting>
  <conditionalFormatting sqref="Q83">
    <cfRule type="cellIs" dxfId="19261" priority="2967" operator="lessThan">
      <formula>0</formula>
    </cfRule>
  </conditionalFormatting>
  <conditionalFormatting sqref="R83">
    <cfRule type="cellIs" dxfId="19260" priority="2959" operator="lessThan">
      <formula>0.8</formula>
    </cfRule>
    <cfRule type="cellIs" dxfId="19259" priority="2960" operator="greaterThan">
      <formula>1</formula>
    </cfRule>
  </conditionalFormatting>
  <conditionalFormatting sqref="R83">
    <cfRule type="cellIs" dxfId="19258" priority="2957" operator="greaterThan">
      <formula>1</formula>
    </cfRule>
    <cfRule type="cellIs" dxfId="19257" priority="2958" operator="lessThan">
      <formula>0.8</formula>
    </cfRule>
  </conditionalFormatting>
  <conditionalFormatting sqref="P83">
    <cfRule type="cellIs" dxfId="19256" priority="2956" operator="greaterThan">
      <formula>0</formula>
    </cfRule>
  </conditionalFormatting>
  <conditionalFormatting sqref="Q83">
    <cfRule type="cellIs" dxfId="19255" priority="2961" operator="lessThan">
      <formula>0</formula>
    </cfRule>
  </conditionalFormatting>
  <conditionalFormatting sqref="Q83">
    <cfRule type="cellIs" dxfId="19254" priority="2955" operator="lessThan">
      <formula>0</formula>
    </cfRule>
  </conditionalFormatting>
  <conditionalFormatting sqref="R83">
    <cfRule type="cellIs" dxfId="19253" priority="2953" operator="lessThan">
      <formula>0.8</formula>
    </cfRule>
    <cfRule type="cellIs" dxfId="19252" priority="2954" operator="greaterThan">
      <formula>1</formula>
    </cfRule>
  </conditionalFormatting>
  <conditionalFormatting sqref="R83">
    <cfRule type="cellIs" dxfId="19251" priority="2951" operator="greaterThan">
      <formula>1</formula>
    </cfRule>
    <cfRule type="cellIs" dxfId="19250" priority="2952" operator="lessThan">
      <formula>0.8</formula>
    </cfRule>
  </conditionalFormatting>
  <conditionalFormatting sqref="P83">
    <cfRule type="cellIs" dxfId="19249" priority="2950" operator="greaterThan">
      <formula>0</formula>
    </cfRule>
  </conditionalFormatting>
  <conditionalFormatting sqref="Q83">
    <cfRule type="cellIs" dxfId="19248" priority="2944" operator="lessThan">
      <formula>0</formula>
    </cfRule>
  </conditionalFormatting>
  <conditionalFormatting sqref="R83">
    <cfRule type="cellIs" dxfId="19247" priority="2948" operator="lessThan">
      <formula>0.8</formula>
    </cfRule>
    <cfRule type="cellIs" dxfId="19246" priority="2949" operator="greaterThan">
      <formula>1</formula>
    </cfRule>
  </conditionalFormatting>
  <conditionalFormatting sqref="R83">
    <cfRule type="cellIs" dxfId="19245" priority="2946" operator="greaterThan">
      <formula>1</formula>
    </cfRule>
    <cfRule type="cellIs" dxfId="19244" priority="2947" operator="lessThan">
      <formula>0.8</formula>
    </cfRule>
  </conditionalFormatting>
  <conditionalFormatting sqref="P83">
    <cfRule type="cellIs" dxfId="19243" priority="2945" operator="greaterThan">
      <formula>0</formula>
    </cfRule>
  </conditionalFormatting>
  <conditionalFormatting sqref="Q83">
    <cfRule type="cellIs" dxfId="19242" priority="2943" operator="lessThan">
      <formula>0</formula>
    </cfRule>
  </conditionalFormatting>
  <conditionalFormatting sqref="R83">
    <cfRule type="cellIs" dxfId="19241" priority="2941" operator="lessThan">
      <formula>0.8</formula>
    </cfRule>
    <cfRule type="cellIs" dxfId="19240" priority="2942" operator="greaterThan">
      <formula>1</formula>
    </cfRule>
  </conditionalFormatting>
  <conditionalFormatting sqref="R83">
    <cfRule type="cellIs" dxfId="19239" priority="2939" operator="greaterThan">
      <formula>1</formula>
    </cfRule>
    <cfRule type="cellIs" dxfId="19238" priority="2940" operator="lessThan">
      <formula>0.8</formula>
    </cfRule>
  </conditionalFormatting>
  <conditionalFormatting sqref="P83">
    <cfRule type="cellIs" dxfId="19237" priority="2938" operator="greaterThan">
      <formula>0</formula>
    </cfRule>
  </conditionalFormatting>
  <conditionalFormatting sqref="Q83">
    <cfRule type="cellIs" dxfId="19236" priority="2937" operator="lessThan">
      <formula>0</formula>
    </cfRule>
  </conditionalFormatting>
  <conditionalFormatting sqref="R83">
    <cfRule type="cellIs" dxfId="19235" priority="2935" operator="lessThan">
      <formula>0.8</formula>
    </cfRule>
    <cfRule type="cellIs" dxfId="19234" priority="2936" operator="greaterThan">
      <formula>1</formula>
    </cfRule>
  </conditionalFormatting>
  <conditionalFormatting sqref="R83">
    <cfRule type="cellIs" dxfId="19233" priority="2933" operator="greaterThan">
      <formula>1</formula>
    </cfRule>
    <cfRule type="cellIs" dxfId="19232" priority="2934" operator="lessThan">
      <formula>0.8</formula>
    </cfRule>
  </conditionalFormatting>
  <conditionalFormatting sqref="P83">
    <cfRule type="cellIs" dxfId="19231" priority="2932" operator="greaterThan">
      <formula>0</formula>
    </cfRule>
  </conditionalFormatting>
  <conditionalFormatting sqref="Q83">
    <cfRule type="cellIs" dxfId="19230" priority="2931" operator="lessThan">
      <formula>0</formula>
    </cfRule>
  </conditionalFormatting>
  <conditionalFormatting sqref="R83">
    <cfRule type="cellIs" dxfId="19229" priority="2929" operator="lessThan">
      <formula>0.8</formula>
    </cfRule>
    <cfRule type="cellIs" dxfId="19228" priority="2930" operator="greaterThan">
      <formula>1</formula>
    </cfRule>
  </conditionalFormatting>
  <conditionalFormatting sqref="R83">
    <cfRule type="cellIs" dxfId="19227" priority="2927" operator="greaterThan">
      <formula>1</formula>
    </cfRule>
    <cfRule type="cellIs" dxfId="19226" priority="2928" operator="lessThan">
      <formula>0.8</formula>
    </cfRule>
  </conditionalFormatting>
  <conditionalFormatting sqref="P83">
    <cfRule type="cellIs" dxfId="19225" priority="2926" operator="greaterThan">
      <formula>0</formula>
    </cfRule>
  </conditionalFormatting>
  <conditionalFormatting sqref="Q83">
    <cfRule type="cellIs" dxfId="19224" priority="2925" operator="lessThan">
      <formula>0</formula>
    </cfRule>
  </conditionalFormatting>
  <conditionalFormatting sqref="R83">
    <cfRule type="cellIs" dxfId="19223" priority="2923" operator="lessThan">
      <formula>0.8</formula>
    </cfRule>
    <cfRule type="cellIs" dxfId="19222" priority="2924" operator="greaterThan">
      <formula>1</formula>
    </cfRule>
  </conditionalFormatting>
  <conditionalFormatting sqref="R83">
    <cfRule type="cellIs" dxfId="19221" priority="2921" operator="greaterThan">
      <formula>1</formula>
    </cfRule>
    <cfRule type="cellIs" dxfId="19220" priority="2922" operator="lessThan">
      <formula>0.8</formula>
    </cfRule>
  </conditionalFormatting>
  <conditionalFormatting sqref="P83">
    <cfRule type="cellIs" dxfId="19219" priority="2920" operator="greaterThan">
      <formula>0</formula>
    </cfRule>
  </conditionalFormatting>
  <conditionalFormatting sqref="Q83">
    <cfRule type="cellIs" dxfId="19218" priority="2919" operator="lessThan">
      <formula>0</formula>
    </cfRule>
  </conditionalFormatting>
  <conditionalFormatting sqref="R83">
    <cfRule type="cellIs" dxfId="19217" priority="2917" operator="lessThan">
      <formula>0.8</formula>
    </cfRule>
    <cfRule type="cellIs" dxfId="19216" priority="2918" operator="greaterThan">
      <formula>1</formula>
    </cfRule>
  </conditionalFormatting>
  <conditionalFormatting sqref="R83">
    <cfRule type="cellIs" dxfId="19215" priority="2915" operator="greaterThan">
      <formula>1</formula>
    </cfRule>
    <cfRule type="cellIs" dxfId="19214" priority="2916" operator="lessThan">
      <formula>0.8</formula>
    </cfRule>
  </conditionalFormatting>
  <conditionalFormatting sqref="P83">
    <cfRule type="cellIs" dxfId="19213" priority="2914" operator="greaterThan">
      <formula>0</formula>
    </cfRule>
  </conditionalFormatting>
  <conditionalFormatting sqref="P83">
    <cfRule type="cellIs" dxfId="19212" priority="2908" operator="greaterThan">
      <formula>0</formula>
    </cfRule>
  </conditionalFormatting>
  <conditionalFormatting sqref="Q83">
    <cfRule type="cellIs" dxfId="19211" priority="2913" operator="lessThan">
      <formula>0</formula>
    </cfRule>
  </conditionalFormatting>
  <conditionalFormatting sqref="R83">
    <cfRule type="cellIs" dxfId="19210" priority="2911" operator="lessThan">
      <formula>0.8</formula>
    </cfRule>
    <cfRule type="cellIs" dxfId="19209" priority="2912" operator="greaterThan">
      <formula>1</formula>
    </cfRule>
  </conditionalFormatting>
  <conditionalFormatting sqref="R83">
    <cfRule type="cellIs" dxfId="19208" priority="2909" operator="greaterThan">
      <formula>1</formula>
    </cfRule>
    <cfRule type="cellIs" dxfId="19207" priority="2910" operator="lessThan">
      <formula>0.8</formula>
    </cfRule>
  </conditionalFormatting>
  <conditionalFormatting sqref="P83">
    <cfRule type="cellIs" dxfId="19206" priority="2902" operator="greaterThan">
      <formula>0</formula>
    </cfRule>
  </conditionalFormatting>
  <conditionalFormatting sqref="Q83">
    <cfRule type="cellIs" dxfId="19205" priority="2907" operator="lessThan">
      <formula>0</formula>
    </cfRule>
  </conditionalFormatting>
  <conditionalFormatting sqref="R83">
    <cfRule type="cellIs" dxfId="19204" priority="2905" operator="lessThan">
      <formula>0.8</formula>
    </cfRule>
    <cfRule type="cellIs" dxfId="19203" priority="2906" operator="greaterThan">
      <formula>1</formula>
    </cfRule>
  </conditionalFormatting>
  <conditionalFormatting sqref="R83">
    <cfRule type="cellIs" dxfId="19202" priority="2903" operator="greaterThan">
      <formula>1</formula>
    </cfRule>
    <cfRule type="cellIs" dxfId="19201" priority="2904" operator="lessThan">
      <formula>0.8</formula>
    </cfRule>
  </conditionalFormatting>
  <conditionalFormatting sqref="R83">
    <cfRule type="cellIs" dxfId="19200" priority="2899" operator="lessThan">
      <formula>0.8</formula>
    </cfRule>
    <cfRule type="cellIs" dxfId="19199" priority="2900" operator="greaterThan">
      <formula>1</formula>
    </cfRule>
  </conditionalFormatting>
  <conditionalFormatting sqref="R83">
    <cfRule type="cellIs" dxfId="19198" priority="2897" operator="greaterThan">
      <formula>1</formula>
    </cfRule>
    <cfRule type="cellIs" dxfId="19197" priority="2898" operator="lessThan">
      <formula>0.8</formula>
    </cfRule>
  </conditionalFormatting>
  <conditionalFormatting sqref="P83">
    <cfRule type="cellIs" dxfId="19196" priority="2896" operator="greaterThan">
      <formula>0</formula>
    </cfRule>
  </conditionalFormatting>
  <conditionalFormatting sqref="Q83">
    <cfRule type="cellIs" dxfId="19195" priority="2901" operator="lessThan">
      <formula>0</formula>
    </cfRule>
  </conditionalFormatting>
  <conditionalFormatting sqref="Q83">
    <cfRule type="cellIs" dxfId="19194" priority="2895" operator="lessThan">
      <formula>0</formula>
    </cfRule>
  </conditionalFormatting>
  <conditionalFormatting sqref="R83">
    <cfRule type="cellIs" dxfId="19193" priority="2893" operator="lessThan">
      <formula>0.8</formula>
    </cfRule>
    <cfRule type="cellIs" dxfId="19192" priority="2894" operator="greaterThan">
      <formula>1</formula>
    </cfRule>
  </conditionalFormatting>
  <conditionalFormatting sqref="R83">
    <cfRule type="cellIs" dxfId="19191" priority="2891" operator="greaterThan">
      <formula>1</formula>
    </cfRule>
    <cfRule type="cellIs" dxfId="19190" priority="2892" operator="lessThan">
      <formula>0.8</formula>
    </cfRule>
  </conditionalFormatting>
  <conditionalFormatting sqref="P83">
    <cfRule type="cellIs" dxfId="19189" priority="2890" operator="greaterThan">
      <formula>0</formula>
    </cfRule>
  </conditionalFormatting>
  <conditionalFormatting sqref="Q83">
    <cfRule type="cellIs" dxfId="19188" priority="2889" operator="lessThan">
      <formula>0</formula>
    </cfRule>
  </conditionalFormatting>
  <conditionalFormatting sqref="R83">
    <cfRule type="cellIs" dxfId="19187" priority="2887" operator="lessThan">
      <formula>0.8</formula>
    </cfRule>
    <cfRule type="cellIs" dxfId="19186" priority="2888" operator="greaterThan">
      <formula>1</formula>
    </cfRule>
  </conditionalFormatting>
  <conditionalFormatting sqref="R83">
    <cfRule type="cellIs" dxfId="19185" priority="2885" operator="greaterThan">
      <formula>1</formula>
    </cfRule>
    <cfRule type="cellIs" dxfId="19184" priority="2886" operator="lessThan">
      <formula>0.8</formula>
    </cfRule>
  </conditionalFormatting>
  <conditionalFormatting sqref="P83">
    <cfRule type="cellIs" dxfId="19183" priority="2884" operator="greaterThan">
      <formula>0</formula>
    </cfRule>
  </conditionalFormatting>
  <conditionalFormatting sqref="Q83">
    <cfRule type="cellIs" dxfId="19182" priority="2883" operator="lessThan">
      <formula>0</formula>
    </cfRule>
  </conditionalFormatting>
  <conditionalFormatting sqref="R83">
    <cfRule type="cellIs" dxfId="19181" priority="2881" operator="lessThan">
      <formula>0.8</formula>
    </cfRule>
    <cfRule type="cellIs" dxfId="19180" priority="2882" operator="greaterThan">
      <formula>1</formula>
    </cfRule>
  </conditionalFormatting>
  <conditionalFormatting sqref="R83">
    <cfRule type="cellIs" dxfId="19179" priority="2879" operator="greaterThan">
      <formula>1</formula>
    </cfRule>
    <cfRule type="cellIs" dxfId="19178" priority="2880" operator="lessThan">
      <formula>0.8</formula>
    </cfRule>
  </conditionalFormatting>
  <conditionalFormatting sqref="P83">
    <cfRule type="cellIs" dxfId="19177" priority="2878" operator="greaterThan">
      <formula>0</formula>
    </cfRule>
  </conditionalFormatting>
  <conditionalFormatting sqref="Q83">
    <cfRule type="cellIs" dxfId="19176" priority="2877" operator="lessThan">
      <formula>0</formula>
    </cfRule>
  </conditionalFormatting>
  <conditionalFormatting sqref="R83">
    <cfRule type="cellIs" dxfId="19175" priority="2875" operator="lessThan">
      <formula>0.8</formula>
    </cfRule>
    <cfRule type="cellIs" dxfId="19174" priority="2876" operator="greaterThan">
      <formula>1</formula>
    </cfRule>
  </conditionalFormatting>
  <conditionalFormatting sqref="R83">
    <cfRule type="cellIs" dxfId="19173" priority="2873" operator="greaterThan">
      <formula>1</formula>
    </cfRule>
    <cfRule type="cellIs" dxfId="19172" priority="2874" operator="lessThan">
      <formula>0.8</formula>
    </cfRule>
  </conditionalFormatting>
  <conditionalFormatting sqref="P83">
    <cfRule type="cellIs" dxfId="19171" priority="2872" operator="greaterThan">
      <formula>0</formula>
    </cfRule>
  </conditionalFormatting>
  <conditionalFormatting sqref="P83">
    <cfRule type="cellIs" dxfId="19170" priority="2866" operator="greaterThan">
      <formula>0</formula>
    </cfRule>
  </conditionalFormatting>
  <conditionalFormatting sqref="Q83">
    <cfRule type="cellIs" dxfId="19169" priority="2871" operator="lessThan">
      <formula>0</formula>
    </cfRule>
  </conditionalFormatting>
  <conditionalFormatting sqref="R83">
    <cfRule type="cellIs" dxfId="19168" priority="2869" operator="lessThan">
      <formula>0.8</formula>
    </cfRule>
    <cfRule type="cellIs" dxfId="19167" priority="2870" operator="greaterThan">
      <formula>1</formula>
    </cfRule>
  </conditionalFormatting>
  <conditionalFormatting sqref="R83">
    <cfRule type="cellIs" dxfId="19166" priority="2867" operator="greaterThan">
      <formula>1</formula>
    </cfRule>
    <cfRule type="cellIs" dxfId="19165" priority="2868" operator="lessThan">
      <formula>0.8</formula>
    </cfRule>
  </conditionalFormatting>
  <conditionalFormatting sqref="P83">
    <cfRule type="cellIs" dxfId="19164" priority="2860" operator="greaterThan">
      <formula>0</formula>
    </cfRule>
  </conditionalFormatting>
  <conditionalFormatting sqref="Q83">
    <cfRule type="cellIs" dxfId="19163" priority="2865" operator="lessThan">
      <formula>0</formula>
    </cfRule>
  </conditionalFormatting>
  <conditionalFormatting sqref="R83">
    <cfRule type="cellIs" dxfId="19162" priority="2863" operator="lessThan">
      <formula>0.8</formula>
    </cfRule>
    <cfRule type="cellIs" dxfId="19161" priority="2864" operator="greaterThan">
      <formula>1</formula>
    </cfRule>
  </conditionalFormatting>
  <conditionalFormatting sqref="R83">
    <cfRule type="cellIs" dxfId="19160" priority="2861" operator="greaterThan">
      <formula>1</formula>
    </cfRule>
    <cfRule type="cellIs" dxfId="19159" priority="2862" operator="lessThan">
      <formula>0.8</formula>
    </cfRule>
  </conditionalFormatting>
  <conditionalFormatting sqref="R83">
    <cfRule type="cellIs" dxfId="19158" priority="2857" operator="lessThan">
      <formula>0.8</formula>
    </cfRule>
    <cfRule type="cellIs" dxfId="19157" priority="2858" operator="greaterThan">
      <formula>1</formula>
    </cfRule>
  </conditionalFormatting>
  <conditionalFormatting sqref="R83">
    <cfRule type="cellIs" dxfId="19156" priority="2855" operator="greaterThan">
      <formula>1</formula>
    </cfRule>
    <cfRule type="cellIs" dxfId="19155" priority="2856" operator="lessThan">
      <formula>0.8</formula>
    </cfRule>
  </conditionalFormatting>
  <conditionalFormatting sqref="P83">
    <cfRule type="cellIs" dxfId="19154" priority="2854" operator="greaterThan">
      <formula>0</formula>
    </cfRule>
  </conditionalFormatting>
  <conditionalFormatting sqref="Q83">
    <cfRule type="cellIs" dxfId="19153" priority="2859" operator="lessThan">
      <formula>0</formula>
    </cfRule>
  </conditionalFormatting>
  <conditionalFormatting sqref="Q83">
    <cfRule type="cellIs" dxfId="19152" priority="2853" operator="lessThan">
      <formula>0</formula>
    </cfRule>
  </conditionalFormatting>
  <conditionalFormatting sqref="R83">
    <cfRule type="cellIs" dxfId="19151" priority="2851" operator="lessThan">
      <formula>0.8</formula>
    </cfRule>
    <cfRule type="cellIs" dxfId="19150" priority="2852" operator="greaterThan">
      <formula>1</formula>
    </cfRule>
  </conditionalFormatting>
  <conditionalFormatting sqref="R83">
    <cfRule type="cellIs" dxfId="19149" priority="2849" operator="greaterThan">
      <formula>1</formula>
    </cfRule>
    <cfRule type="cellIs" dxfId="19148" priority="2850" operator="lessThan">
      <formula>0.8</formula>
    </cfRule>
  </conditionalFormatting>
  <conditionalFormatting sqref="P83">
    <cfRule type="cellIs" dxfId="19147" priority="2848" operator="greaterThan">
      <formula>0</formula>
    </cfRule>
  </conditionalFormatting>
  <conditionalFormatting sqref="P83">
    <cfRule type="cellIs" dxfId="19146" priority="2842" operator="greaterThan">
      <formula>0</formula>
    </cfRule>
  </conditionalFormatting>
  <conditionalFormatting sqref="Q83">
    <cfRule type="cellIs" dxfId="19145" priority="2847" operator="lessThan">
      <formula>0</formula>
    </cfRule>
  </conditionalFormatting>
  <conditionalFormatting sqref="R83">
    <cfRule type="cellIs" dxfId="19144" priority="2845" operator="lessThan">
      <formula>0.8</formula>
    </cfRule>
    <cfRule type="cellIs" dxfId="19143" priority="2846" operator="greaterThan">
      <formula>1</formula>
    </cfRule>
  </conditionalFormatting>
  <conditionalFormatting sqref="R83">
    <cfRule type="cellIs" dxfId="19142" priority="2843" operator="greaterThan">
      <formula>1</formula>
    </cfRule>
    <cfRule type="cellIs" dxfId="19141" priority="2844" operator="lessThan">
      <formula>0.8</formula>
    </cfRule>
  </conditionalFormatting>
  <conditionalFormatting sqref="P83">
    <cfRule type="cellIs" dxfId="19140" priority="2836" operator="greaterThan">
      <formula>0</formula>
    </cfRule>
  </conditionalFormatting>
  <conditionalFormatting sqref="Q83">
    <cfRule type="cellIs" dxfId="19139" priority="2841" operator="lessThan">
      <formula>0</formula>
    </cfRule>
  </conditionalFormatting>
  <conditionalFormatting sqref="R83">
    <cfRule type="cellIs" dxfId="19138" priority="2839" operator="lessThan">
      <formula>0.8</formula>
    </cfRule>
    <cfRule type="cellIs" dxfId="19137" priority="2840" operator="greaterThan">
      <formula>1</formula>
    </cfRule>
  </conditionalFormatting>
  <conditionalFormatting sqref="R83">
    <cfRule type="cellIs" dxfId="19136" priority="2837" operator="greaterThan">
      <formula>1</formula>
    </cfRule>
    <cfRule type="cellIs" dxfId="19135" priority="2838" operator="lessThan">
      <formula>0.8</formula>
    </cfRule>
  </conditionalFormatting>
  <conditionalFormatting sqref="R83">
    <cfRule type="cellIs" dxfId="19134" priority="2833" operator="lessThan">
      <formula>0.8</formula>
    </cfRule>
    <cfRule type="cellIs" dxfId="19133" priority="2834" operator="greaterThan">
      <formula>1</formula>
    </cfRule>
  </conditionalFormatting>
  <conditionalFormatting sqref="R83">
    <cfRule type="cellIs" dxfId="19132" priority="2831" operator="greaterThan">
      <formula>1</formula>
    </cfRule>
    <cfRule type="cellIs" dxfId="19131" priority="2832" operator="lessThan">
      <formula>0.8</formula>
    </cfRule>
  </conditionalFormatting>
  <conditionalFormatting sqref="P83">
    <cfRule type="cellIs" dxfId="19130" priority="2830" operator="greaterThan">
      <formula>0</formula>
    </cfRule>
  </conditionalFormatting>
  <conditionalFormatting sqref="Q83">
    <cfRule type="cellIs" dxfId="19129" priority="2835" operator="lessThan">
      <formula>0</formula>
    </cfRule>
  </conditionalFormatting>
  <conditionalFormatting sqref="P83">
    <cfRule type="cellIs" dxfId="19128" priority="2824" operator="greaterThan">
      <formula>0</formula>
    </cfRule>
  </conditionalFormatting>
  <conditionalFormatting sqref="Q83">
    <cfRule type="cellIs" dxfId="19127" priority="2829" operator="lessThan">
      <formula>0</formula>
    </cfRule>
  </conditionalFormatting>
  <conditionalFormatting sqref="R83">
    <cfRule type="cellIs" dxfId="19126" priority="2827" operator="lessThan">
      <formula>0.8</formula>
    </cfRule>
    <cfRule type="cellIs" dxfId="19125" priority="2828" operator="greaterThan">
      <formula>1</formula>
    </cfRule>
  </conditionalFormatting>
  <conditionalFormatting sqref="R83">
    <cfRule type="cellIs" dxfId="19124" priority="2825" operator="greaterThan">
      <formula>1</formula>
    </cfRule>
    <cfRule type="cellIs" dxfId="19123" priority="2826" operator="lessThan">
      <formula>0.8</formula>
    </cfRule>
  </conditionalFormatting>
  <conditionalFormatting sqref="R83">
    <cfRule type="cellIs" dxfId="19122" priority="2821" operator="lessThan">
      <formula>0.8</formula>
    </cfRule>
    <cfRule type="cellIs" dxfId="19121" priority="2822" operator="greaterThan">
      <formula>1</formula>
    </cfRule>
  </conditionalFormatting>
  <conditionalFormatting sqref="R83">
    <cfRule type="cellIs" dxfId="19120" priority="2819" operator="greaterThan">
      <formula>1</formula>
    </cfRule>
    <cfRule type="cellIs" dxfId="19119" priority="2820" operator="lessThan">
      <formula>0.8</formula>
    </cfRule>
  </conditionalFormatting>
  <conditionalFormatting sqref="P83">
    <cfRule type="cellIs" dxfId="19118" priority="2818" operator="greaterThan">
      <formula>0</formula>
    </cfRule>
  </conditionalFormatting>
  <conditionalFormatting sqref="Q83">
    <cfRule type="cellIs" dxfId="19117" priority="2823" operator="lessThan">
      <formula>0</formula>
    </cfRule>
  </conditionalFormatting>
  <conditionalFormatting sqref="R83">
    <cfRule type="cellIs" dxfId="19116" priority="2815" operator="lessThan">
      <formula>0.8</formula>
    </cfRule>
    <cfRule type="cellIs" dxfId="19115" priority="2816" operator="greaterThan">
      <formula>1</formula>
    </cfRule>
  </conditionalFormatting>
  <conditionalFormatting sqref="R83">
    <cfRule type="cellIs" dxfId="19114" priority="2813" operator="greaterThan">
      <formula>1</formula>
    </cfRule>
    <cfRule type="cellIs" dxfId="19113" priority="2814" operator="lessThan">
      <formula>0.8</formula>
    </cfRule>
  </conditionalFormatting>
  <conditionalFormatting sqref="P83">
    <cfRule type="cellIs" dxfId="19112" priority="2812" operator="greaterThan">
      <formula>0</formula>
    </cfRule>
  </conditionalFormatting>
  <conditionalFormatting sqref="Q83">
    <cfRule type="cellIs" dxfId="19111" priority="2817" operator="lessThan">
      <formula>0</formula>
    </cfRule>
  </conditionalFormatting>
  <conditionalFormatting sqref="Q83">
    <cfRule type="cellIs" dxfId="19110" priority="2811" operator="lessThan">
      <formula>0</formula>
    </cfRule>
  </conditionalFormatting>
  <conditionalFormatting sqref="R83">
    <cfRule type="cellIs" dxfId="19109" priority="2809" operator="lessThan">
      <formula>0.8</formula>
    </cfRule>
    <cfRule type="cellIs" dxfId="19108" priority="2810" operator="greaterThan">
      <formula>1</formula>
    </cfRule>
  </conditionalFormatting>
  <conditionalFormatting sqref="R83">
    <cfRule type="cellIs" dxfId="19107" priority="2807" operator="greaterThan">
      <formula>1</formula>
    </cfRule>
    <cfRule type="cellIs" dxfId="19106" priority="2808" operator="lessThan">
      <formula>0.8</formula>
    </cfRule>
  </conditionalFormatting>
  <conditionalFormatting sqref="P83">
    <cfRule type="cellIs" dxfId="19105" priority="2806" operator="greaterThan">
      <formula>0</formula>
    </cfRule>
  </conditionalFormatting>
  <conditionalFormatting sqref="Q83">
    <cfRule type="cellIs" dxfId="19104" priority="2800" operator="lessThan">
      <formula>0</formula>
    </cfRule>
  </conditionalFormatting>
  <conditionalFormatting sqref="R83">
    <cfRule type="cellIs" dxfId="19103" priority="2804" operator="lessThan">
      <formula>0.8</formula>
    </cfRule>
    <cfRule type="cellIs" dxfId="19102" priority="2805" operator="greaterThan">
      <formula>1</formula>
    </cfRule>
  </conditionalFormatting>
  <conditionalFormatting sqref="R83">
    <cfRule type="cellIs" dxfId="19101" priority="2802" operator="greaterThan">
      <formula>1</formula>
    </cfRule>
    <cfRule type="cellIs" dxfId="19100" priority="2803" operator="lessThan">
      <formula>0.8</formula>
    </cfRule>
  </conditionalFormatting>
  <conditionalFormatting sqref="P83">
    <cfRule type="cellIs" dxfId="19099" priority="2801" operator="greaterThan">
      <formula>0</formula>
    </cfRule>
  </conditionalFormatting>
  <conditionalFormatting sqref="Q83">
    <cfRule type="cellIs" dxfId="19098" priority="2799" operator="lessThan">
      <formula>0</formula>
    </cfRule>
  </conditionalFormatting>
  <conditionalFormatting sqref="R83">
    <cfRule type="cellIs" dxfId="19097" priority="2797" operator="lessThan">
      <formula>0.8</formula>
    </cfRule>
    <cfRule type="cellIs" dxfId="19096" priority="2798" operator="greaterThan">
      <formula>1</formula>
    </cfRule>
  </conditionalFormatting>
  <conditionalFormatting sqref="R83">
    <cfRule type="cellIs" dxfId="19095" priority="2795" operator="greaterThan">
      <formula>1</formula>
    </cfRule>
    <cfRule type="cellIs" dxfId="19094" priority="2796" operator="lessThan">
      <formula>0.8</formula>
    </cfRule>
  </conditionalFormatting>
  <conditionalFormatting sqref="P83">
    <cfRule type="cellIs" dxfId="19093" priority="2794" operator="greaterThan">
      <formula>0</formula>
    </cfRule>
  </conditionalFormatting>
  <conditionalFormatting sqref="Q83">
    <cfRule type="cellIs" dxfId="19092" priority="2793" operator="lessThan">
      <formula>0</formula>
    </cfRule>
  </conditionalFormatting>
  <conditionalFormatting sqref="R83">
    <cfRule type="cellIs" dxfId="19091" priority="2791" operator="lessThan">
      <formula>0.8</formula>
    </cfRule>
    <cfRule type="cellIs" dxfId="19090" priority="2792" operator="greaterThan">
      <formula>1</formula>
    </cfRule>
  </conditionalFormatting>
  <conditionalFormatting sqref="R83">
    <cfRule type="cellIs" dxfId="19089" priority="2789" operator="greaterThan">
      <formula>1</formula>
    </cfRule>
    <cfRule type="cellIs" dxfId="19088" priority="2790" operator="lessThan">
      <formula>0.8</formula>
    </cfRule>
  </conditionalFormatting>
  <conditionalFormatting sqref="P83">
    <cfRule type="cellIs" dxfId="19087" priority="2788" operator="greaterThan">
      <formula>0</formula>
    </cfRule>
  </conditionalFormatting>
  <conditionalFormatting sqref="Q83">
    <cfRule type="cellIs" dxfId="19086" priority="2787" operator="lessThan">
      <formula>0</formula>
    </cfRule>
  </conditionalFormatting>
  <conditionalFormatting sqref="R83">
    <cfRule type="cellIs" dxfId="19085" priority="2785" operator="lessThan">
      <formula>0.8</formula>
    </cfRule>
    <cfRule type="cellIs" dxfId="19084" priority="2786" operator="greaterThan">
      <formula>1</formula>
    </cfRule>
  </conditionalFormatting>
  <conditionalFormatting sqref="R83">
    <cfRule type="cellIs" dxfId="19083" priority="2783" operator="greaterThan">
      <formula>1</formula>
    </cfRule>
    <cfRule type="cellIs" dxfId="19082" priority="2784" operator="lessThan">
      <formula>0.8</formula>
    </cfRule>
  </conditionalFormatting>
  <conditionalFormatting sqref="P83">
    <cfRule type="cellIs" dxfId="19081" priority="2782" operator="greaterThan">
      <formula>0</formula>
    </cfRule>
  </conditionalFormatting>
  <conditionalFormatting sqref="Q83">
    <cfRule type="cellIs" dxfId="19080" priority="2781" operator="lessThan">
      <formula>0</formula>
    </cfRule>
  </conditionalFormatting>
  <conditionalFormatting sqref="R83">
    <cfRule type="cellIs" dxfId="19079" priority="2779" operator="lessThan">
      <formula>0.8</formula>
    </cfRule>
    <cfRule type="cellIs" dxfId="19078" priority="2780" operator="greaterThan">
      <formula>1</formula>
    </cfRule>
  </conditionalFormatting>
  <conditionalFormatting sqref="R83">
    <cfRule type="cellIs" dxfId="19077" priority="2777" operator="greaterThan">
      <formula>1</formula>
    </cfRule>
    <cfRule type="cellIs" dxfId="19076" priority="2778" operator="lessThan">
      <formula>0.8</formula>
    </cfRule>
  </conditionalFormatting>
  <conditionalFormatting sqref="P83">
    <cfRule type="cellIs" dxfId="19075" priority="2776" operator="greaterThan">
      <formula>0</formula>
    </cfRule>
  </conditionalFormatting>
  <conditionalFormatting sqref="Q83">
    <cfRule type="cellIs" dxfId="19074" priority="2775" operator="lessThan">
      <formula>0</formula>
    </cfRule>
  </conditionalFormatting>
  <conditionalFormatting sqref="R83">
    <cfRule type="cellIs" dxfId="19073" priority="2773" operator="lessThan">
      <formula>0.8</formula>
    </cfRule>
    <cfRule type="cellIs" dxfId="19072" priority="2774" operator="greaterThan">
      <formula>1</formula>
    </cfRule>
  </conditionalFormatting>
  <conditionalFormatting sqref="R83">
    <cfRule type="cellIs" dxfId="19071" priority="2771" operator="greaterThan">
      <formula>1</formula>
    </cfRule>
    <cfRule type="cellIs" dxfId="19070" priority="2772" operator="lessThan">
      <formula>0.8</formula>
    </cfRule>
  </conditionalFormatting>
  <conditionalFormatting sqref="P83">
    <cfRule type="cellIs" dxfId="19069" priority="2770" operator="greaterThan">
      <formula>0</formula>
    </cfRule>
  </conditionalFormatting>
  <conditionalFormatting sqref="P83">
    <cfRule type="cellIs" dxfId="19068" priority="2764" operator="greaterThan">
      <formula>0</formula>
    </cfRule>
  </conditionalFormatting>
  <conditionalFormatting sqref="Q83">
    <cfRule type="cellIs" dxfId="19067" priority="2769" operator="lessThan">
      <formula>0</formula>
    </cfRule>
  </conditionalFormatting>
  <conditionalFormatting sqref="R83">
    <cfRule type="cellIs" dxfId="19066" priority="2767" operator="lessThan">
      <formula>0.8</formula>
    </cfRule>
    <cfRule type="cellIs" dxfId="19065" priority="2768" operator="greaterThan">
      <formula>1</formula>
    </cfRule>
  </conditionalFormatting>
  <conditionalFormatting sqref="R83">
    <cfRule type="cellIs" dxfId="19064" priority="2765" operator="greaterThan">
      <formula>1</formula>
    </cfRule>
    <cfRule type="cellIs" dxfId="19063" priority="2766" operator="lessThan">
      <formula>0.8</formula>
    </cfRule>
  </conditionalFormatting>
  <conditionalFormatting sqref="P83">
    <cfRule type="cellIs" dxfId="19062" priority="2758" operator="greaterThan">
      <formula>0</formula>
    </cfRule>
  </conditionalFormatting>
  <conditionalFormatting sqref="Q83">
    <cfRule type="cellIs" dxfId="19061" priority="2763" operator="lessThan">
      <formula>0</formula>
    </cfRule>
  </conditionalFormatting>
  <conditionalFormatting sqref="R83">
    <cfRule type="cellIs" dxfId="19060" priority="2761" operator="lessThan">
      <formula>0.8</formula>
    </cfRule>
    <cfRule type="cellIs" dxfId="19059" priority="2762" operator="greaterThan">
      <formula>1</formula>
    </cfRule>
  </conditionalFormatting>
  <conditionalFormatting sqref="R83">
    <cfRule type="cellIs" dxfId="19058" priority="2759" operator="greaterThan">
      <formula>1</formula>
    </cfRule>
    <cfRule type="cellIs" dxfId="19057" priority="2760" operator="lessThan">
      <formula>0.8</formula>
    </cfRule>
  </conditionalFormatting>
  <conditionalFormatting sqref="R83">
    <cfRule type="cellIs" dxfId="19056" priority="2755" operator="lessThan">
      <formula>0.8</formula>
    </cfRule>
    <cfRule type="cellIs" dxfId="19055" priority="2756" operator="greaterThan">
      <formula>1</formula>
    </cfRule>
  </conditionalFormatting>
  <conditionalFormatting sqref="R83">
    <cfRule type="cellIs" dxfId="19054" priority="2753" operator="greaterThan">
      <formula>1</formula>
    </cfRule>
    <cfRule type="cellIs" dxfId="19053" priority="2754" operator="lessThan">
      <formula>0.8</formula>
    </cfRule>
  </conditionalFormatting>
  <conditionalFormatting sqref="P83">
    <cfRule type="cellIs" dxfId="19052" priority="2752" operator="greaterThan">
      <formula>0</formula>
    </cfRule>
  </conditionalFormatting>
  <conditionalFormatting sqref="Q83">
    <cfRule type="cellIs" dxfId="19051" priority="2757" operator="lessThan">
      <formula>0</formula>
    </cfRule>
  </conditionalFormatting>
  <conditionalFormatting sqref="Q83">
    <cfRule type="cellIs" dxfId="19050" priority="2746" operator="lessThan">
      <formula>0</formula>
    </cfRule>
  </conditionalFormatting>
  <conditionalFormatting sqref="P83">
    <cfRule type="cellIs" dxfId="19049" priority="2747" operator="greaterThan">
      <formula>0</formula>
    </cfRule>
  </conditionalFormatting>
  <conditionalFormatting sqref="R83">
    <cfRule type="cellIs" dxfId="19048" priority="2750" operator="lessThan">
      <formula>0.8</formula>
    </cfRule>
    <cfRule type="cellIs" dxfId="19047" priority="2751" operator="greaterThan">
      <formula>1</formula>
    </cfRule>
  </conditionalFormatting>
  <conditionalFormatting sqref="R83">
    <cfRule type="cellIs" dxfId="19046" priority="2748" operator="greaterThan">
      <formula>1</formula>
    </cfRule>
    <cfRule type="cellIs" dxfId="19045" priority="2749" operator="lessThan">
      <formula>0.8</formula>
    </cfRule>
  </conditionalFormatting>
  <conditionalFormatting sqref="Q83">
    <cfRule type="cellIs" dxfId="19044" priority="2740" operator="lessThan">
      <formula>0</formula>
    </cfRule>
  </conditionalFormatting>
  <conditionalFormatting sqref="R83">
    <cfRule type="cellIs" dxfId="19043" priority="2744" operator="lessThan">
      <formula>0.8</formula>
    </cfRule>
    <cfRule type="cellIs" dxfId="19042" priority="2745" operator="greaterThan">
      <formula>1</formula>
    </cfRule>
  </conditionalFormatting>
  <conditionalFormatting sqref="R83">
    <cfRule type="cellIs" dxfId="19041" priority="2742" operator="greaterThan">
      <formula>1</formula>
    </cfRule>
    <cfRule type="cellIs" dxfId="19040" priority="2743" operator="lessThan">
      <formula>0.8</formula>
    </cfRule>
  </conditionalFormatting>
  <conditionalFormatting sqref="P83">
    <cfRule type="cellIs" dxfId="19039" priority="2741" operator="greaterThan">
      <formula>0</formula>
    </cfRule>
  </conditionalFormatting>
  <conditionalFormatting sqref="Q83">
    <cfRule type="cellIs" dxfId="19038" priority="2739" operator="lessThan">
      <formula>0</formula>
    </cfRule>
  </conditionalFormatting>
  <conditionalFormatting sqref="R83">
    <cfRule type="cellIs" dxfId="19037" priority="2737" operator="lessThan">
      <formula>0.8</formula>
    </cfRule>
    <cfRule type="cellIs" dxfId="19036" priority="2738" operator="greaterThan">
      <formula>1</formula>
    </cfRule>
  </conditionalFormatting>
  <conditionalFormatting sqref="R83">
    <cfRule type="cellIs" dxfId="19035" priority="2735" operator="greaterThan">
      <formula>1</formula>
    </cfRule>
    <cfRule type="cellIs" dxfId="19034" priority="2736" operator="lessThan">
      <formula>0.8</formula>
    </cfRule>
  </conditionalFormatting>
  <conditionalFormatting sqref="P83">
    <cfRule type="cellIs" dxfId="19033" priority="2734" operator="greaterThan">
      <formula>0</formula>
    </cfRule>
  </conditionalFormatting>
  <conditionalFormatting sqref="Q83">
    <cfRule type="cellIs" dxfId="19032" priority="2733" operator="lessThan">
      <formula>0</formula>
    </cfRule>
  </conditionalFormatting>
  <conditionalFormatting sqref="R83">
    <cfRule type="cellIs" dxfId="19031" priority="2731" operator="lessThan">
      <formula>0.8</formula>
    </cfRule>
    <cfRule type="cellIs" dxfId="19030" priority="2732" operator="greaterThan">
      <formula>1</formula>
    </cfRule>
  </conditionalFormatting>
  <conditionalFormatting sqref="R83">
    <cfRule type="cellIs" dxfId="19029" priority="2729" operator="greaterThan">
      <formula>1</formula>
    </cfRule>
    <cfRule type="cellIs" dxfId="19028" priority="2730" operator="lessThan">
      <formula>0.8</formula>
    </cfRule>
  </conditionalFormatting>
  <conditionalFormatting sqref="P83">
    <cfRule type="cellIs" dxfId="19027" priority="2728" operator="greaterThan">
      <formula>0</formula>
    </cfRule>
  </conditionalFormatting>
  <conditionalFormatting sqref="Q83">
    <cfRule type="cellIs" dxfId="19026" priority="2727" operator="lessThan">
      <formula>0</formula>
    </cfRule>
  </conditionalFormatting>
  <conditionalFormatting sqref="R83">
    <cfRule type="cellIs" dxfId="19025" priority="2725" operator="lessThan">
      <formula>0.8</formula>
    </cfRule>
    <cfRule type="cellIs" dxfId="19024" priority="2726" operator="greaterThan">
      <formula>1</formula>
    </cfRule>
  </conditionalFormatting>
  <conditionalFormatting sqref="R83">
    <cfRule type="cellIs" dxfId="19023" priority="2723" operator="greaterThan">
      <formula>1</formula>
    </cfRule>
    <cfRule type="cellIs" dxfId="19022" priority="2724" operator="lessThan">
      <formula>0.8</formula>
    </cfRule>
  </conditionalFormatting>
  <conditionalFormatting sqref="P83">
    <cfRule type="cellIs" dxfId="19021" priority="2722" operator="greaterThan">
      <formula>0</formula>
    </cfRule>
  </conditionalFormatting>
  <conditionalFormatting sqref="Q83">
    <cfRule type="cellIs" dxfId="19020" priority="2721" operator="lessThan">
      <formula>0</formula>
    </cfRule>
  </conditionalFormatting>
  <conditionalFormatting sqref="R83">
    <cfRule type="cellIs" dxfId="19019" priority="2719" operator="lessThan">
      <formula>0.8</formula>
    </cfRule>
    <cfRule type="cellIs" dxfId="19018" priority="2720" operator="greaterThan">
      <formula>1</formula>
    </cfRule>
  </conditionalFormatting>
  <conditionalFormatting sqref="R83">
    <cfRule type="cellIs" dxfId="19017" priority="2717" operator="greaterThan">
      <formula>1</formula>
    </cfRule>
    <cfRule type="cellIs" dxfId="19016" priority="2718" operator="lessThan">
      <formula>0.8</formula>
    </cfRule>
  </conditionalFormatting>
  <conditionalFormatting sqref="P83">
    <cfRule type="cellIs" dxfId="19015" priority="2716" operator="greaterThan">
      <formula>0</formula>
    </cfRule>
  </conditionalFormatting>
  <conditionalFormatting sqref="Q83">
    <cfRule type="cellIs" dxfId="19014" priority="2715" operator="lessThan">
      <formula>0</formula>
    </cfRule>
  </conditionalFormatting>
  <conditionalFormatting sqref="R83">
    <cfRule type="cellIs" dxfId="19013" priority="2713" operator="lessThan">
      <formula>0.8</formula>
    </cfRule>
    <cfRule type="cellIs" dxfId="19012" priority="2714" operator="greaterThan">
      <formula>1</formula>
    </cfRule>
  </conditionalFormatting>
  <conditionalFormatting sqref="R83">
    <cfRule type="cellIs" dxfId="19011" priority="2711" operator="greaterThan">
      <formula>1</formula>
    </cfRule>
    <cfRule type="cellIs" dxfId="19010" priority="2712" operator="lessThan">
      <formula>0.8</formula>
    </cfRule>
  </conditionalFormatting>
  <conditionalFormatting sqref="P83">
    <cfRule type="cellIs" dxfId="19009" priority="2710" operator="greaterThan">
      <formula>0</formula>
    </cfRule>
  </conditionalFormatting>
  <conditionalFormatting sqref="Q83">
    <cfRule type="cellIs" dxfId="19008" priority="2709" operator="lessThan">
      <formula>0</formula>
    </cfRule>
  </conditionalFormatting>
  <conditionalFormatting sqref="R83">
    <cfRule type="cellIs" dxfId="19007" priority="2707" operator="lessThan">
      <formula>0.8</formula>
    </cfRule>
    <cfRule type="cellIs" dxfId="19006" priority="2708" operator="greaterThan">
      <formula>1</formula>
    </cfRule>
  </conditionalFormatting>
  <conditionalFormatting sqref="R83">
    <cfRule type="cellIs" dxfId="19005" priority="2705" operator="greaterThan">
      <formula>1</formula>
    </cfRule>
    <cfRule type="cellIs" dxfId="19004" priority="2706" operator="lessThan">
      <formula>0.8</formula>
    </cfRule>
  </conditionalFormatting>
  <conditionalFormatting sqref="P83">
    <cfRule type="cellIs" dxfId="19003" priority="2704" operator="greaterThan">
      <formula>0</formula>
    </cfRule>
  </conditionalFormatting>
  <conditionalFormatting sqref="Q83">
    <cfRule type="cellIs" dxfId="19002" priority="2703" operator="lessThan">
      <formula>0</formula>
    </cfRule>
  </conditionalFormatting>
  <conditionalFormatting sqref="R83">
    <cfRule type="cellIs" dxfId="19001" priority="2701" operator="lessThan">
      <formula>0.8</formula>
    </cfRule>
    <cfRule type="cellIs" dxfId="19000" priority="2702" operator="greaterThan">
      <formula>1</formula>
    </cfRule>
  </conditionalFormatting>
  <conditionalFormatting sqref="R83">
    <cfRule type="cellIs" dxfId="18999" priority="2699" operator="greaterThan">
      <formula>1</formula>
    </cfRule>
    <cfRule type="cellIs" dxfId="18998" priority="2700" operator="lessThan">
      <formula>0.8</formula>
    </cfRule>
  </conditionalFormatting>
  <conditionalFormatting sqref="P83">
    <cfRule type="cellIs" dxfId="18997" priority="2698" operator="greaterThan">
      <formula>0</formula>
    </cfRule>
  </conditionalFormatting>
  <conditionalFormatting sqref="P83">
    <cfRule type="cellIs" dxfId="18996" priority="2692" operator="greaterThan">
      <formula>0</formula>
    </cfRule>
  </conditionalFormatting>
  <conditionalFormatting sqref="Q83">
    <cfRule type="cellIs" dxfId="18995" priority="2697" operator="lessThan">
      <formula>0</formula>
    </cfRule>
  </conditionalFormatting>
  <conditionalFormatting sqref="R83">
    <cfRule type="cellIs" dxfId="18994" priority="2695" operator="lessThan">
      <formula>0.8</formula>
    </cfRule>
    <cfRule type="cellIs" dxfId="18993" priority="2696" operator="greaterThan">
      <formula>1</formula>
    </cfRule>
  </conditionalFormatting>
  <conditionalFormatting sqref="R83">
    <cfRule type="cellIs" dxfId="18992" priority="2693" operator="greaterThan">
      <formula>1</formula>
    </cfRule>
    <cfRule type="cellIs" dxfId="18991" priority="2694" operator="lessThan">
      <formula>0.8</formula>
    </cfRule>
  </conditionalFormatting>
  <conditionalFormatting sqref="P83">
    <cfRule type="cellIs" dxfId="18990" priority="2686" operator="greaterThan">
      <formula>0</formula>
    </cfRule>
  </conditionalFormatting>
  <conditionalFormatting sqref="Q83">
    <cfRule type="cellIs" dxfId="18989" priority="2691" operator="lessThan">
      <formula>0</formula>
    </cfRule>
  </conditionalFormatting>
  <conditionalFormatting sqref="R83">
    <cfRule type="cellIs" dxfId="18988" priority="2689" operator="lessThan">
      <formula>0.8</formula>
    </cfRule>
    <cfRule type="cellIs" dxfId="18987" priority="2690" operator="greaterThan">
      <formula>1</formula>
    </cfRule>
  </conditionalFormatting>
  <conditionalFormatting sqref="R83">
    <cfRule type="cellIs" dxfId="18986" priority="2687" operator="greaterThan">
      <formula>1</formula>
    </cfRule>
    <cfRule type="cellIs" dxfId="18985" priority="2688" operator="lessThan">
      <formula>0.8</formula>
    </cfRule>
  </conditionalFormatting>
  <conditionalFormatting sqref="R83">
    <cfRule type="cellIs" dxfId="18984" priority="2683" operator="lessThan">
      <formula>0.8</formula>
    </cfRule>
    <cfRule type="cellIs" dxfId="18983" priority="2684" operator="greaterThan">
      <formula>1</formula>
    </cfRule>
  </conditionalFormatting>
  <conditionalFormatting sqref="R83">
    <cfRule type="cellIs" dxfId="18982" priority="2681" operator="greaterThan">
      <formula>1</formula>
    </cfRule>
    <cfRule type="cellIs" dxfId="18981" priority="2682" operator="lessThan">
      <formula>0.8</formula>
    </cfRule>
  </conditionalFormatting>
  <conditionalFormatting sqref="P83">
    <cfRule type="cellIs" dxfId="18980" priority="2680" operator="greaterThan">
      <formula>0</formula>
    </cfRule>
  </conditionalFormatting>
  <conditionalFormatting sqref="Q83">
    <cfRule type="cellIs" dxfId="18979" priority="2685" operator="lessThan">
      <formula>0</formula>
    </cfRule>
  </conditionalFormatting>
  <conditionalFormatting sqref="Q83">
    <cfRule type="cellIs" dxfId="18978" priority="2679" operator="lessThan">
      <formula>0</formula>
    </cfRule>
  </conditionalFormatting>
  <conditionalFormatting sqref="R83">
    <cfRule type="cellIs" dxfId="18977" priority="2677" operator="lessThan">
      <formula>0.8</formula>
    </cfRule>
    <cfRule type="cellIs" dxfId="18976" priority="2678" operator="greaterThan">
      <formula>1</formula>
    </cfRule>
  </conditionalFormatting>
  <conditionalFormatting sqref="R83">
    <cfRule type="cellIs" dxfId="18975" priority="2675" operator="greaterThan">
      <formula>1</formula>
    </cfRule>
    <cfRule type="cellIs" dxfId="18974" priority="2676" operator="lessThan">
      <formula>0.8</formula>
    </cfRule>
  </conditionalFormatting>
  <conditionalFormatting sqref="P83">
    <cfRule type="cellIs" dxfId="18973" priority="2674" operator="greaterThan">
      <formula>0</formula>
    </cfRule>
  </conditionalFormatting>
  <conditionalFormatting sqref="P83">
    <cfRule type="cellIs" dxfId="18972" priority="2668" operator="greaterThan">
      <formula>0</formula>
    </cfRule>
  </conditionalFormatting>
  <conditionalFormatting sqref="Q83">
    <cfRule type="cellIs" dxfId="18971" priority="2673" operator="lessThan">
      <formula>0</formula>
    </cfRule>
  </conditionalFormatting>
  <conditionalFormatting sqref="R83">
    <cfRule type="cellIs" dxfId="18970" priority="2671" operator="lessThan">
      <formula>0.8</formula>
    </cfRule>
    <cfRule type="cellIs" dxfId="18969" priority="2672" operator="greaterThan">
      <formula>1</formula>
    </cfRule>
  </conditionalFormatting>
  <conditionalFormatting sqref="R83">
    <cfRule type="cellIs" dxfId="18968" priority="2669" operator="greaterThan">
      <formula>1</formula>
    </cfRule>
    <cfRule type="cellIs" dxfId="18967" priority="2670" operator="lessThan">
      <formula>0.8</formula>
    </cfRule>
  </conditionalFormatting>
  <conditionalFormatting sqref="P83">
    <cfRule type="cellIs" dxfId="18966" priority="2662" operator="greaterThan">
      <formula>0</formula>
    </cfRule>
  </conditionalFormatting>
  <conditionalFormatting sqref="Q83">
    <cfRule type="cellIs" dxfId="18965" priority="2667" operator="lessThan">
      <formula>0</formula>
    </cfRule>
  </conditionalFormatting>
  <conditionalFormatting sqref="R83">
    <cfRule type="cellIs" dxfId="18964" priority="2665" operator="lessThan">
      <formula>0.8</formula>
    </cfRule>
    <cfRule type="cellIs" dxfId="18963" priority="2666" operator="greaterThan">
      <formula>1</formula>
    </cfRule>
  </conditionalFormatting>
  <conditionalFormatting sqref="R83">
    <cfRule type="cellIs" dxfId="18962" priority="2663" operator="greaterThan">
      <formula>1</formula>
    </cfRule>
    <cfRule type="cellIs" dxfId="18961" priority="2664" operator="lessThan">
      <formula>0.8</formula>
    </cfRule>
  </conditionalFormatting>
  <conditionalFormatting sqref="R83">
    <cfRule type="cellIs" dxfId="18960" priority="2659" operator="lessThan">
      <formula>0.8</formula>
    </cfRule>
    <cfRule type="cellIs" dxfId="18959" priority="2660" operator="greaterThan">
      <formula>1</formula>
    </cfRule>
  </conditionalFormatting>
  <conditionalFormatting sqref="R83">
    <cfRule type="cellIs" dxfId="18958" priority="2657" operator="greaterThan">
      <formula>1</formula>
    </cfRule>
    <cfRule type="cellIs" dxfId="18957" priority="2658" operator="lessThan">
      <formula>0.8</formula>
    </cfRule>
  </conditionalFormatting>
  <conditionalFormatting sqref="P83">
    <cfRule type="cellIs" dxfId="18956" priority="2656" operator="greaterThan">
      <formula>0</formula>
    </cfRule>
  </conditionalFormatting>
  <conditionalFormatting sqref="Q83">
    <cfRule type="cellIs" dxfId="18955" priority="2661" operator="lessThan">
      <formula>0</formula>
    </cfRule>
  </conditionalFormatting>
  <conditionalFormatting sqref="P83">
    <cfRule type="cellIs" dxfId="18954" priority="2650" operator="greaterThan">
      <formula>0</formula>
    </cfRule>
  </conditionalFormatting>
  <conditionalFormatting sqref="Q83">
    <cfRule type="cellIs" dxfId="18953" priority="2655" operator="lessThan">
      <formula>0</formula>
    </cfRule>
  </conditionalFormatting>
  <conditionalFormatting sqref="R83">
    <cfRule type="cellIs" dxfId="18952" priority="2653" operator="lessThan">
      <formula>0.8</formula>
    </cfRule>
    <cfRule type="cellIs" dxfId="18951" priority="2654" operator="greaterThan">
      <formula>1</formula>
    </cfRule>
  </conditionalFormatting>
  <conditionalFormatting sqref="R83">
    <cfRule type="cellIs" dxfId="18950" priority="2651" operator="greaterThan">
      <formula>1</formula>
    </cfRule>
    <cfRule type="cellIs" dxfId="18949" priority="2652" operator="lessThan">
      <formula>0.8</formula>
    </cfRule>
  </conditionalFormatting>
  <conditionalFormatting sqref="R83">
    <cfRule type="cellIs" dxfId="18948" priority="2647" operator="lessThan">
      <formula>0.8</formula>
    </cfRule>
    <cfRule type="cellIs" dxfId="18947" priority="2648" operator="greaterThan">
      <formula>1</formula>
    </cfRule>
  </conditionalFormatting>
  <conditionalFormatting sqref="R83">
    <cfRule type="cellIs" dxfId="18946" priority="2645" operator="greaterThan">
      <formula>1</formula>
    </cfRule>
    <cfRule type="cellIs" dxfId="18945" priority="2646" operator="lessThan">
      <formula>0.8</formula>
    </cfRule>
  </conditionalFormatting>
  <conditionalFormatting sqref="P83">
    <cfRule type="cellIs" dxfId="18944" priority="2644" operator="greaterThan">
      <formula>0</formula>
    </cfRule>
  </conditionalFormatting>
  <conditionalFormatting sqref="Q83">
    <cfRule type="cellIs" dxfId="18943" priority="2649" operator="lessThan">
      <formula>0</formula>
    </cfRule>
  </conditionalFormatting>
  <conditionalFormatting sqref="R83">
    <cfRule type="cellIs" dxfId="18942" priority="2641" operator="lessThan">
      <formula>0.8</formula>
    </cfRule>
    <cfRule type="cellIs" dxfId="18941" priority="2642" operator="greaterThan">
      <formula>1</formula>
    </cfRule>
  </conditionalFormatting>
  <conditionalFormatting sqref="R83">
    <cfRule type="cellIs" dxfId="18940" priority="2639" operator="greaterThan">
      <formula>1</formula>
    </cfRule>
    <cfRule type="cellIs" dxfId="18939" priority="2640" operator="lessThan">
      <formula>0.8</formula>
    </cfRule>
  </conditionalFormatting>
  <conditionalFormatting sqref="P83">
    <cfRule type="cellIs" dxfId="18938" priority="2638" operator="greaterThan">
      <formula>0</formula>
    </cfRule>
  </conditionalFormatting>
  <conditionalFormatting sqref="Q83">
    <cfRule type="cellIs" dxfId="18937" priority="2643" operator="lessThan">
      <formula>0</formula>
    </cfRule>
  </conditionalFormatting>
  <conditionalFormatting sqref="Q83">
    <cfRule type="cellIs" dxfId="18936" priority="2637" operator="lessThan">
      <formula>0</formula>
    </cfRule>
  </conditionalFormatting>
  <conditionalFormatting sqref="R83">
    <cfRule type="cellIs" dxfId="18935" priority="2635" operator="lessThan">
      <formula>0.8</formula>
    </cfRule>
    <cfRule type="cellIs" dxfId="18934" priority="2636" operator="greaterThan">
      <formula>1</formula>
    </cfRule>
  </conditionalFormatting>
  <conditionalFormatting sqref="R83">
    <cfRule type="cellIs" dxfId="18933" priority="2633" operator="greaterThan">
      <formula>1</formula>
    </cfRule>
    <cfRule type="cellIs" dxfId="18932" priority="2634" operator="lessThan">
      <formula>0.8</formula>
    </cfRule>
  </conditionalFormatting>
  <conditionalFormatting sqref="P83">
    <cfRule type="cellIs" dxfId="18931" priority="2632" operator="greaterThan">
      <formula>0</formula>
    </cfRule>
  </conditionalFormatting>
  <conditionalFormatting sqref="Q83">
    <cfRule type="cellIs" dxfId="18930" priority="2626" operator="lessThan">
      <formula>0</formula>
    </cfRule>
  </conditionalFormatting>
  <conditionalFormatting sqref="R83">
    <cfRule type="cellIs" dxfId="18929" priority="2630" operator="lessThan">
      <formula>0.8</formula>
    </cfRule>
    <cfRule type="cellIs" dxfId="18928" priority="2631" operator="greaterThan">
      <formula>1</formula>
    </cfRule>
  </conditionalFormatting>
  <conditionalFormatting sqref="R83">
    <cfRule type="cellIs" dxfId="18927" priority="2628" operator="greaterThan">
      <formula>1</formula>
    </cfRule>
    <cfRule type="cellIs" dxfId="18926" priority="2629" operator="lessThan">
      <formula>0.8</formula>
    </cfRule>
  </conditionalFormatting>
  <conditionalFormatting sqref="P83">
    <cfRule type="cellIs" dxfId="18925" priority="2627" operator="greaterThan">
      <formula>0</formula>
    </cfRule>
  </conditionalFormatting>
  <conditionalFormatting sqref="Q83">
    <cfRule type="cellIs" dxfId="18924" priority="2625" operator="lessThan">
      <formula>0</formula>
    </cfRule>
  </conditionalFormatting>
  <conditionalFormatting sqref="R83">
    <cfRule type="cellIs" dxfId="18923" priority="2623" operator="lessThan">
      <formula>0.8</formula>
    </cfRule>
    <cfRule type="cellIs" dxfId="18922" priority="2624" operator="greaterThan">
      <formula>1</formula>
    </cfRule>
  </conditionalFormatting>
  <conditionalFormatting sqref="R83">
    <cfRule type="cellIs" dxfId="18921" priority="2621" operator="greaterThan">
      <formula>1</formula>
    </cfRule>
    <cfRule type="cellIs" dxfId="18920" priority="2622" operator="lessThan">
      <formula>0.8</formula>
    </cfRule>
  </conditionalFormatting>
  <conditionalFormatting sqref="P83">
    <cfRule type="cellIs" dxfId="18919" priority="2620" operator="greaterThan">
      <formula>0</formula>
    </cfRule>
  </conditionalFormatting>
  <conditionalFormatting sqref="Q83">
    <cfRule type="cellIs" dxfId="18918" priority="2619" operator="lessThan">
      <formula>0</formula>
    </cfRule>
  </conditionalFormatting>
  <conditionalFormatting sqref="R83">
    <cfRule type="cellIs" dxfId="18917" priority="2617" operator="lessThan">
      <formula>0.8</formula>
    </cfRule>
    <cfRule type="cellIs" dxfId="18916" priority="2618" operator="greaterThan">
      <formula>1</formula>
    </cfRule>
  </conditionalFormatting>
  <conditionalFormatting sqref="R83">
    <cfRule type="cellIs" dxfId="18915" priority="2615" operator="greaterThan">
      <formula>1</formula>
    </cfRule>
    <cfRule type="cellIs" dxfId="18914" priority="2616" operator="lessThan">
      <formula>0.8</formula>
    </cfRule>
  </conditionalFormatting>
  <conditionalFormatting sqref="P83">
    <cfRule type="cellIs" dxfId="18913" priority="2614" operator="greaterThan">
      <formula>0</formula>
    </cfRule>
  </conditionalFormatting>
  <conditionalFormatting sqref="Q83">
    <cfRule type="cellIs" dxfId="18912" priority="2613" operator="lessThan">
      <formula>0</formula>
    </cfRule>
  </conditionalFormatting>
  <conditionalFormatting sqref="R83">
    <cfRule type="cellIs" dxfId="18911" priority="2611" operator="lessThan">
      <formula>0.8</formula>
    </cfRule>
    <cfRule type="cellIs" dxfId="18910" priority="2612" operator="greaterThan">
      <formula>1</formula>
    </cfRule>
  </conditionalFormatting>
  <conditionalFormatting sqref="R83">
    <cfRule type="cellIs" dxfId="18909" priority="2609" operator="greaterThan">
      <formula>1</formula>
    </cfRule>
    <cfRule type="cellIs" dxfId="18908" priority="2610" operator="lessThan">
      <formula>0.8</formula>
    </cfRule>
  </conditionalFormatting>
  <conditionalFormatting sqref="P83">
    <cfRule type="cellIs" dxfId="18907" priority="2608" operator="greaterThan">
      <formula>0</formula>
    </cfRule>
  </conditionalFormatting>
  <conditionalFormatting sqref="Q83">
    <cfRule type="cellIs" dxfId="18906" priority="2607" operator="lessThan">
      <formula>0</formula>
    </cfRule>
  </conditionalFormatting>
  <conditionalFormatting sqref="R83">
    <cfRule type="cellIs" dxfId="18905" priority="2605" operator="lessThan">
      <formula>0.8</formula>
    </cfRule>
    <cfRule type="cellIs" dxfId="18904" priority="2606" operator="greaterThan">
      <formula>1</formula>
    </cfRule>
  </conditionalFormatting>
  <conditionalFormatting sqref="R83">
    <cfRule type="cellIs" dxfId="18903" priority="2603" operator="greaterThan">
      <formula>1</formula>
    </cfRule>
    <cfRule type="cellIs" dxfId="18902" priority="2604" operator="lessThan">
      <formula>0.8</formula>
    </cfRule>
  </conditionalFormatting>
  <conditionalFormatting sqref="P83">
    <cfRule type="cellIs" dxfId="18901" priority="2602" operator="greaterThan">
      <formula>0</formula>
    </cfRule>
  </conditionalFormatting>
  <conditionalFormatting sqref="Q83">
    <cfRule type="cellIs" dxfId="18900" priority="2601" operator="lessThan">
      <formula>0</formula>
    </cfRule>
  </conditionalFormatting>
  <conditionalFormatting sqref="R83">
    <cfRule type="cellIs" dxfId="18899" priority="2599" operator="lessThan">
      <formula>0.8</formula>
    </cfRule>
    <cfRule type="cellIs" dxfId="18898" priority="2600" operator="greaterThan">
      <formula>1</formula>
    </cfRule>
  </conditionalFormatting>
  <conditionalFormatting sqref="R83">
    <cfRule type="cellIs" dxfId="18897" priority="2597" operator="greaterThan">
      <formula>1</formula>
    </cfRule>
    <cfRule type="cellIs" dxfId="18896" priority="2598" operator="lessThan">
      <formula>0.8</formula>
    </cfRule>
  </conditionalFormatting>
  <conditionalFormatting sqref="P83">
    <cfRule type="cellIs" dxfId="18895" priority="2596" operator="greaterThan">
      <formula>0</formula>
    </cfRule>
  </conditionalFormatting>
  <conditionalFormatting sqref="P83">
    <cfRule type="cellIs" dxfId="18894" priority="2590" operator="greaterThan">
      <formula>0</formula>
    </cfRule>
  </conditionalFormatting>
  <conditionalFormatting sqref="Q83">
    <cfRule type="cellIs" dxfId="18893" priority="2595" operator="lessThan">
      <formula>0</formula>
    </cfRule>
  </conditionalFormatting>
  <conditionalFormatting sqref="R83">
    <cfRule type="cellIs" dxfId="18892" priority="2593" operator="lessThan">
      <formula>0.8</formula>
    </cfRule>
    <cfRule type="cellIs" dxfId="18891" priority="2594" operator="greaterThan">
      <formula>1</formula>
    </cfRule>
  </conditionalFormatting>
  <conditionalFormatting sqref="R83">
    <cfRule type="cellIs" dxfId="18890" priority="2591" operator="greaterThan">
      <formula>1</formula>
    </cfRule>
    <cfRule type="cellIs" dxfId="18889" priority="2592" operator="lessThan">
      <formula>0.8</formula>
    </cfRule>
  </conditionalFormatting>
  <conditionalFormatting sqref="P83">
    <cfRule type="cellIs" dxfId="18888" priority="2584" operator="greaterThan">
      <formula>0</formula>
    </cfRule>
  </conditionalFormatting>
  <conditionalFormatting sqref="Q83">
    <cfRule type="cellIs" dxfId="18887" priority="2589" operator="lessThan">
      <formula>0</formula>
    </cfRule>
  </conditionalFormatting>
  <conditionalFormatting sqref="R83">
    <cfRule type="cellIs" dxfId="18886" priority="2587" operator="lessThan">
      <formula>0.8</formula>
    </cfRule>
    <cfRule type="cellIs" dxfId="18885" priority="2588" operator="greaterThan">
      <formula>1</formula>
    </cfRule>
  </conditionalFormatting>
  <conditionalFormatting sqref="R83">
    <cfRule type="cellIs" dxfId="18884" priority="2585" operator="greaterThan">
      <formula>1</formula>
    </cfRule>
    <cfRule type="cellIs" dxfId="18883" priority="2586" operator="lessThan">
      <formula>0.8</formula>
    </cfRule>
  </conditionalFormatting>
  <conditionalFormatting sqref="R83">
    <cfRule type="cellIs" dxfId="18882" priority="2581" operator="lessThan">
      <formula>0.8</formula>
    </cfRule>
    <cfRule type="cellIs" dxfId="18881" priority="2582" operator="greaterThan">
      <formula>1</formula>
    </cfRule>
  </conditionalFormatting>
  <conditionalFormatting sqref="R83">
    <cfRule type="cellIs" dxfId="18880" priority="2579" operator="greaterThan">
      <formula>1</formula>
    </cfRule>
    <cfRule type="cellIs" dxfId="18879" priority="2580" operator="lessThan">
      <formula>0.8</formula>
    </cfRule>
  </conditionalFormatting>
  <conditionalFormatting sqref="P83">
    <cfRule type="cellIs" dxfId="18878" priority="2578" operator="greaterThan">
      <formula>0</formula>
    </cfRule>
  </conditionalFormatting>
  <conditionalFormatting sqref="Q83">
    <cfRule type="cellIs" dxfId="18877" priority="2583" operator="lessThan">
      <formula>0</formula>
    </cfRule>
  </conditionalFormatting>
  <conditionalFormatting sqref="P123 P125:P126 P131 P128:P129">
    <cfRule type="cellIs" dxfId="18876" priority="2572" operator="greaterThan">
      <formula>0</formula>
    </cfRule>
  </conditionalFormatting>
  <conditionalFormatting sqref="Q123 Q125:Q126 Q131 Q128:Q129">
    <cfRule type="cellIs" dxfId="18875" priority="2577" operator="lessThan">
      <formula>0</formula>
    </cfRule>
  </conditionalFormatting>
  <conditionalFormatting sqref="R123 R125:R126 R131 R128:R129">
    <cfRule type="cellIs" dxfId="18874" priority="2575" operator="lessThan">
      <formula>0.8</formula>
    </cfRule>
    <cfRule type="cellIs" dxfId="18873" priority="2576" operator="greaterThan">
      <formula>1</formula>
    </cfRule>
  </conditionalFormatting>
  <conditionalFormatting sqref="R123 R125:R126 R131 R128:R129">
    <cfRule type="cellIs" dxfId="18872" priority="2573" operator="greaterThan">
      <formula>1</formula>
    </cfRule>
    <cfRule type="cellIs" dxfId="18871" priority="2574" operator="lessThan">
      <formula>0.8</formula>
    </cfRule>
  </conditionalFormatting>
  <conditionalFormatting sqref="Q123 Q125:Q126 Q131 Q128:Q129">
    <cfRule type="cellIs" dxfId="18870" priority="2571" operator="lessThan">
      <formula>0</formula>
    </cfRule>
  </conditionalFormatting>
  <conditionalFormatting sqref="R123 R125:R126 R131 R128:R129">
    <cfRule type="cellIs" dxfId="18869" priority="2569" operator="lessThan">
      <formula>0.8</formula>
    </cfRule>
    <cfRule type="cellIs" dxfId="18868" priority="2570" operator="greaterThan">
      <formula>1</formula>
    </cfRule>
  </conditionalFormatting>
  <conditionalFormatting sqref="R123 R125:R126 R131 R128:R129">
    <cfRule type="cellIs" dxfId="18867" priority="2567" operator="greaterThan">
      <formula>1</formula>
    </cfRule>
    <cfRule type="cellIs" dxfId="18866" priority="2568" operator="lessThan">
      <formula>0.8</formula>
    </cfRule>
  </conditionalFormatting>
  <conditionalFormatting sqref="P123 P125:P126 P131 P128:P129">
    <cfRule type="cellIs" dxfId="18865" priority="2566" operator="greaterThan">
      <formula>0</formula>
    </cfRule>
  </conditionalFormatting>
  <conditionalFormatting sqref="Q31">
    <cfRule type="cellIs" dxfId="18864" priority="2565" operator="lessThan">
      <formula>0</formula>
    </cfRule>
  </conditionalFormatting>
  <conditionalFormatting sqref="R31">
    <cfRule type="cellIs" dxfId="18863" priority="2563" operator="lessThan">
      <formula>0.8</formula>
    </cfRule>
    <cfRule type="cellIs" dxfId="18862" priority="2564" operator="greaterThan">
      <formula>1</formula>
    </cfRule>
  </conditionalFormatting>
  <conditionalFormatting sqref="R31">
    <cfRule type="cellIs" dxfId="18861" priority="2561" operator="greaterThan">
      <formula>1</formula>
    </cfRule>
    <cfRule type="cellIs" dxfId="18860" priority="2562" operator="lessThan">
      <formula>0.8</formula>
    </cfRule>
  </conditionalFormatting>
  <conditionalFormatting sqref="P31">
    <cfRule type="cellIs" dxfId="18859" priority="2560" operator="greaterThan">
      <formula>0</formula>
    </cfRule>
  </conditionalFormatting>
  <conditionalFormatting sqref="Q31">
    <cfRule type="cellIs" dxfId="18858" priority="2559" operator="lessThan">
      <formula>0</formula>
    </cfRule>
  </conditionalFormatting>
  <conditionalFormatting sqref="R31">
    <cfRule type="cellIs" dxfId="18857" priority="2557" operator="lessThan">
      <formula>0.8</formula>
    </cfRule>
    <cfRule type="cellIs" dxfId="18856" priority="2558" operator="greaterThan">
      <formula>1</formula>
    </cfRule>
  </conditionalFormatting>
  <conditionalFormatting sqref="R31">
    <cfRule type="cellIs" dxfId="18855" priority="2555" operator="greaterThan">
      <formula>1</formula>
    </cfRule>
    <cfRule type="cellIs" dxfId="18854" priority="2556" operator="lessThan">
      <formula>0.8</formula>
    </cfRule>
  </conditionalFormatting>
  <conditionalFormatting sqref="P31">
    <cfRule type="cellIs" dxfId="18853" priority="2554" operator="greaterThan">
      <formula>0</formula>
    </cfRule>
  </conditionalFormatting>
  <conditionalFormatting sqref="Q31">
    <cfRule type="cellIs" dxfId="18852" priority="2553" operator="lessThan">
      <formula>0</formula>
    </cfRule>
  </conditionalFormatting>
  <conditionalFormatting sqref="R31">
    <cfRule type="cellIs" dxfId="18851" priority="2551" operator="lessThan">
      <formula>0.8</formula>
    </cfRule>
    <cfRule type="cellIs" dxfId="18850" priority="2552" operator="greaterThan">
      <formula>1</formula>
    </cfRule>
  </conditionalFormatting>
  <conditionalFormatting sqref="R31">
    <cfRule type="cellIs" dxfId="18849" priority="2549" operator="greaterThan">
      <formula>1</formula>
    </cfRule>
    <cfRule type="cellIs" dxfId="18848" priority="2550" operator="lessThan">
      <formula>0.8</formula>
    </cfRule>
  </conditionalFormatting>
  <conditionalFormatting sqref="P31">
    <cfRule type="cellIs" dxfId="18847" priority="2548" operator="greaterThan">
      <formula>0</formula>
    </cfRule>
  </conditionalFormatting>
  <conditionalFormatting sqref="Q31">
    <cfRule type="cellIs" dxfId="18846" priority="2547" operator="lessThan">
      <formula>0</formula>
    </cfRule>
  </conditionalFormatting>
  <conditionalFormatting sqref="R31">
    <cfRule type="cellIs" dxfId="18845" priority="2545" operator="lessThan">
      <formula>0.8</formula>
    </cfRule>
    <cfRule type="cellIs" dxfId="18844" priority="2546" operator="greaterThan">
      <formula>1</formula>
    </cfRule>
  </conditionalFormatting>
  <conditionalFormatting sqref="R31">
    <cfRule type="cellIs" dxfId="18843" priority="2543" operator="greaterThan">
      <formula>1</formula>
    </cfRule>
    <cfRule type="cellIs" dxfId="18842" priority="2544" operator="lessThan">
      <formula>0.8</formula>
    </cfRule>
  </conditionalFormatting>
  <conditionalFormatting sqref="P31">
    <cfRule type="cellIs" dxfId="18841" priority="2542" operator="greaterThan">
      <formula>0</formula>
    </cfRule>
  </conditionalFormatting>
  <conditionalFormatting sqref="P31">
    <cfRule type="cellIs" dxfId="18840" priority="2536" operator="greaterThan">
      <formula>0</formula>
    </cfRule>
  </conditionalFormatting>
  <conditionalFormatting sqref="Q31">
    <cfRule type="cellIs" dxfId="18839" priority="2541" operator="lessThan">
      <formula>0</formula>
    </cfRule>
  </conditionalFormatting>
  <conditionalFormatting sqref="R31">
    <cfRule type="cellIs" dxfId="18838" priority="2539" operator="lessThan">
      <formula>0.8</formula>
    </cfRule>
    <cfRule type="cellIs" dxfId="18837" priority="2540" operator="greaterThan">
      <formula>1</formula>
    </cfRule>
  </conditionalFormatting>
  <conditionalFormatting sqref="R31">
    <cfRule type="cellIs" dxfId="18836" priority="2537" operator="greaterThan">
      <formula>1</formula>
    </cfRule>
    <cfRule type="cellIs" dxfId="18835" priority="2538" operator="lessThan">
      <formula>0.8</formula>
    </cfRule>
  </conditionalFormatting>
  <conditionalFormatting sqref="P31">
    <cfRule type="cellIs" dxfId="18834" priority="2530" operator="greaterThan">
      <formula>0</formula>
    </cfRule>
  </conditionalFormatting>
  <conditionalFormatting sqref="Q31">
    <cfRule type="cellIs" dxfId="18833" priority="2535" operator="lessThan">
      <formula>0</formula>
    </cfRule>
  </conditionalFormatting>
  <conditionalFormatting sqref="R31">
    <cfRule type="cellIs" dxfId="18832" priority="2533" operator="lessThan">
      <formula>0.8</formula>
    </cfRule>
    <cfRule type="cellIs" dxfId="18831" priority="2534" operator="greaterThan">
      <formula>1</formula>
    </cfRule>
  </conditionalFormatting>
  <conditionalFormatting sqref="R31">
    <cfRule type="cellIs" dxfId="18830" priority="2531" operator="greaterThan">
      <formula>1</formula>
    </cfRule>
    <cfRule type="cellIs" dxfId="18829" priority="2532" operator="lessThan">
      <formula>0.8</formula>
    </cfRule>
  </conditionalFormatting>
  <conditionalFormatting sqref="R31">
    <cfRule type="cellIs" dxfId="18828" priority="2527" operator="lessThan">
      <formula>0.8</formula>
    </cfRule>
    <cfRule type="cellIs" dxfId="18827" priority="2528" operator="greaterThan">
      <formula>1</formula>
    </cfRule>
  </conditionalFormatting>
  <conditionalFormatting sqref="R31">
    <cfRule type="cellIs" dxfId="18826" priority="2525" operator="greaterThan">
      <formula>1</formula>
    </cfRule>
    <cfRule type="cellIs" dxfId="18825" priority="2526" operator="lessThan">
      <formula>0.8</formula>
    </cfRule>
  </conditionalFormatting>
  <conditionalFormatting sqref="P31">
    <cfRule type="cellIs" dxfId="18824" priority="2524" operator="greaterThan">
      <formula>0</formula>
    </cfRule>
  </conditionalFormatting>
  <conditionalFormatting sqref="Q31">
    <cfRule type="cellIs" dxfId="18823" priority="2529" operator="lessThan">
      <formula>0</formula>
    </cfRule>
  </conditionalFormatting>
  <conditionalFormatting sqref="Q31">
    <cfRule type="cellIs" dxfId="18822" priority="2523" operator="lessThan">
      <formula>0</formula>
    </cfRule>
  </conditionalFormatting>
  <conditionalFormatting sqref="R31">
    <cfRule type="cellIs" dxfId="18821" priority="2521" operator="lessThan">
      <formula>0.8</formula>
    </cfRule>
    <cfRule type="cellIs" dxfId="18820" priority="2522" operator="greaterThan">
      <formula>1</formula>
    </cfRule>
  </conditionalFormatting>
  <conditionalFormatting sqref="R31">
    <cfRule type="cellIs" dxfId="18819" priority="2519" operator="greaterThan">
      <formula>1</formula>
    </cfRule>
    <cfRule type="cellIs" dxfId="18818" priority="2520" operator="lessThan">
      <formula>0.8</formula>
    </cfRule>
  </conditionalFormatting>
  <conditionalFormatting sqref="P31">
    <cfRule type="cellIs" dxfId="18817" priority="2518" operator="greaterThan">
      <formula>0</formula>
    </cfRule>
  </conditionalFormatting>
  <conditionalFormatting sqref="P31">
    <cfRule type="cellIs" dxfId="18816" priority="2512" operator="greaterThan">
      <formula>0</formula>
    </cfRule>
  </conditionalFormatting>
  <conditionalFormatting sqref="Q31">
    <cfRule type="cellIs" dxfId="18815" priority="2517" operator="lessThan">
      <formula>0</formula>
    </cfRule>
  </conditionalFormatting>
  <conditionalFormatting sqref="R31">
    <cfRule type="cellIs" dxfId="18814" priority="2515" operator="lessThan">
      <formula>0.8</formula>
    </cfRule>
    <cfRule type="cellIs" dxfId="18813" priority="2516" operator="greaterThan">
      <formula>1</formula>
    </cfRule>
  </conditionalFormatting>
  <conditionalFormatting sqref="R31">
    <cfRule type="cellIs" dxfId="18812" priority="2513" operator="greaterThan">
      <formula>1</formula>
    </cfRule>
    <cfRule type="cellIs" dxfId="18811" priority="2514" operator="lessThan">
      <formula>0.8</formula>
    </cfRule>
  </conditionalFormatting>
  <conditionalFormatting sqref="P31">
    <cfRule type="cellIs" dxfId="18810" priority="2506" operator="greaterThan">
      <formula>0</formula>
    </cfRule>
  </conditionalFormatting>
  <conditionalFormatting sqref="Q31">
    <cfRule type="cellIs" dxfId="18809" priority="2511" operator="lessThan">
      <formula>0</formula>
    </cfRule>
  </conditionalFormatting>
  <conditionalFormatting sqref="R31">
    <cfRule type="cellIs" dxfId="18808" priority="2509" operator="lessThan">
      <formula>0.8</formula>
    </cfRule>
    <cfRule type="cellIs" dxfId="18807" priority="2510" operator="greaterThan">
      <formula>1</formula>
    </cfRule>
  </conditionalFormatting>
  <conditionalFormatting sqref="R31">
    <cfRule type="cellIs" dxfId="18806" priority="2507" operator="greaterThan">
      <formula>1</formula>
    </cfRule>
    <cfRule type="cellIs" dxfId="18805" priority="2508" operator="lessThan">
      <formula>0.8</formula>
    </cfRule>
  </conditionalFormatting>
  <conditionalFormatting sqref="R31">
    <cfRule type="cellIs" dxfId="18804" priority="2503" operator="lessThan">
      <formula>0.8</formula>
    </cfRule>
    <cfRule type="cellIs" dxfId="18803" priority="2504" operator="greaterThan">
      <formula>1</formula>
    </cfRule>
  </conditionalFormatting>
  <conditionalFormatting sqref="R31">
    <cfRule type="cellIs" dxfId="18802" priority="2501" operator="greaterThan">
      <formula>1</formula>
    </cfRule>
    <cfRule type="cellIs" dxfId="18801" priority="2502" operator="lessThan">
      <formula>0.8</formula>
    </cfRule>
  </conditionalFormatting>
  <conditionalFormatting sqref="P31">
    <cfRule type="cellIs" dxfId="18800" priority="2500" operator="greaterThan">
      <formula>0</formula>
    </cfRule>
  </conditionalFormatting>
  <conditionalFormatting sqref="Q31">
    <cfRule type="cellIs" dxfId="18799" priority="2505" operator="lessThan">
      <formula>0</formula>
    </cfRule>
  </conditionalFormatting>
  <conditionalFormatting sqref="P31">
    <cfRule type="cellIs" dxfId="18798" priority="2494" operator="greaterThan">
      <formula>0</formula>
    </cfRule>
  </conditionalFormatting>
  <conditionalFormatting sqref="Q31">
    <cfRule type="cellIs" dxfId="18797" priority="2499" operator="lessThan">
      <formula>0</formula>
    </cfRule>
  </conditionalFormatting>
  <conditionalFormatting sqref="R31">
    <cfRule type="cellIs" dxfId="18796" priority="2497" operator="lessThan">
      <formula>0.8</formula>
    </cfRule>
    <cfRule type="cellIs" dxfId="18795" priority="2498" operator="greaterThan">
      <formula>1</formula>
    </cfRule>
  </conditionalFormatting>
  <conditionalFormatting sqref="R31">
    <cfRule type="cellIs" dxfId="18794" priority="2495" operator="greaterThan">
      <formula>1</formula>
    </cfRule>
    <cfRule type="cellIs" dxfId="18793" priority="2496" operator="lessThan">
      <formula>0.8</formula>
    </cfRule>
  </conditionalFormatting>
  <conditionalFormatting sqref="R31">
    <cfRule type="cellIs" dxfId="18792" priority="2491" operator="lessThan">
      <formula>0.8</formula>
    </cfRule>
    <cfRule type="cellIs" dxfId="18791" priority="2492" operator="greaterThan">
      <formula>1</formula>
    </cfRule>
  </conditionalFormatting>
  <conditionalFormatting sqref="R31">
    <cfRule type="cellIs" dxfId="18790" priority="2489" operator="greaterThan">
      <formula>1</formula>
    </cfRule>
    <cfRule type="cellIs" dxfId="18789" priority="2490" operator="lessThan">
      <formula>0.8</formula>
    </cfRule>
  </conditionalFormatting>
  <conditionalFormatting sqref="P31">
    <cfRule type="cellIs" dxfId="18788" priority="2488" operator="greaterThan">
      <formula>0</formula>
    </cfRule>
  </conditionalFormatting>
  <conditionalFormatting sqref="Q31">
    <cfRule type="cellIs" dxfId="18787" priority="2493" operator="lessThan">
      <formula>0</formula>
    </cfRule>
  </conditionalFormatting>
  <conditionalFormatting sqref="R31">
    <cfRule type="cellIs" dxfId="18786" priority="2485" operator="lessThan">
      <formula>0.8</formula>
    </cfRule>
    <cfRule type="cellIs" dxfId="18785" priority="2486" operator="greaterThan">
      <formula>1</formula>
    </cfRule>
  </conditionalFormatting>
  <conditionalFormatting sqref="R31">
    <cfRule type="cellIs" dxfId="18784" priority="2483" operator="greaterThan">
      <formula>1</formula>
    </cfRule>
    <cfRule type="cellIs" dxfId="18783" priority="2484" operator="lessThan">
      <formula>0.8</formula>
    </cfRule>
  </conditionalFormatting>
  <conditionalFormatting sqref="P31">
    <cfRule type="cellIs" dxfId="18782" priority="2482" operator="greaterThan">
      <formula>0</formula>
    </cfRule>
  </conditionalFormatting>
  <conditionalFormatting sqref="Q31">
    <cfRule type="cellIs" dxfId="18781" priority="2487" operator="lessThan">
      <formula>0</formula>
    </cfRule>
  </conditionalFormatting>
  <conditionalFormatting sqref="Q31">
    <cfRule type="cellIs" dxfId="18780" priority="2481" operator="lessThan">
      <formula>0</formula>
    </cfRule>
  </conditionalFormatting>
  <conditionalFormatting sqref="R31">
    <cfRule type="cellIs" dxfId="18779" priority="2479" operator="lessThan">
      <formula>0.8</formula>
    </cfRule>
    <cfRule type="cellIs" dxfId="18778" priority="2480" operator="greaterThan">
      <formula>1</formula>
    </cfRule>
  </conditionalFormatting>
  <conditionalFormatting sqref="R31">
    <cfRule type="cellIs" dxfId="18777" priority="2477" operator="greaterThan">
      <formula>1</formula>
    </cfRule>
    <cfRule type="cellIs" dxfId="18776" priority="2478" operator="lessThan">
      <formula>0.8</formula>
    </cfRule>
  </conditionalFormatting>
  <conditionalFormatting sqref="P31">
    <cfRule type="cellIs" dxfId="18775" priority="2476" operator="greaterThan">
      <formula>0</formula>
    </cfRule>
  </conditionalFormatting>
  <conditionalFormatting sqref="Q31">
    <cfRule type="cellIs" dxfId="18774" priority="2470" operator="lessThan">
      <formula>0</formula>
    </cfRule>
  </conditionalFormatting>
  <conditionalFormatting sqref="R31">
    <cfRule type="cellIs" dxfId="18773" priority="2474" operator="lessThan">
      <formula>0.8</formula>
    </cfRule>
    <cfRule type="cellIs" dxfId="18772" priority="2475" operator="greaterThan">
      <formula>1</formula>
    </cfRule>
  </conditionalFormatting>
  <conditionalFormatting sqref="R31">
    <cfRule type="cellIs" dxfId="18771" priority="2472" operator="greaterThan">
      <formula>1</formula>
    </cfRule>
    <cfRule type="cellIs" dxfId="18770" priority="2473" operator="lessThan">
      <formula>0.8</formula>
    </cfRule>
  </conditionalFormatting>
  <conditionalFormatting sqref="P31">
    <cfRule type="cellIs" dxfId="18769" priority="2471" operator="greaterThan">
      <formula>0</formula>
    </cfRule>
  </conditionalFormatting>
  <conditionalFormatting sqref="Q31">
    <cfRule type="cellIs" dxfId="18768" priority="2469" operator="lessThan">
      <formula>0</formula>
    </cfRule>
  </conditionalFormatting>
  <conditionalFormatting sqref="R31">
    <cfRule type="cellIs" dxfId="18767" priority="2467" operator="lessThan">
      <formula>0.8</formula>
    </cfRule>
    <cfRule type="cellIs" dxfId="18766" priority="2468" operator="greaterThan">
      <formula>1</formula>
    </cfRule>
  </conditionalFormatting>
  <conditionalFormatting sqref="R31">
    <cfRule type="cellIs" dxfId="18765" priority="2465" operator="greaterThan">
      <formula>1</formula>
    </cfRule>
    <cfRule type="cellIs" dxfId="18764" priority="2466" operator="lessThan">
      <formula>0.8</formula>
    </cfRule>
  </conditionalFormatting>
  <conditionalFormatting sqref="P31">
    <cfRule type="cellIs" dxfId="18763" priority="2464" operator="greaterThan">
      <formula>0</formula>
    </cfRule>
  </conditionalFormatting>
  <conditionalFormatting sqref="Q31">
    <cfRule type="cellIs" dxfId="18762" priority="2463" operator="lessThan">
      <formula>0</formula>
    </cfRule>
  </conditionalFormatting>
  <conditionalFormatting sqref="R31">
    <cfRule type="cellIs" dxfId="18761" priority="2461" operator="lessThan">
      <formula>0.8</formula>
    </cfRule>
    <cfRule type="cellIs" dxfId="18760" priority="2462" operator="greaterThan">
      <formula>1</formula>
    </cfRule>
  </conditionalFormatting>
  <conditionalFormatting sqref="R31">
    <cfRule type="cellIs" dxfId="18759" priority="2459" operator="greaterThan">
      <formula>1</formula>
    </cfRule>
    <cfRule type="cellIs" dxfId="18758" priority="2460" operator="lessThan">
      <formula>0.8</formula>
    </cfRule>
  </conditionalFormatting>
  <conditionalFormatting sqref="P31">
    <cfRule type="cellIs" dxfId="18757" priority="2458" operator="greaterThan">
      <formula>0</formula>
    </cfRule>
  </conditionalFormatting>
  <conditionalFormatting sqref="Q31">
    <cfRule type="cellIs" dxfId="18756" priority="2457" operator="lessThan">
      <formula>0</formula>
    </cfRule>
  </conditionalFormatting>
  <conditionalFormatting sqref="R31">
    <cfRule type="cellIs" dxfId="18755" priority="2455" operator="lessThan">
      <formula>0.8</formula>
    </cfRule>
    <cfRule type="cellIs" dxfId="18754" priority="2456" operator="greaterThan">
      <formula>1</formula>
    </cfRule>
  </conditionalFormatting>
  <conditionalFormatting sqref="R31">
    <cfRule type="cellIs" dxfId="18753" priority="2453" operator="greaterThan">
      <formula>1</formula>
    </cfRule>
    <cfRule type="cellIs" dxfId="18752" priority="2454" operator="lessThan">
      <formula>0.8</formula>
    </cfRule>
  </conditionalFormatting>
  <conditionalFormatting sqref="P31">
    <cfRule type="cellIs" dxfId="18751" priority="2452" operator="greaterThan">
      <formula>0</formula>
    </cfRule>
  </conditionalFormatting>
  <conditionalFormatting sqref="Q31">
    <cfRule type="cellIs" dxfId="18750" priority="2451" operator="lessThan">
      <formula>0</formula>
    </cfRule>
  </conditionalFormatting>
  <conditionalFormatting sqref="R31">
    <cfRule type="cellIs" dxfId="18749" priority="2449" operator="lessThan">
      <formula>0.8</formula>
    </cfRule>
    <cfRule type="cellIs" dxfId="18748" priority="2450" operator="greaterThan">
      <formula>1</formula>
    </cfRule>
  </conditionalFormatting>
  <conditionalFormatting sqref="R31">
    <cfRule type="cellIs" dxfId="18747" priority="2447" operator="greaterThan">
      <formula>1</formula>
    </cfRule>
    <cfRule type="cellIs" dxfId="18746" priority="2448" operator="lessThan">
      <formula>0.8</formula>
    </cfRule>
  </conditionalFormatting>
  <conditionalFormatting sqref="P31">
    <cfRule type="cellIs" dxfId="18745" priority="2446" operator="greaterThan">
      <formula>0</formula>
    </cfRule>
  </conditionalFormatting>
  <conditionalFormatting sqref="Q31">
    <cfRule type="cellIs" dxfId="18744" priority="2445" operator="lessThan">
      <formula>0</formula>
    </cfRule>
  </conditionalFormatting>
  <conditionalFormatting sqref="R31">
    <cfRule type="cellIs" dxfId="18743" priority="2443" operator="lessThan">
      <formula>0.8</formula>
    </cfRule>
    <cfRule type="cellIs" dxfId="18742" priority="2444" operator="greaterThan">
      <formula>1</formula>
    </cfRule>
  </conditionalFormatting>
  <conditionalFormatting sqref="R31">
    <cfRule type="cellIs" dxfId="18741" priority="2441" operator="greaterThan">
      <formula>1</formula>
    </cfRule>
    <cfRule type="cellIs" dxfId="18740" priority="2442" operator="lessThan">
      <formula>0.8</formula>
    </cfRule>
  </conditionalFormatting>
  <conditionalFormatting sqref="P31">
    <cfRule type="cellIs" dxfId="18739" priority="2440" operator="greaterThan">
      <formula>0</formula>
    </cfRule>
  </conditionalFormatting>
  <conditionalFormatting sqref="P31">
    <cfRule type="cellIs" dxfId="18738" priority="2434" operator="greaterThan">
      <formula>0</formula>
    </cfRule>
  </conditionalFormatting>
  <conditionalFormatting sqref="Q31">
    <cfRule type="cellIs" dxfId="18737" priority="2439" operator="lessThan">
      <formula>0</formula>
    </cfRule>
  </conditionalFormatting>
  <conditionalFormatting sqref="R31">
    <cfRule type="cellIs" dxfId="18736" priority="2437" operator="lessThan">
      <formula>0.8</formula>
    </cfRule>
    <cfRule type="cellIs" dxfId="18735" priority="2438" operator="greaterThan">
      <formula>1</formula>
    </cfRule>
  </conditionalFormatting>
  <conditionalFormatting sqref="R31">
    <cfRule type="cellIs" dxfId="18734" priority="2435" operator="greaterThan">
      <formula>1</formula>
    </cfRule>
    <cfRule type="cellIs" dxfId="18733" priority="2436" operator="lessThan">
      <formula>0.8</formula>
    </cfRule>
  </conditionalFormatting>
  <conditionalFormatting sqref="P31">
    <cfRule type="cellIs" dxfId="18732" priority="2428" operator="greaterThan">
      <formula>0</formula>
    </cfRule>
  </conditionalFormatting>
  <conditionalFormatting sqref="Q31">
    <cfRule type="cellIs" dxfId="18731" priority="2433" operator="lessThan">
      <formula>0</formula>
    </cfRule>
  </conditionalFormatting>
  <conditionalFormatting sqref="R31">
    <cfRule type="cellIs" dxfId="18730" priority="2431" operator="lessThan">
      <formula>0.8</formula>
    </cfRule>
    <cfRule type="cellIs" dxfId="18729" priority="2432" operator="greaterThan">
      <formula>1</formula>
    </cfRule>
  </conditionalFormatting>
  <conditionalFormatting sqref="R31">
    <cfRule type="cellIs" dxfId="18728" priority="2429" operator="greaterThan">
      <formula>1</formula>
    </cfRule>
    <cfRule type="cellIs" dxfId="18727" priority="2430" operator="lessThan">
      <formula>0.8</formula>
    </cfRule>
  </conditionalFormatting>
  <conditionalFormatting sqref="R31">
    <cfRule type="cellIs" dxfId="18726" priority="2425" operator="lessThan">
      <formula>0.8</formula>
    </cfRule>
    <cfRule type="cellIs" dxfId="18725" priority="2426" operator="greaterThan">
      <formula>1</formula>
    </cfRule>
  </conditionalFormatting>
  <conditionalFormatting sqref="R31">
    <cfRule type="cellIs" dxfId="18724" priority="2423" operator="greaterThan">
      <formula>1</formula>
    </cfRule>
    <cfRule type="cellIs" dxfId="18723" priority="2424" operator="lessThan">
      <formula>0.8</formula>
    </cfRule>
  </conditionalFormatting>
  <conditionalFormatting sqref="P31">
    <cfRule type="cellIs" dxfId="18722" priority="2422" operator="greaterThan">
      <formula>0</formula>
    </cfRule>
  </conditionalFormatting>
  <conditionalFormatting sqref="Q31">
    <cfRule type="cellIs" dxfId="18721" priority="2427" operator="lessThan">
      <formula>0</formula>
    </cfRule>
  </conditionalFormatting>
  <conditionalFormatting sqref="Q31">
    <cfRule type="cellIs" dxfId="18720" priority="2421" operator="lessThan">
      <formula>0</formula>
    </cfRule>
  </conditionalFormatting>
  <conditionalFormatting sqref="R31">
    <cfRule type="cellIs" dxfId="18719" priority="2419" operator="lessThan">
      <formula>0.8</formula>
    </cfRule>
    <cfRule type="cellIs" dxfId="18718" priority="2420" operator="greaterThan">
      <formula>1</formula>
    </cfRule>
  </conditionalFormatting>
  <conditionalFormatting sqref="R31">
    <cfRule type="cellIs" dxfId="18717" priority="2417" operator="greaterThan">
      <formula>1</formula>
    </cfRule>
    <cfRule type="cellIs" dxfId="18716" priority="2418" operator="lessThan">
      <formula>0.8</formula>
    </cfRule>
  </conditionalFormatting>
  <conditionalFormatting sqref="P31">
    <cfRule type="cellIs" dxfId="18715" priority="2416" operator="greaterThan">
      <formula>0</formula>
    </cfRule>
  </conditionalFormatting>
  <conditionalFormatting sqref="Q31">
    <cfRule type="cellIs" dxfId="18714" priority="2415" operator="lessThan">
      <formula>0</formula>
    </cfRule>
  </conditionalFormatting>
  <conditionalFormatting sqref="R31">
    <cfRule type="cellIs" dxfId="18713" priority="2413" operator="lessThan">
      <formula>0.8</formula>
    </cfRule>
    <cfRule type="cellIs" dxfId="18712" priority="2414" operator="greaterThan">
      <formula>1</formula>
    </cfRule>
  </conditionalFormatting>
  <conditionalFormatting sqref="R31">
    <cfRule type="cellIs" dxfId="18711" priority="2411" operator="greaterThan">
      <formula>1</formula>
    </cfRule>
    <cfRule type="cellIs" dxfId="18710" priority="2412" operator="lessThan">
      <formula>0.8</formula>
    </cfRule>
  </conditionalFormatting>
  <conditionalFormatting sqref="P31">
    <cfRule type="cellIs" dxfId="18709" priority="2410" operator="greaterThan">
      <formula>0</formula>
    </cfRule>
  </conditionalFormatting>
  <conditionalFormatting sqref="Q31">
    <cfRule type="cellIs" dxfId="18708" priority="2409" operator="lessThan">
      <formula>0</formula>
    </cfRule>
  </conditionalFormatting>
  <conditionalFormatting sqref="R31">
    <cfRule type="cellIs" dxfId="18707" priority="2407" operator="lessThan">
      <formula>0.8</formula>
    </cfRule>
    <cfRule type="cellIs" dxfId="18706" priority="2408" operator="greaterThan">
      <formula>1</formula>
    </cfRule>
  </conditionalFormatting>
  <conditionalFormatting sqref="R31">
    <cfRule type="cellIs" dxfId="18705" priority="2405" operator="greaterThan">
      <formula>1</formula>
    </cfRule>
    <cfRule type="cellIs" dxfId="18704" priority="2406" operator="lessThan">
      <formula>0.8</formula>
    </cfRule>
  </conditionalFormatting>
  <conditionalFormatting sqref="P31">
    <cfRule type="cellIs" dxfId="18703" priority="2404" operator="greaterThan">
      <formula>0</formula>
    </cfRule>
  </conditionalFormatting>
  <conditionalFormatting sqref="Q31">
    <cfRule type="cellIs" dxfId="18702" priority="2403" operator="lessThan">
      <formula>0</formula>
    </cfRule>
  </conditionalFormatting>
  <conditionalFormatting sqref="R31">
    <cfRule type="cellIs" dxfId="18701" priority="2401" operator="lessThan">
      <formula>0.8</formula>
    </cfRule>
    <cfRule type="cellIs" dxfId="18700" priority="2402" operator="greaterThan">
      <formula>1</formula>
    </cfRule>
  </conditionalFormatting>
  <conditionalFormatting sqref="R31">
    <cfRule type="cellIs" dxfId="18699" priority="2399" operator="greaterThan">
      <formula>1</formula>
    </cfRule>
    <cfRule type="cellIs" dxfId="18698" priority="2400" operator="lessThan">
      <formula>0.8</formula>
    </cfRule>
  </conditionalFormatting>
  <conditionalFormatting sqref="P31">
    <cfRule type="cellIs" dxfId="18697" priority="2398" operator="greaterThan">
      <formula>0</formula>
    </cfRule>
  </conditionalFormatting>
  <conditionalFormatting sqref="P31">
    <cfRule type="cellIs" dxfId="18696" priority="2392" operator="greaterThan">
      <formula>0</formula>
    </cfRule>
  </conditionalFormatting>
  <conditionalFormatting sqref="Q31">
    <cfRule type="cellIs" dxfId="18695" priority="2397" operator="lessThan">
      <formula>0</formula>
    </cfRule>
  </conditionalFormatting>
  <conditionalFormatting sqref="R31">
    <cfRule type="cellIs" dxfId="18694" priority="2395" operator="lessThan">
      <formula>0.8</formula>
    </cfRule>
    <cfRule type="cellIs" dxfId="18693" priority="2396" operator="greaterThan">
      <formula>1</formula>
    </cfRule>
  </conditionalFormatting>
  <conditionalFormatting sqref="R31">
    <cfRule type="cellIs" dxfId="18692" priority="2393" operator="greaterThan">
      <formula>1</formula>
    </cfRule>
    <cfRule type="cellIs" dxfId="18691" priority="2394" operator="lessThan">
      <formula>0.8</formula>
    </cfRule>
  </conditionalFormatting>
  <conditionalFormatting sqref="P31">
    <cfRule type="cellIs" dxfId="18690" priority="2386" operator="greaterThan">
      <formula>0</formula>
    </cfRule>
  </conditionalFormatting>
  <conditionalFormatting sqref="Q31">
    <cfRule type="cellIs" dxfId="18689" priority="2391" operator="lessThan">
      <formula>0</formula>
    </cfRule>
  </conditionalFormatting>
  <conditionalFormatting sqref="R31">
    <cfRule type="cellIs" dxfId="18688" priority="2389" operator="lessThan">
      <formula>0.8</formula>
    </cfRule>
    <cfRule type="cellIs" dxfId="18687" priority="2390" operator="greaterThan">
      <formula>1</formula>
    </cfRule>
  </conditionalFormatting>
  <conditionalFormatting sqref="R31">
    <cfRule type="cellIs" dxfId="18686" priority="2387" operator="greaterThan">
      <formula>1</formula>
    </cfRule>
    <cfRule type="cellIs" dxfId="18685" priority="2388" operator="lessThan">
      <formula>0.8</formula>
    </cfRule>
  </conditionalFormatting>
  <conditionalFormatting sqref="R31">
    <cfRule type="cellIs" dxfId="18684" priority="2383" operator="lessThan">
      <formula>0.8</formula>
    </cfRule>
    <cfRule type="cellIs" dxfId="18683" priority="2384" operator="greaterThan">
      <formula>1</formula>
    </cfRule>
  </conditionalFormatting>
  <conditionalFormatting sqref="R31">
    <cfRule type="cellIs" dxfId="18682" priority="2381" operator="greaterThan">
      <formula>1</formula>
    </cfRule>
    <cfRule type="cellIs" dxfId="18681" priority="2382" operator="lessThan">
      <formula>0.8</formula>
    </cfRule>
  </conditionalFormatting>
  <conditionalFormatting sqref="P31">
    <cfRule type="cellIs" dxfId="18680" priority="2380" operator="greaterThan">
      <formula>0</formula>
    </cfRule>
  </conditionalFormatting>
  <conditionalFormatting sqref="Q31">
    <cfRule type="cellIs" dxfId="18679" priority="2385" operator="lessThan">
      <formula>0</formula>
    </cfRule>
  </conditionalFormatting>
  <conditionalFormatting sqref="Q31">
    <cfRule type="cellIs" dxfId="18678" priority="2379" operator="lessThan">
      <formula>0</formula>
    </cfRule>
  </conditionalFormatting>
  <conditionalFormatting sqref="R31">
    <cfRule type="cellIs" dxfId="18677" priority="2377" operator="lessThan">
      <formula>0.8</formula>
    </cfRule>
    <cfRule type="cellIs" dxfId="18676" priority="2378" operator="greaterThan">
      <formula>1</formula>
    </cfRule>
  </conditionalFormatting>
  <conditionalFormatting sqref="R31">
    <cfRule type="cellIs" dxfId="18675" priority="2375" operator="greaterThan">
      <formula>1</formula>
    </cfRule>
    <cfRule type="cellIs" dxfId="18674" priority="2376" operator="lessThan">
      <formula>0.8</formula>
    </cfRule>
  </conditionalFormatting>
  <conditionalFormatting sqref="P31">
    <cfRule type="cellIs" dxfId="18673" priority="2374" operator="greaterThan">
      <formula>0</formula>
    </cfRule>
  </conditionalFormatting>
  <conditionalFormatting sqref="P31">
    <cfRule type="cellIs" dxfId="18672" priority="2368" operator="greaterThan">
      <formula>0</formula>
    </cfRule>
  </conditionalFormatting>
  <conditionalFormatting sqref="Q31">
    <cfRule type="cellIs" dxfId="18671" priority="2373" operator="lessThan">
      <formula>0</formula>
    </cfRule>
  </conditionalFormatting>
  <conditionalFormatting sqref="R31">
    <cfRule type="cellIs" dxfId="18670" priority="2371" operator="lessThan">
      <formula>0.8</formula>
    </cfRule>
    <cfRule type="cellIs" dxfId="18669" priority="2372" operator="greaterThan">
      <formula>1</formula>
    </cfRule>
  </conditionalFormatting>
  <conditionalFormatting sqref="R31">
    <cfRule type="cellIs" dxfId="18668" priority="2369" operator="greaterThan">
      <formula>1</formula>
    </cfRule>
    <cfRule type="cellIs" dxfId="18667" priority="2370" operator="lessThan">
      <formula>0.8</formula>
    </cfRule>
  </conditionalFormatting>
  <conditionalFormatting sqref="P31">
    <cfRule type="cellIs" dxfId="18666" priority="2362" operator="greaterThan">
      <formula>0</formula>
    </cfRule>
  </conditionalFormatting>
  <conditionalFormatting sqref="Q31">
    <cfRule type="cellIs" dxfId="18665" priority="2367" operator="lessThan">
      <formula>0</formula>
    </cfRule>
  </conditionalFormatting>
  <conditionalFormatting sqref="R31">
    <cfRule type="cellIs" dxfId="18664" priority="2365" operator="lessThan">
      <formula>0.8</formula>
    </cfRule>
    <cfRule type="cellIs" dxfId="18663" priority="2366" operator="greaterThan">
      <formula>1</formula>
    </cfRule>
  </conditionalFormatting>
  <conditionalFormatting sqref="R31">
    <cfRule type="cellIs" dxfId="18662" priority="2363" operator="greaterThan">
      <formula>1</formula>
    </cfRule>
    <cfRule type="cellIs" dxfId="18661" priority="2364" operator="lessThan">
      <formula>0.8</formula>
    </cfRule>
  </conditionalFormatting>
  <conditionalFormatting sqref="R31">
    <cfRule type="cellIs" dxfId="18660" priority="2359" operator="lessThan">
      <formula>0.8</formula>
    </cfRule>
    <cfRule type="cellIs" dxfId="18659" priority="2360" operator="greaterThan">
      <formula>1</formula>
    </cfRule>
  </conditionalFormatting>
  <conditionalFormatting sqref="R31">
    <cfRule type="cellIs" dxfId="18658" priority="2357" operator="greaterThan">
      <formula>1</formula>
    </cfRule>
    <cfRule type="cellIs" dxfId="18657" priority="2358" operator="lessThan">
      <formula>0.8</formula>
    </cfRule>
  </conditionalFormatting>
  <conditionalFormatting sqref="P31">
    <cfRule type="cellIs" dxfId="18656" priority="2356" operator="greaterThan">
      <formula>0</formula>
    </cfRule>
  </conditionalFormatting>
  <conditionalFormatting sqref="Q31">
    <cfRule type="cellIs" dxfId="18655" priority="2361" operator="lessThan">
      <formula>0</formula>
    </cfRule>
  </conditionalFormatting>
  <conditionalFormatting sqref="P31">
    <cfRule type="cellIs" dxfId="18654" priority="2350" operator="greaterThan">
      <formula>0</formula>
    </cfRule>
  </conditionalFormatting>
  <conditionalFormatting sqref="Q31">
    <cfRule type="cellIs" dxfId="18653" priority="2355" operator="lessThan">
      <formula>0</formula>
    </cfRule>
  </conditionalFormatting>
  <conditionalFormatting sqref="R31">
    <cfRule type="cellIs" dxfId="18652" priority="2353" operator="lessThan">
      <formula>0.8</formula>
    </cfRule>
    <cfRule type="cellIs" dxfId="18651" priority="2354" operator="greaterThan">
      <formula>1</formula>
    </cfRule>
  </conditionalFormatting>
  <conditionalFormatting sqref="R31">
    <cfRule type="cellIs" dxfId="18650" priority="2351" operator="greaterThan">
      <formula>1</formula>
    </cfRule>
    <cfRule type="cellIs" dxfId="18649" priority="2352" operator="lessThan">
      <formula>0.8</formula>
    </cfRule>
  </conditionalFormatting>
  <conditionalFormatting sqref="R31">
    <cfRule type="cellIs" dxfId="18648" priority="2347" operator="lessThan">
      <formula>0.8</formula>
    </cfRule>
    <cfRule type="cellIs" dxfId="18647" priority="2348" operator="greaterThan">
      <formula>1</formula>
    </cfRule>
  </conditionalFormatting>
  <conditionalFormatting sqref="R31">
    <cfRule type="cellIs" dxfId="18646" priority="2345" operator="greaterThan">
      <formula>1</formula>
    </cfRule>
    <cfRule type="cellIs" dxfId="18645" priority="2346" operator="lessThan">
      <formula>0.8</formula>
    </cfRule>
  </conditionalFormatting>
  <conditionalFormatting sqref="P31">
    <cfRule type="cellIs" dxfId="18644" priority="2344" operator="greaterThan">
      <formula>0</formula>
    </cfRule>
  </conditionalFormatting>
  <conditionalFormatting sqref="Q31">
    <cfRule type="cellIs" dxfId="18643" priority="2349" operator="lessThan">
      <formula>0</formula>
    </cfRule>
  </conditionalFormatting>
  <conditionalFormatting sqref="R31">
    <cfRule type="cellIs" dxfId="18642" priority="2341" operator="lessThan">
      <formula>0.8</formula>
    </cfRule>
    <cfRule type="cellIs" dxfId="18641" priority="2342" operator="greaterThan">
      <formula>1</formula>
    </cfRule>
  </conditionalFormatting>
  <conditionalFormatting sqref="R31">
    <cfRule type="cellIs" dxfId="18640" priority="2339" operator="greaterThan">
      <formula>1</formula>
    </cfRule>
    <cfRule type="cellIs" dxfId="18639" priority="2340" operator="lessThan">
      <formula>0.8</formula>
    </cfRule>
  </conditionalFormatting>
  <conditionalFormatting sqref="P31">
    <cfRule type="cellIs" dxfId="18638" priority="2338" operator="greaterThan">
      <formula>0</formula>
    </cfRule>
  </conditionalFormatting>
  <conditionalFormatting sqref="Q31">
    <cfRule type="cellIs" dxfId="18637" priority="2343" operator="lessThan">
      <formula>0</formula>
    </cfRule>
  </conditionalFormatting>
  <conditionalFormatting sqref="Q31">
    <cfRule type="cellIs" dxfId="18636" priority="2337" operator="lessThan">
      <formula>0</formula>
    </cfRule>
  </conditionalFormatting>
  <conditionalFormatting sqref="R31">
    <cfRule type="cellIs" dxfId="18635" priority="2335" operator="lessThan">
      <formula>0.8</formula>
    </cfRule>
    <cfRule type="cellIs" dxfId="18634" priority="2336" operator="greaterThan">
      <formula>1</formula>
    </cfRule>
  </conditionalFormatting>
  <conditionalFormatting sqref="R31">
    <cfRule type="cellIs" dxfId="18633" priority="2333" operator="greaterThan">
      <formula>1</formula>
    </cfRule>
    <cfRule type="cellIs" dxfId="18632" priority="2334" operator="lessThan">
      <formula>0.8</formula>
    </cfRule>
  </conditionalFormatting>
  <conditionalFormatting sqref="P31">
    <cfRule type="cellIs" dxfId="18631" priority="2332" operator="greaterThan">
      <formula>0</formula>
    </cfRule>
  </conditionalFormatting>
  <conditionalFormatting sqref="Q31">
    <cfRule type="cellIs" dxfId="18630" priority="2326" operator="lessThan">
      <formula>0</formula>
    </cfRule>
  </conditionalFormatting>
  <conditionalFormatting sqref="R31">
    <cfRule type="cellIs" dxfId="18629" priority="2330" operator="lessThan">
      <formula>0.8</formula>
    </cfRule>
    <cfRule type="cellIs" dxfId="18628" priority="2331" operator="greaterThan">
      <formula>1</formula>
    </cfRule>
  </conditionalFormatting>
  <conditionalFormatting sqref="R31">
    <cfRule type="cellIs" dxfId="18627" priority="2328" operator="greaterThan">
      <formula>1</formula>
    </cfRule>
    <cfRule type="cellIs" dxfId="18626" priority="2329" operator="lessThan">
      <formula>0.8</formula>
    </cfRule>
  </conditionalFormatting>
  <conditionalFormatting sqref="P31">
    <cfRule type="cellIs" dxfId="18625" priority="2327" operator="greaterThan">
      <formula>0</formula>
    </cfRule>
  </conditionalFormatting>
  <conditionalFormatting sqref="Q31">
    <cfRule type="cellIs" dxfId="18624" priority="2325" operator="lessThan">
      <formula>0</formula>
    </cfRule>
  </conditionalFormatting>
  <conditionalFormatting sqref="R31">
    <cfRule type="cellIs" dxfId="18623" priority="2323" operator="lessThan">
      <formula>0.8</formula>
    </cfRule>
    <cfRule type="cellIs" dxfId="18622" priority="2324" operator="greaterThan">
      <formula>1</formula>
    </cfRule>
  </conditionalFormatting>
  <conditionalFormatting sqref="R31">
    <cfRule type="cellIs" dxfId="18621" priority="2321" operator="greaterThan">
      <formula>1</formula>
    </cfRule>
    <cfRule type="cellIs" dxfId="18620" priority="2322" operator="lessThan">
      <formula>0.8</formula>
    </cfRule>
  </conditionalFormatting>
  <conditionalFormatting sqref="P31">
    <cfRule type="cellIs" dxfId="18619" priority="2320" operator="greaterThan">
      <formula>0</formula>
    </cfRule>
  </conditionalFormatting>
  <conditionalFormatting sqref="Q31">
    <cfRule type="cellIs" dxfId="18618" priority="2319" operator="lessThan">
      <formula>0</formula>
    </cfRule>
  </conditionalFormatting>
  <conditionalFormatting sqref="R31">
    <cfRule type="cellIs" dxfId="18617" priority="2317" operator="lessThan">
      <formula>0.8</formula>
    </cfRule>
    <cfRule type="cellIs" dxfId="18616" priority="2318" operator="greaterThan">
      <formula>1</formula>
    </cfRule>
  </conditionalFormatting>
  <conditionalFormatting sqref="R31">
    <cfRule type="cellIs" dxfId="18615" priority="2315" operator="greaterThan">
      <formula>1</formula>
    </cfRule>
    <cfRule type="cellIs" dxfId="18614" priority="2316" operator="lessThan">
      <formula>0.8</formula>
    </cfRule>
  </conditionalFormatting>
  <conditionalFormatting sqref="P31">
    <cfRule type="cellIs" dxfId="18613" priority="2314" operator="greaterThan">
      <formula>0</formula>
    </cfRule>
  </conditionalFormatting>
  <conditionalFormatting sqref="Q31">
    <cfRule type="cellIs" dxfId="18612" priority="2313" operator="lessThan">
      <formula>0</formula>
    </cfRule>
  </conditionalFormatting>
  <conditionalFormatting sqref="R31">
    <cfRule type="cellIs" dxfId="18611" priority="2311" operator="lessThan">
      <formula>0.8</formula>
    </cfRule>
    <cfRule type="cellIs" dxfId="18610" priority="2312" operator="greaterThan">
      <formula>1</formula>
    </cfRule>
  </conditionalFormatting>
  <conditionalFormatting sqref="R31">
    <cfRule type="cellIs" dxfId="18609" priority="2309" operator="greaterThan">
      <formula>1</formula>
    </cfRule>
    <cfRule type="cellIs" dxfId="18608" priority="2310" operator="lessThan">
      <formula>0.8</formula>
    </cfRule>
  </conditionalFormatting>
  <conditionalFormatting sqref="P31">
    <cfRule type="cellIs" dxfId="18607" priority="2308" operator="greaterThan">
      <formula>0</formula>
    </cfRule>
  </conditionalFormatting>
  <conditionalFormatting sqref="Q31">
    <cfRule type="cellIs" dxfId="18606" priority="2307" operator="lessThan">
      <formula>0</formula>
    </cfRule>
  </conditionalFormatting>
  <conditionalFormatting sqref="R31">
    <cfRule type="cellIs" dxfId="18605" priority="2305" operator="lessThan">
      <formula>0.8</formula>
    </cfRule>
    <cfRule type="cellIs" dxfId="18604" priority="2306" operator="greaterThan">
      <formula>1</formula>
    </cfRule>
  </conditionalFormatting>
  <conditionalFormatting sqref="R31">
    <cfRule type="cellIs" dxfId="18603" priority="2303" operator="greaterThan">
      <formula>1</formula>
    </cfRule>
    <cfRule type="cellIs" dxfId="18602" priority="2304" operator="lessThan">
      <formula>0.8</formula>
    </cfRule>
  </conditionalFormatting>
  <conditionalFormatting sqref="P31">
    <cfRule type="cellIs" dxfId="18601" priority="2302" operator="greaterThan">
      <formula>0</formula>
    </cfRule>
  </conditionalFormatting>
  <conditionalFormatting sqref="Q31">
    <cfRule type="cellIs" dxfId="18600" priority="2301" operator="lessThan">
      <formula>0</formula>
    </cfRule>
  </conditionalFormatting>
  <conditionalFormatting sqref="R31">
    <cfRule type="cellIs" dxfId="18599" priority="2299" operator="lessThan">
      <formula>0.8</formula>
    </cfRule>
    <cfRule type="cellIs" dxfId="18598" priority="2300" operator="greaterThan">
      <formula>1</formula>
    </cfRule>
  </conditionalFormatting>
  <conditionalFormatting sqref="R31">
    <cfRule type="cellIs" dxfId="18597" priority="2297" operator="greaterThan">
      <formula>1</formula>
    </cfRule>
    <cfRule type="cellIs" dxfId="18596" priority="2298" operator="lessThan">
      <formula>0.8</formula>
    </cfRule>
  </conditionalFormatting>
  <conditionalFormatting sqref="P31">
    <cfRule type="cellIs" dxfId="18595" priority="2296" operator="greaterThan">
      <formula>0</formula>
    </cfRule>
  </conditionalFormatting>
  <conditionalFormatting sqref="P31">
    <cfRule type="cellIs" dxfId="18594" priority="2290" operator="greaterThan">
      <formula>0</formula>
    </cfRule>
  </conditionalFormatting>
  <conditionalFormatting sqref="Q31">
    <cfRule type="cellIs" dxfId="18593" priority="2295" operator="lessThan">
      <formula>0</formula>
    </cfRule>
  </conditionalFormatting>
  <conditionalFormatting sqref="R31">
    <cfRule type="cellIs" dxfId="18592" priority="2293" operator="lessThan">
      <formula>0.8</formula>
    </cfRule>
    <cfRule type="cellIs" dxfId="18591" priority="2294" operator="greaterThan">
      <formula>1</formula>
    </cfRule>
  </conditionalFormatting>
  <conditionalFormatting sqref="R31">
    <cfRule type="cellIs" dxfId="18590" priority="2291" operator="greaterThan">
      <formula>1</formula>
    </cfRule>
    <cfRule type="cellIs" dxfId="18589" priority="2292" operator="lessThan">
      <formula>0.8</formula>
    </cfRule>
  </conditionalFormatting>
  <conditionalFormatting sqref="P31">
    <cfRule type="cellIs" dxfId="18588" priority="2284" operator="greaterThan">
      <formula>0</formula>
    </cfRule>
  </conditionalFormatting>
  <conditionalFormatting sqref="Q31">
    <cfRule type="cellIs" dxfId="18587" priority="2289" operator="lessThan">
      <formula>0</formula>
    </cfRule>
  </conditionalFormatting>
  <conditionalFormatting sqref="R31">
    <cfRule type="cellIs" dxfId="18586" priority="2287" operator="lessThan">
      <formula>0.8</formula>
    </cfRule>
    <cfRule type="cellIs" dxfId="18585" priority="2288" operator="greaterThan">
      <formula>1</formula>
    </cfRule>
  </conditionalFormatting>
  <conditionalFormatting sqref="R31">
    <cfRule type="cellIs" dxfId="18584" priority="2285" operator="greaterThan">
      <formula>1</formula>
    </cfRule>
    <cfRule type="cellIs" dxfId="18583" priority="2286" operator="lessThan">
      <formula>0.8</formula>
    </cfRule>
  </conditionalFormatting>
  <conditionalFormatting sqref="R31">
    <cfRule type="cellIs" dxfId="18582" priority="2281" operator="lessThan">
      <formula>0.8</formula>
    </cfRule>
    <cfRule type="cellIs" dxfId="18581" priority="2282" operator="greaterThan">
      <formula>1</formula>
    </cfRule>
  </conditionalFormatting>
  <conditionalFormatting sqref="R31">
    <cfRule type="cellIs" dxfId="18580" priority="2279" operator="greaterThan">
      <formula>1</formula>
    </cfRule>
    <cfRule type="cellIs" dxfId="18579" priority="2280" operator="lessThan">
      <formula>0.8</formula>
    </cfRule>
  </conditionalFormatting>
  <conditionalFormatting sqref="P31">
    <cfRule type="cellIs" dxfId="18578" priority="2278" operator="greaterThan">
      <formula>0</formula>
    </cfRule>
  </conditionalFormatting>
  <conditionalFormatting sqref="Q31">
    <cfRule type="cellIs" dxfId="18577" priority="2283" operator="lessThan">
      <formula>0</formula>
    </cfRule>
  </conditionalFormatting>
  <conditionalFormatting sqref="P79">
    <cfRule type="cellIs" dxfId="18576" priority="2272" operator="greaterThan">
      <formula>0</formula>
    </cfRule>
  </conditionalFormatting>
  <conditionalFormatting sqref="Q79">
    <cfRule type="cellIs" dxfId="18575" priority="2277" operator="lessThan">
      <formula>0</formula>
    </cfRule>
  </conditionalFormatting>
  <conditionalFormatting sqref="R79">
    <cfRule type="cellIs" dxfId="18574" priority="2275" operator="lessThan">
      <formula>0.8</formula>
    </cfRule>
    <cfRule type="cellIs" dxfId="18573" priority="2276" operator="greaterThan">
      <formula>1</formula>
    </cfRule>
  </conditionalFormatting>
  <conditionalFormatting sqref="R79">
    <cfRule type="cellIs" dxfId="18572" priority="2273" operator="greaterThan">
      <formula>1</formula>
    </cfRule>
    <cfRule type="cellIs" dxfId="18571" priority="2274" operator="lessThan">
      <formula>0.8</formula>
    </cfRule>
  </conditionalFormatting>
  <conditionalFormatting sqref="Q79">
    <cfRule type="cellIs" dxfId="18570" priority="2271" operator="lessThan">
      <formula>0</formula>
    </cfRule>
  </conditionalFormatting>
  <conditionalFormatting sqref="R79">
    <cfRule type="cellIs" dxfId="18569" priority="2269" operator="lessThan">
      <formula>0.8</formula>
    </cfRule>
    <cfRule type="cellIs" dxfId="18568" priority="2270" operator="greaterThan">
      <formula>1</formula>
    </cfRule>
  </conditionalFormatting>
  <conditionalFormatting sqref="R79">
    <cfRule type="cellIs" dxfId="18567" priority="2267" operator="greaterThan">
      <formula>1</formula>
    </cfRule>
    <cfRule type="cellIs" dxfId="18566" priority="2268" operator="lessThan">
      <formula>0.8</formula>
    </cfRule>
  </conditionalFormatting>
  <conditionalFormatting sqref="P79">
    <cfRule type="cellIs" dxfId="18565" priority="2266" operator="greaterThan">
      <formula>0</formula>
    </cfRule>
  </conditionalFormatting>
  <conditionalFormatting sqref="P79">
    <cfRule type="cellIs" dxfId="18564" priority="2260" operator="greaterThan">
      <formula>0</formula>
    </cfRule>
  </conditionalFormatting>
  <conditionalFormatting sqref="Q79">
    <cfRule type="cellIs" dxfId="18563" priority="2265" operator="lessThan">
      <formula>0</formula>
    </cfRule>
  </conditionalFormatting>
  <conditionalFormatting sqref="R79">
    <cfRule type="cellIs" dxfId="18562" priority="2263" operator="lessThan">
      <formula>0.8</formula>
    </cfRule>
    <cfRule type="cellIs" dxfId="18561" priority="2264" operator="greaterThan">
      <formula>1</formula>
    </cfRule>
  </conditionalFormatting>
  <conditionalFormatting sqref="R79">
    <cfRule type="cellIs" dxfId="18560" priority="2261" operator="greaterThan">
      <formula>1</formula>
    </cfRule>
    <cfRule type="cellIs" dxfId="18559" priority="2262" operator="lessThan">
      <formula>0.8</formula>
    </cfRule>
  </conditionalFormatting>
  <conditionalFormatting sqref="Q79">
    <cfRule type="cellIs" dxfId="18558" priority="2254" operator="lessThan">
      <formula>0</formula>
    </cfRule>
  </conditionalFormatting>
  <conditionalFormatting sqref="P79">
    <cfRule type="cellIs" dxfId="18557" priority="2255" operator="greaterThan">
      <formula>0</formula>
    </cfRule>
  </conditionalFormatting>
  <conditionalFormatting sqref="R79">
    <cfRule type="cellIs" dxfId="18556" priority="2258" operator="lessThan">
      <formula>0.8</formula>
    </cfRule>
    <cfRule type="cellIs" dxfId="18555" priority="2259" operator="greaterThan">
      <formula>1</formula>
    </cfRule>
  </conditionalFormatting>
  <conditionalFormatting sqref="R79">
    <cfRule type="cellIs" dxfId="18554" priority="2256" operator="greaterThan">
      <formula>1</formula>
    </cfRule>
    <cfRule type="cellIs" dxfId="18553" priority="2257" operator="lessThan">
      <formula>0.8</formula>
    </cfRule>
  </conditionalFormatting>
  <conditionalFormatting sqref="Q79">
    <cfRule type="cellIs" dxfId="18552" priority="2248" operator="lessThan">
      <formula>0</formula>
    </cfRule>
  </conditionalFormatting>
  <conditionalFormatting sqref="R79">
    <cfRule type="cellIs" dxfId="18551" priority="2252" operator="lessThan">
      <formula>0.8</formula>
    </cfRule>
    <cfRule type="cellIs" dxfId="18550" priority="2253" operator="greaterThan">
      <formula>1</formula>
    </cfRule>
  </conditionalFormatting>
  <conditionalFormatting sqref="R79">
    <cfRule type="cellIs" dxfId="18549" priority="2250" operator="greaterThan">
      <formula>1</formula>
    </cfRule>
    <cfRule type="cellIs" dxfId="18548" priority="2251" operator="lessThan">
      <formula>0.8</formula>
    </cfRule>
  </conditionalFormatting>
  <conditionalFormatting sqref="P79">
    <cfRule type="cellIs" dxfId="18547" priority="2249" operator="greaterThan">
      <formula>0</formula>
    </cfRule>
  </conditionalFormatting>
  <conditionalFormatting sqref="Q79">
    <cfRule type="cellIs" dxfId="18546" priority="2247" operator="lessThan">
      <formula>0</formula>
    </cfRule>
  </conditionalFormatting>
  <conditionalFormatting sqref="R79">
    <cfRule type="cellIs" dxfId="18545" priority="2245" operator="lessThan">
      <formula>0.8</formula>
    </cfRule>
    <cfRule type="cellIs" dxfId="18544" priority="2246" operator="greaterThan">
      <formula>1</formula>
    </cfRule>
  </conditionalFormatting>
  <conditionalFormatting sqref="R79">
    <cfRule type="cellIs" dxfId="18543" priority="2243" operator="greaterThan">
      <formula>1</formula>
    </cfRule>
    <cfRule type="cellIs" dxfId="18542" priority="2244" operator="lessThan">
      <formula>0.8</formula>
    </cfRule>
  </conditionalFormatting>
  <conditionalFormatting sqref="P79">
    <cfRule type="cellIs" dxfId="18541" priority="2242" operator="greaterThan">
      <formula>0</formula>
    </cfRule>
  </conditionalFormatting>
  <conditionalFormatting sqref="Q79">
    <cfRule type="cellIs" dxfId="18540" priority="2241" operator="lessThan">
      <formula>0</formula>
    </cfRule>
  </conditionalFormatting>
  <conditionalFormatting sqref="R79">
    <cfRule type="cellIs" dxfId="18539" priority="2239" operator="lessThan">
      <formula>0.8</formula>
    </cfRule>
    <cfRule type="cellIs" dxfId="18538" priority="2240" operator="greaterThan">
      <formula>1</formula>
    </cfRule>
  </conditionalFormatting>
  <conditionalFormatting sqref="R79">
    <cfRule type="cellIs" dxfId="18537" priority="2237" operator="greaterThan">
      <formula>1</formula>
    </cfRule>
    <cfRule type="cellIs" dxfId="18536" priority="2238" operator="lessThan">
      <formula>0.8</formula>
    </cfRule>
  </conditionalFormatting>
  <conditionalFormatting sqref="P79">
    <cfRule type="cellIs" dxfId="18535" priority="2236" operator="greaterThan">
      <formula>0</formula>
    </cfRule>
  </conditionalFormatting>
  <conditionalFormatting sqref="P79">
    <cfRule type="cellIs" dxfId="18534" priority="2230" operator="greaterThan">
      <formula>0</formula>
    </cfRule>
  </conditionalFormatting>
  <conditionalFormatting sqref="Q79">
    <cfRule type="cellIs" dxfId="18533" priority="2235" operator="lessThan">
      <formula>0</formula>
    </cfRule>
  </conditionalFormatting>
  <conditionalFormatting sqref="R79">
    <cfRule type="cellIs" dxfId="18532" priority="2233" operator="lessThan">
      <formula>0.8</formula>
    </cfRule>
    <cfRule type="cellIs" dxfId="18531" priority="2234" operator="greaterThan">
      <formula>1</formula>
    </cfRule>
  </conditionalFormatting>
  <conditionalFormatting sqref="R79">
    <cfRule type="cellIs" dxfId="18530" priority="2231" operator="greaterThan">
      <formula>1</formula>
    </cfRule>
    <cfRule type="cellIs" dxfId="18529" priority="2232" operator="lessThan">
      <formula>0.8</formula>
    </cfRule>
  </conditionalFormatting>
  <conditionalFormatting sqref="P71:P78">
    <cfRule type="cellIs" dxfId="18528" priority="2224" operator="greaterThan">
      <formula>0</formula>
    </cfRule>
  </conditionalFormatting>
  <conditionalFormatting sqref="Q71:Q78">
    <cfRule type="cellIs" dxfId="18527" priority="2229" operator="lessThan">
      <formula>0</formula>
    </cfRule>
  </conditionalFormatting>
  <conditionalFormatting sqref="R71:R78">
    <cfRule type="cellIs" dxfId="18526" priority="2227" operator="lessThan">
      <formula>0.8</formula>
    </cfRule>
    <cfRule type="cellIs" dxfId="18525" priority="2228" operator="greaterThan">
      <formula>1</formula>
    </cfRule>
  </conditionalFormatting>
  <conditionalFormatting sqref="R71:R78">
    <cfRule type="cellIs" dxfId="18524" priority="2225" operator="greaterThan">
      <formula>1</formula>
    </cfRule>
    <cfRule type="cellIs" dxfId="18523" priority="2226" operator="lessThan">
      <formula>0.8</formula>
    </cfRule>
  </conditionalFormatting>
  <conditionalFormatting sqref="Q148:Q153">
    <cfRule type="cellIs" dxfId="18522" priority="2223" operator="lessThan">
      <formula>0</formula>
    </cfRule>
  </conditionalFormatting>
  <conditionalFormatting sqref="R148:R153">
    <cfRule type="cellIs" dxfId="18521" priority="2221" operator="lessThan">
      <formula>0.8</formula>
    </cfRule>
    <cfRule type="cellIs" dxfId="18520" priority="2222" operator="greaterThan">
      <formula>1</formula>
    </cfRule>
  </conditionalFormatting>
  <conditionalFormatting sqref="R148:R153">
    <cfRule type="cellIs" dxfId="18519" priority="2219" operator="greaterThan">
      <formula>1</formula>
    </cfRule>
    <cfRule type="cellIs" dxfId="18518" priority="2220" operator="lessThan">
      <formula>0.8</formula>
    </cfRule>
  </conditionalFormatting>
  <conditionalFormatting sqref="P148:P153">
    <cfRule type="cellIs" dxfId="18517" priority="2218" operator="greaterThan">
      <formula>0</formula>
    </cfRule>
  </conditionalFormatting>
  <conditionalFormatting sqref="Q148:Q153">
    <cfRule type="cellIs" dxfId="18516" priority="2217" operator="lessThan">
      <formula>0</formula>
    </cfRule>
  </conditionalFormatting>
  <conditionalFormatting sqref="R148:R153">
    <cfRule type="cellIs" dxfId="18515" priority="2215" operator="lessThan">
      <formula>0.8</formula>
    </cfRule>
    <cfRule type="cellIs" dxfId="18514" priority="2216" operator="greaterThan">
      <formula>1</formula>
    </cfRule>
  </conditionalFormatting>
  <conditionalFormatting sqref="R148:R153">
    <cfRule type="cellIs" dxfId="18513" priority="2213" operator="greaterThan">
      <formula>1</formula>
    </cfRule>
    <cfRule type="cellIs" dxfId="18512" priority="2214" operator="lessThan">
      <formula>0.8</formula>
    </cfRule>
  </conditionalFormatting>
  <conditionalFormatting sqref="P148:P153">
    <cfRule type="cellIs" dxfId="18511" priority="2212" operator="greaterThan">
      <formula>0</formula>
    </cfRule>
  </conditionalFormatting>
  <conditionalFormatting sqref="Q148:Q153">
    <cfRule type="cellIs" dxfId="18510" priority="2211" operator="lessThan">
      <formula>0</formula>
    </cfRule>
  </conditionalFormatting>
  <conditionalFormatting sqref="R148:R153">
    <cfRule type="cellIs" dxfId="18509" priority="2209" operator="lessThan">
      <formula>0.8</formula>
    </cfRule>
    <cfRule type="cellIs" dxfId="18508" priority="2210" operator="greaterThan">
      <formula>1</formula>
    </cfRule>
  </conditionalFormatting>
  <conditionalFormatting sqref="R148:R153">
    <cfRule type="cellIs" dxfId="18507" priority="2207" operator="greaterThan">
      <formula>1</formula>
    </cfRule>
    <cfRule type="cellIs" dxfId="18506" priority="2208" operator="lessThan">
      <formula>0.8</formula>
    </cfRule>
  </conditionalFormatting>
  <conditionalFormatting sqref="P148:P153">
    <cfRule type="cellIs" dxfId="18505" priority="2206" operator="greaterThan">
      <formula>0</formula>
    </cfRule>
  </conditionalFormatting>
  <conditionalFormatting sqref="Q148:Q153">
    <cfRule type="cellIs" dxfId="18504" priority="2205" operator="lessThan">
      <formula>0</formula>
    </cfRule>
  </conditionalFormatting>
  <conditionalFormatting sqref="R148:R153">
    <cfRule type="cellIs" dxfId="18503" priority="2203" operator="lessThan">
      <formula>0.8</formula>
    </cfRule>
    <cfRule type="cellIs" dxfId="18502" priority="2204" operator="greaterThan">
      <formula>1</formula>
    </cfRule>
  </conditionalFormatting>
  <conditionalFormatting sqref="R148:R153">
    <cfRule type="cellIs" dxfId="18501" priority="2201" operator="greaterThan">
      <formula>1</formula>
    </cfRule>
    <cfRule type="cellIs" dxfId="18500" priority="2202" operator="lessThan">
      <formula>0.8</formula>
    </cfRule>
  </conditionalFormatting>
  <conditionalFormatting sqref="P148:P153">
    <cfRule type="cellIs" dxfId="18499" priority="2200" operator="greaterThan">
      <formula>0</formula>
    </cfRule>
  </conditionalFormatting>
  <conditionalFormatting sqref="P148:P153">
    <cfRule type="cellIs" dxfId="18498" priority="2194" operator="greaterThan">
      <formula>0</formula>
    </cfRule>
  </conditionalFormatting>
  <conditionalFormatting sqref="Q148:Q153">
    <cfRule type="cellIs" dxfId="18497" priority="2199" operator="lessThan">
      <formula>0</formula>
    </cfRule>
  </conditionalFormatting>
  <conditionalFormatting sqref="R148:R153">
    <cfRule type="cellIs" dxfId="18496" priority="2197" operator="lessThan">
      <formula>0.8</formula>
    </cfRule>
    <cfRule type="cellIs" dxfId="18495" priority="2198" operator="greaterThan">
      <formula>1</formula>
    </cfRule>
  </conditionalFormatting>
  <conditionalFormatting sqref="R148:R153">
    <cfRule type="cellIs" dxfId="18494" priority="2195" operator="greaterThan">
      <formula>1</formula>
    </cfRule>
    <cfRule type="cellIs" dxfId="18493" priority="2196" operator="lessThan">
      <formula>0.8</formula>
    </cfRule>
  </conditionalFormatting>
  <conditionalFormatting sqref="P148:P153">
    <cfRule type="cellIs" dxfId="18492" priority="2188" operator="greaterThan">
      <formula>0</formula>
    </cfRule>
  </conditionalFormatting>
  <conditionalFormatting sqref="Q148:Q153">
    <cfRule type="cellIs" dxfId="18491" priority="2193" operator="lessThan">
      <formula>0</formula>
    </cfRule>
  </conditionalFormatting>
  <conditionalFormatting sqref="R148:R153">
    <cfRule type="cellIs" dxfId="18490" priority="2191" operator="lessThan">
      <formula>0.8</formula>
    </cfRule>
    <cfRule type="cellIs" dxfId="18489" priority="2192" operator="greaterThan">
      <formula>1</formula>
    </cfRule>
  </conditionalFormatting>
  <conditionalFormatting sqref="R148:R153">
    <cfRule type="cellIs" dxfId="18488" priority="2189" operator="greaterThan">
      <formula>1</formula>
    </cfRule>
    <cfRule type="cellIs" dxfId="18487" priority="2190" operator="lessThan">
      <formula>0.8</formula>
    </cfRule>
  </conditionalFormatting>
  <conditionalFormatting sqref="R148:R153">
    <cfRule type="cellIs" dxfId="18486" priority="2185" operator="lessThan">
      <formula>0.8</formula>
    </cfRule>
    <cfRule type="cellIs" dxfId="18485" priority="2186" operator="greaterThan">
      <formula>1</formula>
    </cfRule>
  </conditionalFormatting>
  <conditionalFormatting sqref="R148:R153">
    <cfRule type="cellIs" dxfId="18484" priority="2183" operator="greaterThan">
      <formula>1</formula>
    </cfRule>
    <cfRule type="cellIs" dxfId="18483" priority="2184" operator="lessThan">
      <formula>0.8</formula>
    </cfRule>
  </conditionalFormatting>
  <conditionalFormatting sqref="P148:P153">
    <cfRule type="cellIs" dxfId="18482" priority="2182" operator="greaterThan">
      <formula>0</formula>
    </cfRule>
  </conditionalFormatting>
  <conditionalFormatting sqref="Q148:Q153">
    <cfRule type="cellIs" dxfId="18481" priority="2187" operator="lessThan">
      <formula>0</formula>
    </cfRule>
  </conditionalFormatting>
  <conditionalFormatting sqref="Q148:Q153">
    <cfRule type="cellIs" dxfId="18480" priority="2181" operator="lessThan">
      <formula>0</formula>
    </cfRule>
  </conditionalFormatting>
  <conditionalFormatting sqref="R148:R153">
    <cfRule type="cellIs" dxfId="18479" priority="2179" operator="lessThan">
      <formula>0.8</formula>
    </cfRule>
    <cfRule type="cellIs" dxfId="18478" priority="2180" operator="greaterThan">
      <formula>1</formula>
    </cfRule>
  </conditionalFormatting>
  <conditionalFormatting sqref="R148:R153">
    <cfRule type="cellIs" dxfId="18477" priority="2177" operator="greaterThan">
      <formula>1</formula>
    </cfRule>
    <cfRule type="cellIs" dxfId="18476" priority="2178" operator="lessThan">
      <formula>0.8</formula>
    </cfRule>
  </conditionalFormatting>
  <conditionalFormatting sqref="P148:P153">
    <cfRule type="cellIs" dxfId="18475" priority="2176" operator="greaterThan">
      <formula>0</formula>
    </cfRule>
  </conditionalFormatting>
  <conditionalFormatting sqref="P148:P153">
    <cfRule type="cellIs" dxfId="18474" priority="2170" operator="greaterThan">
      <formula>0</formula>
    </cfRule>
  </conditionalFormatting>
  <conditionalFormatting sqref="Q148:Q153">
    <cfRule type="cellIs" dxfId="18473" priority="2175" operator="lessThan">
      <formula>0</formula>
    </cfRule>
  </conditionalFormatting>
  <conditionalFormatting sqref="R148:R153">
    <cfRule type="cellIs" dxfId="18472" priority="2173" operator="lessThan">
      <formula>0.8</formula>
    </cfRule>
    <cfRule type="cellIs" dxfId="18471" priority="2174" operator="greaterThan">
      <formula>1</formula>
    </cfRule>
  </conditionalFormatting>
  <conditionalFormatting sqref="R148:R153">
    <cfRule type="cellIs" dxfId="18470" priority="2171" operator="greaterThan">
      <formula>1</formula>
    </cfRule>
    <cfRule type="cellIs" dxfId="18469" priority="2172" operator="lessThan">
      <formula>0.8</formula>
    </cfRule>
  </conditionalFormatting>
  <conditionalFormatting sqref="P148:P153">
    <cfRule type="cellIs" dxfId="18468" priority="2164" operator="greaterThan">
      <formula>0</formula>
    </cfRule>
  </conditionalFormatting>
  <conditionalFormatting sqref="Q148:Q153">
    <cfRule type="cellIs" dxfId="18467" priority="2169" operator="lessThan">
      <formula>0</formula>
    </cfRule>
  </conditionalFormatting>
  <conditionalFormatting sqref="R148:R153">
    <cfRule type="cellIs" dxfId="18466" priority="2167" operator="lessThan">
      <formula>0.8</formula>
    </cfRule>
    <cfRule type="cellIs" dxfId="18465" priority="2168" operator="greaterThan">
      <formula>1</formula>
    </cfRule>
  </conditionalFormatting>
  <conditionalFormatting sqref="R148:R153">
    <cfRule type="cellIs" dxfId="18464" priority="2165" operator="greaterThan">
      <formula>1</formula>
    </cfRule>
    <cfRule type="cellIs" dxfId="18463" priority="2166" operator="lessThan">
      <formula>0.8</formula>
    </cfRule>
  </conditionalFormatting>
  <conditionalFormatting sqref="R148:R153">
    <cfRule type="cellIs" dxfId="18462" priority="2161" operator="lessThan">
      <formula>0.8</formula>
    </cfRule>
    <cfRule type="cellIs" dxfId="18461" priority="2162" operator="greaterThan">
      <formula>1</formula>
    </cfRule>
  </conditionalFormatting>
  <conditionalFormatting sqref="R148:R153">
    <cfRule type="cellIs" dxfId="18460" priority="2159" operator="greaterThan">
      <formula>1</formula>
    </cfRule>
    <cfRule type="cellIs" dxfId="18459" priority="2160" operator="lessThan">
      <formula>0.8</formula>
    </cfRule>
  </conditionalFormatting>
  <conditionalFormatting sqref="P148:P153">
    <cfRule type="cellIs" dxfId="18458" priority="2158" operator="greaterThan">
      <formula>0</formula>
    </cfRule>
  </conditionalFormatting>
  <conditionalFormatting sqref="Q148:Q153">
    <cfRule type="cellIs" dxfId="18457" priority="2163" operator="lessThan">
      <formula>0</formula>
    </cfRule>
  </conditionalFormatting>
  <conditionalFormatting sqref="P148:P153">
    <cfRule type="cellIs" dxfId="18456" priority="2152" operator="greaterThan">
      <formula>0</formula>
    </cfRule>
  </conditionalFormatting>
  <conditionalFormatting sqref="Q148:Q153">
    <cfRule type="cellIs" dxfId="18455" priority="2157" operator="lessThan">
      <formula>0</formula>
    </cfRule>
  </conditionalFormatting>
  <conditionalFormatting sqref="R148:R153">
    <cfRule type="cellIs" dxfId="18454" priority="2155" operator="lessThan">
      <formula>0.8</formula>
    </cfRule>
    <cfRule type="cellIs" dxfId="18453" priority="2156" operator="greaterThan">
      <formula>1</formula>
    </cfRule>
  </conditionalFormatting>
  <conditionalFormatting sqref="R148:R153">
    <cfRule type="cellIs" dxfId="18452" priority="2153" operator="greaterThan">
      <formula>1</formula>
    </cfRule>
    <cfRule type="cellIs" dxfId="18451" priority="2154" operator="lessThan">
      <formula>0.8</formula>
    </cfRule>
  </conditionalFormatting>
  <conditionalFormatting sqref="R148:R153">
    <cfRule type="cellIs" dxfId="18450" priority="2149" operator="lessThan">
      <formula>0.8</formula>
    </cfRule>
    <cfRule type="cellIs" dxfId="18449" priority="2150" operator="greaterThan">
      <formula>1</formula>
    </cfRule>
  </conditionalFormatting>
  <conditionalFormatting sqref="R148:R153">
    <cfRule type="cellIs" dxfId="18448" priority="2147" operator="greaterThan">
      <formula>1</formula>
    </cfRule>
    <cfRule type="cellIs" dxfId="18447" priority="2148" operator="lessThan">
      <formula>0.8</formula>
    </cfRule>
  </conditionalFormatting>
  <conditionalFormatting sqref="P148:P153">
    <cfRule type="cellIs" dxfId="18446" priority="2146" operator="greaterThan">
      <formula>0</formula>
    </cfRule>
  </conditionalFormatting>
  <conditionalFormatting sqref="Q148:Q153">
    <cfRule type="cellIs" dxfId="18445" priority="2151" operator="lessThan">
      <formula>0</formula>
    </cfRule>
  </conditionalFormatting>
  <conditionalFormatting sqref="R148:R153">
    <cfRule type="cellIs" dxfId="18444" priority="2143" operator="lessThan">
      <formula>0.8</formula>
    </cfRule>
    <cfRule type="cellIs" dxfId="18443" priority="2144" operator="greaterThan">
      <formula>1</formula>
    </cfRule>
  </conditionalFormatting>
  <conditionalFormatting sqref="R148:R153">
    <cfRule type="cellIs" dxfId="18442" priority="2141" operator="greaterThan">
      <formula>1</formula>
    </cfRule>
    <cfRule type="cellIs" dxfId="18441" priority="2142" operator="lessThan">
      <formula>0.8</formula>
    </cfRule>
  </conditionalFormatting>
  <conditionalFormatting sqref="P148:P153">
    <cfRule type="cellIs" dxfId="18440" priority="2140" operator="greaterThan">
      <formula>0</formula>
    </cfRule>
  </conditionalFormatting>
  <conditionalFormatting sqref="Q148:Q153">
    <cfRule type="cellIs" dxfId="18439" priority="2145" operator="lessThan">
      <formula>0</formula>
    </cfRule>
  </conditionalFormatting>
  <conditionalFormatting sqref="Q148:Q153">
    <cfRule type="cellIs" dxfId="18438" priority="2139" operator="lessThan">
      <formula>0</formula>
    </cfRule>
  </conditionalFormatting>
  <conditionalFormatting sqref="R148:R153">
    <cfRule type="cellIs" dxfId="18437" priority="2137" operator="lessThan">
      <formula>0.8</formula>
    </cfRule>
    <cfRule type="cellIs" dxfId="18436" priority="2138" operator="greaterThan">
      <formula>1</formula>
    </cfRule>
  </conditionalFormatting>
  <conditionalFormatting sqref="R148:R153">
    <cfRule type="cellIs" dxfId="18435" priority="2135" operator="greaterThan">
      <formula>1</formula>
    </cfRule>
    <cfRule type="cellIs" dxfId="18434" priority="2136" operator="lessThan">
      <formula>0.8</formula>
    </cfRule>
  </conditionalFormatting>
  <conditionalFormatting sqref="P148:P153">
    <cfRule type="cellIs" dxfId="18433" priority="2134" operator="greaterThan">
      <formula>0</formula>
    </cfRule>
  </conditionalFormatting>
  <conditionalFormatting sqref="Q148:Q153">
    <cfRule type="cellIs" dxfId="18432" priority="2128" operator="lessThan">
      <formula>0</formula>
    </cfRule>
  </conditionalFormatting>
  <conditionalFormatting sqref="R148:R153">
    <cfRule type="cellIs" dxfId="18431" priority="2132" operator="lessThan">
      <formula>0.8</formula>
    </cfRule>
    <cfRule type="cellIs" dxfId="18430" priority="2133" operator="greaterThan">
      <formula>1</formula>
    </cfRule>
  </conditionalFormatting>
  <conditionalFormatting sqref="R148:R153">
    <cfRule type="cellIs" dxfId="18429" priority="2130" operator="greaterThan">
      <formula>1</formula>
    </cfRule>
    <cfRule type="cellIs" dxfId="18428" priority="2131" operator="lessThan">
      <formula>0.8</formula>
    </cfRule>
  </conditionalFormatting>
  <conditionalFormatting sqref="P148:P153">
    <cfRule type="cellIs" dxfId="18427" priority="2129" operator="greaterThan">
      <formula>0</formula>
    </cfRule>
  </conditionalFormatting>
  <conditionalFormatting sqref="Q148:Q153">
    <cfRule type="cellIs" dxfId="18426" priority="2127" operator="lessThan">
      <formula>0</formula>
    </cfRule>
  </conditionalFormatting>
  <conditionalFormatting sqref="R148:R153">
    <cfRule type="cellIs" dxfId="18425" priority="2125" operator="lessThan">
      <formula>0.8</formula>
    </cfRule>
    <cfRule type="cellIs" dxfId="18424" priority="2126" operator="greaterThan">
      <formula>1</formula>
    </cfRule>
  </conditionalFormatting>
  <conditionalFormatting sqref="R148:R153">
    <cfRule type="cellIs" dxfId="18423" priority="2123" operator="greaterThan">
      <formula>1</formula>
    </cfRule>
    <cfRule type="cellIs" dxfId="18422" priority="2124" operator="lessThan">
      <formula>0.8</formula>
    </cfRule>
  </conditionalFormatting>
  <conditionalFormatting sqref="P148:P153">
    <cfRule type="cellIs" dxfId="18421" priority="2122" operator="greaterThan">
      <formula>0</formula>
    </cfRule>
  </conditionalFormatting>
  <conditionalFormatting sqref="Q148:Q153">
    <cfRule type="cellIs" dxfId="18420" priority="2121" operator="lessThan">
      <formula>0</formula>
    </cfRule>
  </conditionalFormatting>
  <conditionalFormatting sqref="R148:R153">
    <cfRule type="cellIs" dxfId="18419" priority="2119" operator="lessThan">
      <formula>0.8</formula>
    </cfRule>
    <cfRule type="cellIs" dxfId="18418" priority="2120" operator="greaterThan">
      <formula>1</formula>
    </cfRule>
  </conditionalFormatting>
  <conditionalFormatting sqref="R148:R153">
    <cfRule type="cellIs" dxfId="18417" priority="2117" operator="greaterThan">
      <formula>1</formula>
    </cfRule>
    <cfRule type="cellIs" dxfId="18416" priority="2118" operator="lessThan">
      <formula>0.8</formula>
    </cfRule>
  </conditionalFormatting>
  <conditionalFormatting sqref="P148:P153">
    <cfRule type="cellIs" dxfId="18415" priority="2116" operator="greaterThan">
      <formula>0</formula>
    </cfRule>
  </conditionalFormatting>
  <conditionalFormatting sqref="Q148:Q153">
    <cfRule type="cellIs" dxfId="18414" priority="2115" operator="lessThan">
      <formula>0</formula>
    </cfRule>
  </conditionalFormatting>
  <conditionalFormatting sqref="R148:R153">
    <cfRule type="cellIs" dxfId="18413" priority="2113" operator="lessThan">
      <formula>0.8</formula>
    </cfRule>
    <cfRule type="cellIs" dxfId="18412" priority="2114" operator="greaterThan">
      <formula>1</formula>
    </cfRule>
  </conditionalFormatting>
  <conditionalFormatting sqref="R148:R153">
    <cfRule type="cellIs" dxfId="18411" priority="2111" operator="greaterThan">
      <formula>1</formula>
    </cfRule>
    <cfRule type="cellIs" dxfId="18410" priority="2112" operator="lessThan">
      <formula>0.8</formula>
    </cfRule>
  </conditionalFormatting>
  <conditionalFormatting sqref="P148:P153">
    <cfRule type="cellIs" dxfId="18409" priority="2110" operator="greaterThan">
      <formula>0</formula>
    </cfRule>
  </conditionalFormatting>
  <conditionalFormatting sqref="Q148:Q153">
    <cfRule type="cellIs" dxfId="18408" priority="2109" operator="lessThan">
      <formula>0</formula>
    </cfRule>
  </conditionalFormatting>
  <conditionalFormatting sqref="R148:R153">
    <cfRule type="cellIs" dxfId="18407" priority="2107" operator="lessThan">
      <formula>0.8</formula>
    </cfRule>
    <cfRule type="cellIs" dxfId="18406" priority="2108" operator="greaterThan">
      <formula>1</formula>
    </cfRule>
  </conditionalFormatting>
  <conditionalFormatting sqref="R148:R153">
    <cfRule type="cellIs" dxfId="18405" priority="2105" operator="greaterThan">
      <formula>1</formula>
    </cfRule>
    <cfRule type="cellIs" dxfId="18404" priority="2106" operator="lessThan">
      <formula>0.8</formula>
    </cfRule>
  </conditionalFormatting>
  <conditionalFormatting sqref="P148:P153">
    <cfRule type="cellIs" dxfId="18403" priority="2104" operator="greaterThan">
      <formula>0</formula>
    </cfRule>
  </conditionalFormatting>
  <conditionalFormatting sqref="Q148:Q153">
    <cfRule type="cellIs" dxfId="18402" priority="2103" operator="lessThan">
      <formula>0</formula>
    </cfRule>
  </conditionalFormatting>
  <conditionalFormatting sqref="R148:R153">
    <cfRule type="cellIs" dxfId="18401" priority="2101" operator="lessThan">
      <formula>0.8</formula>
    </cfRule>
    <cfRule type="cellIs" dxfId="18400" priority="2102" operator="greaterThan">
      <formula>1</formula>
    </cfRule>
  </conditionalFormatting>
  <conditionalFormatting sqref="R148:R153">
    <cfRule type="cellIs" dxfId="18399" priority="2099" operator="greaterThan">
      <formula>1</formula>
    </cfRule>
    <cfRule type="cellIs" dxfId="18398" priority="2100" operator="lessThan">
      <formula>0.8</formula>
    </cfRule>
  </conditionalFormatting>
  <conditionalFormatting sqref="P148:P153">
    <cfRule type="cellIs" dxfId="18397" priority="2098" operator="greaterThan">
      <formula>0</formula>
    </cfRule>
  </conditionalFormatting>
  <conditionalFormatting sqref="P148:P153">
    <cfRule type="cellIs" dxfId="18396" priority="2092" operator="greaterThan">
      <formula>0</formula>
    </cfRule>
  </conditionalFormatting>
  <conditionalFormatting sqref="Q148:Q153">
    <cfRule type="cellIs" dxfId="18395" priority="2097" operator="lessThan">
      <formula>0</formula>
    </cfRule>
  </conditionalFormatting>
  <conditionalFormatting sqref="R148:R153">
    <cfRule type="cellIs" dxfId="18394" priority="2095" operator="lessThan">
      <formula>0.8</formula>
    </cfRule>
    <cfRule type="cellIs" dxfId="18393" priority="2096" operator="greaterThan">
      <formula>1</formula>
    </cfRule>
  </conditionalFormatting>
  <conditionalFormatting sqref="R148:R153">
    <cfRule type="cellIs" dxfId="18392" priority="2093" operator="greaterThan">
      <formula>1</formula>
    </cfRule>
    <cfRule type="cellIs" dxfId="18391" priority="2094" operator="lessThan">
      <formula>0.8</formula>
    </cfRule>
  </conditionalFormatting>
  <conditionalFormatting sqref="P148:P153">
    <cfRule type="cellIs" dxfId="18390" priority="2086" operator="greaterThan">
      <formula>0</formula>
    </cfRule>
  </conditionalFormatting>
  <conditionalFormatting sqref="Q148:Q153">
    <cfRule type="cellIs" dxfId="18389" priority="2091" operator="lessThan">
      <formula>0</formula>
    </cfRule>
  </conditionalFormatting>
  <conditionalFormatting sqref="R148:R153">
    <cfRule type="cellIs" dxfId="18388" priority="2089" operator="lessThan">
      <formula>0.8</formula>
    </cfRule>
    <cfRule type="cellIs" dxfId="18387" priority="2090" operator="greaterThan">
      <formula>1</formula>
    </cfRule>
  </conditionalFormatting>
  <conditionalFormatting sqref="R148:R153">
    <cfRule type="cellIs" dxfId="18386" priority="2087" operator="greaterThan">
      <formula>1</formula>
    </cfRule>
    <cfRule type="cellIs" dxfId="18385" priority="2088" operator="lessThan">
      <formula>0.8</formula>
    </cfRule>
  </conditionalFormatting>
  <conditionalFormatting sqref="R148:R153">
    <cfRule type="cellIs" dxfId="18384" priority="2083" operator="lessThan">
      <formula>0.8</formula>
    </cfRule>
    <cfRule type="cellIs" dxfId="18383" priority="2084" operator="greaterThan">
      <formula>1</formula>
    </cfRule>
  </conditionalFormatting>
  <conditionalFormatting sqref="R148:R153">
    <cfRule type="cellIs" dxfId="18382" priority="2081" operator="greaterThan">
      <formula>1</formula>
    </cfRule>
    <cfRule type="cellIs" dxfId="18381" priority="2082" operator="lessThan">
      <formula>0.8</formula>
    </cfRule>
  </conditionalFormatting>
  <conditionalFormatting sqref="P148:P153">
    <cfRule type="cellIs" dxfId="18380" priority="2080" operator="greaterThan">
      <formula>0</formula>
    </cfRule>
  </conditionalFormatting>
  <conditionalFormatting sqref="Q148:Q153">
    <cfRule type="cellIs" dxfId="18379" priority="2085" operator="lessThan">
      <formula>0</formula>
    </cfRule>
  </conditionalFormatting>
  <conditionalFormatting sqref="Q148:Q153">
    <cfRule type="cellIs" dxfId="18378" priority="2074" operator="lessThan">
      <formula>0</formula>
    </cfRule>
  </conditionalFormatting>
  <conditionalFormatting sqref="P148:P153">
    <cfRule type="cellIs" dxfId="18377" priority="2075" operator="greaterThan">
      <formula>0</formula>
    </cfRule>
  </conditionalFormatting>
  <conditionalFormatting sqref="R148:R153">
    <cfRule type="cellIs" dxfId="18376" priority="2078" operator="lessThan">
      <formula>0.8</formula>
    </cfRule>
    <cfRule type="cellIs" dxfId="18375" priority="2079" operator="greaterThan">
      <formula>1</formula>
    </cfRule>
  </conditionalFormatting>
  <conditionalFormatting sqref="R148:R153">
    <cfRule type="cellIs" dxfId="18374" priority="2076" operator="greaterThan">
      <formula>1</formula>
    </cfRule>
    <cfRule type="cellIs" dxfId="18373" priority="2077" operator="lessThan">
      <formula>0.8</formula>
    </cfRule>
  </conditionalFormatting>
  <conditionalFormatting sqref="Q148:Q153">
    <cfRule type="cellIs" dxfId="18372" priority="2068" operator="lessThan">
      <formula>0</formula>
    </cfRule>
  </conditionalFormatting>
  <conditionalFormatting sqref="R148:R153">
    <cfRule type="cellIs" dxfId="18371" priority="2072" operator="lessThan">
      <formula>0.8</formula>
    </cfRule>
    <cfRule type="cellIs" dxfId="18370" priority="2073" operator="greaterThan">
      <formula>1</formula>
    </cfRule>
  </conditionalFormatting>
  <conditionalFormatting sqref="R148:R153">
    <cfRule type="cellIs" dxfId="18369" priority="2070" operator="greaterThan">
      <formula>1</formula>
    </cfRule>
    <cfRule type="cellIs" dxfId="18368" priority="2071" operator="lessThan">
      <formula>0.8</formula>
    </cfRule>
  </conditionalFormatting>
  <conditionalFormatting sqref="P148:P153">
    <cfRule type="cellIs" dxfId="18367" priority="2069" operator="greaterThan">
      <formula>0</formula>
    </cfRule>
  </conditionalFormatting>
  <conditionalFormatting sqref="Q148:Q153">
    <cfRule type="cellIs" dxfId="18366" priority="2067" operator="lessThan">
      <formula>0</formula>
    </cfRule>
  </conditionalFormatting>
  <conditionalFormatting sqref="R148:R153">
    <cfRule type="cellIs" dxfId="18365" priority="2065" operator="lessThan">
      <formula>0.8</formula>
    </cfRule>
    <cfRule type="cellIs" dxfId="18364" priority="2066" operator="greaterThan">
      <formula>1</formula>
    </cfRule>
  </conditionalFormatting>
  <conditionalFormatting sqref="R148:R153">
    <cfRule type="cellIs" dxfId="18363" priority="2063" operator="greaterThan">
      <formula>1</formula>
    </cfRule>
    <cfRule type="cellIs" dxfId="18362" priority="2064" operator="lessThan">
      <formula>0.8</formula>
    </cfRule>
  </conditionalFormatting>
  <conditionalFormatting sqref="P148:P153">
    <cfRule type="cellIs" dxfId="18361" priority="2062" operator="greaterThan">
      <formula>0</formula>
    </cfRule>
  </conditionalFormatting>
  <conditionalFormatting sqref="Q148:Q153">
    <cfRule type="cellIs" dxfId="18360" priority="2061" operator="lessThan">
      <formula>0</formula>
    </cfRule>
  </conditionalFormatting>
  <conditionalFormatting sqref="R148:R153">
    <cfRule type="cellIs" dxfId="18359" priority="2059" operator="lessThan">
      <formula>0.8</formula>
    </cfRule>
    <cfRule type="cellIs" dxfId="18358" priority="2060" operator="greaterThan">
      <formula>1</formula>
    </cfRule>
  </conditionalFormatting>
  <conditionalFormatting sqref="R148:R153">
    <cfRule type="cellIs" dxfId="18357" priority="2057" operator="greaterThan">
      <formula>1</formula>
    </cfRule>
    <cfRule type="cellIs" dxfId="18356" priority="2058" operator="lessThan">
      <formula>0.8</formula>
    </cfRule>
  </conditionalFormatting>
  <conditionalFormatting sqref="P148:P153">
    <cfRule type="cellIs" dxfId="18355" priority="2056" operator="greaterThan">
      <formula>0</formula>
    </cfRule>
  </conditionalFormatting>
  <conditionalFormatting sqref="Q148:Q153">
    <cfRule type="cellIs" dxfId="18354" priority="2055" operator="lessThan">
      <formula>0</formula>
    </cfRule>
  </conditionalFormatting>
  <conditionalFormatting sqref="R148:R153">
    <cfRule type="cellIs" dxfId="18353" priority="2053" operator="lessThan">
      <formula>0.8</formula>
    </cfRule>
    <cfRule type="cellIs" dxfId="18352" priority="2054" operator="greaterThan">
      <formula>1</formula>
    </cfRule>
  </conditionalFormatting>
  <conditionalFormatting sqref="R148:R153">
    <cfRule type="cellIs" dxfId="18351" priority="2051" operator="greaterThan">
      <formula>1</formula>
    </cfRule>
    <cfRule type="cellIs" dxfId="18350" priority="2052" operator="lessThan">
      <formula>0.8</formula>
    </cfRule>
  </conditionalFormatting>
  <conditionalFormatting sqref="P148:P153">
    <cfRule type="cellIs" dxfId="18349" priority="2050" operator="greaterThan">
      <formula>0</formula>
    </cfRule>
  </conditionalFormatting>
  <conditionalFormatting sqref="Q148:Q153">
    <cfRule type="cellIs" dxfId="18348" priority="2049" operator="lessThan">
      <formula>0</formula>
    </cfRule>
  </conditionalFormatting>
  <conditionalFormatting sqref="R148:R153">
    <cfRule type="cellIs" dxfId="18347" priority="2047" operator="lessThan">
      <formula>0.8</formula>
    </cfRule>
    <cfRule type="cellIs" dxfId="18346" priority="2048" operator="greaterThan">
      <formula>1</formula>
    </cfRule>
  </conditionalFormatting>
  <conditionalFormatting sqref="R148:R153">
    <cfRule type="cellIs" dxfId="18345" priority="2045" operator="greaterThan">
      <formula>1</formula>
    </cfRule>
    <cfRule type="cellIs" dxfId="18344" priority="2046" operator="lessThan">
      <formula>0.8</formula>
    </cfRule>
  </conditionalFormatting>
  <conditionalFormatting sqref="P148:P153">
    <cfRule type="cellIs" dxfId="18343" priority="2044" operator="greaterThan">
      <formula>0</formula>
    </cfRule>
  </conditionalFormatting>
  <conditionalFormatting sqref="Q124 Q127 Q130">
    <cfRule type="cellIs" dxfId="18342" priority="2038" operator="lessThan">
      <formula>0</formula>
    </cfRule>
  </conditionalFormatting>
  <conditionalFormatting sqref="P124 P127 P130">
    <cfRule type="cellIs" dxfId="18341" priority="2039" operator="greaterThan">
      <formula>0</formula>
    </cfRule>
  </conditionalFormatting>
  <conditionalFormatting sqref="R124 R127 R130">
    <cfRule type="cellIs" dxfId="18340" priority="2042" operator="lessThan">
      <formula>0.8</formula>
    </cfRule>
    <cfRule type="cellIs" dxfId="18339" priority="2043" operator="greaterThan">
      <formula>1</formula>
    </cfRule>
  </conditionalFormatting>
  <conditionalFormatting sqref="R124 R127 R130">
    <cfRule type="cellIs" dxfId="18338" priority="2040" operator="greaterThan">
      <formula>1</formula>
    </cfRule>
    <cfRule type="cellIs" dxfId="18337" priority="2041" operator="lessThan">
      <formula>0.8</formula>
    </cfRule>
  </conditionalFormatting>
  <conditionalFormatting sqref="Q124 Q127 Q130">
    <cfRule type="cellIs" dxfId="18336" priority="2032" operator="lessThan">
      <formula>0</formula>
    </cfRule>
  </conditionalFormatting>
  <conditionalFormatting sqref="R124 R127 R130">
    <cfRule type="cellIs" dxfId="18335" priority="2036" operator="lessThan">
      <formula>0.8</formula>
    </cfRule>
    <cfRule type="cellIs" dxfId="18334" priority="2037" operator="greaterThan">
      <formula>1</formula>
    </cfRule>
  </conditionalFormatting>
  <conditionalFormatting sqref="R124 R127 R130">
    <cfRule type="cellIs" dxfId="18333" priority="2034" operator="greaterThan">
      <formula>1</formula>
    </cfRule>
    <cfRule type="cellIs" dxfId="18332" priority="2035" operator="lessThan">
      <formula>0.8</formula>
    </cfRule>
  </conditionalFormatting>
  <conditionalFormatting sqref="P124 P127 P130">
    <cfRule type="cellIs" dxfId="18331" priority="2033" operator="greaterThan">
      <formula>0</formula>
    </cfRule>
  </conditionalFormatting>
  <conditionalFormatting sqref="Q124 Q127 Q130">
    <cfRule type="cellIs" dxfId="18330" priority="2031" operator="lessThan">
      <formula>0</formula>
    </cfRule>
  </conditionalFormatting>
  <conditionalFormatting sqref="R124 R127 R130">
    <cfRule type="cellIs" dxfId="18329" priority="2029" operator="lessThan">
      <formula>0.8</formula>
    </cfRule>
    <cfRule type="cellIs" dxfId="18328" priority="2030" operator="greaterThan">
      <formula>1</formula>
    </cfRule>
  </conditionalFormatting>
  <conditionalFormatting sqref="R124 R127 R130">
    <cfRule type="cellIs" dxfId="18327" priority="2027" operator="greaterThan">
      <formula>1</formula>
    </cfRule>
    <cfRule type="cellIs" dxfId="18326" priority="2028" operator="lessThan">
      <formula>0.8</formula>
    </cfRule>
  </conditionalFormatting>
  <conditionalFormatting sqref="P124 P127 P130">
    <cfRule type="cellIs" dxfId="18325" priority="2026" operator="greaterThan">
      <formula>0</formula>
    </cfRule>
  </conditionalFormatting>
  <conditionalFormatting sqref="Q124 Q127 Q130">
    <cfRule type="cellIs" dxfId="18324" priority="2025" operator="lessThan">
      <formula>0</formula>
    </cfRule>
  </conditionalFormatting>
  <conditionalFormatting sqref="R124 R127 R130">
    <cfRule type="cellIs" dxfId="18323" priority="2023" operator="lessThan">
      <formula>0.8</formula>
    </cfRule>
    <cfRule type="cellIs" dxfId="18322" priority="2024" operator="greaterThan">
      <formula>1</formula>
    </cfRule>
  </conditionalFormatting>
  <conditionalFormatting sqref="R124 R127 R130">
    <cfRule type="cellIs" dxfId="18321" priority="2021" operator="greaterThan">
      <formula>1</formula>
    </cfRule>
    <cfRule type="cellIs" dxfId="18320" priority="2022" operator="lessThan">
      <formula>0.8</formula>
    </cfRule>
  </conditionalFormatting>
  <conditionalFormatting sqref="P124 P127 P130">
    <cfRule type="cellIs" dxfId="18319" priority="2020" operator="greaterThan">
      <formula>0</formula>
    </cfRule>
  </conditionalFormatting>
  <conditionalFormatting sqref="Q124 Q127 Q130">
    <cfRule type="cellIs" dxfId="18318" priority="2019" operator="lessThan">
      <formula>0</formula>
    </cfRule>
  </conditionalFormatting>
  <conditionalFormatting sqref="R124 R127 R130">
    <cfRule type="cellIs" dxfId="18317" priority="2017" operator="lessThan">
      <formula>0.8</formula>
    </cfRule>
    <cfRule type="cellIs" dxfId="18316" priority="2018" operator="greaterThan">
      <formula>1</formula>
    </cfRule>
  </conditionalFormatting>
  <conditionalFormatting sqref="R124 R127 R130">
    <cfRule type="cellIs" dxfId="18315" priority="2015" operator="greaterThan">
      <formula>1</formula>
    </cfRule>
    <cfRule type="cellIs" dxfId="18314" priority="2016" operator="lessThan">
      <formula>0.8</formula>
    </cfRule>
  </conditionalFormatting>
  <conditionalFormatting sqref="P124 P127 P130">
    <cfRule type="cellIs" dxfId="18313" priority="2014" operator="greaterThan">
      <formula>0</formula>
    </cfRule>
  </conditionalFormatting>
  <conditionalFormatting sqref="Q124 Q127 Q130">
    <cfRule type="cellIs" dxfId="18312" priority="2013" operator="lessThan">
      <formula>0</formula>
    </cfRule>
  </conditionalFormatting>
  <conditionalFormatting sqref="R124 R127 R130">
    <cfRule type="cellIs" dxfId="18311" priority="2011" operator="lessThan">
      <formula>0.8</formula>
    </cfRule>
    <cfRule type="cellIs" dxfId="18310" priority="2012" operator="greaterThan">
      <formula>1</formula>
    </cfRule>
  </conditionalFormatting>
  <conditionalFormatting sqref="R124 R127 R130">
    <cfRule type="cellIs" dxfId="18309" priority="2009" operator="greaterThan">
      <formula>1</formula>
    </cfRule>
    <cfRule type="cellIs" dxfId="18308" priority="2010" operator="lessThan">
      <formula>0.8</formula>
    </cfRule>
  </conditionalFormatting>
  <conditionalFormatting sqref="P124 P127 P130">
    <cfRule type="cellIs" dxfId="18307" priority="2008" operator="greaterThan">
      <formula>0</formula>
    </cfRule>
  </conditionalFormatting>
  <conditionalFormatting sqref="Q124 Q127 Q130">
    <cfRule type="cellIs" dxfId="18306" priority="2007" operator="lessThan">
      <formula>0</formula>
    </cfRule>
  </conditionalFormatting>
  <conditionalFormatting sqref="R124 R127 R130">
    <cfRule type="cellIs" dxfId="18305" priority="2005" operator="lessThan">
      <formula>0.8</formula>
    </cfRule>
    <cfRule type="cellIs" dxfId="18304" priority="2006" operator="greaterThan">
      <formula>1</formula>
    </cfRule>
  </conditionalFormatting>
  <conditionalFormatting sqref="R124 R127 R130">
    <cfRule type="cellIs" dxfId="18303" priority="2003" operator="greaterThan">
      <formula>1</formula>
    </cfRule>
    <cfRule type="cellIs" dxfId="18302" priority="2004" operator="lessThan">
      <formula>0.8</formula>
    </cfRule>
  </conditionalFormatting>
  <conditionalFormatting sqref="P124 P127 P130">
    <cfRule type="cellIs" dxfId="18301" priority="2002" operator="greaterThan">
      <formula>0</formula>
    </cfRule>
  </conditionalFormatting>
  <conditionalFormatting sqref="Q124 Q127 Q130">
    <cfRule type="cellIs" dxfId="18300" priority="2001" operator="lessThan">
      <formula>0</formula>
    </cfRule>
  </conditionalFormatting>
  <conditionalFormatting sqref="R124 R127 R130">
    <cfRule type="cellIs" dxfId="18299" priority="1999" operator="lessThan">
      <formula>0.8</formula>
    </cfRule>
    <cfRule type="cellIs" dxfId="18298" priority="2000" operator="greaterThan">
      <formula>1</formula>
    </cfRule>
  </conditionalFormatting>
  <conditionalFormatting sqref="R124 R127 R130">
    <cfRule type="cellIs" dxfId="18297" priority="1997" operator="greaterThan">
      <formula>1</formula>
    </cfRule>
    <cfRule type="cellIs" dxfId="18296" priority="1998" operator="lessThan">
      <formula>0.8</formula>
    </cfRule>
  </conditionalFormatting>
  <conditionalFormatting sqref="P124 P127 P130">
    <cfRule type="cellIs" dxfId="18295" priority="1996" operator="greaterThan">
      <formula>0</formula>
    </cfRule>
  </conditionalFormatting>
  <conditionalFormatting sqref="Q124 Q127 Q130">
    <cfRule type="cellIs" dxfId="18294" priority="1995" operator="lessThan">
      <formula>0</formula>
    </cfRule>
  </conditionalFormatting>
  <conditionalFormatting sqref="R124 R127 R130">
    <cfRule type="cellIs" dxfId="18293" priority="1993" operator="lessThan">
      <formula>0.8</formula>
    </cfRule>
    <cfRule type="cellIs" dxfId="18292" priority="1994" operator="greaterThan">
      <formula>1</formula>
    </cfRule>
  </conditionalFormatting>
  <conditionalFormatting sqref="R124 R127 R130">
    <cfRule type="cellIs" dxfId="18291" priority="1991" operator="greaterThan">
      <formula>1</formula>
    </cfRule>
    <cfRule type="cellIs" dxfId="18290" priority="1992" operator="lessThan">
      <formula>0.8</formula>
    </cfRule>
  </conditionalFormatting>
  <conditionalFormatting sqref="P124 P127 P130">
    <cfRule type="cellIs" dxfId="18289" priority="1990" operator="greaterThan">
      <formula>0</formula>
    </cfRule>
  </conditionalFormatting>
  <conditionalFormatting sqref="P124 P127 P130">
    <cfRule type="cellIs" dxfId="18288" priority="1984" operator="greaterThan">
      <formula>0</formula>
    </cfRule>
  </conditionalFormatting>
  <conditionalFormatting sqref="Q124 Q127 Q130">
    <cfRule type="cellIs" dxfId="18287" priority="1989" operator="lessThan">
      <formula>0</formula>
    </cfRule>
  </conditionalFormatting>
  <conditionalFormatting sqref="R124 R127 R130">
    <cfRule type="cellIs" dxfId="18286" priority="1987" operator="lessThan">
      <formula>0.8</formula>
    </cfRule>
    <cfRule type="cellIs" dxfId="18285" priority="1988" operator="greaterThan">
      <formula>1</formula>
    </cfRule>
  </conditionalFormatting>
  <conditionalFormatting sqref="R124 R127 R130">
    <cfRule type="cellIs" dxfId="18284" priority="1985" operator="greaterThan">
      <formula>1</formula>
    </cfRule>
    <cfRule type="cellIs" dxfId="18283" priority="1986" operator="lessThan">
      <formula>0.8</formula>
    </cfRule>
  </conditionalFormatting>
  <conditionalFormatting sqref="P124 P127 P130">
    <cfRule type="cellIs" dxfId="18282" priority="1978" operator="greaterThan">
      <formula>0</formula>
    </cfRule>
  </conditionalFormatting>
  <conditionalFormatting sqref="Q124 Q127 Q130">
    <cfRule type="cellIs" dxfId="18281" priority="1983" operator="lessThan">
      <formula>0</formula>
    </cfRule>
  </conditionalFormatting>
  <conditionalFormatting sqref="R124 R127 R130">
    <cfRule type="cellIs" dxfId="18280" priority="1981" operator="lessThan">
      <formula>0.8</formula>
    </cfRule>
    <cfRule type="cellIs" dxfId="18279" priority="1982" operator="greaterThan">
      <formula>1</formula>
    </cfRule>
  </conditionalFormatting>
  <conditionalFormatting sqref="R124 R127 R130">
    <cfRule type="cellIs" dxfId="18278" priority="1979" operator="greaterThan">
      <formula>1</formula>
    </cfRule>
    <cfRule type="cellIs" dxfId="18277" priority="1980" operator="lessThan">
      <formula>0.8</formula>
    </cfRule>
  </conditionalFormatting>
  <conditionalFormatting sqref="R124 R127 R130">
    <cfRule type="cellIs" dxfId="18276" priority="1975" operator="lessThan">
      <formula>0.8</formula>
    </cfRule>
    <cfRule type="cellIs" dxfId="18275" priority="1976" operator="greaterThan">
      <formula>1</formula>
    </cfRule>
  </conditionalFormatting>
  <conditionalFormatting sqref="R124 R127 R130">
    <cfRule type="cellIs" dxfId="18274" priority="1973" operator="greaterThan">
      <formula>1</formula>
    </cfRule>
    <cfRule type="cellIs" dxfId="18273" priority="1974" operator="lessThan">
      <formula>0.8</formula>
    </cfRule>
  </conditionalFormatting>
  <conditionalFormatting sqref="P124 P127 P130">
    <cfRule type="cellIs" dxfId="18272" priority="1972" operator="greaterThan">
      <formula>0</formula>
    </cfRule>
  </conditionalFormatting>
  <conditionalFormatting sqref="Q124 Q127 Q130">
    <cfRule type="cellIs" dxfId="18271" priority="1977" operator="lessThan">
      <formula>0</formula>
    </cfRule>
  </conditionalFormatting>
  <conditionalFormatting sqref="Q124 Q127 Q130">
    <cfRule type="cellIs" dxfId="18270" priority="1971" operator="lessThan">
      <formula>0</formula>
    </cfRule>
  </conditionalFormatting>
  <conditionalFormatting sqref="R124 R127 R130">
    <cfRule type="cellIs" dxfId="18269" priority="1969" operator="lessThan">
      <formula>0.8</formula>
    </cfRule>
    <cfRule type="cellIs" dxfId="18268" priority="1970" operator="greaterThan">
      <formula>1</formula>
    </cfRule>
  </conditionalFormatting>
  <conditionalFormatting sqref="R124 R127 R130">
    <cfRule type="cellIs" dxfId="18267" priority="1967" operator="greaterThan">
      <formula>1</formula>
    </cfRule>
    <cfRule type="cellIs" dxfId="18266" priority="1968" operator="lessThan">
      <formula>0.8</formula>
    </cfRule>
  </conditionalFormatting>
  <conditionalFormatting sqref="P124 P127 P130">
    <cfRule type="cellIs" dxfId="18265" priority="1966" operator="greaterThan">
      <formula>0</formula>
    </cfRule>
  </conditionalFormatting>
  <conditionalFormatting sqref="P124 P127 P130">
    <cfRule type="cellIs" dxfId="18264" priority="1960" operator="greaterThan">
      <formula>0</formula>
    </cfRule>
  </conditionalFormatting>
  <conditionalFormatting sqref="Q124 Q127 Q130">
    <cfRule type="cellIs" dxfId="18263" priority="1965" operator="lessThan">
      <formula>0</formula>
    </cfRule>
  </conditionalFormatting>
  <conditionalFormatting sqref="R124 R127 R130">
    <cfRule type="cellIs" dxfId="18262" priority="1963" operator="lessThan">
      <formula>0.8</formula>
    </cfRule>
    <cfRule type="cellIs" dxfId="18261" priority="1964" operator="greaterThan">
      <formula>1</formula>
    </cfRule>
  </conditionalFormatting>
  <conditionalFormatting sqref="R124 R127 R130">
    <cfRule type="cellIs" dxfId="18260" priority="1961" operator="greaterThan">
      <formula>1</formula>
    </cfRule>
    <cfRule type="cellIs" dxfId="18259" priority="1962" operator="lessThan">
      <formula>0.8</formula>
    </cfRule>
  </conditionalFormatting>
  <conditionalFormatting sqref="P124 P127 P130">
    <cfRule type="cellIs" dxfId="18258" priority="1954" operator="greaterThan">
      <formula>0</formula>
    </cfRule>
  </conditionalFormatting>
  <conditionalFormatting sqref="Q124 Q127 Q130">
    <cfRule type="cellIs" dxfId="18257" priority="1959" operator="lessThan">
      <formula>0</formula>
    </cfRule>
  </conditionalFormatting>
  <conditionalFormatting sqref="R124 R127 R130">
    <cfRule type="cellIs" dxfId="18256" priority="1957" operator="lessThan">
      <formula>0.8</formula>
    </cfRule>
    <cfRule type="cellIs" dxfId="18255" priority="1958" operator="greaterThan">
      <formula>1</formula>
    </cfRule>
  </conditionalFormatting>
  <conditionalFormatting sqref="R124 R127 R130">
    <cfRule type="cellIs" dxfId="18254" priority="1955" operator="greaterThan">
      <formula>1</formula>
    </cfRule>
    <cfRule type="cellIs" dxfId="18253" priority="1956" operator="lessThan">
      <formula>0.8</formula>
    </cfRule>
  </conditionalFormatting>
  <conditionalFormatting sqref="R124 R127 R130">
    <cfRule type="cellIs" dxfId="18252" priority="1951" operator="lessThan">
      <formula>0.8</formula>
    </cfRule>
    <cfRule type="cellIs" dxfId="18251" priority="1952" operator="greaterThan">
      <formula>1</formula>
    </cfRule>
  </conditionalFormatting>
  <conditionalFormatting sqref="R124 R127 R130">
    <cfRule type="cellIs" dxfId="18250" priority="1949" operator="greaterThan">
      <formula>1</formula>
    </cfRule>
    <cfRule type="cellIs" dxfId="18249" priority="1950" operator="lessThan">
      <formula>0.8</formula>
    </cfRule>
  </conditionalFormatting>
  <conditionalFormatting sqref="P124 P127 P130">
    <cfRule type="cellIs" dxfId="18248" priority="1948" operator="greaterThan">
      <formula>0</formula>
    </cfRule>
  </conditionalFormatting>
  <conditionalFormatting sqref="Q124 Q127 Q130">
    <cfRule type="cellIs" dxfId="18247" priority="1953" operator="lessThan">
      <formula>0</formula>
    </cfRule>
  </conditionalFormatting>
  <conditionalFormatting sqref="P124 P127 P130">
    <cfRule type="cellIs" dxfId="18246" priority="1942" operator="greaterThan">
      <formula>0</formula>
    </cfRule>
  </conditionalFormatting>
  <conditionalFormatting sqref="Q124 Q127 Q130">
    <cfRule type="cellIs" dxfId="18245" priority="1947" operator="lessThan">
      <formula>0</formula>
    </cfRule>
  </conditionalFormatting>
  <conditionalFormatting sqref="R124 R127 R130">
    <cfRule type="cellIs" dxfId="18244" priority="1945" operator="lessThan">
      <formula>0.8</formula>
    </cfRule>
    <cfRule type="cellIs" dxfId="18243" priority="1946" operator="greaterThan">
      <formula>1</formula>
    </cfRule>
  </conditionalFormatting>
  <conditionalFormatting sqref="R124 R127 R130">
    <cfRule type="cellIs" dxfId="18242" priority="1943" operator="greaterThan">
      <formula>1</formula>
    </cfRule>
    <cfRule type="cellIs" dxfId="18241" priority="1944" operator="lessThan">
      <formula>0.8</formula>
    </cfRule>
  </conditionalFormatting>
  <conditionalFormatting sqref="R124 R127 R130">
    <cfRule type="cellIs" dxfId="18240" priority="1939" operator="lessThan">
      <formula>0.8</formula>
    </cfRule>
    <cfRule type="cellIs" dxfId="18239" priority="1940" operator="greaterThan">
      <formula>1</formula>
    </cfRule>
  </conditionalFormatting>
  <conditionalFormatting sqref="R124 R127 R130">
    <cfRule type="cellIs" dxfId="18238" priority="1937" operator="greaterThan">
      <formula>1</formula>
    </cfRule>
    <cfRule type="cellIs" dxfId="18237" priority="1938" operator="lessThan">
      <formula>0.8</formula>
    </cfRule>
  </conditionalFormatting>
  <conditionalFormatting sqref="P124 P127 P130">
    <cfRule type="cellIs" dxfId="18236" priority="1936" operator="greaterThan">
      <formula>0</formula>
    </cfRule>
  </conditionalFormatting>
  <conditionalFormatting sqref="Q124 Q127 Q130">
    <cfRule type="cellIs" dxfId="18235" priority="1941" operator="lessThan">
      <formula>0</formula>
    </cfRule>
  </conditionalFormatting>
  <conditionalFormatting sqref="R124 R127 R130">
    <cfRule type="cellIs" dxfId="18234" priority="1933" operator="lessThan">
      <formula>0.8</formula>
    </cfRule>
    <cfRule type="cellIs" dxfId="18233" priority="1934" operator="greaterThan">
      <formula>1</formula>
    </cfRule>
  </conditionalFormatting>
  <conditionalFormatting sqref="R124 R127 R130">
    <cfRule type="cellIs" dxfId="18232" priority="1931" operator="greaterThan">
      <formula>1</formula>
    </cfRule>
    <cfRule type="cellIs" dxfId="18231" priority="1932" operator="lessThan">
      <formula>0.8</formula>
    </cfRule>
  </conditionalFormatting>
  <conditionalFormatting sqref="P124 P127 P130">
    <cfRule type="cellIs" dxfId="18230" priority="1930" operator="greaterThan">
      <formula>0</formula>
    </cfRule>
  </conditionalFormatting>
  <conditionalFormatting sqref="Q124 Q127 Q130">
    <cfRule type="cellIs" dxfId="18229" priority="1935" operator="lessThan">
      <formula>0</formula>
    </cfRule>
  </conditionalFormatting>
  <conditionalFormatting sqref="Q124 Q127 Q130">
    <cfRule type="cellIs" dxfId="18228" priority="1929" operator="lessThan">
      <formula>0</formula>
    </cfRule>
  </conditionalFormatting>
  <conditionalFormatting sqref="R124 R127 R130">
    <cfRule type="cellIs" dxfId="18227" priority="1927" operator="lessThan">
      <formula>0.8</formula>
    </cfRule>
    <cfRule type="cellIs" dxfId="18226" priority="1928" operator="greaterThan">
      <formula>1</formula>
    </cfRule>
  </conditionalFormatting>
  <conditionalFormatting sqref="R124 R127 R130">
    <cfRule type="cellIs" dxfId="18225" priority="1925" operator="greaterThan">
      <formula>1</formula>
    </cfRule>
    <cfRule type="cellIs" dxfId="18224" priority="1926" operator="lessThan">
      <formula>0.8</formula>
    </cfRule>
  </conditionalFormatting>
  <conditionalFormatting sqref="P124 P127 P130">
    <cfRule type="cellIs" dxfId="18223" priority="1924" operator="greaterThan">
      <formula>0</formula>
    </cfRule>
  </conditionalFormatting>
  <conditionalFormatting sqref="Q124 Q127 Q130">
    <cfRule type="cellIs" dxfId="18222" priority="1918" operator="lessThan">
      <formula>0</formula>
    </cfRule>
  </conditionalFormatting>
  <conditionalFormatting sqref="R124 R127 R130">
    <cfRule type="cellIs" dxfId="18221" priority="1922" operator="lessThan">
      <formula>0.8</formula>
    </cfRule>
    <cfRule type="cellIs" dxfId="18220" priority="1923" operator="greaterThan">
      <formula>1</formula>
    </cfRule>
  </conditionalFormatting>
  <conditionalFormatting sqref="R124 R127 R130">
    <cfRule type="cellIs" dxfId="18219" priority="1920" operator="greaterThan">
      <formula>1</formula>
    </cfRule>
    <cfRule type="cellIs" dxfId="18218" priority="1921" operator="lessThan">
      <formula>0.8</formula>
    </cfRule>
  </conditionalFormatting>
  <conditionalFormatting sqref="P124 P127 P130">
    <cfRule type="cellIs" dxfId="18217" priority="1919" operator="greaterThan">
      <formula>0</formula>
    </cfRule>
  </conditionalFormatting>
  <conditionalFormatting sqref="Q124 Q127 Q130">
    <cfRule type="cellIs" dxfId="18216" priority="1917" operator="lessThan">
      <formula>0</formula>
    </cfRule>
  </conditionalFormatting>
  <conditionalFormatting sqref="R124 R127 R130">
    <cfRule type="cellIs" dxfId="18215" priority="1915" operator="lessThan">
      <formula>0.8</formula>
    </cfRule>
    <cfRule type="cellIs" dxfId="18214" priority="1916" operator="greaterThan">
      <formula>1</formula>
    </cfRule>
  </conditionalFormatting>
  <conditionalFormatting sqref="R124 R127 R130">
    <cfRule type="cellIs" dxfId="18213" priority="1913" operator="greaterThan">
      <formula>1</formula>
    </cfRule>
    <cfRule type="cellIs" dxfId="18212" priority="1914" operator="lessThan">
      <formula>0.8</formula>
    </cfRule>
  </conditionalFormatting>
  <conditionalFormatting sqref="P124 P127 P130">
    <cfRule type="cellIs" dxfId="18211" priority="1912" operator="greaterThan">
      <formula>0</formula>
    </cfRule>
  </conditionalFormatting>
  <conditionalFormatting sqref="Q124 Q127 Q130">
    <cfRule type="cellIs" dxfId="18210" priority="1911" operator="lessThan">
      <formula>0</formula>
    </cfRule>
  </conditionalFormatting>
  <conditionalFormatting sqref="R124 R127 R130">
    <cfRule type="cellIs" dxfId="18209" priority="1909" operator="lessThan">
      <formula>0.8</formula>
    </cfRule>
    <cfRule type="cellIs" dxfId="18208" priority="1910" operator="greaterThan">
      <formula>1</formula>
    </cfRule>
  </conditionalFormatting>
  <conditionalFormatting sqref="R124 R127 R130">
    <cfRule type="cellIs" dxfId="18207" priority="1907" operator="greaterThan">
      <formula>1</formula>
    </cfRule>
    <cfRule type="cellIs" dxfId="18206" priority="1908" operator="lessThan">
      <formula>0.8</formula>
    </cfRule>
  </conditionalFormatting>
  <conditionalFormatting sqref="P124 P127 P130">
    <cfRule type="cellIs" dxfId="18205" priority="1906" operator="greaterThan">
      <formula>0</formula>
    </cfRule>
  </conditionalFormatting>
  <conditionalFormatting sqref="Q124 Q127 Q130">
    <cfRule type="cellIs" dxfId="18204" priority="1905" operator="lessThan">
      <formula>0</formula>
    </cfRule>
  </conditionalFormatting>
  <conditionalFormatting sqref="R124 R127 R130">
    <cfRule type="cellIs" dxfId="18203" priority="1903" operator="lessThan">
      <formula>0.8</formula>
    </cfRule>
    <cfRule type="cellIs" dxfId="18202" priority="1904" operator="greaterThan">
      <formula>1</formula>
    </cfRule>
  </conditionalFormatting>
  <conditionalFormatting sqref="R124 R127 R130">
    <cfRule type="cellIs" dxfId="18201" priority="1901" operator="greaterThan">
      <formula>1</formula>
    </cfRule>
    <cfRule type="cellIs" dxfId="18200" priority="1902" operator="lessThan">
      <formula>0.8</formula>
    </cfRule>
  </conditionalFormatting>
  <conditionalFormatting sqref="P124 P127 P130">
    <cfRule type="cellIs" dxfId="18199" priority="1900" operator="greaterThan">
      <formula>0</formula>
    </cfRule>
  </conditionalFormatting>
  <conditionalFormatting sqref="Q124 Q127 Q130">
    <cfRule type="cellIs" dxfId="18198" priority="1899" operator="lessThan">
      <formula>0</formula>
    </cfRule>
  </conditionalFormatting>
  <conditionalFormatting sqref="R124 R127 R130">
    <cfRule type="cellIs" dxfId="18197" priority="1897" operator="lessThan">
      <formula>0.8</formula>
    </cfRule>
    <cfRule type="cellIs" dxfId="18196" priority="1898" operator="greaterThan">
      <formula>1</formula>
    </cfRule>
  </conditionalFormatting>
  <conditionalFormatting sqref="R124 R127 R130">
    <cfRule type="cellIs" dxfId="18195" priority="1895" operator="greaterThan">
      <formula>1</formula>
    </cfRule>
    <cfRule type="cellIs" dxfId="18194" priority="1896" operator="lessThan">
      <formula>0.8</formula>
    </cfRule>
  </conditionalFormatting>
  <conditionalFormatting sqref="P124 P127 P130">
    <cfRule type="cellIs" dxfId="18193" priority="1894" operator="greaterThan">
      <formula>0</formula>
    </cfRule>
  </conditionalFormatting>
  <conditionalFormatting sqref="Q124 Q127 Q130">
    <cfRule type="cellIs" dxfId="18192" priority="1893" operator="lessThan">
      <formula>0</formula>
    </cfRule>
  </conditionalFormatting>
  <conditionalFormatting sqref="R124 R127 R130">
    <cfRule type="cellIs" dxfId="18191" priority="1891" operator="lessThan">
      <formula>0.8</formula>
    </cfRule>
    <cfRule type="cellIs" dxfId="18190" priority="1892" operator="greaterThan">
      <formula>1</formula>
    </cfRule>
  </conditionalFormatting>
  <conditionalFormatting sqref="R124 R127 R130">
    <cfRule type="cellIs" dxfId="18189" priority="1889" operator="greaterThan">
      <formula>1</formula>
    </cfRule>
    <cfRule type="cellIs" dxfId="18188" priority="1890" operator="lessThan">
      <formula>0.8</formula>
    </cfRule>
  </conditionalFormatting>
  <conditionalFormatting sqref="P124 P127 P130">
    <cfRule type="cellIs" dxfId="18187" priority="1888" operator="greaterThan">
      <formula>0</formula>
    </cfRule>
  </conditionalFormatting>
  <conditionalFormatting sqref="P124 P127 P130">
    <cfRule type="cellIs" dxfId="18186" priority="1882" operator="greaterThan">
      <formula>0</formula>
    </cfRule>
  </conditionalFormatting>
  <conditionalFormatting sqref="Q124 Q127 Q130">
    <cfRule type="cellIs" dxfId="18185" priority="1887" operator="lessThan">
      <formula>0</formula>
    </cfRule>
  </conditionalFormatting>
  <conditionalFormatting sqref="R124 R127 R130">
    <cfRule type="cellIs" dxfId="18184" priority="1885" operator="lessThan">
      <formula>0.8</formula>
    </cfRule>
    <cfRule type="cellIs" dxfId="18183" priority="1886" operator="greaterThan">
      <formula>1</formula>
    </cfRule>
  </conditionalFormatting>
  <conditionalFormatting sqref="R124 R127 R130">
    <cfRule type="cellIs" dxfId="18182" priority="1883" operator="greaterThan">
      <formula>1</formula>
    </cfRule>
    <cfRule type="cellIs" dxfId="18181" priority="1884" operator="lessThan">
      <formula>0.8</formula>
    </cfRule>
  </conditionalFormatting>
  <conditionalFormatting sqref="P124 P127 P130">
    <cfRule type="cellIs" dxfId="18180" priority="1876" operator="greaterThan">
      <formula>0</formula>
    </cfRule>
  </conditionalFormatting>
  <conditionalFormatting sqref="Q124 Q127 Q130">
    <cfRule type="cellIs" dxfId="18179" priority="1881" operator="lessThan">
      <formula>0</formula>
    </cfRule>
  </conditionalFormatting>
  <conditionalFormatting sqref="R124 R127 R130">
    <cfRule type="cellIs" dxfId="18178" priority="1879" operator="lessThan">
      <formula>0.8</formula>
    </cfRule>
    <cfRule type="cellIs" dxfId="18177" priority="1880" operator="greaterThan">
      <formula>1</formula>
    </cfRule>
  </conditionalFormatting>
  <conditionalFormatting sqref="R124 R127 R130">
    <cfRule type="cellIs" dxfId="18176" priority="1877" operator="greaterThan">
      <formula>1</formula>
    </cfRule>
    <cfRule type="cellIs" dxfId="18175" priority="1878" operator="lessThan">
      <formula>0.8</formula>
    </cfRule>
  </conditionalFormatting>
  <conditionalFormatting sqref="R124 R127 R130">
    <cfRule type="cellIs" dxfId="18174" priority="1873" operator="lessThan">
      <formula>0.8</formula>
    </cfRule>
    <cfRule type="cellIs" dxfId="18173" priority="1874" operator="greaterThan">
      <formula>1</formula>
    </cfRule>
  </conditionalFormatting>
  <conditionalFormatting sqref="R124 R127 R130">
    <cfRule type="cellIs" dxfId="18172" priority="1871" operator="greaterThan">
      <formula>1</formula>
    </cfRule>
    <cfRule type="cellIs" dxfId="18171" priority="1872" operator="lessThan">
      <formula>0.8</formula>
    </cfRule>
  </conditionalFormatting>
  <conditionalFormatting sqref="P124 P127 P130">
    <cfRule type="cellIs" dxfId="18170" priority="1870" operator="greaterThan">
      <formula>0</formula>
    </cfRule>
  </conditionalFormatting>
  <conditionalFormatting sqref="Q124 Q127 Q130">
    <cfRule type="cellIs" dxfId="18169" priority="1875" operator="lessThan">
      <formula>0</formula>
    </cfRule>
  </conditionalFormatting>
  <conditionalFormatting sqref="Q5:Q14">
    <cfRule type="cellIs" dxfId="18168" priority="1869" operator="lessThan">
      <formula>0</formula>
    </cfRule>
  </conditionalFormatting>
  <conditionalFormatting sqref="R5:R14">
    <cfRule type="cellIs" dxfId="18167" priority="1867" operator="lessThan">
      <formula>0.8</formula>
    </cfRule>
    <cfRule type="cellIs" dxfId="18166" priority="1868" operator="greaterThan">
      <formula>1</formula>
    </cfRule>
  </conditionalFormatting>
  <conditionalFormatting sqref="R5:R14">
    <cfRule type="cellIs" dxfId="18165" priority="1865" operator="greaterThan">
      <formula>1</formula>
    </cfRule>
    <cfRule type="cellIs" dxfId="18164" priority="1866" operator="lessThan">
      <formula>0.8</formula>
    </cfRule>
  </conditionalFormatting>
  <conditionalFormatting sqref="P5:P14">
    <cfRule type="cellIs" dxfId="18163" priority="1864" operator="greaterThan">
      <formula>0</formula>
    </cfRule>
  </conditionalFormatting>
  <conditionalFormatting sqref="Q83">
    <cfRule type="cellIs" dxfId="18162" priority="1863" operator="lessThan">
      <formula>0</formula>
    </cfRule>
  </conditionalFormatting>
  <conditionalFormatting sqref="R83">
    <cfRule type="cellIs" dxfId="18161" priority="1861" operator="lessThan">
      <formula>0.8</formula>
    </cfRule>
    <cfRule type="cellIs" dxfId="18160" priority="1862" operator="greaterThan">
      <formula>1</formula>
    </cfRule>
  </conditionalFormatting>
  <conditionalFormatting sqref="R83">
    <cfRule type="cellIs" dxfId="18159" priority="1859" operator="greaterThan">
      <formula>1</formula>
    </cfRule>
    <cfRule type="cellIs" dxfId="18158" priority="1860" operator="lessThan">
      <formula>0.8</formula>
    </cfRule>
  </conditionalFormatting>
  <conditionalFormatting sqref="P83">
    <cfRule type="cellIs" dxfId="18157" priority="1858" operator="greaterThan">
      <formula>0</formula>
    </cfRule>
  </conditionalFormatting>
  <conditionalFormatting sqref="Q83">
    <cfRule type="cellIs" dxfId="18156" priority="1857" operator="lessThan">
      <formula>0</formula>
    </cfRule>
  </conditionalFormatting>
  <conditionalFormatting sqref="R83">
    <cfRule type="cellIs" dxfId="18155" priority="1855" operator="lessThan">
      <formula>0.8</formula>
    </cfRule>
    <cfRule type="cellIs" dxfId="18154" priority="1856" operator="greaterThan">
      <formula>1</formula>
    </cfRule>
  </conditionalFormatting>
  <conditionalFormatting sqref="R83">
    <cfRule type="cellIs" dxfId="18153" priority="1853" operator="greaterThan">
      <formula>1</formula>
    </cfRule>
    <cfRule type="cellIs" dxfId="18152" priority="1854" operator="lessThan">
      <formula>0.8</formula>
    </cfRule>
  </conditionalFormatting>
  <conditionalFormatting sqref="P83">
    <cfRule type="cellIs" dxfId="18151" priority="1852" operator="greaterThan">
      <formula>0</formula>
    </cfRule>
  </conditionalFormatting>
  <conditionalFormatting sqref="Q83">
    <cfRule type="cellIs" dxfId="18150" priority="1851" operator="lessThan">
      <formula>0</formula>
    </cfRule>
  </conditionalFormatting>
  <conditionalFormatting sqref="R83">
    <cfRule type="cellIs" dxfId="18149" priority="1849" operator="lessThan">
      <formula>0.8</formula>
    </cfRule>
    <cfRule type="cellIs" dxfId="18148" priority="1850" operator="greaterThan">
      <formula>1</formula>
    </cfRule>
  </conditionalFormatting>
  <conditionalFormatting sqref="R83">
    <cfRule type="cellIs" dxfId="18147" priority="1847" operator="greaterThan">
      <formula>1</formula>
    </cfRule>
    <cfRule type="cellIs" dxfId="18146" priority="1848" operator="lessThan">
      <formula>0.8</formula>
    </cfRule>
  </conditionalFormatting>
  <conditionalFormatting sqref="P83">
    <cfRule type="cellIs" dxfId="18145" priority="1846" operator="greaterThan">
      <formula>0</formula>
    </cfRule>
  </conditionalFormatting>
  <conditionalFormatting sqref="Q83">
    <cfRule type="cellIs" dxfId="18144" priority="1845" operator="lessThan">
      <formula>0</formula>
    </cfRule>
  </conditionalFormatting>
  <conditionalFormatting sqref="R83">
    <cfRule type="cellIs" dxfId="18143" priority="1843" operator="lessThan">
      <formula>0.8</formula>
    </cfRule>
    <cfRule type="cellIs" dxfId="18142" priority="1844" operator="greaterThan">
      <formula>1</formula>
    </cfRule>
  </conditionalFormatting>
  <conditionalFormatting sqref="R83">
    <cfRule type="cellIs" dxfId="18141" priority="1841" operator="greaterThan">
      <formula>1</formula>
    </cfRule>
    <cfRule type="cellIs" dxfId="18140" priority="1842" operator="lessThan">
      <formula>0.8</formula>
    </cfRule>
  </conditionalFormatting>
  <conditionalFormatting sqref="P83">
    <cfRule type="cellIs" dxfId="18139" priority="1840" operator="greaterThan">
      <formula>0</formula>
    </cfRule>
  </conditionalFormatting>
  <conditionalFormatting sqref="P83">
    <cfRule type="cellIs" dxfId="18138" priority="1834" operator="greaterThan">
      <formula>0</formula>
    </cfRule>
  </conditionalFormatting>
  <conditionalFormatting sqref="Q83">
    <cfRule type="cellIs" dxfId="18137" priority="1839" operator="lessThan">
      <formula>0</formula>
    </cfRule>
  </conditionalFormatting>
  <conditionalFormatting sqref="R83">
    <cfRule type="cellIs" dxfId="18136" priority="1837" operator="lessThan">
      <formula>0.8</formula>
    </cfRule>
    <cfRule type="cellIs" dxfId="18135" priority="1838" operator="greaterThan">
      <formula>1</formula>
    </cfRule>
  </conditionalFormatting>
  <conditionalFormatting sqref="R83">
    <cfRule type="cellIs" dxfId="18134" priority="1835" operator="greaterThan">
      <formula>1</formula>
    </cfRule>
    <cfRule type="cellIs" dxfId="18133" priority="1836" operator="lessThan">
      <formula>0.8</formula>
    </cfRule>
  </conditionalFormatting>
  <conditionalFormatting sqref="P83">
    <cfRule type="cellIs" dxfId="18132" priority="1828" operator="greaterThan">
      <formula>0</formula>
    </cfRule>
  </conditionalFormatting>
  <conditionalFormatting sqref="Q83">
    <cfRule type="cellIs" dxfId="18131" priority="1833" operator="lessThan">
      <formula>0</formula>
    </cfRule>
  </conditionalFormatting>
  <conditionalFormatting sqref="R83">
    <cfRule type="cellIs" dxfId="18130" priority="1831" operator="lessThan">
      <formula>0.8</formula>
    </cfRule>
    <cfRule type="cellIs" dxfId="18129" priority="1832" operator="greaterThan">
      <formula>1</formula>
    </cfRule>
  </conditionalFormatting>
  <conditionalFormatting sqref="R83">
    <cfRule type="cellIs" dxfId="18128" priority="1829" operator="greaterThan">
      <formula>1</formula>
    </cfRule>
    <cfRule type="cellIs" dxfId="18127" priority="1830" operator="lessThan">
      <formula>0.8</formula>
    </cfRule>
  </conditionalFormatting>
  <conditionalFormatting sqref="R83">
    <cfRule type="cellIs" dxfId="18126" priority="1825" operator="lessThan">
      <formula>0.8</formula>
    </cfRule>
    <cfRule type="cellIs" dxfId="18125" priority="1826" operator="greaterThan">
      <formula>1</formula>
    </cfRule>
  </conditionalFormatting>
  <conditionalFormatting sqref="R83">
    <cfRule type="cellIs" dxfId="18124" priority="1823" operator="greaterThan">
      <formula>1</formula>
    </cfRule>
    <cfRule type="cellIs" dxfId="18123" priority="1824" operator="lessThan">
      <formula>0.8</formula>
    </cfRule>
  </conditionalFormatting>
  <conditionalFormatting sqref="P83">
    <cfRule type="cellIs" dxfId="18122" priority="1822" operator="greaterThan">
      <formula>0</formula>
    </cfRule>
  </conditionalFormatting>
  <conditionalFormatting sqref="Q83">
    <cfRule type="cellIs" dxfId="18121" priority="1827" operator="lessThan">
      <formula>0</formula>
    </cfRule>
  </conditionalFormatting>
  <conditionalFormatting sqref="Q83">
    <cfRule type="cellIs" dxfId="18120" priority="1821" operator="lessThan">
      <formula>0</formula>
    </cfRule>
  </conditionalFormatting>
  <conditionalFormatting sqref="R83">
    <cfRule type="cellIs" dxfId="18119" priority="1819" operator="lessThan">
      <formula>0.8</formula>
    </cfRule>
    <cfRule type="cellIs" dxfId="18118" priority="1820" operator="greaterThan">
      <formula>1</formula>
    </cfRule>
  </conditionalFormatting>
  <conditionalFormatting sqref="R83">
    <cfRule type="cellIs" dxfId="18117" priority="1817" operator="greaterThan">
      <formula>1</formula>
    </cfRule>
    <cfRule type="cellIs" dxfId="18116" priority="1818" operator="lessThan">
      <formula>0.8</formula>
    </cfRule>
  </conditionalFormatting>
  <conditionalFormatting sqref="P83">
    <cfRule type="cellIs" dxfId="18115" priority="1816" operator="greaterThan">
      <formula>0</formula>
    </cfRule>
  </conditionalFormatting>
  <conditionalFormatting sqref="P83">
    <cfRule type="cellIs" dxfId="18114" priority="1810" operator="greaterThan">
      <formula>0</formula>
    </cfRule>
  </conditionalFormatting>
  <conditionalFormatting sqref="Q83">
    <cfRule type="cellIs" dxfId="18113" priority="1815" operator="lessThan">
      <formula>0</formula>
    </cfRule>
  </conditionalFormatting>
  <conditionalFormatting sqref="R83">
    <cfRule type="cellIs" dxfId="18112" priority="1813" operator="lessThan">
      <formula>0.8</formula>
    </cfRule>
    <cfRule type="cellIs" dxfId="18111" priority="1814" operator="greaterThan">
      <formula>1</formula>
    </cfRule>
  </conditionalFormatting>
  <conditionalFormatting sqref="R83">
    <cfRule type="cellIs" dxfId="18110" priority="1811" operator="greaterThan">
      <formula>1</formula>
    </cfRule>
    <cfRule type="cellIs" dxfId="18109" priority="1812" operator="lessThan">
      <formula>0.8</formula>
    </cfRule>
  </conditionalFormatting>
  <conditionalFormatting sqref="P83">
    <cfRule type="cellIs" dxfId="18108" priority="1804" operator="greaterThan">
      <formula>0</formula>
    </cfRule>
  </conditionalFormatting>
  <conditionalFormatting sqref="Q83">
    <cfRule type="cellIs" dxfId="18107" priority="1809" operator="lessThan">
      <formula>0</formula>
    </cfRule>
  </conditionalFormatting>
  <conditionalFormatting sqref="R83">
    <cfRule type="cellIs" dxfId="18106" priority="1807" operator="lessThan">
      <formula>0.8</formula>
    </cfRule>
    <cfRule type="cellIs" dxfId="18105" priority="1808" operator="greaterThan">
      <formula>1</formula>
    </cfRule>
  </conditionalFormatting>
  <conditionalFormatting sqref="R83">
    <cfRule type="cellIs" dxfId="18104" priority="1805" operator="greaterThan">
      <formula>1</formula>
    </cfRule>
    <cfRule type="cellIs" dxfId="18103" priority="1806" operator="lessThan">
      <formula>0.8</formula>
    </cfRule>
  </conditionalFormatting>
  <conditionalFormatting sqref="R83">
    <cfRule type="cellIs" dxfId="18102" priority="1801" operator="lessThan">
      <formula>0.8</formula>
    </cfRule>
    <cfRule type="cellIs" dxfId="18101" priority="1802" operator="greaterThan">
      <formula>1</formula>
    </cfRule>
  </conditionalFormatting>
  <conditionalFormatting sqref="R83">
    <cfRule type="cellIs" dxfId="18100" priority="1799" operator="greaterThan">
      <formula>1</formula>
    </cfRule>
    <cfRule type="cellIs" dxfId="18099" priority="1800" operator="lessThan">
      <formula>0.8</formula>
    </cfRule>
  </conditionalFormatting>
  <conditionalFormatting sqref="P83">
    <cfRule type="cellIs" dxfId="18098" priority="1798" operator="greaterThan">
      <formula>0</formula>
    </cfRule>
  </conditionalFormatting>
  <conditionalFormatting sqref="Q83">
    <cfRule type="cellIs" dxfId="18097" priority="1803" operator="lessThan">
      <formula>0</formula>
    </cfRule>
  </conditionalFormatting>
  <conditionalFormatting sqref="P83">
    <cfRule type="cellIs" dxfId="18096" priority="1792" operator="greaterThan">
      <formula>0</formula>
    </cfRule>
  </conditionalFormatting>
  <conditionalFormatting sqref="Q83">
    <cfRule type="cellIs" dxfId="18095" priority="1797" operator="lessThan">
      <formula>0</formula>
    </cfRule>
  </conditionalFormatting>
  <conditionalFormatting sqref="R83">
    <cfRule type="cellIs" dxfId="18094" priority="1795" operator="lessThan">
      <formula>0.8</formula>
    </cfRule>
    <cfRule type="cellIs" dxfId="18093" priority="1796" operator="greaterThan">
      <formula>1</formula>
    </cfRule>
  </conditionalFormatting>
  <conditionalFormatting sqref="R83">
    <cfRule type="cellIs" dxfId="18092" priority="1793" operator="greaterThan">
      <formula>1</formula>
    </cfRule>
    <cfRule type="cellIs" dxfId="18091" priority="1794" operator="lessThan">
      <formula>0.8</formula>
    </cfRule>
  </conditionalFormatting>
  <conditionalFormatting sqref="R83">
    <cfRule type="cellIs" dxfId="18090" priority="1789" operator="lessThan">
      <formula>0.8</formula>
    </cfRule>
    <cfRule type="cellIs" dxfId="18089" priority="1790" operator="greaterThan">
      <formula>1</formula>
    </cfRule>
  </conditionalFormatting>
  <conditionalFormatting sqref="R83">
    <cfRule type="cellIs" dxfId="18088" priority="1787" operator="greaterThan">
      <formula>1</formula>
    </cfRule>
    <cfRule type="cellIs" dxfId="18087" priority="1788" operator="lessThan">
      <formula>0.8</formula>
    </cfRule>
  </conditionalFormatting>
  <conditionalFormatting sqref="P83">
    <cfRule type="cellIs" dxfId="18086" priority="1786" operator="greaterThan">
      <formula>0</formula>
    </cfRule>
  </conditionalFormatting>
  <conditionalFormatting sqref="Q83">
    <cfRule type="cellIs" dxfId="18085" priority="1791" operator="lessThan">
      <formula>0</formula>
    </cfRule>
  </conditionalFormatting>
  <conditionalFormatting sqref="R83">
    <cfRule type="cellIs" dxfId="18084" priority="1783" operator="lessThan">
      <formula>0.8</formula>
    </cfRule>
    <cfRule type="cellIs" dxfId="18083" priority="1784" operator="greaterThan">
      <formula>1</formula>
    </cfRule>
  </conditionalFormatting>
  <conditionalFormatting sqref="R83">
    <cfRule type="cellIs" dxfId="18082" priority="1781" operator="greaterThan">
      <formula>1</formula>
    </cfRule>
    <cfRule type="cellIs" dxfId="18081" priority="1782" operator="lessThan">
      <formula>0.8</formula>
    </cfRule>
  </conditionalFormatting>
  <conditionalFormatting sqref="P83">
    <cfRule type="cellIs" dxfId="18080" priority="1780" operator="greaterThan">
      <formula>0</formula>
    </cfRule>
  </conditionalFormatting>
  <conditionalFormatting sqref="Q83">
    <cfRule type="cellIs" dxfId="18079" priority="1785" operator="lessThan">
      <formula>0</formula>
    </cfRule>
  </conditionalFormatting>
  <conditionalFormatting sqref="Q83">
    <cfRule type="cellIs" dxfId="18078" priority="1779" operator="lessThan">
      <formula>0</formula>
    </cfRule>
  </conditionalFormatting>
  <conditionalFormatting sqref="R83">
    <cfRule type="cellIs" dxfId="18077" priority="1777" operator="lessThan">
      <formula>0.8</formula>
    </cfRule>
    <cfRule type="cellIs" dxfId="18076" priority="1778" operator="greaterThan">
      <formula>1</formula>
    </cfRule>
  </conditionalFormatting>
  <conditionalFormatting sqref="R83">
    <cfRule type="cellIs" dxfId="18075" priority="1775" operator="greaterThan">
      <formula>1</formula>
    </cfRule>
    <cfRule type="cellIs" dxfId="18074" priority="1776" operator="lessThan">
      <formula>0.8</formula>
    </cfRule>
  </conditionalFormatting>
  <conditionalFormatting sqref="P83">
    <cfRule type="cellIs" dxfId="18073" priority="1774" operator="greaterThan">
      <formula>0</formula>
    </cfRule>
  </conditionalFormatting>
  <conditionalFormatting sqref="Q83">
    <cfRule type="cellIs" dxfId="18072" priority="1768" operator="lessThan">
      <formula>0</formula>
    </cfRule>
  </conditionalFormatting>
  <conditionalFormatting sqref="R83">
    <cfRule type="cellIs" dxfId="18071" priority="1772" operator="lessThan">
      <formula>0.8</formula>
    </cfRule>
    <cfRule type="cellIs" dxfId="18070" priority="1773" operator="greaterThan">
      <formula>1</formula>
    </cfRule>
  </conditionalFormatting>
  <conditionalFormatting sqref="R83">
    <cfRule type="cellIs" dxfId="18069" priority="1770" operator="greaterThan">
      <formula>1</formula>
    </cfRule>
    <cfRule type="cellIs" dxfId="18068" priority="1771" operator="lessThan">
      <formula>0.8</formula>
    </cfRule>
  </conditionalFormatting>
  <conditionalFormatting sqref="P83">
    <cfRule type="cellIs" dxfId="18067" priority="1769" operator="greaterThan">
      <formula>0</formula>
    </cfRule>
  </conditionalFormatting>
  <conditionalFormatting sqref="Q83">
    <cfRule type="cellIs" dxfId="18066" priority="1767" operator="lessThan">
      <formula>0</formula>
    </cfRule>
  </conditionalFormatting>
  <conditionalFormatting sqref="R83">
    <cfRule type="cellIs" dxfId="18065" priority="1765" operator="lessThan">
      <formula>0.8</formula>
    </cfRule>
    <cfRule type="cellIs" dxfId="18064" priority="1766" operator="greaterThan">
      <formula>1</formula>
    </cfRule>
  </conditionalFormatting>
  <conditionalFormatting sqref="R83">
    <cfRule type="cellIs" dxfId="18063" priority="1763" operator="greaterThan">
      <formula>1</formula>
    </cfRule>
    <cfRule type="cellIs" dxfId="18062" priority="1764" operator="lessThan">
      <formula>0.8</formula>
    </cfRule>
  </conditionalFormatting>
  <conditionalFormatting sqref="P83">
    <cfRule type="cellIs" dxfId="18061" priority="1762" operator="greaterThan">
      <formula>0</formula>
    </cfRule>
  </conditionalFormatting>
  <conditionalFormatting sqref="Q83">
    <cfRule type="cellIs" dxfId="18060" priority="1761" operator="lessThan">
      <formula>0</formula>
    </cfRule>
  </conditionalFormatting>
  <conditionalFormatting sqref="R83">
    <cfRule type="cellIs" dxfId="18059" priority="1759" operator="lessThan">
      <formula>0.8</formula>
    </cfRule>
    <cfRule type="cellIs" dxfId="18058" priority="1760" operator="greaterThan">
      <formula>1</formula>
    </cfRule>
  </conditionalFormatting>
  <conditionalFormatting sqref="R83">
    <cfRule type="cellIs" dxfId="18057" priority="1757" operator="greaterThan">
      <formula>1</formula>
    </cfRule>
    <cfRule type="cellIs" dxfId="18056" priority="1758" operator="lessThan">
      <formula>0.8</formula>
    </cfRule>
  </conditionalFormatting>
  <conditionalFormatting sqref="P83">
    <cfRule type="cellIs" dxfId="18055" priority="1756" operator="greaterThan">
      <formula>0</formula>
    </cfRule>
  </conditionalFormatting>
  <conditionalFormatting sqref="Q83">
    <cfRule type="cellIs" dxfId="18054" priority="1755" operator="lessThan">
      <formula>0</formula>
    </cfRule>
  </conditionalFormatting>
  <conditionalFormatting sqref="R83">
    <cfRule type="cellIs" dxfId="18053" priority="1753" operator="lessThan">
      <formula>0.8</formula>
    </cfRule>
    <cfRule type="cellIs" dxfId="18052" priority="1754" operator="greaterThan">
      <formula>1</formula>
    </cfRule>
  </conditionalFormatting>
  <conditionalFormatting sqref="R83">
    <cfRule type="cellIs" dxfId="18051" priority="1751" operator="greaterThan">
      <formula>1</formula>
    </cfRule>
    <cfRule type="cellIs" dxfId="18050" priority="1752" operator="lessThan">
      <formula>0.8</formula>
    </cfRule>
  </conditionalFormatting>
  <conditionalFormatting sqref="P83">
    <cfRule type="cellIs" dxfId="18049" priority="1750" operator="greaterThan">
      <formula>0</formula>
    </cfRule>
  </conditionalFormatting>
  <conditionalFormatting sqref="Q83">
    <cfRule type="cellIs" dxfId="18048" priority="1749" operator="lessThan">
      <formula>0</formula>
    </cfRule>
  </conditionalFormatting>
  <conditionalFormatting sqref="R83">
    <cfRule type="cellIs" dxfId="18047" priority="1747" operator="lessThan">
      <formula>0.8</formula>
    </cfRule>
    <cfRule type="cellIs" dxfId="18046" priority="1748" operator="greaterThan">
      <formula>1</formula>
    </cfRule>
  </conditionalFormatting>
  <conditionalFormatting sqref="R83">
    <cfRule type="cellIs" dxfId="18045" priority="1745" operator="greaterThan">
      <formula>1</formula>
    </cfRule>
    <cfRule type="cellIs" dxfId="18044" priority="1746" operator="lessThan">
      <formula>0.8</formula>
    </cfRule>
  </conditionalFormatting>
  <conditionalFormatting sqref="P83">
    <cfRule type="cellIs" dxfId="18043" priority="1744" operator="greaterThan">
      <formula>0</formula>
    </cfRule>
  </conditionalFormatting>
  <conditionalFormatting sqref="Q83">
    <cfRule type="cellIs" dxfId="18042" priority="1743" operator="lessThan">
      <formula>0</formula>
    </cfRule>
  </conditionalFormatting>
  <conditionalFormatting sqref="R83">
    <cfRule type="cellIs" dxfId="18041" priority="1741" operator="lessThan">
      <formula>0.8</formula>
    </cfRule>
    <cfRule type="cellIs" dxfId="18040" priority="1742" operator="greaterThan">
      <formula>1</formula>
    </cfRule>
  </conditionalFormatting>
  <conditionalFormatting sqref="R83">
    <cfRule type="cellIs" dxfId="18039" priority="1739" operator="greaterThan">
      <formula>1</formula>
    </cfRule>
    <cfRule type="cellIs" dxfId="18038" priority="1740" operator="lessThan">
      <formula>0.8</formula>
    </cfRule>
  </conditionalFormatting>
  <conditionalFormatting sqref="P83">
    <cfRule type="cellIs" dxfId="18037" priority="1738" operator="greaterThan">
      <formula>0</formula>
    </cfRule>
  </conditionalFormatting>
  <conditionalFormatting sqref="P83">
    <cfRule type="cellIs" dxfId="18036" priority="1732" operator="greaterThan">
      <formula>0</formula>
    </cfRule>
  </conditionalFormatting>
  <conditionalFormatting sqref="Q83">
    <cfRule type="cellIs" dxfId="18035" priority="1737" operator="lessThan">
      <formula>0</formula>
    </cfRule>
  </conditionalFormatting>
  <conditionalFormatting sqref="R83">
    <cfRule type="cellIs" dxfId="18034" priority="1735" operator="lessThan">
      <formula>0.8</formula>
    </cfRule>
    <cfRule type="cellIs" dxfId="18033" priority="1736" operator="greaterThan">
      <formula>1</formula>
    </cfRule>
  </conditionalFormatting>
  <conditionalFormatting sqref="R83">
    <cfRule type="cellIs" dxfId="18032" priority="1733" operator="greaterThan">
      <formula>1</formula>
    </cfRule>
    <cfRule type="cellIs" dxfId="18031" priority="1734" operator="lessThan">
      <formula>0.8</formula>
    </cfRule>
  </conditionalFormatting>
  <conditionalFormatting sqref="P83">
    <cfRule type="cellIs" dxfId="18030" priority="1726" operator="greaterThan">
      <formula>0</formula>
    </cfRule>
  </conditionalFormatting>
  <conditionalFormatting sqref="Q83">
    <cfRule type="cellIs" dxfId="18029" priority="1731" operator="lessThan">
      <formula>0</formula>
    </cfRule>
  </conditionalFormatting>
  <conditionalFormatting sqref="R83">
    <cfRule type="cellIs" dxfId="18028" priority="1729" operator="lessThan">
      <formula>0.8</formula>
    </cfRule>
    <cfRule type="cellIs" dxfId="18027" priority="1730" operator="greaterThan">
      <formula>1</formula>
    </cfRule>
  </conditionalFormatting>
  <conditionalFormatting sqref="R83">
    <cfRule type="cellIs" dxfId="18026" priority="1727" operator="greaterThan">
      <formula>1</formula>
    </cfRule>
    <cfRule type="cellIs" dxfId="18025" priority="1728" operator="lessThan">
      <formula>0.8</formula>
    </cfRule>
  </conditionalFormatting>
  <conditionalFormatting sqref="R83">
    <cfRule type="cellIs" dxfId="18024" priority="1723" operator="lessThan">
      <formula>0.8</formula>
    </cfRule>
    <cfRule type="cellIs" dxfId="18023" priority="1724" operator="greaterThan">
      <formula>1</formula>
    </cfRule>
  </conditionalFormatting>
  <conditionalFormatting sqref="R83">
    <cfRule type="cellIs" dxfId="18022" priority="1721" operator="greaterThan">
      <formula>1</formula>
    </cfRule>
    <cfRule type="cellIs" dxfId="18021" priority="1722" operator="lessThan">
      <formula>0.8</formula>
    </cfRule>
  </conditionalFormatting>
  <conditionalFormatting sqref="P83">
    <cfRule type="cellIs" dxfId="18020" priority="1720" operator="greaterThan">
      <formula>0</formula>
    </cfRule>
  </conditionalFormatting>
  <conditionalFormatting sqref="Q83">
    <cfRule type="cellIs" dxfId="18019" priority="1725" operator="lessThan">
      <formula>0</formula>
    </cfRule>
  </conditionalFormatting>
  <conditionalFormatting sqref="Q83">
    <cfRule type="cellIs" dxfId="18018" priority="1714" operator="lessThan">
      <formula>0</formula>
    </cfRule>
  </conditionalFormatting>
  <conditionalFormatting sqref="P83">
    <cfRule type="cellIs" dxfId="18017" priority="1715" operator="greaterThan">
      <formula>0</formula>
    </cfRule>
  </conditionalFormatting>
  <conditionalFormatting sqref="R83">
    <cfRule type="cellIs" dxfId="18016" priority="1718" operator="lessThan">
      <formula>0.8</formula>
    </cfRule>
    <cfRule type="cellIs" dxfId="18015" priority="1719" operator="greaterThan">
      <formula>1</formula>
    </cfRule>
  </conditionalFormatting>
  <conditionalFormatting sqref="R83">
    <cfRule type="cellIs" dxfId="18014" priority="1716" operator="greaterThan">
      <formula>1</formula>
    </cfRule>
    <cfRule type="cellIs" dxfId="18013" priority="1717" operator="lessThan">
      <formula>0.8</formula>
    </cfRule>
  </conditionalFormatting>
  <conditionalFormatting sqref="Q83">
    <cfRule type="cellIs" dxfId="18012" priority="1708" operator="lessThan">
      <formula>0</formula>
    </cfRule>
  </conditionalFormatting>
  <conditionalFormatting sqref="R83">
    <cfRule type="cellIs" dxfId="18011" priority="1712" operator="lessThan">
      <formula>0.8</formula>
    </cfRule>
    <cfRule type="cellIs" dxfId="18010" priority="1713" operator="greaterThan">
      <formula>1</formula>
    </cfRule>
  </conditionalFormatting>
  <conditionalFormatting sqref="R83">
    <cfRule type="cellIs" dxfId="18009" priority="1710" operator="greaterThan">
      <formula>1</formula>
    </cfRule>
    <cfRule type="cellIs" dxfId="18008" priority="1711" operator="lessThan">
      <formula>0.8</formula>
    </cfRule>
  </conditionalFormatting>
  <conditionalFormatting sqref="P83">
    <cfRule type="cellIs" dxfId="18007" priority="1709" operator="greaterThan">
      <formula>0</formula>
    </cfRule>
  </conditionalFormatting>
  <conditionalFormatting sqref="Q83">
    <cfRule type="cellIs" dxfId="18006" priority="1707" operator="lessThan">
      <formula>0</formula>
    </cfRule>
  </conditionalFormatting>
  <conditionalFormatting sqref="R83">
    <cfRule type="cellIs" dxfId="18005" priority="1705" operator="lessThan">
      <formula>0.8</formula>
    </cfRule>
    <cfRule type="cellIs" dxfId="18004" priority="1706" operator="greaterThan">
      <formula>1</formula>
    </cfRule>
  </conditionalFormatting>
  <conditionalFormatting sqref="R83">
    <cfRule type="cellIs" dxfId="18003" priority="1703" operator="greaterThan">
      <formula>1</formula>
    </cfRule>
    <cfRule type="cellIs" dxfId="18002" priority="1704" operator="lessThan">
      <formula>0.8</formula>
    </cfRule>
  </conditionalFormatting>
  <conditionalFormatting sqref="P83">
    <cfRule type="cellIs" dxfId="18001" priority="1702" operator="greaterThan">
      <formula>0</formula>
    </cfRule>
  </conditionalFormatting>
  <conditionalFormatting sqref="Q83">
    <cfRule type="cellIs" dxfId="18000" priority="1701" operator="lessThan">
      <formula>0</formula>
    </cfRule>
  </conditionalFormatting>
  <conditionalFormatting sqref="R83">
    <cfRule type="cellIs" dxfId="17999" priority="1699" operator="lessThan">
      <formula>0.8</formula>
    </cfRule>
    <cfRule type="cellIs" dxfId="17998" priority="1700" operator="greaterThan">
      <formula>1</formula>
    </cfRule>
  </conditionalFormatting>
  <conditionalFormatting sqref="R83">
    <cfRule type="cellIs" dxfId="17997" priority="1697" operator="greaterThan">
      <formula>1</formula>
    </cfRule>
    <cfRule type="cellIs" dxfId="17996" priority="1698" operator="lessThan">
      <formula>0.8</formula>
    </cfRule>
  </conditionalFormatting>
  <conditionalFormatting sqref="P83">
    <cfRule type="cellIs" dxfId="17995" priority="1696" operator="greaterThan">
      <formula>0</formula>
    </cfRule>
  </conditionalFormatting>
  <conditionalFormatting sqref="Q83">
    <cfRule type="cellIs" dxfId="17994" priority="1695" operator="lessThan">
      <formula>0</formula>
    </cfRule>
  </conditionalFormatting>
  <conditionalFormatting sqref="R83">
    <cfRule type="cellIs" dxfId="17993" priority="1693" operator="lessThan">
      <formula>0.8</formula>
    </cfRule>
    <cfRule type="cellIs" dxfId="17992" priority="1694" operator="greaterThan">
      <formula>1</formula>
    </cfRule>
  </conditionalFormatting>
  <conditionalFormatting sqref="R83">
    <cfRule type="cellIs" dxfId="17991" priority="1691" operator="greaterThan">
      <formula>1</formula>
    </cfRule>
    <cfRule type="cellIs" dxfId="17990" priority="1692" operator="lessThan">
      <formula>0.8</formula>
    </cfRule>
  </conditionalFormatting>
  <conditionalFormatting sqref="P83">
    <cfRule type="cellIs" dxfId="17989" priority="1690" operator="greaterThan">
      <formula>0</formula>
    </cfRule>
  </conditionalFormatting>
  <conditionalFormatting sqref="Q32:Q39">
    <cfRule type="cellIs" dxfId="17988" priority="1684" operator="lessThan">
      <formula>0</formula>
    </cfRule>
  </conditionalFormatting>
  <conditionalFormatting sqref="P32:P39">
    <cfRule type="cellIs" dxfId="17987" priority="1685" operator="greaterThan">
      <formula>0</formula>
    </cfRule>
  </conditionalFormatting>
  <conditionalFormatting sqref="R32:R39">
    <cfRule type="cellIs" dxfId="17986" priority="1688" operator="lessThan">
      <formula>0.8</formula>
    </cfRule>
    <cfRule type="cellIs" dxfId="17985" priority="1689" operator="greaterThan">
      <formula>1</formula>
    </cfRule>
  </conditionalFormatting>
  <conditionalFormatting sqref="R32:R39">
    <cfRule type="cellIs" dxfId="17984" priority="1686" operator="greaterThan">
      <formula>1</formula>
    </cfRule>
    <cfRule type="cellIs" dxfId="17983" priority="1687" operator="lessThan">
      <formula>0.8</formula>
    </cfRule>
  </conditionalFormatting>
  <conditionalFormatting sqref="Q32:Q39">
    <cfRule type="cellIs" dxfId="17982" priority="1678" operator="lessThan">
      <formula>0</formula>
    </cfRule>
  </conditionalFormatting>
  <conditionalFormatting sqref="R32:R39">
    <cfRule type="cellIs" dxfId="17981" priority="1682" operator="lessThan">
      <formula>0.8</formula>
    </cfRule>
    <cfRule type="cellIs" dxfId="17980" priority="1683" operator="greaterThan">
      <formula>1</formula>
    </cfRule>
  </conditionalFormatting>
  <conditionalFormatting sqref="R32:R39">
    <cfRule type="cellIs" dxfId="17979" priority="1680" operator="greaterThan">
      <formula>1</formula>
    </cfRule>
    <cfRule type="cellIs" dxfId="17978" priority="1681" operator="lessThan">
      <formula>0.8</formula>
    </cfRule>
  </conditionalFormatting>
  <conditionalFormatting sqref="P32:P39">
    <cfRule type="cellIs" dxfId="17977" priority="1679" operator="greaterThan">
      <formula>0</formula>
    </cfRule>
  </conditionalFormatting>
  <conditionalFormatting sqref="Q32:Q39">
    <cfRule type="cellIs" dxfId="17976" priority="1677" operator="lessThan">
      <formula>0</formula>
    </cfRule>
  </conditionalFormatting>
  <conditionalFormatting sqref="R32:R39">
    <cfRule type="cellIs" dxfId="17975" priority="1675" operator="lessThan">
      <formula>0.8</formula>
    </cfRule>
    <cfRule type="cellIs" dxfId="17974" priority="1676" operator="greaterThan">
      <formula>1</formula>
    </cfRule>
  </conditionalFormatting>
  <conditionalFormatting sqref="R32:R39">
    <cfRule type="cellIs" dxfId="17973" priority="1673" operator="greaterThan">
      <formula>1</formula>
    </cfRule>
    <cfRule type="cellIs" dxfId="17972" priority="1674" operator="lessThan">
      <formula>0.8</formula>
    </cfRule>
  </conditionalFormatting>
  <conditionalFormatting sqref="P32:P39">
    <cfRule type="cellIs" dxfId="17971" priority="1672" operator="greaterThan">
      <formula>0</formula>
    </cfRule>
  </conditionalFormatting>
  <conditionalFormatting sqref="Q32:Q39">
    <cfRule type="cellIs" dxfId="17970" priority="1671" operator="lessThan">
      <formula>0</formula>
    </cfRule>
  </conditionalFormatting>
  <conditionalFormatting sqref="R32:R39">
    <cfRule type="cellIs" dxfId="17969" priority="1669" operator="lessThan">
      <formula>0.8</formula>
    </cfRule>
    <cfRule type="cellIs" dxfId="17968" priority="1670" operator="greaterThan">
      <formula>1</formula>
    </cfRule>
  </conditionalFormatting>
  <conditionalFormatting sqref="R32:R39">
    <cfRule type="cellIs" dxfId="17967" priority="1667" operator="greaterThan">
      <formula>1</formula>
    </cfRule>
    <cfRule type="cellIs" dxfId="17966" priority="1668" operator="lessThan">
      <formula>0.8</formula>
    </cfRule>
  </conditionalFormatting>
  <conditionalFormatting sqref="P32:P39">
    <cfRule type="cellIs" dxfId="17965" priority="1666" operator="greaterThan">
      <formula>0</formula>
    </cfRule>
  </conditionalFormatting>
  <conditionalFormatting sqref="Q32:Q39">
    <cfRule type="cellIs" dxfId="17964" priority="1660" operator="lessThan">
      <formula>0</formula>
    </cfRule>
  </conditionalFormatting>
  <conditionalFormatting sqref="R32:R39">
    <cfRule type="cellIs" dxfId="17963" priority="1664" operator="lessThan">
      <formula>0.8</formula>
    </cfRule>
    <cfRule type="cellIs" dxfId="17962" priority="1665" operator="greaterThan">
      <formula>1</formula>
    </cfRule>
  </conditionalFormatting>
  <conditionalFormatting sqref="R32:R39">
    <cfRule type="cellIs" dxfId="17961" priority="1662" operator="greaterThan">
      <formula>1</formula>
    </cfRule>
    <cfRule type="cellIs" dxfId="17960" priority="1663" operator="lessThan">
      <formula>0.8</formula>
    </cfRule>
  </conditionalFormatting>
  <conditionalFormatting sqref="P32:P39">
    <cfRule type="cellIs" dxfId="17959" priority="1661" operator="greaterThan">
      <formula>0</formula>
    </cfRule>
  </conditionalFormatting>
  <conditionalFormatting sqref="Q32:Q39">
    <cfRule type="cellIs" dxfId="17958" priority="1659" operator="lessThan">
      <formula>0</formula>
    </cfRule>
  </conditionalFormatting>
  <conditionalFormatting sqref="R32:R39">
    <cfRule type="cellIs" dxfId="17957" priority="1657" operator="lessThan">
      <formula>0.8</formula>
    </cfRule>
    <cfRule type="cellIs" dxfId="17956" priority="1658" operator="greaterThan">
      <formula>1</formula>
    </cfRule>
  </conditionalFormatting>
  <conditionalFormatting sqref="R32:R39">
    <cfRule type="cellIs" dxfId="17955" priority="1655" operator="greaterThan">
      <formula>1</formula>
    </cfRule>
    <cfRule type="cellIs" dxfId="17954" priority="1656" operator="lessThan">
      <formula>0.8</formula>
    </cfRule>
  </conditionalFormatting>
  <conditionalFormatting sqref="P32:P39">
    <cfRule type="cellIs" dxfId="17953" priority="1654" operator="greaterThan">
      <formula>0</formula>
    </cfRule>
  </conditionalFormatting>
  <conditionalFormatting sqref="Q32:Q39">
    <cfRule type="cellIs" dxfId="17952" priority="1653" operator="lessThan">
      <formula>0</formula>
    </cfRule>
  </conditionalFormatting>
  <conditionalFormatting sqref="R32:R39">
    <cfRule type="cellIs" dxfId="17951" priority="1651" operator="lessThan">
      <formula>0.8</formula>
    </cfRule>
    <cfRule type="cellIs" dxfId="17950" priority="1652" operator="greaterThan">
      <formula>1</formula>
    </cfRule>
  </conditionalFormatting>
  <conditionalFormatting sqref="R32:R39">
    <cfRule type="cellIs" dxfId="17949" priority="1649" operator="greaterThan">
      <formula>1</formula>
    </cfRule>
    <cfRule type="cellIs" dxfId="17948" priority="1650" operator="lessThan">
      <formula>0.8</formula>
    </cfRule>
  </conditionalFormatting>
  <conditionalFormatting sqref="P32:P39">
    <cfRule type="cellIs" dxfId="17947" priority="1648" operator="greaterThan">
      <formula>0</formula>
    </cfRule>
  </conditionalFormatting>
  <conditionalFormatting sqref="Q32:Q39">
    <cfRule type="cellIs" dxfId="17946" priority="1647" operator="lessThan">
      <formula>0</formula>
    </cfRule>
  </conditionalFormatting>
  <conditionalFormatting sqref="R32:R39">
    <cfRule type="cellIs" dxfId="17945" priority="1645" operator="lessThan">
      <formula>0.8</formula>
    </cfRule>
    <cfRule type="cellIs" dxfId="17944" priority="1646" operator="greaterThan">
      <formula>1</formula>
    </cfRule>
  </conditionalFormatting>
  <conditionalFormatting sqref="R32:R39">
    <cfRule type="cellIs" dxfId="17943" priority="1643" operator="greaterThan">
      <formula>1</formula>
    </cfRule>
    <cfRule type="cellIs" dxfId="17942" priority="1644" operator="lessThan">
      <formula>0.8</formula>
    </cfRule>
  </conditionalFormatting>
  <conditionalFormatting sqref="P32:P39">
    <cfRule type="cellIs" dxfId="17941" priority="1642" operator="greaterThan">
      <formula>0</formula>
    </cfRule>
  </conditionalFormatting>
  <conditionalFormatting sqref="Q32:Q39">
    <cfRule type="cellIs" dxfId="17940" priority="1641" operator="lessThan">
      <formula>0</formula>
    </cfRule>
  </conditionalFormatting>
  <conditionalFormatting sqref="R32:R39">
    <cfRule type="cellIs" dxfId="17939" priority="1639" operator="lessThan">
      <formula>0.8</formula>
    </cfRule>
    <cfRule type="cellIs" dxfId="17938" priority="1640" operator="greaterThan">
      <formula>1</formula>
    </cfRule>
  </conditionalFormatting>
  <conditionalFormatting sqref="R32:R39">
    <cfRule type="cellIs" dxfId="17937" priority="1637" operator="greaterThan">
      <formula>1</formula>
    </cfRule>
    <cfRule type="cellIs" dxfId="17936" priority="1638" operator="lessThan">
      <formula>0.8</formula>
    </cfRule>
  </conditionalFormatting>
  <conditionalFormatting sqref="P32:P39">
    <cfRule type="cellIs" dxfId="17935" priority="1636" operator="greaterThan">
      <formula>0</formula>
    </cfRule>
  </conditionalFormatting>
  <conditionalFormatting sqref="Q32:Q39">
    <cfRule type="cellIs" dxfId="17934" priority="1635" operator="lessThan">
      <formula>0</formula>
    </cfRule>
  </conditionalFormatting>
  <conditionalFormatting sqref="R32:R39">
    <cfRule type="cellIs" dxfId="17933" priority="1633" operator="lessThan">
      <formula>0.8</formula>
    </cfRule>
    <cfRule type="cellIs" dxfId="17932" priority="1634" operator="greaterThan">
      <formula>1</formula>
    </cfRule>
  </conditionalFormatting>
  <conditionalFormatting sqref="R32:R39">
    <cfRule type="cellIs" dxfId="17931" priority="1631" operator="greaterThan">
      <formula>1</formula>
    </cfRule>
    <cfRule type="cellIs" dxfId="17930" priority="1632" operator="lessThan">
      <formula>0.8</formula>
    </cfRule>
  </conditionalFormatting>
  <conditionalFormatting sqref="P32:P39">
    <cfRule type="cellIs" dxfId="17929" priority="1630" operator="greaterThan">
      <formula>0</formula>
    </cfRule>
  </conditionalFormatting>
  <conditionalFormatting sqref="P32:P39">
    <cfRule type="cellIs" dxfId="17928" priority="1624" operator="greaterThan">
      <formula>0</formula>
    </cfRule>
  </conditionalFormatting>
  <conditionalFormatting sqref="Q32:Q39">
    <cfRule type="cellIs" dxfId="17927" priority="1629" operator="lessThan">
      <formula>0</formula>
    </cfRule>
  </conditionalFormatting>
  <conditionalFormatting sqref="R32:R39">
    <cfRule type="cellIs" dxfId="17926" priority="1627" operator="lessThan">
      <formula>0.8</formula>
    </cfRule>
    <cfRule type="cellIs" dxfId="17925" priority="1628" operator="greaterThan">
      <formula>1</formula>
    </cfRule>
  </conditionalFormatting>
  <conditionalFormatting sqref="R32:R39">
    <cfRule type="cellIs" dxfId="17924" priority="1625" operator="greaterThan">
      <formula>1</formula>
    </cfRule>
    <cfRule type="cellIs" dxfId="17923" priority="1626" operator="lessThan">
      <formula>0.8</formula>
    </cfRule>
  </conditionalFormatting>
  <conditionalFormatting sqref="P32:P39">
    <cfRule type="cellIs" dxfId="17922" priority="1618" operator="greaterThan">
      <formula>0</formula>
    </cfRule>
  </conditionalFormatting>
  <conditionalFormatting sqref="Q32:Q39">
    <cfRule type="cellIs" dxfId="17921" priority="1623" operator="lessThan">
      <formula>0</formula>
    </cfRule>
  </conditionalFormatting>
  <conditionalFormatting sqref="R32:R39">
    <cfRule type="cellIs" dxfId="17920" priority="1621" operator="lessThan">
      <formula>0.8</formula>
    </cfRule>
    <cfRule type="cellIs" dxfId="17919" priority="1622" operator="greaterThan">
      <formula>1</formula>
    </cfRule>
  </conditionalFormatting>
  <conditionalFormatting sqref="R32:R39">
    <cfRule type="cellIs" dxfId="17918" priority="1619" operator="greaterThan">
      <formula>1</formula>
    </cfRule>
    <cfRule type="cellIs" dxfId="17917" priority="1620" operator="lessThan">
      <formula>0.8</formula>
    </cfRule>
  </conditionalFormatting>
  <conditionalFormatting sqref="R32:R39">
    <cfRule type="cellIs" dxfId="17916" priority="1615" operator="lessThan">
      <formula>0.8</formula>
    </cfRule>
    <cfRule type="cellIs" dxfId="17915" priority="1616" operator="greaterThan">
      <formula>1</formula>
    </cfRule>
  </conditionalFormatting>
  <conditionalFormatting sqref="R32:R39">
    <cfRule type="cellIs" dxfId="17914" priority="1613" operator="greaterThan">
      <formula>1</formula>
    </cfRule>
    <cfRule type="cellIs" dxfId="17913" priority="1614" operator="lessThan">
      <formula>0.8</formula>
    </cfRule>
  </conditionalFormatting>
  <conditionalFormatting sqref="P32:P39">
    <cfRule type="cellIs" dxfId="17912" priority="1612" operator="greaterThan">
      <formula>0</formula>
    </cfRule>
  </conditionalFormatting>
  <conditionalFormatting sqref="Q32:Q39">
    <cfRule type="cellIs" dxfId="17911" priority="1617" operator="lessThan">
      <formula>0</formula>
    </cfRule>
  </conditionalFormatting>
  <conditionalFormatting sqref="Q32:Q39">
    <cfRule type="cellIs" dxfId="17910" priority="1606" operator="lessThan">
      <formula>0</formula>
    </cfRule>
  </conditionalFormatting>
  <conditionalFormatting sqref="P32:P39">
    <cfRule type="cellIs" dxfId="17909" priority="1607" operator="greaterThan">
      <formula>0</formula>
    </cfRule>
  </conditionalFormatting>
  <conditionalFormatting sqref="R32:R39">
    <cfRule type="cellIs" dxfId="17908" priority="1610" operator="lessThan">
      <formula>0.8</formula>
    </cfRule>
    <cfRule type="cellIs" dxfId="17907" priority="1611" operator="greaterThan">
      <formula>1</formula>
    </cfRule>
  </conditionalFormatting>
  <conditionalFormatting sqref="R32:R39">
    <cfRule type="cellIs" dxfId="17906" priority="1608" operator="greaterThan">
      <formula>1</formula>
    </cfRule>
    <cfRule type="cellIs" dxfId="17905" priority="1609" operator="lessThan">
      <formula>0.8</formula>
    </cfRule>
  </conditionalFormatting>
  <conditionalFormatting sqref="Q32:Q39">
    <cfRule type="cellIs" dxfId="17904" priority="1600" operator="lessThan">
      <formula>0</formula>
    </cfRule>
  </conditionalFormatting>
  <conditionalFormatting sqref="R32:R39">
    <cfRule type="cellIs" dxfId="17903" priority="1604" operator="lessThan">
      <formula>0.8</formula>
    </cfRule>
    <cfRule type="cellIs" dxfId="17902" priority="1605" operator="greaterThan">
      <formula>1</formula>
    </cfRule>
  </conditionalFormatting>
  <conditionalFormatting sqref="R32:R39">
    <cfRule type="cellIs" dxfId="17901" priority="1602" operator="greaterThan">
      <formula>1</formula>
    </cfRule>
    <cfRule type="cellIs" dxfId="17900" priority="1603" operator="lessThan">
      <formula>0.8</formula>
    </cfRule>
  </conditionalFormatting>
  <conditionalFormatting sqref="P32:P39">
    <cfRule type="cellIs" dxfId="17899" priority="1601" operator="greaterThan">
      <formula>0</formula>
    </cfRule>
  </conditionalFormatting>
  <conditionalFormatting sqref="Q32:Q39">
    <cfRule type="cellIs" dxfId="17898" priority="1599" operator="lessThan">
      <formula>0</formula>
    </cfRule>
  </conditionalFormatting>
  <conditionalFormatting sqref="R32:R39">
    <cfRule type="cellIs" dxfId="17897" priority="1597" operator="lessThan">
      <formula>0.8</formula>
    </cfRule>
    <cfRule type="cellIs" dxfId="17896" priority="1598" operator="greaterThan">
      <formula>1</formula>
    </cfRule>
  </conditionalFormatting>
  <conditionalFormatting sqref="R32:R39">
    <cfRule type="cellIs" dxfId="17895" priority="1595" operator="greaterThan">
      <formula>1</formula>
    </cfRule>
    <cfRule type="cellIs" dxfId="17894" priority="1596" operator="lessThan">
      <formula>0.8</formula>
    </cfRule>
  </conditionalFormatting>
  <conditionalFormatting sqref="P32:P39">
    <cfRule type="cellIs" dxfId="17893" priority="1594" operator="greaterThan">
      <formula>0</formula>
    </cfRule>
  </conditionalFormatting>
  <conditionalFormatting sqref="Q32:Q39">
    <cfRule type="cellIs" dxfId="17892" priority="1593" operator="lessThan">
      <formula>0</formula>
    </cfRule>
  </conditionalFormatting>
  <conditionalFormatting sqref="R32:R39">
    <cfRule type="cellIs" dxfId="17891" priority="1591" operator="lessThan">
      <formula>0.8</formula>
    </cfRule>
    <cfRule type="cellIs" dxfId="17890" priority="1592" operator="greaterThan">
      <formula>1</formula>
    </cfRule>
  </conditionalFormatting>
  <conditionalFormatting sqref="R32:R39">
    <cfRule type="cellIs" dxfId="17889" priority="1589" operator="greaterThan">
      <formula>1</formula>
    </cfRule>
    <cfRule type="cellIs" dxfId="17888" priority="1590" operator="lessThan">
      <formula>0.8</formula>
    </cfRule>
  </conditionalFormatting>
  <conditionalFormatting sqref="P32:P39">
    <cfRule type="cellIs" dxfId="17887" priority="1588" operator="greaterThan">
      <formula>0</formula>
    </cfRule>
  </conditionalFormatting>
  <conditionalFormatting sqref="Q32:Q39">
    <cfRule type="cellIs" dxfId="17886" priority="1582" operator="lessThan">
      <formula>0</formula>
    </cfRule>
  </conditionalFormatting>
  <conditionalFormatting sqref="P32:P39">
    <cfRule type="cellIs" dxfId="17885" priority="1583" operator="greaterThan">
      <formula>0</formula>
    </cfRule>
  </conditionalFormatting>
  <conditionalFormatting sqref="R32:R39">
    <cfRule type="cellIs" dxfId="17884" priority="1586" operator="lessThan">
      <formula>0.8</formula>
    </cfRule>
    <cfRule type="cellIs" dxfId="17883" priority="1587" operator="greaterThan">
      <formula>1</formula>
    </cfRule>
  </conditionalFormatting>
  <conditionalFormatting sqref="R32:R39">
    <cfRule type="cellIs" dxfId="17882" priority="1584" operator="greaterThan">
      <formula>1</formula>
    </cfRule>
    <cfRule type="cellIs" dxfId="17881" priority="1585" operator="lessThan">
      <formula>0.8</formula>
    </cfRule>
  </conditionalFormatting>
  <conditionalFormatting sqref="Q32:Q39">
    <cfRule type="cellIs" dxfId="17880" priority="1576" operator="lessThan">
      <formula>0</formula>
    </cfRule>
  </conditionalFormatting>
  <conditionalFormatting sqref="R32:R39">
    <cfRule type="cellIs" dxfId="17879" priority="1580" operator="lessThan">
      <formula>0.8</formula>
    </cfRule>
    <cfRule type="cellIs" dxfId="17878" priority="1581" operator="greaterThan">
      <formula>1</formula>
    </cfRule>
  </conditionalFormatting>
  <conditionalFormatting sqref="R32:R39">
    <cfRule type="cellIs" dxfId="17877" priority="1578" operator="greaterThan">
      <formula>1</formula>
    </cfRule>
    <cfRule type="cellIs" dxfId="17876" priority="1579" operator="lessThan">
      <formula>0.8</formula>
    </cfRule>
  </conditionalFormatting>
  <conditionalFormatting sqref="P32:P39">
    <cfRule type="cellIs" dxfId="17875" priority="1577" operator="greaterThan">
      <formula>0</formula>
    </cfRule>
  </conditionalFormatting>
  <conditionalFormatting sqref="Q32:Q39">
    <cfRule type="cellIs" dxfId="17874" priority="1575" operator="lessThan">
      <formula>0</formula>
    </cfRule>
  </conditionalFormatting>
  <conditionalFormatting sqref="R32:R39">
    <cfRule type="cellIs" dxfId="17873" priority="1573" operator="lessThan">
      <formula>0.8</formula>
    </cfRule>
    <cfRule type="cellIs" dxfId="17872" priority="1574" operator="greaterThan">
      <formula>1</formula>
    </cfRule>
  </conditionalFormatting>
  <conditionalFormatting sqref="R32:R39">
    <cfRule type="cellIs" dxfId="17871" priority="1571" operator="greaterThan">
      <formula>1</formula>
    </cfRule>
    <cfRule type="cellIs" dxfId="17870" priority="1572" operator="lessThan">
      <formula>0.8</formula>
    </cfRule>
  </conditionalFormatting>
  <conditionalFormatting sqref="P32:P39">
    <cfRule type="cellIs" dxfId="17869" priority="1570" operator="greaterThan">
      <formula>0</formula>
    </cfRule>
  </conditionalFormatting>
  <conditionalFormatting sqref="Q32:Q39">
    <cfRule type="cellIs" dxfId="17868" priority="1569" operator="lessThan">
      <formula>0</formula>
    </cfRule>
  </conditionalFormatting>
  <conditionalFormatting sqref="R32:R39">
    <cfRule type="cellIs" dxfId="17867" priority="1567" operator="lessThan">
      <formula>0.8</formula>
    </cfRule>
    <cfRule type="cellIs" dxfId="17866" priority="1568" operator="greaterThan">
      <formula>1</formula>
    </cfRule>
  </conditionalFormatting>
  <conditionalFormatting sqref="R32:R39">
    <cfRule type="cellIs" dxfId="17865" priority="1565" operator="greaterThan">
      <formula>1</formula>
    </cfRule>
    <cfRule type="cellIs" dxfId="17864" priority="1566" operator="lessThan">
      <formula>0.8</formula>
    </cfRule>
  </conditionalFormatting>
  <conditionalFormatting sqref="P32:P39">
    <cfRule type="cellIs" dxfId="17863" priority="1564" operator="greaterThan">
      <formula>0</formula>
    </cfRule>
  </conditionalFormatting>
  <conditionalFormatting sqref="Q19:Q25">
    <cfRule type="cellIs" dxfId="17862" priority="1563" operator="lessThan">
      <formula>0</formula>
    </cfRule>
  </conditionalFormatting>
  <conditionalFormatting sqref="R19:R25">
    <cfRule type="cellIs" dxfId="17861" priority="1561" operator="lessThan">
      <formula>0.8</formula>
    </cfRule>
    <cfRule type="cellIs" dxfId="17860" priority="1562" operator="greaterThan">
      <formula>1</formula>
    </cfRule>
  </conditionalFormatting>
  <conditionalFormatting sqref="R19:R25">
    <cfRule type="cellIs" dxfId="17859" priority="1559" operator="greaterThan">
      <formula>1</formula>
    </cfRule>
    <cfRule type="cellIs" dxfId="17858" priority="1560" operator="lessThan">
      <formula>0.8</formula>
    </cfRule>
  </conditionalFormatting>
  <conditionalFormatting sqref="P19:P25">
    <cfRule type="cellIs" dxfId="17857" priority="1558" operator="greaterThan">
      <formula>0</formula>
    </cfRule>
  </conditionalFormatting>
  <conditionalFormatting sqref="R19:R25">
    <cfRule type="cellIs" dxfId="17856" priority="1555" operator="lessThan">
      <formula>0.8</formula>
    </cfRule>
    <cfRule type="cellIs" dxfId="17855" priority="1556" operator="greaterThan">
      <formula>1</formula>
    </cfRule>
  </conditionalFormatting>
  <conditionalFormatting sqref="R19:R25">
    <cfRule type="cellIs" dxfId="17854" priority="1553" operator="greaterThan">
      <formula>1</formula>
    </cfRule>
    <cfRule type="cellIs" dxfId="17853" priority="1554" operator="lessThan">
      <formula>0.8</formula>
    </cfRule>
  </conditionalFormatting>
  <conditionalFormatting sqref="P19:P25">
    <cfRule type="cellIs" dxfId="17852" priority="1552" operator="greaterThan">
      <formula>0</formula>
    </cfRule>
  </conditionalFormatting>
  <conditionalFormatting sqref="Q19:Q25">
    <cfRule type="cellIs" dxfId="17851" priority="1557" operator="lessThan">
      <formula>0</formula>
    </cfRule>
  </conditionalFormatting>
  <conditionalFormatting sqref="R19:R25">
    <cfRule type="cellIs" dxfId="17850" priority="1549" operator="lessThan">
      <formula>0.8</formula>
    </cfRule>
    <cfRule type="cellIs" dxfId="17849" priority="1550" operator="greaterThan">
      <formula>1</formula>
    </cfRule>
  </conditionalFormatting>
  <conditionalFormatting sqref="R19:R25">
    <cfRule type="cellIs" dxfId="17848" priority="1547" operator="greaterThan">
      <formula>1</formula>
    </cfRule>
    <cfRule type="cellIs" dxfId="17847" priority="1548" operator="lessThan">
      <formula>0.8</formula>
    </cfRule>
  </conditionalFormatting>
  <conditionalFormatting sqref="P19:P25">
    <cfRule type="cellIs" dxfId="17846" priority="1546" operator="greaterThan">
      <formula>0</formula>
    </cfRule>
  </conditionalFormatting>
  <conditionalFormatting sqref="Q19:Q25">
    <cfRule type="cellIs" dxfId="17845" priority="1551" operator="lessThan">
      <formula>0</formula>
    </cfRule>
  </conditionalFormatting>
  <conditionalFormatting sqref="Q19:Q25">
    <cfRule type="cellIs" dxfId="17844" priority="1545" operator="lessThan">
      <formula>0</formula>
    </cfRule>
  </conditionalFormatting>
  <conditionalFormatting sqref="R19:R25">
    <cfRule type="cellIs" dxfId="17843" priority="1543" operator="lessThan">
      <formula>0.8</formula>
    </cfRule>
    <cfRule type="cellIs" dxfId="17842" priority="1544" operator="greaterThan">
      <formula>1</formula>
    </cfRule>
  </conditionalFormatting>
  <conditionalFormatting sqref="R19:R25">
    <cfRule type="cellIs" dxfId="17841" priority="1541" operator="greaterThan">
      <formula>1</formula>
    </cfRule>
    <cfRule type="cellIs" dxfId="17840" priority="1542" operator="lessThan">
      <formula>0.8</formula>
    </cfRule>
  </conditionalFormatting>
  <conditionalFormatting sqref="P19:P25">
    <cfRule type="cellIs" dxfId="17839" priority="1540" operator="greaterThan">
      <formula>0</formula>
    </cfRule>
  </conditionalFormatting>
  <conditionalFormatting sqref="Q135:Q136">
    <cfRule type="cellIs" dxfId="17838" priority="1539" operator="lessThan">
      <formula>0</formula>
    </cfRule>
  </conditionalFormatting>
  <conditionalFormatting sqref="R135:R136 R139:R142">
    <cfRule type="cellIs" dxfId="17837" priority="1537" operator="lessThan">
      <formula>0.8</formula>
    </cfRule>
    <cfRule type="cellIs" dxfId="17836" priority="1538" operator="greaterThan">
      <formula>1</formula>
    </cfRule>
  </conditionalFormatting>
  <conditionalFormatting sqref="R135:R136 R139:R142">
    <cfRule type="cellIs" dxfId="17835" priority="1535" operator="greaterThan">
      <formula>1</formula>
    </cfRule>
    <cfRule type="cellIs" dxfId="17834" priority="1536" operator="lessThan">
      <formula>0.8</formula>
    </cfRule>
  </conditionalFormatting>
  <conditionalFormatting sqref="P135:P136 P139 P142">
    <cfRule type="cellIs" dxfId="17833" priority="1534" operator="greaterThan">
      <formula>0</formula>
    </cfRule>
  </conditionalFormatting>
  <conditionalFormatting sqref="P135:P136 P139 P142">
    <cfRule type="cellIs" dxfId="17832" priority="1528" operator="greaterThan">
      <formula>0</formula>
    </cfRule>
  </conditionalFormatting>
  <conditionalFormatting sqref="Q135:Q136">
    <cfRule type="cellIs" dxfId="17831" priority="1533" operator="lessThan">
      <formula>0</formula>
    </cfRule>
  </conditionalFormatting>
  <conditionalFormatting sqref="R135:R136 R139:R142">
    <cfRule type="cellIs" dxfId="17830" priority="1531" operator="lessThan">
      <formula>0.8</formula>
    </cfRule>
    <cfRule type="cellIs" dxfId="17829" priority="1532" operator="greaterThan">
      <formula>1</formula>
    </cfRule>
  </conditionalFormatting>
  <conditionalFormatting sqref="R135:R136 R139:R142">
    <cfRule type="cellIs" dxfId="17828" priority="1529" operator="greaterThan">
      <formula>1</formula>
    </cfRule>
    <cfRule type="cellIs" dxfId="17827" priority="1530" operator="lessThan">
      <formula>0.8</formula>
    </cfRule>
  </conditionalFormatting>
  <conditionalFormatting sqref="P19:P25">
    <cfRule type="cellIs" dxfId="17826" priority="1522" operator="greaterThan">
      <formula>0</formula>
    </cfRule>
  </conditionalFormatting>
  <conditionalFormatting sqref="Q19:Q25">
    <cfRule type="cellIs" dxfId="17825" priority="1527" operator="lessThan">
      <formula>0</formula>
    </cfRule>
  </conditionalFormatting>
  <conditionalFormatting sqref="R19:R25">
    <cfRule type="cellIs" dxfId="17824" priority="1525" operator="lessThan">
      <formula>0.8</formula>
    </cfRule>
    <cfRule type="cellIs" dxfId="17823" priority="1526" operator="greaterThan">
      <formula>1</formula>
    </cfRule>
  </conditionalFormatting>
  <conditionalFormatting sqref="R19:R25">
    <cfRule type="cellIs" dxfId="17822" priority="1523" operator="greaterThan">
      <formula>1</formula>
    </cfRule>
    <cfRule type="cellIs" dxfId="17821" priority="1524" operator="lessThan">
      <formula>0.8</formula>
    </cfRule>
  </conditionalFormatting>
  <conditionalFormatting sqref="Q19:Q25">
    <cfRule type="cellIs" dxfId="17820" priority="1521" operator="lessThan">
      <formula>0</formula>
    </cfRule>
  </conditionalFormatting>
  <conditionalFormatting sqref="R19:R25">
    <cfRule type="cellIs" dxfId="17819" priority="1519" operator="lessThan">
      <formula>0.8</formula>
    </cfRule>
    <cfRule type="cellIs" dxfId="17818" priority="1520" operator="greaterThan">
      <formula>1</formula>
    </cfRule>
  </conditionalFormatting>
  <conditionalFormatting sqref="R19:R25">
    <cfRule type="cellIs" dxfId="17817" priority="1517" operator="greaterThan">
      <formula>1</formula>
    </cfRule>
    <cfRule type="cellIs" dxfId="17816" priority="1518" operator="lessThan">
      <formula>0.8</formula>
    </cfRule>
  </conditionalFormatting>
  <conditionalFormatting sqref="P19:P25">
    <cfRule type="cellIs" dxfId="17815" priority="1516" operator="greaterThan">
      <formula>0</formula>
    </cfRule>
  </conditionalFormatting>
  <conditionalFormatting sqref="Q19:Q25">
    <cfRule type="cellIs" dxfId="17814" priority="1515" operator="lessThan">
      <formula>0</formula>
    </cfRule>
  </conditionalFormatting>
  <conditionalFormatting sqref="R19:R25">
    <cfRule type="cellIs" dxfId="17813" priority="1513" operator="lessThan">
      <formula>0.8</formula>
    </cfRule>
    <cfRule type="cellIs" dxfId="17812" priority="1514" operator="greaterThan">
      <formula>1</formula>
    </cfRule>
  </conditionalFormatting>
  <conditionalFormatting sqref="R19:R25">
    <cfRule type="cellIs" dxfId="17811" priority="1511" operator="greaterThan">
      <formula>1</formula>
    </cfRule>
    <cfRule type="cellIs" dxfId="17810" priority="1512" operator="lessThan">
      <formula>0.8</formula>
    </cfRule>
  </conditionalFormatting>
  <conditionalFormatting sqref="P19:P25">
    <cfRule type="cellIs" dxfId="17809" priority="1510" operator="greaterThan">
      <formula>0</formula>
    </cfRule>
  </conditionalFormatting>
  <conditionalFormatting sqref="Q19:Q25">
    <cfRule type="cellIs" dxfId="17808" priority="1509" operator="lessThan">
      <formula>0</formula>
    </cfRule>
  </conditionalFormatting>
  <conditionalFormatting sqref="R19:R25">
    <cfRule type="cellIs" dxfId="17807" priority="1507" operator="lessThan">
      <formula>0.8</formula>
    </cfRule>
    <cfRule type="cellIs" dxfId="17806" priority="1508" operator="greaterThan">
      <formula>1</formula>
    </cfRule>
  </conditionalFormatting>
  <conditionalFormatting sqref="R19:R25">
    <cfRule type="cellIs" dxfId="17805" priority="1505" operator="greaterThan">
      <formula>1</formula>
    </cfRule>
    <cfRule type="cellIs" dxfId="17804" priority="1506" operator="lessThan">
      <formula>0.8</formula>
    </cfRule>
  </conditionalFormatting>
  <conditionalFormatting sqref="P19:P25">
    <cfRule type="cellIs" dxfId="17803" priority="1504" operator="greaterThan">
      <formula>0</formula>
    </cfRule>
  </conditionalFormatting>
  <conditionalFormatting sqref="R19:R25">
    <cfRule type="cellIs" dxfId="17802" priority="1501" operator="lessThan">
      <formula>0.8</formula>
    </cfRule>
    <cfRule type="cellIs" dxfId="17801" priority="1502" operator="greaterThan">
      <formula>1</formula>
    </cfRule>
  </conditionalFormatting>
  <conditionalFormatting sqref="R19:R25">
    <cfRule type="cellIs" dxfId="17800" priority="1499" operator="greaterThan">
      <formula>1</formula>
    </cfRule>
    <cfRule type="cellIs" dxfId="17799" priority="1500" operator="lessThan">
      <formula>0.8</formula>
    </cfRule>
  </conditionalFormatting>
  <conditionalFormatting sqref="P19:P25">
    <cfRule type="cellIs" dxfId="17798" priority="1498" operator="greaterThan">
      <formula>0</formula>
    </cfRule>
  </conditionalFormatting>
  <conditionalFormatting sqref="Q19:Q25">
    <cfRule type="cellIs" dxfId="17797" priority="1503" operator="lessThan">
      <formula>0</formula>
    </cfRule>
  </conditionalFormatting>
  <conditionalFormatting sqref="Q19:Q25">
    <cfRule type="cellIs" dxfId="17796" priority="1497" operator="lessThan">
      <formula>0</formula>
    </cfRule>
  </conditionalFormatting>
  <conditionalFormatting sqref="R19:R25">
    <cfRule type="cellIs" dxfId="17795" priority="1495" operator="lessThan">
      <formula>0.8</formula>
    </cfRule>
    <cfRule type="cellIs" dxfId="17794" priority="1496" operator="greaterThan">
      <formula>1</formula>
    </cfRule>
  </conditionalFormatting>
  <conditionalFormatting sqref="R19:R25">
    <cfRule type="cellIs" dxfId="17793" priority="1493" operator="greaterThan">
      <formula>1</formula>
    </cfRule>
    <cfRule type="cellIs" dxfId="17792" priority="1494" operator="lessThan">
      <formula>0.8</formula>
    </cfRule>
  </conditionalFormatting>
  <conditionalFormatting sqref="P19:P25">
    <cfRule type="cellIs" dxfId="17791" priority="1492" operator="greaterThan">
      <formula>0</formula>
    </cfRule>
  </conditionalFormatting>
  <conditionalFormatting sqref="P19:P25">
    <cfRule type="cellIs" dxfId="17790" priority="1486" operator="greaterThan">
      <formula>0</formula>
    </cfRule>
  </conditionalFormatting>
  <conditionalFormatting sqref="Q19:Q25">
    <cfRule type="cellIs" dxfId="17789" priority="1491" operator="lessThan">
      <formula>0</formula>
    </cfRule>
  </conditionalFormatting>
  <conditionalFormatting sqref="R19:R25">
    <cfRule type="cellIs" dxfId="17788" priority="1489" operator="lessThan">
      <formula>0.8</formula>
    </cfRule>
    <cfRule type="cellIs" dxfId="17787" priority="1490" operator="greaterThan">
      <formula>1</formula>
    </cfRule>
  </conditionalFormatting>
  <conditionalFormatting sqref="R19:R25">
    <cfRule type="cellIs" dxfId="17786" priority="1487" operator="greaterThan">
      <formula>1</formula>
    </cfRule>
    <cfRule type="cellIs" dxfId="17785" priority="1488" operator="lessThan">
      <formula>0.8</formula>
    </cfRule>
  </conditionalFormatting>
  <conditionalFormatting sqref="P19:P25">
    <cfRule type="cellIs" dxfId="17784" priority="1480" operator="greaterThan">
      <formula>0</formula>
    </cfRule>
  </conditionalFormatting>
  <conditionalFormatting sqref="Q19:Q25">
    <cfRule type="cellIs" dxfId="17783" priority="1485" operator="lessThan">
      <formula>0</formula>
    </cfRule>
  </conditionalFormatting>
  <conditionalFormatting sqref="R19:R25">
    <cfRule type="cellIs" dxfId="17782" priority="1483" operator="lessThan">
      <formula>0.8</formula>
    </cfRule>
    <cfRule type="cellIs" dxfId="17781" priority="1484" operator="greaterThan">
      <formula>1</formula>
    </cfRule>
  </conditionalFormatting>
  <conditionalFormatting sqref="R19:R25">
    <cfRule type="cellIs" dxfId="17780" priority="1481" operator="greaterThan">
      <formula>1</formula>
    </cfRule>
    <cfRule type="cellIs" dxfId="17779" priority="1482" operator="lessThan">
      <formula>0.8</formula>
    </cfRule>
  </conditionalFormatting>
  <conditionalFormatting sqref="Q19:Q25">
    <cfRule type="cellIs" dxfId="17778" priority="1479" operator="lessThan">
      <formula>0</formula>
    </cfRule>
  </conditionalFormatting>
  <conditionalFormatting sqref="R19:R25">
    <cfRule type="cellIs" dxfId="17777" priority="1477" operator="lessThan">
      <formula>0.8</formula>
    </cfRule>
    <cfRule type="cellIs" dxfId="17776" priority="1478" operator="greaterThan">
      <formula>1</formula>
    </cfRule>
  </conditionalFormatting>
  <conditionalFormatting sqref="R19:R25">
    <cfRule type="cellIs" dxfId="17775" priority="1475" operator="greaterThan">
      <formula>1</formula>
    </cfRule>
    <cfRule type="cellIs" dxfId="17774" priority="1476" operator="lessThan">
      <formula>0.8</formula>
    </cfRule>
  </conditionalFormatting>
  <conditionalFormatting sqref="P19:P25">
    <cfRule type="cellIs" dxfId="17773" priority="1474" operator="greaterThan">
      <formula>0</formula>
    </cfRule>
  </conditionalFormatting>
  <conditionalFormatting sqref="Q19:Q25">
    <cfRule type="cellIs" dxfId="17772" priority="1473" operator="lessThan">
      <formula>0</formula>
    </cfRule>
  </conditionalFormatting>
  <conditionalFormatting sqref="R19:R25">
    <cfRule type="cellIs" dxfId="17771" priority="1471" operator="lessThan">
      <formula>0.8</formula>
    </cfRule>
    <cfRule type="cellIs" dxfId="17770" priority="1472" operator="greaterThan">
      <formula>1</formula>
    </cfRule>
  </conditionalFormatting>
  <conditionalFormatting sqref="R19:R25">
    <cfRule type="cellIs" dxfId="17769" priority="1469" operator="greaterThan">
      <formula>1</formula>
    </cfRule>
    <cfRule type="cellIs" dxfId="17768" priority="1470" operator="lessThan">
      <formula>0.8</formula>
    </cfRule>
  </conditionalFormatting>
  <conditionalFormatting sqref="P19:P25">
    <cfRule type="cellIs" dxfId="17767" priority="1468" operator="greaterThan">
      <formula>0</formula>
    </cfRule>
  </conditionalFormatting>
  <conditionalFormatting sqref="P19:P25">
    <cfRule type="cellIs" dxfId="17766" priority="1462" operator="greaterThan">
      <formula>0</formula>
    </cfRule>
  </conditionalFormatting>
  <conditionalFormatting sqref="Q19:Q25">
    <cfRule type="cellIs" dxfId="17765" priority="1467" operator="lessThan">
      <formula>0</formula>
    </cfRule>
  </conditionalFormatting>
  <conditionalFormatting sqref="R19:R25">
    <cfRule type="cellIs" dxfId="17764" priority="1465" operator="lessThan">
      <formula>0.8</formula>
    </cfRule>
    <cfRule type="cellIs" dxfId="17763" priority="1466" operator="greaterThan">
      <formula>1</formula>
    </cfRule>
  </conditionalFormatting>
  <conditionalFormatting sqref="R19:R25">
    <cfRule type="cellIs" dxfId="17762" priority="1463" operator="greaterThan">
      <formula>1</formula>
    </cfRule>
    <cfRule type="cellIs" dxfId="17761" priority="1464" operator="lessThan">
      <formula>0.8</formula>
    </cfRule>
  </conditionalFormatting>
  <conditionalFormatting sqref="Q19:Q25">
    <cfRule type="cellIs" dxfId="17760" priority="1461" operator="lessThan">
      <formula>0</formula>
    </cfRule>
  </conditionalFormatting>
  <conditionalFormatting sqref="R19:R25">
    <cfRule type="cellIs" dxfId="17759" priority="1459" operator="lessThan">
      <formula>0.8</formula>
    </cfRule>
    <cfRule type="cellIs" dxfId="17758" priority="1460" operator="greaterThan">
      <formula>1</formula>
    </cfRule>
  </conditionalFormatting>
  <conditionalFormatting sqref="R19:R25">
    <cfRule type="cellIs" dxfId="17757" priority="1457" operator="greaterThan">
      <formula>1</formula>
    </cfRule>
    <cfRule type="cellIs" dxfId="17756" priority="1458" operator="lessThan">
      <formula>0.8</formula>
    </cfRule>
  </conditionalFormatting>
  <conditionalFormatting sqref="P19:P25">
    <cfRule type="cellIs" dxfId="17755" priority="1456" operator="greaterThan">
      <formula>0</formula>
    </cfRule>
  </conditionalFormatting>
  <conditionalFormatting sqref="Q19:Q25">
    <cfRule type="cellIs" dxfId="17754" priority="1455" operator="lessThan">
      <formula>0</formula>
    </cfRule>
  </conditionalFormatting>
  <conditionalFormatting sqref="R19:R25">
    <cfRule type="cellIs" dxfId="17753" priority="1453" operator="lessThan">
      <formula>0.8</formula>
    </cfRule>
    <cfRule type="cellIs" dxfId="17752" priority="1454" operator="greaterThan">
      <formula>1</formula>
    </cfRule>
  </conditionalFormatting>
  <conditionalFormatting sqref="R19:R25">
    <cfRule type="cellIs" dxfId="17751" priority="1451" operator="greaterThan">
      <formula>1</formula>
    </cfRule>
    <cfRule type="cellIs" dxfId="17750" priority="1452" operator="lessThan">
      <formula>0.8</formula>
    </cfRule>
  </conditionalFormatting>
  <conditionalFormatting sqref="P19:P25">
    <cfRule type="cellIs" dxfId="17749" priority="1450" operator="greaterThan">
      <formula>0</formula>
    </cfRule>
  </conditionalFormatting>
  <conditionalFormatting sqref="Q19:Q25">
    <cfRule type="cellIs" dxfId="17748" priority="1449" operator="lessThan">
      <formula>0</formula>
    </cfRule>
  </conditionalFormatting>
  <conditionalFormatting sqref="R19:R25">
    <cfRule type="cellIs" dxfId="17747" priority="1447" operator="lessThan">
      <formula>0.8</formula>
    </cfRule>
    <cfRule type="cellIs" dxfId="17746" priority="1448" operator="greaterThan">
      <formula>1</formula>
    </cfRule>
  </conditionalFormatting>
  <conditionalFormatting sqref="R19:R25">
    <cfRule type="cellIs" dxfId="17745" priority="1445" operator="greaterThan">
      <formula>1</formula>
    </cfRule>
    <cfRule type="cellIs" dxfId="17744" priority="1446" operator="lessThan">
      <formula>0.8</formula>
    </cfRule>
  </conditionalFormatting>
  <conditionalFormatting sqref="P19:P25">
    <cfRule type="cellIs" dxfId="17743" priority="1444" operator="greaterThan">
      <formula>0</formula>
    </cfRule>
  </conditionalFormatting>
  <conditionalFormatting sqref="R19:R25">
    <cfRule type="cellIs" dxfId="17742" priority="1441" operator="lessThan">
      <formula>0.8</formula>
    </cfRule>
    <cfRule type="cellIs" dxfId="17741" priority="1442" operator="greaterThan">
      <formula>1</formula>
    </cfRule>
  </conditionalFormatting>
  <conditionalFormatting sqref="R19:R25">
    <cfRule type="cellIs" dxfId="17740" priority="1439" operator="greaterThan">
      <formula>1</formula>
    </cfRule>
    <cfRule type="cellIs" dxfId="17739" priority="1440" operator="lessThan">
      <formula>0.8</formula>
    </cfRule>
  </conditionalFormatting>
  <conditionalFormatting sqref="P19:P25">
    <cfRule type="cellIs" dxfId="17738" priority="1438" operator="greaterThan">
      <formula>0</formula>
    </cfRule>
  </conditionalFormatting>
  <conditionalFormatting sqref="Q19:Q25">
    <cfRule type="cellIs" dxfId="17737" priority="1443" operator="lessThan">
      <formula>0</formula>
    </cfRule>
  </conditionalFormatting>
  <conditionalFormatting sqref="Q40">
    <cfRule type="cellIs" dxfId="17736" priority="1437" operator="lessThan">
      <formula>0</formula>
    </cfRule>
  </conditionalFormatting>
  <conditionalFormatting sqref="R40">
    <cfRule type="cellIs" dxfId="17735" priority="1435" operator="lessThan">
      <formula>0.8</formula>
    </cfRule>
    <cfRule type="cellIs" dxfId="17734" priority="1436" operator="greaterThan">
      <formula>1</formula>
    </cfRule>
  </conditionalFormatting>
  <conditionalFormatting sqref="R40">
    <cfRule type="cellIs" dxfId="17733" priority="1433" operator="greaterThan">
      <formula>1</formula>
    </cfRule>
    <cfRule type="cellIs" dxfId="17732" priority="1434" operator="lessThan">
      <formula>0.8</formula>
    </cfRule>
  </conditionalFormatting>
  <conditionalFormatting sqref="P40">
    <cfRule type="cellIs" dxfId="17731" priority="1432" operator="greaterThan">
      <formula>0</formula>
    </cfRule>
  </conditionalFormatting>
  <conditionalFormatting sqref="P40">
    <cfRule type="cellIs" dxfId="17730" priority="1426" operator="greaterThan">
      <formula>0</formula>
    </cfRule>
  </conditionalFormatting>
  <conditionalFormatting sqref="Q40">
    <cfRule type="cellIs" dxfId="17729" priority="1431" operator="lessThan">
      <formula>0</formula>
    </cfRule>
  </conditionalFormatting>
  <conditionalFormatting sqref="R40">
    <cfRule type="cellIs" dxfId="17728" priority="1429" operator="lessThan">
      <formula>0.8</formula>
    </cfRule>
    <cfRule type="cellIs" dxfId="17727" priority="1430" operator="greaterThan">
      <formula>1</formula>
    </cfRule>
  </conditionalFormatting>
  <conditionalFormatting sqref="R40">
    <cfRule type="cellIs" dxfId="17726" priority="1427" operator="greaterThan">
      <formula>1</formula>
    </cfRule>
    <cfRule type="cellIs" dxfId="17725" priority="1428" operator="lessThan">
      <formula>0.8</formula>
    </cfRule>
  </conditionalFormatting>
  <conditionalFormatting sqref="P40">
    <cfRule type="cellIs" dxfId="17724" priority="1420" operator="greaterThan">
      <formula>0</formula>
    </cfRule>
  </conditionalFormatting>
  <conditionalFormatting sqref="Q40">
    <cfRule type="cellIs" dxfId="17723" priority="1425" operator="lessThan">
      <formula>0</formula>
    </cfRule>
  </conditionalFormatting>
  <conditionalFormatting sqref="R40">
    <cfRule type="cellIs" dxfId="17722" priority="1423" operator="lessThan">
      <formula>0.8</formula>
    </cfRule>
    <cfRule type="cellIs" dxfId="17721" priority="1424" operator="greaterThan">
      <formula>1</formula>
    </cfRule>
  </conditionalFormatting>
  <conditionalFormatting sqref="R40">
    <cfRule type="cellIs" dxfId="17720" priority="1421" operator="greaterThan">
      <formula>1</formula>
    </cfRule>
    <cfRule type="cellIs" dxfId="17719" priority="1422" operator="lessThan">
      <formula>0.8</formula>
    </cfRule>
  </conditionalFormatting>
  <conditionalFormatting sqref="Q40">
    <cfRule type="cellIs" dxfId="17718" priority="1419" operator="lessThan">
      <formula>0</formula>
    </cfRule>
  </conditionalFormatting>
  <conditionalFormatting sqref="R40">
    <cfRule type="cellIs" dxfId="17717" priority="1417" operator="lessThan">
      <formula>0.8</formula>
    </cfRule>
    <cfRule type="cellIs" dxfId="17716" priority="1418" operator="greaterThan">
      <formula>1</formula>
    </cfRule>
  </conditionalFormatting>
  <conditionalFormatting sqref="R40">
    <cfRule type="cellIs" dxfId="17715" priority="1415" operator="greaterThan">
      <formula>1</formula>
    </cfRule>
    <cfRule type="cellIs" dxfId="17714" priority="1416" operator="lessThan">
      <formula>0.8</formula>
    </cfRule>
  </conditionalFormatting>
  <conditionalFormatting sqref="P40">
    <cfRule type="cellIs" dxfId="17713" priority="1414" operator="greaterThan">
      <formula>0</formula>
    </cfRule>
  </conditionalFormatting>
  <conditionalFormatting sqref="P40">
    <cfRule type="cellIs" dxfId="17712" priority="1408" operator="greaterThan">
      <formula>0</formula>
    </cfRule>
  </conditionalFormatting>
  <conditionalFormatting sqref="Q40">
    <cfRule type="cellIs" dxfId="17711" priority="1413" operator="lessThan">
      <formula>0</formula>
    </cfRule>
  </conditionalFormatting>
  <conditionalFormatting sqref="R40">
    <cfRule type="cellIs" dxfId="17710" priority="1411" operator="lessThan">
      <formula>0.8</formula>
    </cfRule>
    <cfRule type="cellIs" dxfId="17709" priority="1412" operator="greaterThan">
      <formula>1</formula>
    </cfRule>
  </conditionalFormatting>
  <conditionalFormatting sqref="R40">
    <cfRule type="cellIs" dxfId="17708" priority="1409" operator="greaterThan">
      <formula>1</formula>
    </cfRule>
    <cfRule type="cellIs" dxfId="17707" priority="1410" operator="lessThan">
      <formula>0.8</formula>
    </cfRule>
  </conditionalFormatting>
  <conditionalFormatting sqref="P40">
    <cfRule type="cellIs" dxfId="17706" priority="1402" operator="greaterThan">
      <formula>0</formula>
    </cfRule>
  </conditionalFormatting>
  <conditionalFormatting sqref="Q40">
    <cfRule type="cellIs" dxfId="17705" priority="1407" operator="lessThan">
      <formula>0</formula>
    </cfRule>
  </conditionalFormatting>
  <conditionalFormatting sqref="R40">
    <cfRule type="cellIs" dxfId="17704" priority="1405" operator="lessThan">
      <formula>0.8</formula>
    </cfRule>
    <cfRule type="cellIs" dxfId="17703" priority="1406" operator="greaterThan">
      <formula>1</formula>
    </cfRule>
  </conditionalFormatting>
  <conditionalFormatting sqref="R40">
    <cfRule type="cellIs" dxfId="17702" priority="1403" operator="greaterThan">
      <formula>1</formula>
    </cfRule>
    <cfRule type="cellIs" dxfId="17701" priority="1404" operator="lessThan">
      <formula>0.8</formula>
    </cfRule>
  </conditionalFormatting>
  <conditionalFormatting sqref="P40">
    <cfRule type="cellIs" dxfId="17700" priority="1396" operator="greaterThan">
      <formula>0</formula>
    </cfRule>
  </conditionalFormatting>
  <conditionalFormatting sqref="Q40">
    <cfRule type="cellIs" dxfId="17699" priority="1401" operator="lessThan">
      <formula>0</formula>
    </cfRule>
  </conditionalFormatting>
  <conditionalFormatting sqref="R40">
    <cfRule type="cellIs" dxfId="17698" priority="1399" operator="lessThan">
      <formula>0.8</formula>
    </cfRule>
    <cfRule type="cellIs" dxfId="17697" priority="1400" operator="greaterThan">
      <formula>1</formula>
    </cfRule>
  </conditionalFormatting>
  <conditionalFormatting sqref="R40">
    <cfRule type="cellIs" dxfId="17696" priority="1397" operator="greaterThan">
      <formula>1</formula>
    </cfRule>
    <cfRule type="cellIs" dxfId="17695" priority="1398" operator="lessThan">
      <formula>0.8</formula>
    </cfRule>
  </conditionalFormatting>
  <conditionalFormatting sqref="Q40">
    <cfRule type="cellIs" dxfId="17694" priority="1390" operator="lessThan">
      <formula>0</formula>
    </cfRule>
  </conditionalFormatting>
  <conditionalFormatting sqref="P40">
    <cfRule type="cellIs" dxfId="17693" priority="1391" operator="greaterThan">
      <formula>0</formula>
    </cfRule>
  </conditionalFormatting>
  <conditionalFormatting sqref="R40">
    <cfRule type="cellIs" dxfId="17692" priority="1394" operator="lessThan">
      <formula>0.8</formula>
    </cfRule>
    <cfRule type="cellIs" dxfId="17691" priority="1395" operator="greaterThan">
      <formula>1</formula>
    </cfRule>
  </conditionalFormatting>
  <conditionalFormatting sqref="R40">
    <cfRule type="cellIs" dxfId="17690" priority="1392" operator="greaterThan">
      <formula>1</formula>
    </cfRule>
    <cfRule type="cellIs" dxfId="17689" priority="1393" operator="lessThan">
      <formula>0.8</formula>
    </cfRule>
  </conditionalFormatting>
  <conditionalFormatting sqref="Q40">
    <cfRule type="cellIs" dxfId="17688" priority="1384" operator="lessThan">
      <formula>0</formula>
    </cfRule>
  </conditionalFormatting>
  <conditionalFormatting sqref="R40">
    <cfRule type="cellIs" dxfId="17687" priority="1388" operator="lessThan">
      <formula>0.8</formula>
    </cfRule>
    <cfRule type="cellIs" dxfId="17686" priority="1389" operator="greaterThan">
      <formula>1</formula>
    </cfRule>
  </conditionalFormatting>
  <conditionalFormatting sqref="R40">
    <cfRule type="cellIs" dxfId="17685" priority="1386" operator="greaterThan">
      <formula>1</formula>
    </cfRule>
    <cfRule type="cellIs" dxfId="17684" priority="1387" operator="lessThan">
      <formula>0.8</formula>
    </cfRule>
  </conditionalFormatting>
  <conditionalFormatting sqref="P40">
    <cfRule type="cellIs" dxfId="17683" priority="1385" operator="greaterThan">
      <formula>0</formula>
    </cfRule>
  </conditionalFormatting>
  <conditionalFormatting sqref="Q40">
    <cfRule type="cellIs" dxfId="17682" priority="1383" operator="lessThan">
      <formula>0</formula>
    </cfRule>
  </conditionalFormatting>
  <conditionalFormatting sqref="R40">
    <cfRule type="cellIs" dxfId="17681" priority="1381" operator="lessThan">
      <formula>0.8</formula>
    </cfRule>
    <cfRule type="cellIs" dxfId="17680" priority="1382" operator="greaterThan">
      <formula>1</formula>
    </cfRule>
  </conditionalFormatting>
  <conditionalFormatting sqref="R40">
    <cfRule type="cellIs" dxfId="17679" priority="1379" operator="greaterThan">
      <formula>1</formula>
    </cfRule>
    <cfRule type="cellIs" dxfId="17678" priority="1380" operator="lessThan">
      <formula>0.8</formula>
    </cfRule>
  </conditionalFormatting>
  <conditionalFormatting sqref="P40">
    <cfRule type="cellIs" dxfId="17677" priority="1378" operator="greaterThan">
      <formula>0</formula>
    </cfRule>
  </conditionalFormatting>
  <conditionalFormatting sqref="Q40">
    <cfRule type="cellIs" dxfId="17676" priority="1377" operator="lessThan">
      <formula>0</formula>
    </cfRule>
  </conditionalFormatting>
  <conditionalFormatting sqref="R40">
    <cfRule type="cellIs" dxfId="17675" priority="1375" operator="lessThan">
      <formula>0.8</formula>
    </cfRule>
    <cfRule type="cellIs" dxfId="17674" priority="1376" operator="greaterThan">
      <formula>1</formula>
    </cfRule>
  </conditionalFormatting>
  <conditionalFormatting sqref="R40">
    <cfRule type="cellIs" dxfId="17673" priority="1373" operator="greaterThan">
      <formula>1</formula>
    </cfRule>
    <cfRule type="cellIs" dxfId="17672" priority="1374" operator="lessThan">
      <formula>0.8</formula>
    </cfRule>
  </conditionalFormatting>
  <conditionalFormatting sqref="P40">
    <cfRule type="cellIs" dxfId="17671" priority="1372" operator="greaterThan">
      <formula>0</formula>
    </cfRule>
  </conditionalFormatting>
  <conditionalFormatting sqref="Q32:Q39">
    <cfRule type="cellIs" dxfId="17670" priority="1371" operator="lessThan">
      <formula>0</formula>
    </cfRule>
  </conditionalFormatting>
  <conditionalFormatting sqref="R32:R39">
    <cfRule type="cellIs" dxfId="17669" priority="1369" operator="lessThan">
      <formula>0.8</formula>
    </cfRule>
    <cfRule type="cellIs" dxfId="17668" priority="1370" operator="greaterThan">
      <formula>1</formula>
    </cfRule>
  </conditionalFormatting>
  <conditionalFormatting sqref="R32:R39">
    <cfRule type="cellIs" dxfId="17667" priority="1367" operator="greaterThan">
      <formula>1</formula>
    </cfRule>
    <cfRule type="cellIs" dxfId="17666" priority="1368" operator="lessThan">
      <formula>0.8</formula>
    </cfRule>
  </conditionalFormatting>
  <conditionalFormatting sqref="P32:P39">
    <cfRule type="cellIs" dxfId="17665" priority="1366" operator="greaterThan">
      <formula>0</formula>
    </cfRule>
  </conditionalFormatting>
  <conditionalFormatting sqref="Q32:Q39">
    <cfRule type="cellIs" dxfId="17664" priority="1365" operator="lessThan">
      <formula>0</formula>
    </cfRule>
  </conditionalFormatting>
  <conditionalFormatting sqref="R32:R39">
    <cfRule type="cellIs" dxfId="17663" priority="1363" operator="lessThan">
      <formula>0.8</formula>
    </cfRule>
    <cfRule type="cellIs" dxfId="17662" priority="1364" operator="greaterThan">
      <formula>1</formula>
    </cfRule>
  </conditionalFormatting>
  <conditionalFormatting sqref="R32:R39">
    <cfRule type="cellIs" dxfId="17661" priority="1361" operator="greaterThan">
      <formula>1</formula>
    </cfRule>
    <cfRule type="cellIs" dxfId="17660" priority="1362" operator="lessThan">
      <formula>0.8</formula>
    </cfRule>
  </conditionalFormatting>
  <conditionalFormatting sqref="P32:P39">
    <cfRule type="cellIs" dxfId="17659" priority="1360" operator="greaterThan">
      <formula>0</formula>
    </cfRule>
  </conditionalFormatting>
  <conditionalFormatting sqref="Q32:Q39">
    <cfRule type="cellIs" dxfId="17658" priority="1359" operator="lessThan">
      <formula>0</formula>
    </cfRule>
  </conditionalFormatting>
  <conditionalFormatting sqref="R32:R39">
    <cfRule type="cellIs" dxfId="17657" priority="1357" operator="lessThan">
      <formula>0.8</formula>
    </cfRule>
    <cfRule type="cellIs" dxfId="17656" priority="1358" operator="greaterThan">
      <formula>1</formula>
    </cfRule>
  </conditionalFormatting>
  <conditionalFormatting sqref="R32:R39">
    <cfRule type="cellIs" dxfId="17655" priority="1355" operator="greaterThan">
      <formula>1</formula>
    </cfRule>
    <cfRule type="cellIs" dxfId="17654" priority="1356" operator="lessThan">
      <formula>0.8</formula>
    </cfRule>
  </conditionalFormatting>
  <conditionalFormatting sqref="P32:P39">
    <cfRule type="cellIs" dxfId="17653" priority="1354" operator="greaterThan">
      <formula>0</formula>
    </cfRule>
  </conditionalFormatting>
  <conditionalFormatting sqref="Q32:Q39">
    <cfRule type="cellIs" dxfId="17652" priority="1353" operator="lessThan">
      <formula>0</formula>
    </cfRule>
  </conditionalFormatting>
  <conditionalFormatting sqref="R32:R39">
    <cfRule type="cellIs" dxfId="17651" priority="1351" operator="lessThan">
      <formula>0.8</formula>
    </cfRule>
    <cfRule type="cellIs" dxfId="17650" priority="1352" operator="greaterThan">
      <formula>1</formula>
    </cfRule>
  </conditionalFormatting>
  <conditionalFormatting sqref="R32:R39">
    <cfRule type="cellIs" dxfId="17649" priority="1349" operator="greaterThan">
      <formula>1</formula>
    </cfRule>
    <cfRule type="cellIs" dxfId="17648" priority="1350" operator="lessThan">
      <formula>0.8</formula>
    </cfRule>
  </conditionalFormatting>
  <conditionalFormatting sqref="P32:P39">
    <cfRule type="cellIs" dxfId="17647" priority="1348" operator="greaterThan">
      <formula>0</formula>
    </cfRule>
  </conditionalFormatting>
  <conditionalFormatting sqref="P32:P39">
    <cfRule type="cellIs" dxfId="17646" priority="1342" operator="greaterThan">
      <formula>0</formula>
    </cfRule>
  </conditionalFormatting>
  <conditionalFormatting sqref="Q32:Q39">
    <cfRule type="cellIs" dxfId="17645" priority="1347" operator="lessThan">
      <formula>0</formula>
    </cfRule>
  </conditionalFormatting>
  <conditionalFormatting sqref="R32:R39">
    <cfRule type="cellIs" dxfId="17644" priority="1345" operator="lessThan">
      <formula>0.8</formula>
    </cfRule>
    <cfRule type="cellIs" dxfId="17643" priority="1346" operator="greaterThan">
      <formula>1</formula>
    </cfRule>
  </conditionalFormatting>
  <conditionalFormatting sqref="R32:R39">
    <cfRule type="cellIs" dxfId="17642" priority="1343" operator="greaterThan">
      <formula>1</formula>
    </cfRule>
    <cfRule type="cellIs" dxfId="17641" priority="1344" operator="lessThan">
      <formula>0.8</formula>
    </cfRule>
  </conditionalFormatting>
  <conditionalFormatting sqref="P32:P39">
    <cfRule type="cellIs" dxfId="17640" priority="1336" operator="greaterThan">
      <formula>0</formula>
    </cfRule>
  </conditionalFormatting>
  <conditionalFormatting sqref="Q32:Q39">
    <cfRule type="cellIs" dxfId="17639" priority="1341" operator="lessThan">
      <formula>0</formula>
    </cfRule>
  </conditionalFormatting>
  <conditionalFormatting sqref="R32:R39">
    <cfRule type="cellIs" dxfId="17638" priority="1339" operator="lessThan">
      <formula>0.8</formula>
    </cfRule>
    <cfRule type="cellIs" dxfId="17637" priority="1340" operator="greaterThan">
      <formula>1</formula>
    </cfRule>
  </conditionalFormatting>
  <conditionalFormatting sqref="R32:R39">
    <cfRule type="cellIs" dxfId="17636" priority="1337" operator="greaterThan">
      <formula>1</formula>
    </cfRule>
    <cfRule type="cellIs" dxfId="17635" priority="1338" operator="lessThan">
      <formula>0.8</formula>
    </cfRule>
  </conditionalFormatting>
  <conditionalFormatting sqref="R32:R39">
    <cfRule type="cellIs" dxfId="17634" priority="1333" operator="lessThan">
      <formula>0.8</formula>
    </cfRule>
    <cfRule type="cellIs" dxfId="17633" priority="1334" operator="greaterThan">
      <formula>1</formula>
    </cfRule>
  </conditionalFormatting>
  <conditionalFormatting sqref="R32:R39">
    <cfRule type="cellIs" dxfId="17632" priority="1331" operator="greaterThan">
      <formula>1</formula>
    </cfRule>
    <cfRule type="cellIs" dxfId="17631" priority="1332" operator="lessThan">
      <formula>0.8</formula>
    </cfRule>
  </conditionalFormatting>
  <conditionalFormatting sqref="P32:P39">
    <cfRule type="cellIs" dxfId="17630" priority="1330" operator="greaterThan">
      <formula>0</formula>
    </cfRule>
  </conditionalFormatting>
  <conditionalFormatting sqref="Q32:Q39">
    <cfRule type="cellIs" dxfId="17629" priority="1335" operator="lessThan">
      <formula>0</formula>
    </cfRule>
  </conditionalFormatting>
  <conditionalFormatting sqref="Q32:Q39">
    <cfRule type="cellIs" dxfId="17628" priority="1329" operator="lessThan">
      <formula>0</formula>
    </cfRule>
  </conditionalFormatting>
  <conditionalFormatting sqref="R32:R39">
    <cfRule type="cellIs" dxfId="17627" priority="1327" operator="lessThan">
      <formula>0.8</formula>
    </cfRule>
    <cfRule type="cellIs" dxfId="17626" priority="1328" operator="greaterThan">
      <formula>1</formula>
    </cfRule>
  </conditionalFormatting>
  <conditionalFormatting sqref="R32:R39">
    <cfRule type="cellIs" dxfId="17625" priority="1325" operator="greaterThan">
      <formula>1</formula>
    </cfRule>
    <cfRule type="cellIs" dxfId="17624" priority="1326" operator="lessThan">
      <formula>0.8</formula>
    </cfRule>
  </conditionalFormatting>
  <conditionalFormatting sqref="P32:P39">
    <cfRule type="cellIs" dxfId="17623" priority="1324" operator="greaterThan">
      <formula>0</formula>
    </cfRule>
  </conditionalFormatting>
  <conditionalFormatting sqref="P32:P39">
    <cfRule type="cellIs" dxfId="17622" priority="1318" operator="greaterThan">
      <formula>0</formula>
    </cfRule>
  </conditionalFormatting>
  <conditionalFormatting sqref="Q32:Q39">
    <cfRule type="cellIs" dxfId="17621" priority="1323" operator="lessThan">
      <formula>0</formula>
    </cfRule>
  </conditionalFormatting>
  <conditionalFormatting sqref="R32:R39">
    <cfRule type="cellIs" dxfId="17620" priority="1321" operator="lessThan">
      <formula>0.8</formula>
    </cfRule>
    <cfRule type="cellIs" dxfId="17619" priority="1322" operator="greaterThan">
      <formula>1</formula>
    </cfRule>
  </conditionalFormatting>
  <conditionalFormatting sqref="R32:R39">
    <cfRule type="cellIs" dxfId="17618" priority="1319" operator="greaterThan">
      <formula>1</formula>
    </cfRule>
    <cfRule type="cellIs" dxfId="17617" priority="1320" operator="lessThan">
      <formula>0.8</formula>
    </cfRule>
  </conditionalFormatting>
  <conditionalFormatting sqref="P32:P39">
    <cfRule type="cellIs" dxfId="17616" priority="1312" operator="greaterThan">
      <formula>0</formula>
    </cfRule>
  </conditionalFormatting>
  <conditionalFormatting sqref="Q32:Q39">
    <cfRule type="cellIs" dxfId="17615" priority="1317" operator="lessThan">
      <formula>0</formula>
    </cfRule>
  </conditionalFormatting>
  <conditionalFormatting sqref="R32:R39">
    <cfRule type="cellIs" dxfId="17614" priority="1315" operator="lessThan">
      <formula>0.8</formula>
    </cfRule>
    <cfRule type="cellIs" dxfId="17613" priority="1316" operator="greaterThan">
      <formula>1</formula>
    </cfRule>
  </conditionalFormatting>
  <conditionalFormatting sqref="R32:R39">
    <cfRule type="cellIs" dxfId="17612" priority="1313" operator="greaterThan">
      <formula>1</formula>
    </cfRule>
    <cfRule type="cellIs" dxfId="17611" priority="1314" operator="lessThan">
      <formula>0.8</formula>
    </cfRule>
  </conditionalFormatting>
  <conditionalFormatting sqref="R32:R39">
    <cfRule type="cellIs" dxfId="17610" priority="1309" operator="lessThan">
      <formula>0.8</formula>
    </cfRule>
    <cfRule type="cellIs" dxfId="17609" priority="1310" operator="greaterThan">
      <formula>1</formula>
    </cfRule>
  </conditionalFormatting>
  <conditionalFormatting sqref="R32:R39">
    <cfRule type="cellIs" dxfId="17608" priority="1307" operator="greaterThan">
      <formula>1</formula>
    </cfRule>
    <cfRule type="cellIs" dxfId="17607" priority="1308" operator="lessThan">
      <formula>0.8</formula>
    </cfRule>
  </conditionalFormatting>
  <conditionalFormatting sqref="P32:P39">
    <cfRule type="cellIs" dxfId="17606" priority="1306" operator="greaterThan">
      <formula>0</formula>
    </cfRule>
  </conditionalFormatting>
  <conditionalFormatting sqref="Q32:Q39">
    <cfRule type="cellIs" dxfId="17605" priority="1311" operator="lessThan">
      <formula>0</formula>
    </cfRule>
  </conditionalFormatting>
  <conditionalFormatting sqref="P32:P39">
    <cfRule type="cellIs" dxfId="17604" priority="1300" operator="greaterThan">
      <formula>0</formula>
    </cfRule>
  </conditionalFormatting>
  <conditionalFormatting sqref="Q32:Q39">
    <cfRule type="cellIs" dxfId="17603" priority="1305" operator="lessThan">
      <formula>0</formula>
    </cfRule>
  </conditionalFormatting>
  <conditionalFormatting sqref="R32:R39">
    <cfRule type="cellIs" dxfId="17602" priority="1303" operator="lessThan">
      <formula>0.8</formula>
    </cfRule>
    <cfRule type="cellIs" dxfId="17601" priority="1304" operator="greaterThan">
      <formula>1</formula>
    </cfRule>
  </conditionalFormatting>
  <conditionalFormatting sqref="R32:R39">
    <cfRule type="cellIs" dxfId="17600" priority="1301" operator="greaterThan">
      <formula>1</formula>
    </cfRule>
    <cfRule type="cellIs" dxfId="17599" priority="1302" operator="lessThan">
      <formula>0.8</formula>
    </cfRule>
  </conditionalFormatting>
  <conditionalFormatting sqref="R32:R39">
    <cfRule type="cellIs" dxfId="17598" priority="1297" operator="lessThan">
      <formula>0.8</formula>
    </cfRule>
    <cfRule type="cellIs" dxfId="17597" priority="1298" operator="greaterThan">
      <formula>1</formula>
    </cfRule>
  </conditionalFormatting>
  <conditionalFormatting sqref="R32:R39">
    <cfRule type="cellIs" dxfId="17596" priority="1295" operator="greaterThan">
      <formula>1</formula>
    </cfRule>
    <cfRule type="cellIs" dxfId="17595" priority="1296" operator="lessThan">
      <formula>0.8</formula>
    </cfRule>
  </conditionalFormatting>
  <conditionalFormatting sqref="P32:P39">
    <cfRule type="cellIs" dxfId="17594" priority="1294" operator="greaterThan">
      <formula>0</formula>
    </cfRule>
  </conditionalFormatting>
  <conditionalFormatting sqref="Q32:Q39">
    <cfRule type="cellIs" dxfId="17593" priority="1299" operator="lessThan">
      <formula>0</formula>
    </cfRule>
  </conditionalFormatting>
  <conditionalFormatting sqref="R32:R39">
    <cfRule type="cellIs" dxfId="17592" priority="1291" operator="lessThan">
      <formula>0.8</formula>
    </cfRule>
    <cfRule type="cellIs" dxfId="17591" priority="1292" operator="greaterThan">
      <formula>1</formula>
    </cfRule>
  </conditionalFormatting>
  <conditionalFormatting sqref="R32:R39">
    <cfRule type="cellIs" dxfId="17590" priority="1289" operator="greaterThan">
      <formula>1</formula>
    </cfRule>
    <cfRule type="cellIs" dxfId="17589" priority="1290" operator="lessThan">
      <formula>0.8</formula>
    </cfRule>
  </conditionalFormatting>
  <conditionalFormatting sqref="P32:P39">
    <cfRule type="cellIs" dxfId="17588" priority="1288" operator="greaterThan">
      <formula>0</formula>
    </cfRule>
  </conditionalFormatting>
  <conditionalFormatting sqref="Q32:Q39">
    <cfRule type="cellIs" dxfId="17587" priority="1293" operator="lessThan">
      <formula>0</formula>
    </cfRule>
  </conditionalFormatting>
  <conditionalFormatting sqref="Q32:Q39">
    <cfRule type="cellIs" dxfId="17586" priority="1287" operator="lessThan">
      <formula>0</formula>
    </cfRule>
  </conditionalFormatting>
  <conditionalFormatting sqref="R32:R39">
    <cfRule type="cellIs" dxfId="17585" priority="1285" operator="lessThan">
      <formula>0.8</formula>
    </cfRule>
    <cfRule type="cellIs" dxfId="17584" priority="1286" operator="greaterThan">
      <formula>1</formula>
    </cfRule>
  </conditionalFormatting>
  <conditionalFormatting sqref="R32:R39">
    <cfRule type="cellIs" dxfId="17583" priority="1283" operator="greaterThan">
      <formula>1</formula>
    </cfRule>
    <cfRule type="cellIs" dxfId="17582" priority="1284" operator="lessThan">
      <formula>0.8</formula>
    </cfRule>
  </conditionalFormatting>
  <conditionalFormatting sqref="P32:P39">
    <cfRule type="cellIs" dxfId="17581" priority="1282" operator="greaterThan">
      <formula>0</formula>
    </cfRule>
  </conditionalFormatting>
  <conditionalFormatting sqref="Q32:Q39">
    <cfRule type="cellIs" dxfId="17580" priority="1276" operator="lessThan">
      <formula>0</formula>
    </cfRule>
  </conditionalFormatting>
  <conditionalFormatting sqref="R32:R39">
    <cfRule type="cellIs" dxfId="17579" priority="1280" operator="lessThan">
      <formula>0.8</formula>
    </cfRule>
    <cfRule type="cellIs" dxfId="17578" priority="1281" operator="greaterThan">
      <formula>1</formula>
    </cfRule>
  </conditionalFormatting>
  <conditionalFormatting sqref="R32:R39">
    <cfRule type="cellIs" dxfId="17577" priority="1278" operator="greaterThan">
      <formula>1</formula>
    </cfRule>
    <cfRule type="cellIs" dxfId="17576" priority="1279" operator="lessThan">
      <formula>0.8</formula>
    </cfRule>
  </conditionalFormatting>
  <conditionalFormatting sqref="P32:P39">
    <cfRule type="cellIs" dxfId="17575" priority="1277" operator="greaterThan">
      <formula>0</formula>
    </cfRule>
  </conditionalFormatting>
  <conditionalFormatting sqref="Q32:Q39">
    <cfRule type="cellIs" dxfId="17574" priority="1275" operator="lessThan">
      <formula>0</formula>
    </cfRule>
  </conditionalFormatting>
  <conditionalFormatting sqref="R32:R39">
    <cfRule type="cellIs" dxfId="17573" priority="1273" operator="lessThan">
      <formula>0.8</formula>
    </cfRule>
    <cfRule type="cellIs" dxfId="17572" priority="1274" operator="greaterThan">
      <formula>1</formula>
    </cfRule>
  </conditionalFormatting>
  <conditionalFormatting sqref="R32:R39">
    <cfRule type="cellIs" dxfId="17571" priority="1271" operator="greaterThan">
      <formula>1</formula>
    </cfRule>
    <cfRule type="cellIs" dxfId="17570" priority="1272" operator="lessThan">
      <formula>0.8</formula>
    </cfRule>
  </conditionalFormatting>
  <conditionalFormatting sqref="P32:P39">
    <cfRule type="cellIs" dxfId="17569" priority="1270" operator="greaterThan">
      <formula>0</formula>
    </cfRule>
  </conditionalFormatting>
  <conditionalFormatting sqref="Q32:Q39">
    <cfRule type="cellIs" dxfId="17568" priority="1269" operator="lessThan">
      <formula>0</formula>
    </cfRule>
  </conditionalFormatting>
  <conditionalFormatting sqref="R32:R39">
    <cfRule type="cellIs" dxfId="17567" priority="1267" operator="lessThan">
      <formula>0.8</formula>
    </cfRule>
    <cfRule type="cellIs" dxfId="17566" priority="1268" operator="greaterThan">
      <formula>1</formula>
    </cfRule>
  </conditionalFormatting>
  <conditionalFormatting sqref="R32:R39">
    <cfRule type="cellIs" dxfId="17565" priority="1265" operator="greaterThan">
      <formula>1</formula>
    </cfRule>
    <cfRule type="cellIs" dxfId="17564" priority="1266" operator="lessThan">
      <formula>0.8</formula>
    </cfRule>
  </conditionalFormatting>
  <conditionalFormatting sqref="P32:P39">
    <cfRule type="cellIs" dxfId="17563" priority="1264" operator="greaterThan">
      <formula>0</formula>
    </cfRule>
  </conditionalFormatting>
  <conditionalFormatting sqref="Q32:Q39">
    <cfRule type="cellIs" dxfId="17562" priority="1263" operator="lessThan">
      <formula>0</formula>
    </cfRule>
  </conditionalFormatting>
  <conditionalFormatting sqref="R32:R39">
    <cfRule type="cellIs" dxfId="17561" priority="1261" operator="lessThan">
      <formula>0.8</formula>
    </cfRule>
    <cfRule type="cellIs" dxfId="17560" priority="1262" operator="greaterThan">
      <formula>1</formula>
    </cfRule>
  </conditionalFormatting>
  <conditionalFormatting sqref="R32:R39">
    <cfRule type="cellIs" dxfId="17559" priority="1259" operator="greaterThan">
      <formula>1</formula>
    </cfRule>
    <cfRule type="cellIs" dxfId="17558" priority="1260" operator="lessThan">
      <formula>0.8</formula>
    </cfRule>
  </conditionalFormatting>
  <conditionalFormatting sqref="P32:P39">
    <cfRule type="cellIs" dxfId="17557" priority="1258" operator="greaterThan">
      <formula>0</formula>
    </cfRule>
  </conditionalFormatting>
  <conditionalFormatting sqref="Q32:Q39">
    <cfRule type="cellIs" dxfId="17556" priority="1257" operator="lessThan">
      <formula>0</formula>
    </cfRule>
  </conditionalFormatting>
  <conditionalFormatting sqref="R32:R39">
    <cfRule type="cellIs" dxfId="17555" priority="1255" operator="lessThan">
      <formula>0.8</formula>
    </cfRule>
    <cfRule type="cellIs" dxfId="17554" priority="1256" operator="greaterThan">
      <formula>1</formula>
    </cfRule>
  </conditionalFormatting>
  <conditionalFormatting sqref="R32:R39">
    <cfRule type="cellIs" dxfId="17553" priority="1253" operator="greaterThan">
      <formula>1</formula>
    </cfRule>
    <cfRule type="cellIs" dxfId="17552" priority="1254" operator="lessThan">
      <formula>0.8</formula>
    </cfRule>
  </conditionalFormatting>
  <conditionalFormatting sqref="P32:P39">
    <cfRule type="cellIs" dxfId="17551" priority="1252" operator="greaterThan">
      <formula>0</formula>
    </cfRule>
  </conditionalFormatting>
  <conditionalFormatting sqref="Q32:Q39">
    <cfRule type="cellIs" dxfId="17550" priority="1251" operator="lessThan">
      <formula>0</formula>
    </cfRule>
  </conditionalFormatting>
  <conditionalFormatting sqref="R32:R39">
    <cfRule type="cellIs" dxfId="17549" priority="1249" operator="lessThan">
      <formula>0.8</formula>
    </cfRule>
    <cfRule type="cellIs" dxfId="17548" priority="1250" operator="greaterThan">
      <formula>1</formula>
    </cfRule>
  </conditionalFormatting>
  <conditionalFormatting sqref="R32:R39">
    <cfRule type="cellIs" dxfId="17547" priority="1247" operator="greaterThan">
      <formula>1</formula>
    </cfRule>
    <cfRule type="cellIs" dxfId="17546" priority="1248" operator="lessThan">
      <formula>0.8</formula>
    </cfRule>
  </conditionalFormatting>
  <conditionalFormatting sqref="P32:P39">
    <cfRule type="cellIs" dxfId="17545" priority="1246" operator="greaterThan">
      <formula>0</formula>
    </cfRule>
  </conditionalFormatting>
  <conditionalFormatting sqref="P32:P39">
    <cfRule type="cellIs" dxfId="17544" priority="1240" operator="greaterThan">
      <formula>0</formula>
    </cfRule>
  </conditionalFormatting>
  <conditionalFormatting sqref="Q32:Q39">
    <cfRule type="cellIs" dxfId="17543" priority="1245" operator="lessThan">
      <formula>0</formula>
    </cfRule>
  </conditionalFormatting>
  <conditionalFormatting sqref="R32:R39">
    <cfRule type="cellIs" dxfId="17542" priority="1243" operator="lessThan">
      <formula>0.8</formula>
    </cfRule>
    <cfRule type="cellIs" dxfId="17541" priority="1244" operator="greaterThan">
      <formula>1</formula>
    </cfRule>
  </conditionalFormatting>
  <conditionalFormatting sqref="R32:R39">
    <cfRule type="cellIs" dxfId="17540" priority="1241" operator="greaterThan">
      <formula>1</formula>
    </cfRule>
    <cfRule type="cellIs" dxfId="17539" priority="1242" operator="lessThan">
      <formula>0.8</formula>
    </cfRule>
  </conditionalFormatting>
  <conditionalFormatting sqref="P32:P39">
    <cfRule type="cellIs" dxfId="17538" priority="1234" operator="greaterThan">
      <formula>0</formula>
    </cfRule>
  </conditionalFormatting>
  <conditionalFormatting sqref="Q32:Q39">
    <cfRule type="cellIs" dxfId="17537" priority="1239" operator="lessThan">
      <formula>0</formula>
    </cfRule>
  </conditionalFormatting>
  <conditionalFormatting sqref="R32:R39">
    <cfRule type="cellIs" dxfId="17536" priority="1237" operator="lessThan">
      <formula>0.8</formula>
    </cfRule>
    <cfRule type="cellIs" dxfId="17535" priority="1238" operator="greaterThan">
      <formula>1</formula>
    </cfRule>
  </conditionalFormatting>
  <conditionalFormatting sqref="R32:R39">
    <cfRule type="cellIs" dxfId="17534" priority="1235" operator="greaterThan">
      <formula>1</formula>
    </cfRule>
    <cfRule type="cellIs" dxfId="17533" priority="1236" operator="lessThan">
      <formula>0.8</formula>
    </cfRule>
  </conditionalFormatting>
  <conditionalFormatting sqref="R32:R39">
    <cfRule type="cellIs" dxfId="17532" priority="1231" operator="lessThan">
      <formula>0.8</formula>
    </cfRule>
    <cfRule type="cellIs" dxfId="17531" priority="1232" operator="greaterThan">
      <formula>1</formula>
    </cfRule>
  </conditionalFormatting>
  <conditionalFormatting sqref="R32:R39">
    <cfRule type="cellIs" dxfId="17530" priority="1229" operator="greaterThan">
      <formula>1</formula>
    </cfRule>
    <cfRule type="cellIs" dxfId="17529" priority="1230" operator="lessThan">
      <formula>0.8</formula>
    </cfRule>
  </conditionalFormatting>
  <conditionalFormatting sqref="P32:P39">
    <cfRule type="cellIs" dxfId="17528" priority="1228" operator="greaterThan">
      <formula>0</formula>
    </cfRule>
  </conditionalFormatting>
  <conditionalFormatting sqref="Q32:Q39">
    <cfRule type="cellIs" dxfId="17527" priority="1233" operator="lessThan">
      <formula>0</formula>
    </cfRule>
  </conditionalFormatting>
  <conditionalFormatting sqref="Q32:Q39">
    <cfRule type="cellIs" dxfId="17526" priority="1222" operator="lessThan">
      <formula>0</formula>
    </cfRule>
  </conditionalFormatting>
  <conditionalFormatting sqref="P32:P39">
    <cfRule type="cellIs" dxfId="17525" priority="1223" operator="greaterThan">
      <formula>0</formula>
    </cfRule>
  </conditionalFormatting>
  <conditionalFormatting sqref="R32:R39">
    <cfRule type="cellIs" dxfId="17524" priority="1226" operator="lessThan">
      <formula>0.8</formula>
    </cfRule>
    <cfRule type="cellIs" dxfId="17523" priority="1227" operator="greaterThan">
      <formula>1</formula>
    </cfRule>
  </conditionalFormatting>
  <conditionalFormatting sqref="R32:R39">
    <cfRule type="cellIs" dxfId="17522" priority="1224" operator="greaterThan">
      <formula>1</formula>
    </cfRule>
    <cfRule type="cellIs" dxfId="17521" priority="1225" operator="lessThan">
      <formula>0.8</formula>
    </cfRule>
  </conditionalFormatting>
  <conditionalFormatting sqref="Q32:Q39">
    <cfRule type="cellIs" dxfId="17520" priority="1216" operator="lessThan">
      <formula>0</formula>
    </cfRule>
  </conditionalFormatting>
  <conditionalFormatting sqref="R32:R39">
    <cfRule type="cellIs" dxfId="17519" priority="1220" operator="lessThan">
      <formula>0.8</formula>
    </cfRule>
    <cfRule type="cellIs" dxfId="17518" priority="1221" operator="greaterThan">
      <formula>1</formula>
    </cfRule>
  </conditionalFormatting>
  <conditionalFormatting sqref="R32:R39">
    <cfRule type="cellIs" dxfId="17517" priority="1218" operator="greaterThan">
      <formula>1</formula>
    </cfRule>
    <cfRule type="cellIs" dxfId="17516" priority="1219" operator="lessThan">
      <formula>0.8</formula>
    </cfRule>
  </conditionalFormatting>
  <conditionalFormatting sqref="P32:P39">
    <cfRule type="cellIs" dxfId="17515" priority="1217" operator="greaterThan">
      <formula>0</formula>
    </cfRule>
  </conditionalFormatting>
  <conditionalFormatting sqref="Q32:Q39">
    <cfRule type="cellIs" dxfId="17514" priority="1215" operator="lessThan">
      <formula>0</formula>
    </cfRule>
  </conditionalFormatting>
  <conditionalFormatting sqref="R32:R39">
    <cfRule type="cellIs" dxfId="17513" priority="1213" operator="lessThan">
      <formula>0.8</formula>
    </cfRule>
    <cfRule type="cellIs" dxfId="17512" priority="1214" operator="greaterThan">
      <formula>1</formula>
    </cfRule>
  </conditionalFormatting>
  <conditionalFormatting sqref="R32:R39">
    <cfRule type="cellIs" dxfId="17511" priority="1211" operator="greaterThan">
      <formula>1</formula>
    </cfRule>
    <cfRule type="cellIs" dxfId="17510" priority="1212" operator="lessThan">
      <formula>0.8</formula>
    </cfRule>
  </conditionalFormatting>
  <conditionalFormatting sqref="P32:P39">
    <cfRule type="cellIs" dxfId="17509" priority="1210" operator="greaterThan">
      <formula>0</formula>
    </cfRule>
  </conditionalFormatting>
  <conditionalFormatting sqref="Q32:Q39">
    <cfRule type="cellIs" dxfId="17508" priority="1209" operator="lessThan">
      <formula>0</formula>
    </cfRule>
  </conditionalFormatting>
  <conditionalFormatting sqref="R32:R39">
    <cfRule type="cellIs" dxfId="17507" priority="1207" operator="lessThan">
      <formula>0.8</formula>
    </cfRule>
    <cfRule type="cellIs" dxfId="17506" priority="1208" operator="greaterThan">
      <formula>1</formula>
    </cfRule>
  </conditionalFormatting>
  <conditionalFormatting sqref="R32:R39">
    <cfRule type="cellIs" dxfId="17505" priority="1205" operator="greaterThan">
      <formula>1</formula>
    </cfRule>
    <cfRule type="cellIs" dxfId="17504" priority="1206" operator="lessThan">
      <formula>0.8</formula>
    </cfRule>
  </conditionalFormatting>
  <conditionalFormatting sqref="P32:P39">
    <cfRule type="cellIs" dxfId="17503" priority="1204" operator="greaterThan">
      <formula>0</formula>
    </cfRule>
  </conditionalFormatting>
  <conditionalFormatting sqref="Q32:Q39">
    <cfRule type="cellIs" dxfId="17502" priority="1203" operator="lessThan">
      <formula>0</formula>
    </cfRule>
  </conditionalFormatting>
  <conditionalFormatting sqref="R32:R39">
    <cfRule type="cellIs" dxfId="17501" priority="1201" operator="lessThan">
      <formula>0.8</formula>
    </cfRule>
    <cfRule type="cellIs" dxfId="17500" priority="1202" operator="greaterThan">
      <formula>1</formula>
    </cfRule>
  </conditionalFormatting>
  <conditionalFormatting sqref="R32:R39">
    <cfRule type="cellIs" dxfId="17499" priority="1199" operator="greaterThan">
      <formula>1</formula>
    </cfRule>
    <cfRule type="cellIs" dxfId="17498" priority="1200" operator="lessThan">
      <formula>0.8</formula>
    </cfRule>
  </conditionalFormatting>
  <conditionalFormatting sqref="P32:P39">
    <cfRule type="cellIs" dxfId="17497" priority="1198" operator="greaterThan">
      <formula>0</formula>
    </cfRule>
  </conditionalFormatting>
  <conditionalFormatting sqref="Q32:Q39">
    <cfRule type="cellIs" dxfId="17496" priority="1197" operator="lessThan">
      <formula>0</formula>
    </cfRule>
  </conditionalFormatting>
  <conditionalFormatting sqref="R32:R39">
    <cfRule type="cellIs" dxfId="17495" priority="1195" operator="lessThan">
      <formula>0.8</formula>
    </cfRule>
    <cfRule type="cellIs" dxfId="17494" priority="1196" operator="greaterThan">
      <formula>1</formula>
    </cfRule>
  </conditionalFormatting>
  <conditionalFormatting sqref="R32:R39">
    <cfRule type="cellIs" dxfId="17493" priority="1193" operator="greaterThan">
      <formula>1</formula>
    </cfRule>
    <cfRule type="cellIs" dxfId="17492" priority="1194" operator="lessThan">
      <formula>0.8</formula>
    </cfRule>
  </conditionalFormatting>
  <conditionalFormatting sqref="P32:P39">
    <cfRule type="cellIs" dxfId="17491" priority="1192" operator="greaterThan">
      <formula>0</formula>
    </cfRule>
  </conditionalFormatting>
  <conditionalFormatting sqref="Q96:Q105">
    <cfRule type="cellIs" dxfId="17490" priority="1186" operator="lessThan">
      <formula>0</formula>
    </cfRule>
  </conditionalFormatting>
  <conditionalFormatting sqref="P96:P105">
    <cfRule type="cellIs" dxfId="17489" priority="1187" operator="greaterThan">
      <formula>0</formula>
    </cfRule>
  </conditionalFormatting>
  <conditionalFormatting sqref="R96:R105">
    <cfRule type="cellIs" dxfId="17488" priority="1190" operator="lessThan">
      <formula>0.8</formula>
    </cfRule>
    <cfRule type="cellIs" dxfId="17487" priority="1191" operator="greaterThan">
      <formula>1</formula>
    </cfRule>
  </conditionalFormatting>
  <conditionalFormatting sqref="R96:R105">
    <cfRule type="cellIs" dxfId="17486" priority="1188" operator="greaterThan">
      <formula>1</formula>
    </cfRule>
    <cfRule type="cellIs" dxfId="17485" priority="1189" operator="lessThan">
      <formula>0.8</formula>
    </cfRule>
  </conditionalFormatting>
  <conditionalFormatting sqref="Q96:Q105">
    <cfRule type="cellIs" dxfId="17484" priority="1180" operator="lessThan">
      <formula>0</formula>
    </cfRule>
  </conditionalFormatting>
  <conditionalFormatting sqref="R96:R105">
    <cfRule type="cellIs" dxfId="17483" priority="1184" operator="lessThan">
      <formula>0.8</formula>
    </cfRule>
    <cfRule type="cellIs" dxfId="17482" priority="1185" operator="greaterThan">
      <formula>1</formula>
    </cfRule>
  </conditionalFormatting>
  <conditionalFormatting sqref="R96:R105">
    <cfRule type="cellIs" dxfId="17481" priority="1182" operator="greaterThan">
      <formula>1</formula>
    </cfRule>
    <cfRule type="cellIs" dxfId="17480" priority="1183" operator="lessThan">
      <formula>0.8</formula>
    </cfRule>
  </conditionalFormatting>
  <conditionalFormatting sqref="P96:P105">
    <cfRule type="cellIs" dxfId="17479" priority="1181" operator="greaterThan">
      <formula>0</formula>
    </cfRule>
  </conditionalFormatting>
  <conditionalFormatting sqref="Q96:Q105">
    <cfRule type="cellIs" dxfId="17478" priority="1179" operator="lessThan">
      <formula>0</formula>
    </cfRule>
  </conditionalFormatting>
  <conditionalFormatting sqref="R96:R105">
    <cfRule type="cellIs" dxfId="17477" priority="1177" operator="lessThan">
      <formula>0.8</formula>
    </cfRule>
    <cfRule type="cellIs" dxfId="17476" priority="1178" operator="greaterThan">
      <formula>1</formula>
    </cfRule>
  </conditionalFormatting>
  <conditionalFormatting sqref="R96:R105">
    <cfRule type="cellIs" dxfId="17475" priority="1175" operator="greaterThan">
      <formula>1</formula>
    </cfRule>
    <cfRule type="cellIs" dxfId="17474" priority="1176" operator="lessThan">
      <formula>0.8</formula>
    </cfRule>
  </conditionalFormatting>
  <conditionalFormatting sqref="P96:P105">
    <cfRule type="cellIs" dxfId="17473" priority="1174" operator="greaterThan">
      <formula>0</formula>
    </cfRule>
  </conditionalFormatting>
  <conditionalFormatting sqref="Q96:Q105">
    <cfRule type="cellIs" dxfId="17472" priority="1173" operator="lessThan">
      <formula>0</formula>
    </cfRule>
  </conditionalFormatting>
  <conditionalFormatting sqref="R96:R105">
    <cfRule type="cellIs" dxfId="17471" priority="1171" operator="lessThan">
      <formula>0.8</formula>
    </cfRule>
    <cfRule type="cellIs" dxfId="17470" priority="1172" operator="greaterThan">
      <formula>1</formula>
    </cfRule>
  </conditionalFormatting>
  <conditionalFormatting sqref="R96:R105">
    <cfRule type="cellIs" dxfId="17469" priority="1169" operator="greaterThan">
      <formula>1</formula>
    </cfRule>
    <cfRule type="cellIs" dxfId="17468" priority="1170" operator="lessThan">
      <formula>0.8</formula>
    </cfRule>
  </conditionalFormatting>
  <conditionalFormatting sqref="P96:P105">
    <cfRule type="cellIs" dxfId="17467" priority="1168" operator="greaterThan">
      <formula>0</formula>
    </cfRule>
  </conditionalFormatting>
  <conditionalFormatting sqref="Q96:Q105">
    <cfRule type="cellIs" dxfId="17466" priority="1162" operator="lessThan">
      <formula>0</formula>
    </cfRule>
  </conditionalFormatting>
  <conditionalFormatting sqref="R96:R105">
    <cfRule type="cellIs" dxfId="17465" priority="1166" operator="lessThan">
      <formula>0.8</formula>
    </cfRule>
    <cfRule type="cellIs" dxfId="17464" priority="1167" operator="greaterThan">
      <formula>1</formula>
    </cfRule>
  </conditionalFormatting>
  <conditionalFormatting sqref="R96:R105">
    <cfRule type="cellIs" dxfId="17463" priority="1164" operator="greaterThan">
      <formula>1</formula>
    </cfRule>
    <cfRule type="cellIs" dxfId="17462" priority="1165" operator="lessThan">
      <formula>0.8</formula>
    </cfRule>
  </conditionalFormatting>
  <conditionalFormatting sqref="P96:P105">
    <cfRule type="cellIs" dxfId="17461" priority="1163" operator="greaterThan">
      <formula>0</formula>
    </cfRule>
  </conditionalFormatting>
  <conditionalFormatting sqref="Q96:Q105">
    <cfRule type="cellIs" dxfId="17460" priority="1161" operator="lessThan">
      <formula>0</formula>
    </cfRule>
  </conditionalFormatting>
  <conditionalFormatting sqref="R96:R105">
    <cfRule type="cellIs" dxfId="17459" priority="1159" operator="lessThan">
      <formula>0.8</formula>
    </cfRule>
    <cfRule type="cellIs" dxfId="17458" priority="1160" operator="greaterThan">
      <formula>1</formula>
    </cfRule>
  </conditionalFormatting>
  <conditionalFormatting sqref="R96:R105">
    <cfRule type="cellIs" dxfId="17457" priority="1157" operator="greaterThan">
      <formula>1</formula>
    </cfRule>
    <cfRule type="cellIs" dxfId="17456" priority="1158" operator="lessThan">
      <formula>0.8</formula>
    </cfRule>
  </conditionalFormatting>
  <conditionalFormatting sqref="P96:P105">
    <cfRule type="cellIs" dxfId="17455" priority="1156" operator="greaterThan">
      <formula>0</formula>
    </cfRule>
  </conditionalFormatting>
  <conditionalFormatting sqref="Q96:Q105">
    <cfRule type="cellIs" dxfId="17454" priority="1155" operator="lessThan">
      <formula>0</formula>
    </cfRule>
  </conditionalFormatting>
  <conditionalFormatting sqref="R96:R105">
    <cfRule type="cellIs" dxfId="17453" priority="1153" operator="lessThan">
      <formula>0.8</formula>
    </cfRule>
    <cfRule type="cellIs" dxfId="17452" priority="1154" operator="greaterThan">
      <formula>1</formula>
    </cfRule>
  </conditionalFormatting>
  <conditionalFormatting sqref="R96:R105">
    <cfRule type="cellIs" dxfId="17451" priority="1151" operator="greaterThan">
      <formula>1</formula>
    </cfRule>
    <cfRule type="cellIs" dxfId="17450" priority="1152" operator="lessThan">
      <formula>0.8</formula>
    </cfRule>
  </conditionalFormatting>
  <conditionalFormatting sqref="P96:P105">
    <cfRule type="cellIs" dxfId="17449" priority="1150" operator="greaterThan">
      <formula>0</formula>
    </cfRule>
  </conditionalFormatting>
  <conditionalFormatting sqref="Q96:Q105">
    <cfRule type="cellIs" dxfId="17448" priority="1149" operator="lessThan">
      <formula>0</formula>
    </cfRule>
  </conditionalFormatting>
  <conditionalFormatting sqref="R96:R105">
    <cfRule type="cellIs" dxfId="17447" priority="1147" operator="lessThan">
      <formula>0.8</formula>
    </cfRule>
    <cfRule type="cellIs" dxfId="17446" priority="1148" operator="greaterThan">
      <formula>1</formula>
    </cfRule>
  </conditionalFormatting>
  <conditionalFormatting sqref="R96:R105">
    <cfRule type="cellIs" dxfId="17445" priority="1145" operator="greaterThan">
      <formula>1</formula>
    </cfRule>
    <cfRule type="cellIs" dxfId="17444" priority="1146" operator="lessThan">
      <formula>0.8</formula>
    </cfRule>
  </conditionalFormatting>
  <conditionalFormatting sqref="P96:P105">
    <cfRule type="cellIs" dxfId="17443" priority="1144" operator="greaterThan">
      <formula>0</formula>
    </cfRule>
  </conditionalFormatting>
  <conditionalFormatting sqref="Q96:Q105">
    <cfRule type="cellIs" dxfId="17442" priority="1143" operator="lessThan">
      <formula>0</formula>
    </cfRule>
  </conditionalFormatting>
  <conditionalFormatting sqref="R96:R105">
    <cfRule type="cellIs" dxfId="17441" priority="1141" operator="lessThan">
      <formula>0.8</formula>
    </cfRule>
    <cfRule type="cellIs" dxfId="17440" priority="1142" operator="greaterThan">
      <formula>1</formula>
    </cfRule>
  </conditionalFormatting>
  <conditionalFormatting sqref="R96:R105">
    <cfRule type="cellIs" dxfId="17439" priority="1139" operator="greaterThan">
      <formula>1</formula>
    </cfRule>
    <cfRule type="cellIs" dxfId="17438" priority="1140" operator="lessThan">
      <formula>0.8</formula>
    </cfRule>
  </conditionalFormatting>
  <conditionalFormatting sqref="P96:P105">
    <cfRule type="cellIs" dxfId="17437" priority="1138" operator="greaterThan">
      <formula>0</formula>
    </cfRule>
  </conditionalFormatting>
  <conditionalFormatting sqref="Q96:Q105">
    <cfRule type="cellIs" dxfId="17436" priority="1137" operator="lessThan">
      <formula>0</formula>
    </cfRule>
  </conditionalFormatting>
  <conditionalFormatting sqref="R96:R105">
    <cfRule type="cellIs" dxfId="17435" priority="1135" operator="lessThan">
      <formula>0.8</formula>
    </cfRule>
    <cfRule type="cellIs" dxfId="17434" priority="1136" operator="greaterThan">
      <formula>1</formula>
    </cfRule>
  </conditionalFormatting>
  <conditionalFormatting sqref="R96:R105">
    <cfRule type="cellIs" dxfId="17433" priority="1133" operator="greaterThan">
      <formula>1</formula>
    </cfRule>
    <cfRule type="cellIs" dxfId="17432" priority="1134" operator="lessThan">
      <formula>0.8</formula>
    </cfRule>
  </conditionalFormatting>
  <conditionalFormatting sqref="P96:P105">
    <cfRule type="cellIs" dxfId="17431" priority="1132" operator="greaterThan">
      <formula>0</formula>
    </cfRule>
  </conditionalFormatting>
  <conditionalFormatting sqref="P96:P105">
    <cfRule type="cellIs" dxfId="17430" priority="1126" operator="greaterThan">
      <formula>0</formula>
    </cfRule>
  </conditionalFormatting>
  <conditionalFormatting sqref="Q96:Q105">
    <cfRule type="cellIs" dxfId="17429" priority="1131" operator="lessThan">
      <formula>0</formula>
    </cfRule>
  </conditionalFormatting>
  <conditionalFormatting sqref="R96:R105">
    <cfRule type="cellIs" dxfId="17428" priority="1129" operator="lessThan">
      <formula>0.8</formula>
    </cfRule>
    <cfRule type="cellIs" dxfId="17427" priority="1130" operator="greaterThan">
      <formula>1</formula>
    </cfRule>
  </conditionalFormatting>
  <conditionalFormatting sqref="R96:R105">
    <cfRule type="cellIs" dxfId="17426" priority="1127" operator="greaterThan">
      <formula>1</formula>
    </cfRule>
    <cfRule type="cellIs" dxfId="17425" priority="1128" operator="lessThan">
      <formula>0.8</formula>
    </cfRule>
  </conditionalFormatting>
  <conditionalFormatting sqref="P96:P105">
    <cfRule type="cellIs" dxfId="17424" priority="1120" operator="greaterThan">
      <formula>0</formula>
    </cfRule>
  </conditionalFormatting>
  <conditionalFormatting sqref="Q96:Q105">
    <cfRule type="cellIs" dxfId="17423" priority="1125" operator="lessThan">
      <formula>0</formula>
    </cfRule>
  </conditionalFormatting>
  <conditionalFormatting sqref="R96:R105">
    <cfRule type="cellIs" dxfId="17422" priority="1123" operator="lessThan">
      <formula>0.8</formula>
    </cfRule>
    <cfRule type="cellIs" dxfId="17421" priority="1124" operator="greaterThan">
      <formula>1</formula>
    </cfRule>
  </conditionalFormatting>
  <conditionalFormatting sqref="R96:R105">
    <cfRule type="cellIs" dxfId="17420" priority="1121" operator="greaterThan">
      <formula>1</formula>
    </cfRule>
    <cfRule type="cellIs" dxfId="17419" priority="1122" operator="lessThan">
      <formula>0.8</formula>
    </cfRule>
  </conditionalFormatting>
  <conditionalFormatting sqref="R96:R105">
    <cfRule type="cellIs" dxfId="17418" priority="1117" operator="lessThan">
      <formula>0.8</formula>
    </cfRule>
    <cfRule type="cellIs" dxfId="17417" priority="1118" operator="greaterThan">
      <formula>1</formula>
    </cfRule>
  </conditionalFormatting>
  <conditionalFormatting sqref="R96:R105">
    <cfRule type="cellIs" dxfId="17416" priority="1115" operator="greaterThan">
      <formula>1</formula>
    </cfRule>
    <cfRule type="cellIs" dxfId="17415" priority="1116" operator="lessThan">
      <formula>0.8</formula>
    </cfRule>
  </conditionalFormatting>
  <conditionalFormatting sqref="P96:P105">
    <cfRule type="cellIs" dxfId="17414" priority="1114" operator="greaterThan">
      <formula>0</formula>
    </cfRule>
  </conditionalFormatting>
  <conditionalFormatting sqref="Q96:Q105">
    <cfRule type="cellIs" dxfId="17413" priority="1119" operator="lessThan">
      <formula>0</formula>
    </cfRule>
  </conditionalFormatting>
  <conditionalFormatting sqref="Q96:Q105">
    <cfRule type="cellIs" dxfId="17412" priority="1108" operator="lessThan">
      <formula>0</formula>
    </cfRule>
  </conditionalFormatting>
  <conditionalFormatting sqref="P96:P105">
    <cfRule type="cellIs" dxfId="17411" priority="1109" operator="greaterThan">
      <formula>0</formula>
    </cfRule>
  </conditionalFormatting>
  <conditionalFormatting sqref="R96:R105">
    <cfRule type="cellIs" dxfId="17410" priority="1112" operator="lessThan">
      <formula>0.8</formula>
    </cfRule>
    <cfRule type="cellIs" dxfId="17409" priority="1113" operator="greaterThan">
      <formula>1</formula>
    </cfRule>
  </conditionalFormatting>
  <conditionalFormatting sqref="R96:R105">
    <cfRule type="cellIs" dxfId="17408" priority="1110" operator="greaterThan">
      <formula>1</formula>
    </cfRule>
    <cfRule type="cellIs" dxfId="17407" priority="1111" operator="lessThan">
      <formula>0.8</formula>
    </cfRule>
  </conditionalFormatting>
  <conditionalFormatting sqref="Q96:Q105">
    <cfRule type="cellIs" dxfId="17406" priority="1102" operator="lessThan">
      <formula>0</formula>
    </cfRule>
  </conditionalFormatting>
  <conditionalFormatting sqref="R96:R105">
    <cfRule type="cellIs" dxfId="17405" priority="1106" operator="lessThan">
      <formula>0.8</formula>
    </cfRule>
    <cfRule type="cellIs" dxfId="17404" priority="1107" operator="greaterThan">
      <formula>1</formula>
    </cfRule>
  </conditionalFormatting>
  <conditionalFormatting sqref="R96:R105">
    <cfRule type="cellIs" dxfId="17403" priority="1104" operator="greaterThan">
      <formula>1</formula>
    </cfRule>
    <cfRule type="cellIs" dxfId="17402" priority="1105" operator="lessThan">
      <formula>0.8</formula>
    </cfRule>
  </conditionalFormatting>
  <conditionalFormatting sqref="P96:P105">
    <cfRule type="cellIs" dxfId="17401" priority="1103" operator="greaterThan">
      <formula>0</formula>
    </cfRule>
  </conditionalFormatting>
  <conditionalFormatting sqref="Q96:Q105">
    <cfRule type="cellIs" dxfId="17400" priority="1101" operator="lessThan">
      <formula>0</formula>
    </cfRule>
  </conditionalFormatting>
  <conditionalFormatting sqref="R96:R105">
    <cfRule type="cellIs" dxfId="17399" priority="1099" operator="lessThan">
      <formula>0.8</formula>
    </cfRule>
    <cfRule type="cellIs" dxfId="17398" priority="1100" operator="greaterThan">
      <formula>1</formula>
    </cfRule>
  </conditionalFormatting>
  <conditionalFormatting sqref="R96:R105">
    <cfRule type="cellIs" dxfId="17397" priority="1097" operator="greaterThan">
      <formula>1</formula>
    </cfRule>
    <cfRule type="cellIs" dxfId="17396" priority="1098" operator="lessThan">
      <formula>0.8</formula>
    </cfRule>
  </conditionalFormatting>
  <conditionalFormatting sqref="P96:P105">
    <cfRule type="cellIs" dxfId="17395" priority="1096" operator="greaterThan">
      <formula>0</formula>
    </cfRule>
  </conditionalFormatting>
  <conditionalFormatting sqref="Q96:Q105">
    <cfRule type="cellIs" dxfId="17394" priority="1095" operator="lessThan">
      <formula>0</formula>
    </cfRule>
  </conditionalFormatting>
  <conditionalFormatting sqref="R96:R105">
    <cfRule type="cellIs" dxfId="17393" priority="1093" operator="lessThan">
      <formula>0.8</formula>
    </cfRule>
    <cfRule type="cellIs" dxfId="17392" priority="1094" operator="greaterThan">
      <formula>1</formula>
    </cfRule>
  </conditionalFormatting>
  <conditionalFormatting sqref="R96:R105">
    <cfRule type="cellIs" dxfId="17391" priority="1091" operator="greaterThan">
      <formula>1</formula>
    </cfRule>
    <cfRule type="cellIs" dxfId="17390" priority="1092" operator="lessThan">
      <formula>0.8</formula>
    </cfRule>
  </conditionalFormatting>
  <conditionalFormatting sqref="P96:P105">
    <cfRule type="cellIs" dxfId="17389" priority="1090" operator="greaterThan">
      <formula>0</formula>
    </cfRule>
  </conditionalFormatting>
  <conditionalFormatting sqref="Q96:Q105">
    <cfRule type="cellIs" dxfId="17388" priority="1084" operator="lessThan">
      <formula>0</formula>
    </cfRule>
  </conditionalFormatting>
  <conditionalFormatting sqref="P96:P105">
    <cfRule type="cellIs" dxfId="17387" priority="1085" operator="greaterThan">
      <formula>0</formula>
    </cfRule>
  </conditionalFormatting>
  <conditionalFormatting sqref="R96:R105">
    <cfRule type="cellIs" dxfId="17386" priority="1088" operator="lessThan">
      <formula>0.8</formula>
    </cfRule>
    <cfRule type="cellIs" dxfId="17385" priority="1089" operator="greaterThan">
      <formula>1</formula>
    </cfRule>
  </conditionalFormatting>
  <conditionalFormatting sqref="R96:R105">
    <cfRule type="cellIs" dxfId="17384" priority="1086" operator="greaterThan">
      <formula>1</formula>
    </cfRule>
    <cfRule type="cellIs" dxfId="17383" priority="1087" operator="lessThan">
      <formula>0.8</formula>
    </cfRule>
  </conditionalFormatting>
  <conditionalFormatting sqref="Q96:Q105">
    <cfRule type="cellIs" dxfId="17382" priority="1078" operator="lessThan">
      <formula>0</formula>
    </cfRule>
  </conditionalFormatting>
  <conditionalFormatting sqref="R96:R105">
    <cfRule type="cellIs" dxfId="17381" priority="1082" operator="lessThan">
      <formula>0.8</formula>
    </cfRule>
    <cfRule type="cellIs" dxfId="17380" priority="1083" operator="greaterThan">
      <formula>1</formula>
    </cfRule>
  </conditionalFormatting>
  <conditionalFormatting sqref="R96:R105">
    <cfRule type="cellIs" dxfId="17379" priority="1080" operator="greaterThan">
      <formula>1</formula>
    </cfRule>
    <cfRule type="cellIs" dxfId="17378" priority="1081" operator="lessThan">
      <formula>0.8</formula>
    </cfRule>
  </conditionalFormatting>
  <conditionalFormatting sqref="P96:P105">
    <cfRule type="cellIs" dxfId="17377" priority="1079" operator="greaterThan">
      <formula>0</formula>
    </cfRule>
  </conditionalFormatting>
  <conditionalFormatting sqref="Q96:Q105">
    <cfRule type="cellIs" dxfId="17376" priority="1077" operator="lessThan">
      <formula>0</formula>
    </cfRule>
  </conditionalFormatting>
  <conditionalFormatting sqref="R96:R105">
    <cfRule type="cellIs" dxfId="17375" priority="1075" operator="lessThan">
      <formula>0.8</formula>
    </cfRule>
    <cfRule type="cellIs" dxfId="17374" priority="1076" operator="greaterThan">
      <formula>1</formula>
    </cfRule>
  </conditionalFormatting>
  <conditionalFormatting sqref="R96:R105">
    <cfRule type="cellIs" dxfId="17373" priority="1073" operator="greaterThan">
      <formula>1</formula>
    </cfRule>
    <cfRule type="cellIs" dxfId="17372" priority="1074" operator="lessThan">
      <formula>0.8</formula>
    </cfRule>
  </conditionalFormatting>
  <conditionalFormatting sqref="P96:P105">
    <cfRule type="cellIs" dxfId="17371" priority="1072" operator="greaterThan">
      <formula>0</formula>
    </cfRule>
  </conditionalFormatting>
  <conditionalFormatting sqref="Q96:Q105">
    <cfRule type="cellIs" dxfId="17370" priority="1071" operator="lessThan">
      <formula>0</formula>
    </cfRule>
  </conditionalFormatting>
  <conditionalFormatting sqref="R96:R105">
    <cfRule type="cellIs" dxfId="17369" priority="1069" operator="lessThan">
      <formula>0.8</formula>
    </cfRule>
    <cfRule type="cellIs" dxfId="17368" priority="1070" operator="greaterThan">
      <formula>1</formula>
    </cfRule>
  </conditionalFormatting>
  <conditionalFormatting sqref="R96:R105">
    <cfRule type="cellIs" dxfId="17367" priority="1067" operator="greaterThan">
      <formula>1</formula>
    </cfRule>
    <cfRule type="cellIs" dxfId="17366" priority="1068" operator="lessThan">
      <formula>0.8</formula>
    </cfRule>
  </conditionalFormatting>
  <conditionalFormatting sqref="P96:P105">
    <cfRule type="cellIs" dxfId="17365" priority="1066" operator="greaterThan">
      <formula>0</formula>
    </cfRule>
  </conditionalFormatting>
  <conditionalFormatting sqref="P124 P127 P130">
    <cfRule type="cellIs" dxfId="17364" priority="1060" operator="greaterThan">
      <formula>0</formula>
    </cfRule>
  </conditionalFormatting>
  <conditionalFormatting sqref="Q124 Q127 Q130">
    <cfRule type="cellIs" dxfId="17363" priority="1065" operator="lessThan">
      <formula>0</formula>
    </cfRule>
  </conditionalFormatting>
  <conditionalFormatting sqref="R124 R127 R130">
    <cfRule type="cellIs" dxfId="17362" priority="1063" operator="lessThan">
      <formula>0.8</formula>
    </cfRule>
    <cfRule type="cellIs" dxfId="17361" priority="1064" operator="greaterThan">
      <formula>1</formula>
    </cfRule>
  </conditionalFormatting>
  <conditionalFormatting sqref="R124 R127 R130">
    <cfRule type="cellIs" dxfId="17360" priority="1061" operator="greaterThan">
      <formula>1</formula>
    </cfRule>
    <cfRule type="cellIs" dxfId="17359" priority="1062" operator="lessThan">
      <formula>0.8</formula>
    </cfRule>
  </conditionalFormatting>
  <conditionalFormatting sqref="Q124 Q127 Q130">
    <cfRule type="cellIs" dxfId="17358" priority="1059" operator="lessThan">
      <formula>0</formula>
    </cfRule>
  </conditionalFormatting>
  <conditionalFormatting sqref="R124 R127 R130">
    <cfRule type="cellIs" dxfId="17357" priority="1057" operator="lessThan">
      <formula>0.8</formula>
    </cfRule>
    <cfRule type="cellIs" dxfId="17356" priority="1058" operator="greaterThan">
      <formula>1</formula>
    </cfRule>
  </conditionalFormatting>
  <conditionalFormatting sqref="R124 R127 R130">
    <cfRule type="cellIs" dxfId="17355" priority="1055" operator="greaterThan">
      <formula>1</formula>
    </cfRule>
    <cfRule type="cellIs" dxfId="17354" priority="1056" operator="lessThan">
      <formula>0.8</formula>
    </cfRule>
  </conditionalFormatting>
  <conditionalFormatting sqref="P124 P127 P130">
    <cfRule type="cellIs" dxfId="17353" priority="1054" operator="greaterThan">
      <formula>0</formula>
    </cfRule>
  </conditionalFormatting>
  <conditionalFormatting sqref="Q123 Q125:Q126 Q131 Q128:Q129">
    <cfRule type="cellIs" dxfId="17352" priority="1053" operator="lessThan">
      <formula>0</formula>
    </cfRule>
  </conditionalFormatting>
  <conditionalFormatting sqref="R123 R125:R126 R131 R128:R129">
    <cfRule type="cellIs" dxfId="17351" priority="1051" operator="lessThan">
      <formula>0.8</formula>
    </cfRule>
    <cfRule type="cellIs" dxfId="17350" priority="1052" operator="greaterThan">
      <formula>1</formula>
    </cfRule>
  </conditionalFormatting>
  <conditionalFormatting sqref="R123 R125:R126 R131 R128:R129">
    <cfRule type="cellIs" dxfId="17349" priority="1049" operator="greaterThan">
      <formula>1</formula>
    </cfRule>
    <cfRule type="cellIs" dxfId="17348" priority="1050" operator="lessThan">
      <formula>0.8</formula>
    </cfRule>
  </conditionalFormatting>
  <conditionalFormatting sqref="P123 P125:P126 P131 P128:P129">
    <cfRule type="cellIs" dxfId="17347" priority="1048" operator="greaterThan">
      <formula>0</formula>
    </cfRule>
  </conditionalFormatting>
  <conditionalFormatting sqref="P123 P125:P126 P131 P128:P129">
    <cfRule type="cellIs" dxfId="17346" priority="1042" operator="greaterThan">
      <formula>0</formula>
    </cfRule>
  </conditionalFormatting>
  <conditionalFormatting sqref="Q123 Q125:Q126 Q131 Q128:Q129">
    <cfRule type="cellIs" dxfId="17345" priority="1047" operator="lessThan">
      <formula>0</formula>
    </cfRule>
  </conditionalFormatting>
  <conditionalFormatting sqref="R123 R125:R126 R131 R128:R129">
    <cfRule type="cellIs" dxfId="17344" priority="1045" operator="lessThan">
      <formula>0.8</formula>
    </cfRule>
    <cfRule type="cellIs" dxfId="17343" priority="1046" operator="greaterThan">
      <formula>1</formula>
    </cfRule>
  </conditionalFormatting>
  <conditionalFormatting sqref="R123 R125:R126 R131 R128:R129">
    <cfRule type="cellIs" dxfId="17342" priority="1043" operator="greaterThan">
      <formula>1</formula>
    </cfRule>
    <cfRule type="cellIs" dxfId="17341" priority="1044" operator="lessThan">
      <formula>0.8</formula>
    </cfRule>
  </conditionalFormatting>
  <conditionalFormatting sqref="P122">
    <cfRule type="cellIs" dxfId="17340" priority="1036" operator="greaterThan">
      <formula>0</formula>
    </cfRule>
  </conditionalFormatting>
  <conditionalFormatting sqref="Q122">
    <cfRule type="cellIs" dxfId="17339" priority="1041" operator="lessThan">
      <formula>0</formula>
    </cfRule>
  </conditionalFormatting>
  <conditionalFormatting sqref="R122">
    <cfRule type="cellIs" dxfId="17338" priority="1039" operator="lessThan">
      <formula>0.8</formula>
    </cfRule>
    <cfRule type="cellIs" dxfId="17337" priority="1040" operator="greaterThan">
      <formula>1</formula>
    </cfRule>
  </conditionalFormatting>
  <conditionalFormatting sqref="R122">
    <cfRule type="cellIs" dxfId="17336" priority="1037" operator="greaterThan">
      <formula>1</formula>
    </cfRule>
    <cfRule type="cellIs" dxfId="17335" priority="1038" operator="lessThan">
      <formula>0.8</formula>
    </cfRule>
  </conditionalFormatting>
  <conditionalFormatting sqref="P137 P143 P140">
    <cfRule type="cellIs" dxfId="17334" priority="1035" operator="greaterThan">
      <formula>0</formula>
    </cfRule>
  </conditionalFormatting>
  <conditionalFormatting sqref="Q137:Q143">
    <cfRule type="cellIs" dxfId="17333" priority="1034" operator="lessThan">
      <formula>0</formula>
    </cfRule>
  </conditionalFormatting>
  <conditionalFormatting sqref="R137 R143">
    <cfRule type="cellIs" dxfId="17332" priority="1032" operator="lessThan">
      <formula>0.8</formula>
    </cfRule>
    <cfRule type="cellIs" dxfId="17331" priority="1033" operator="greaterThan">
      <formula>1</formula>
    </cfRule>
  </conditionalFormatting>
  <conditionalFormatting sqref="R137 R143">
    <cfRule type="cellIs" dxfId="17330" priority="1030" operator="greaterThan">
      <formula>1</formula>
    </cfRule>
    <cfRule type="cellIs" dxfId="17329" priority="1031" operator="lessThan">
      <formula>0.8</formula>
    </cfRule>
  </conditionalFormatting>
  <conditionalFormatting sqref="P137 P143 P140">
    <cfRule type="cellIs" dxfId="17328" priority="1029" operator="greaterThan">
      <formula>0</formula>
    </cfRule>
  </conditionalFormatting>
  <conditionalFormatting sqref="Q137:Q143">
    <cfRule type="cellIs" dxfId="17327" priority="1028" operator="lessThan">
      <formula>0</formula>
    </cfRule>
  </conditionalFormatting>
  <conditionalFormatting sqref="R137 R143">
    <cfRule type="cellIs" dxfId="17326" priority="1026" operator="lessThan">
      <formula>0.8</formula>
    </cfRule>
    <cfRule type="cellIs" dxfId="17325" priority="1027" operator="greaterThan">
      <formula>1</formula>
    </cfRule>
  </conditionalFormatting>
  <conditionalFormatting sqref="R137 R143">
    <cfRule type="cellIs" dxfId="17324" priority="1024" operator="greaterThan">
      <formula>1</formula>
    </cfRule>
    <cfRule type="cellIs" dxfId="17323" priority="1025" operator="lessThan">
      <formula>0.8</formula>
    </cfRule>
  </conditionalFormatting>
  <conditionalFormatting sqref="P137 P143 P140">
    <cfRule type="cellIs" dxfId="17322" priority="1023" operator="greaterThan">
      <formula>0</formula>
    </cfRule>
  </conditionalFormatting>
  <conditionalFormatting sqref="P137 P143 P140">
    <cfRule type="cellIs" dxfId="17321" priority="1017" operator="greaterThan">
      <formula>0</formula>
    </cfRule>
  </conditionalFormatting>
  <conditionalFormatting sqref="Q137:Q143">
    <cfRule type="cellIs" dxfId="17320" priority="1022" operator="lessThan">
      <formula>0</formula>
    </cfRule>
  </conditionalFormatting>
  <conditionalFormatting sqref="R137 R143">
    <cfRule type="cellIs" dxfId="17319" priority="1020" operator="lessThan">
      <formula>0.8</formula>
    </cfRule>
    <cfRule type="cellIs" dxfId="17318" priority="1021" operator="greaterThan">
      <formula>1</formula>
    </cfRule>
  </conditionalFormatting>
  <conditionalFormatting sqref="R137 R143">
    <cfRule type="cellIs" dxfId="17317" priority="1018" operator="greaterThan">
      <formula>1</formula>
    </cfRule>
    <cfRule type="cellIs" dxfId="17316" priority="1019" operator="lessThan">
      <formula>0.8</formula>
    </cfRule>
  </conditionalFormatting>
  <conditionalFormatting sqref="Q137:Q143">
    <cfRule type="cellIs" dxfId="17315" priority="1016" operator="lessThan">
      <formula>0</formula>
    </cfRule>
  </conditionalFormatting>
  <conditionalFormatting sqref="R137 R143">
    <cfRule type="cellIs" dxfId="17314" priority="1014" operator="lessThan">
      <formula>0.8</formula>
    </cfRule>
    <cfRule type="cellIs" dxfId="17313" priority="1015" operator="greaterThan">
      <formula>1</formula>
    </cfRule>
  </conditionalFormatting>
  <conditionalFormatting sqref="R137 R143">
    <cfRule type="cellIs" dxfId="17312" priority="1012" operator="greaterThan">
      <formula>1</formula>
    </cfRule>
    <cfRule type="cellIs" dxfId="17311" priority="1013" operator="lessThan">
      <formula>0.8</formula>
    </cfRule>
  </conditionalFormatting>
  <conditionalFormatting sqref="P137 P143 P140">
    <cfRule type="cellIs" dxfId="17310" priority="1011" operator="greaterThan">
      <formula>0</formula>
    </cfRule>
  </conditionalFormatting>
  <conditionalFormatting sqref="Q137:Q143">
    <cfRule type="cellIs" dxfId="17309" priority="1010" operator="lessThan">
      <formula>0</formula>
    </cfRule>
  </conditionalFormatting>
  <conditionalFormatting sqref="R137 R143">
    <cfRule type="cellIs" dxfId="17308" priority="1008" operator="lessThan">
      <formula>0.8</formula>
    </cfRule>
    <cfRule type="cellIs" dxfId="17307" priority="1009" operator="greaterThan">
      <formula>1</formula>
    </cfRule>
  </conditionalFormatting>
  <conditionalFormatting sqref="R137 R143">
    <cfRule type="cellIs" dxfId="17306" priority="1006" operator="greaterThan">
      <formula>1</formula>
    </cfRule>
    <cfRule type="cellIs" dxfId="17305" priority="1007" operator="lessThan">
      <formula>0.8</formula>
    </cfRule>
  </conditionalFormatting>
  <conditionalFormatting sqref="P137 P143 P140">
    <cfRule type="cellIs" dxfId="17304" priority="1005" operator="greaterThan">
      <formula>0</formula>
    </cfRule>
  </conditionalFormatting>
  <conditionalFormatting sqref="P137 P143 P140">
    <cfRule type="cellIs" dxfId="17303" priority="999" operator="greaterThan">
      <formula>0</formula>
    </cfRule>
  </conditionalFormatting>
  <conditionalFormatting sqref="Q137:Q143">
    <cfRule type="cellIs" dxfId="17302" priority="1004" operator="lessThan">
      <formula>0</formula>
    </cfRule>
  </conditionalFormatting>
  <conditionalFormatting sqref="R137 R143">
    <cfRule type="cellIs" dxfId="17301" priority="1002" operator="lessThan">
      <formula>0.8</formula>
    </cfRule>
    <cfRule type="cellIs" dxfId="17300" priority="1003" operator="greaterThan">
      <formula>1</formula>
    </cfRule>
  </conditionalFormatting>
  <conditionalFormatting sqref="R137 R143">
    <cfRule type="cellIs" dxfId="17299" priority="1000" operator="greaterThan">
      <formula>1</formula>
    </cfRule>
    <cfRule type="cellIs" dxfId="17298" priority="1001" operator="lessThan">
      <formula>0.8</formula>
    </cfRule>
  </conditionalFormatting>
  <conditionalFormatting sqref="Q137:Q143">
    <cfRule type="cellIs" dxfId="17297" priority="998" operator="lessThan">
      <formula>0</formula>
    </cfRule>
  </conditionalFormatting>
  <conditionalFormatting sqref="R137 R143">
    <cfRule type="cellIs" dxfId="17296" priority="996" operator="lessThan">
      <formula>0.8</formula>
    </cfRule>
    <cfRule type="cellIs" dxfId="17295" priority="997" operator="greaterThan">
      <formula>1</formula>
    </cfRule>
  </conditionalFormatting>
  <conditionalFormatting sqref="R137 R143">
    <cfRule type="cellIs" dxfId="17294" priority="994" operator="greaterThan">
      <formula>1</formula>
    </cfRule>
    <cfRule type="cellIs" dxfId="17293" priority="995" operator="lessThan">
      <formula>0.8</formula>
    </cfRule>
  </conditionalFormatting>
  <conditionalFormatting sqref="P137 P143 P140">
    <cfRule type="cellIs" dxfId="17292" priority="993" operator="greaterThan">
      <formula>0</formula>
    </cfRule>
  </conditionalFormatting>
  <conditionalFormatting sqref="Q137:Q143">
    <cfRule type="cellIs" dxfId="17291" priority="992" operator="lessThan">
      <formula>0</formula>
    </cfRule>
  </conditionalFormatting>
  <conditionalFormatting sqref="R137 R143">
    <cfRule type="cellIs" dxfId="17290" priority="990" operator="lessThan">
      <formula>0.8</formula>
    </cfRule>
    <cfRule type="cellIs" dxfId="17289" priority="991" operator="greaterThan">
      <formula>1</formula>
    </cfRule>
  </conditionalFormatting>
  <conditionalFormatting sqref="R137 R143">
    <cfRule type="cellIs" dxfId="17288" priority="988" operator="greaterThan">
      <formula>1</formula>
    </cfRule>
    <cfRule type="cellIs" dxfId="17287" priority="989" operator="lessThan">
      <formula>0.8</formula>
    </cfRule>
  </conditionalFormatting>
  <conditionalFormatting sqref="P137 P143 P140">
    <cfRule type="cellIs" dxfId="17286" priority="987" operator="greaterThan">
      <formula>0</formula>
    </cfRule>
  </conditionalFormatting>
  <conditionalFormatting sqref="P137 P143 P140">
    <cfRule type="cellIs" dxfId="17285" priority="981" operator="greaterThan">
      <formula>0</formula>
    </cfRule>
  </conditionalFormatting>
  <conditionalFormatting sqref="Q137:Q143">
    <cfRule type="cellIs" dxfId="17284" priority="986" operator="lessThan">
      <formula>0</formula>
    </cfRule>
  </conditionalFormatting>
  <conditionalFormatting sqref="R137 R143">
    <cfRule type="cellIs" dxfId="17283" priority="984" operator="lessThan">
      <formula>0.8</formula>
    </cfRule>
    <cfRule type="cellIs" dxfId="17282" priority="985" operator="greaterThan">
      <formula>1</formula>
    </cfRule>
  </conditionalFormatting>
  <conditionalFormatting sqref="R137 R143">
    <cfRule type="cellIs" dxfId="17281" priority="982" operator="greaterThan">
      <formula>1</formula>
    </cfRule>
    <cfRule type="cellIs" dxfId="17280" priority="983" operator="lessThan">
      <formula>0.8</formula>
    </cfRule>
  </conditionalFormatting>
  <conditionalFormatting sqref="Q137:Q143">
    <cfRule type="cellIs" dxfId="17279" priority="980" operator="lessThan">
      <formula>0</formula>
    </cfRule>
  </conditionalFormatting>
  <conditionalFormatting sqref="R137 R143">
    <cfRule type="cellIs" dxfId="17278" priority="978" operator="lessThan">
      <formula>0.8</formula>
    </cfRule>
    <cfRule type="cellIs" dxfId="17277" priority="979" operator="greaterThan">
      <formula>1</formula>
    </cfRule>
  </conditionalFormatting>
  <conditionalFormatting sqref="R137 R143">
    <cfRule type="cellIs" dxfId="17276" priority="976" operator="greaterThan">
      <formula>1</formula>
    </cfRule>
    <cfRule type="cellIs" dxfId="17275" priority="977" operator="lessThan">
      <formula>0.8</formula>
    </cfRule>
  </conditionalFormatting>
  <conditionalFormatting sqref="P137 P143 P140">
    <cfRule type="cellIs" dxfId="17274" priority="975" operator="greaterThan">
      <formula>0</formula>
    </cfRule>
  </conditionalFormatting>
  <conditionalFormatting sqref="P138 P144 P141">
    <cfRule type="cellIs" dxfId="17273" priority="969" operator="greaterThan">
      <formula>0</formula>
    </cfRule>
  </conditionalFormatting>
  <conditionalFormatting sqref="Q144">
    <cfRule type="cellIs" dxfId="17272" priority="974" operator="lessThan">
      <formula>0</formula>
    </cfRule>
  </conditionalFormatting>
  <conditionalFormatting sqref="R138 R144">
    <cfRule type="cellIs" dxfId="17271" priority="972" operator="lessThan">
      <formula>0.8</formula>
    </cfRule>
    <cfRule type="cellIs" dxfId="17270" priority="973" operator="greaterThan">
      <formula>1</formula>
    </cfRule>
  </conditionalFormatting>
  <conditionalFormatting sqref="R138 R144">
    <cfRule type="cellIs" dxfId="17269" priority="970" operator="greaterThan">
      <formula>1</formula>
    </cfRule>
    <cfRule type="cellIs" dxfId="17268" priority="971" operator="lessThan">
      <formula>0.8</formula>
    </cfRule>
  </conditionalFormatting>
  <conditionalFormatting sqref="Q144">
    <cfRule type="cellIs" dxfId="17267" priority="968" operator="lessThan">
      <formula>0</formula>
    </cfRule>
  </conditionalFormatting>
  <conditionalFormatting sqref="R138 R144">
    <cfRule type="cellIs" dxfId="17266" priority="966" operator="lessThan">
      <formula>0.8</formula>
    </cfRule>
    <cfRule type="cellIs" dxfId="17265" priority="967" operator="greaterThan">
      <formula>1</formula>
    </cfRule>
  </conditionalFormatting>
  <conditionalFormatting sqref="R138 R144">
    <cfRule type="cellIs" dxfId="17264" priority="964" operator="greaterThan">
      <formula>1</formula>
    </cfRule>
    <cfRule type="cellIs" dxfId="17263" priority="965" operator="lessThan">
      <formula>0.8</formula>
    </cfRule>
  </conditionalFormatting>
  <conditionalFormatting sqref="P138 P144 P141">
    <cfRule type="cellIs" dxfId="17262" priority="963" operator="greaterThan">
      <formula>0</formula>
    </cfRule>
  </conditionalFormatting>
  <conditionalFormatting sqref="Q144">
    <cfRule type="cellIs" dxfId="17261" priority="962" operator="lessThan">
      <formula>0</formula>
    </cfRule>
  </conditionalFormatting>
  <conditionalFormatting sqref="R138 R144">
    <cfRule type="cellIs" dxfId="17260" priority="960" operator="lessThan">
      <formula>0.8</formula>
    </cfRule>
    <cfRule type="cellIs" dxfId="17259" priority="961" operator="greaterThan">
      <formula>1</formula>
    </cfRule>
  </conditionalFormatting>
  <conditionalFormatting sqref="R138 R144">
    <cfRule type="cellIs" dxfId="17258" priority="958" operator="greaterThan">
      <formula>1</formula>
    </cfRule>
    <cfRule type="cellIs" dxfId="17257" priority="959" operator="lessThan">
      <formula>0.8</formula>
    </cfRule>
  </conditionalFormatting>
  <conditionalFormatting sqref="P138 P144 P141">
    <cfRule type="cellIs" dxfId="17256" priority="957" operator="greaterThan">
      <formula>0</formula>
    </cfRule>
  </conditionalFormatting>
  <conditionalFormatting sqref="Q144">
    <cfRule type="cellIs" dxfId="17255" priority="956" operator="lessThan">
      <formula>0</formula>
    </cfRule>
  </conditionalFormatting>
  <conditionalFormatting sqref="R138 R144">
    <cfRule type="cellIs" dxfId="17254" priority="954" operator="lessThan">
      <formula>0.8</formula>
    </cfRule>
    <cfRule type="cellIs" dxfId="17253" priority="955" operator="greaterThan">
      <formula>1</formula>
    </cfRule>
  </conditionalFormatting>
  <conditionalFormatting sqref="R138 R144">
    <cfRule type="cellIs" dxfId="17252" priority="952" operator="greaterThan">
      <formula>1</formula>
    </cfRule>
    <cfRule type="cellIs" dxfId="17251" priority="953" operator="lessThan">
      <formula>0.8</formula>
    </cfRule>
  </conditionalFormatting>
  <conditionalFormatting sqref="P138 P144 P141">
    <cfRule type="cellIs" dxfId="17250" priority="951" operator="greaterThan">
      <formula>0</formula>
    </cfRule>
  </conditionalFormatting>
  <conditionalFormatting sqref="Q144">
    <cfRule type="cellIs" dxfId="17249" priority="950" operator="lessThan">
      <formula>0</formula>
    </cfRule>
  </conditionalFormatting>
  <conditionalFormatting sqref="R138 R144">
    <cfRule type="cellIs" dxfId="17248" priority="948" operator="lessThan">
      <formula>0.8</formula>
    </cfRule>
    <cfRule type="cellIs" dxfId="17247" priority="949" operator="greaterThan">
      <formula>1</formula>
    </cfRule>
  </conditionalFormatting>
  <conditionalFormatting sqref="R138 R144">
    <cfRule type="cellIs" dxfId="17246" priority="946" operator="greaterThan">
      <formula>1</formula>
    </cfRule>
    <cfRule type="cellIs" dxfId="17245" priority="947" operator="lessThan">
      <formula>0.8</formula>
    </cfRule>
  </conditionalFormatting>
  <conditionalFormatting sqref="Q144">
    <cfRule type="cellIs" dxfId="17244" priority="945" operator="lessThan">
      <formula>0</formula>
    </cfRule>
  </conditionalFormatting>
  <conditionalFormatting sqref="R138 R144">
    <cfRule type="cellIs" dxfId="17243" priority="943" operator="lessThan">
      <formula>0.8</formula>
    </cfRule>
    <cfRule type="cellIs" dxfId="17242" priority="944" operator="greaterThan">
      <formula>1</formula>
    </cfRule>
  </conditionalFormatting>
  <conditionalFormatting sqref="R138 R144">
    <cfRule type="cellIs" dxfId="17241" priority="941" operator="greaterThan">
      <formula>1</formula>
    </cfRule>
    <cfRule type="cellIs" dxfId="17240" priority="942" operator="lessThan">
      <formula>0.8</formula>
    </cfRule>
  </conditionalFormatting>
  <conditionalFormatting sqref="P138 P144 P141">
    <cfRule type="cellIs" dxfId="17239" priority="940" operator="greaterThan">
      <formula>0</formula>
    </cfRule>
  </conditionalFormatting>
  <conditionalFormatting sqref="P138 P144 P141">
    <cfRule type="cellIs" dxfId="17238" priority="934" operator="greaterThan">
      <formula>0</formula>
    </cfRule>
  </conditionalFormatting>
  <conditionalFormatting sqref="Q144">
    <cfRule type="cellIs" dxfId="17237" priority="939" operator="lessThan">
      <formula>0</formula>
    </cfRule>
  </conditionalFormatting>
  <conditionalFormatting sqref="R138 R144">
    <cfRule type="cellIs" dxfId="17236" priority="937" operator="lessThan">
      <formula>0.8</formula>
    </cfRule>
    <cfRule type="cellIs" dxfId="17235" priority="938" operator="greaterThan">
      <formula>1</formula>
    </cfRule>
  </conditionalFormatting>
  <conditionalFormatting sqref="R138 R144">
    <cfRule type="cellIs" dxfId="17234" priority="935" operator="greaterThan">
      <formula>1</formula>
    </cfRule>
    <cfRule type="cellIs" dxfId="17233" priority="936" operator="lessThan">
      <formula>0.8</formula>
    </cfRule>
  </conditionalFormatting>
  <conditionalFormatting sqref="Q144">
    <cfRule type="cellIs" dxfId="17232" priority="933" operator="lessThan">
      <formula>0</formula>
    </cfRule>
  </conditionalFormatting>
  <conditionalFormatting sqref="R138 R144">
    <cfRule type="cellIs" dxfId="17231" priority="931" operator="lessThan">
      <formula>0.8</formula>
    </cfRule>
    <cfRule type="cellIs" dxfId="17230" priority="932" operator="greaterThan">
      <formula>1</formula>
    </cfRule>
  </conditionalFormatting>
  <conditionalFormatting sqref="R138 R144">
    <cfRule type="cellIs" dxfId="17229" priority="929" operator="greaterThan">
      <formula>1</formula>
    </cfRule>
    <cfRule type="cellIs" dxfId="17228" priority="930" operator="lessThan">
      <formula>0.8</formula>
    </cfRule>
  </conditionalFormatting>
  <conditionalFormatting sqref="P138 P144 P141">
    <cfRule type="cellIs" dxfId="17227" priority="928" operator="greaterThan">
      <formula>0</formula>
    </cfRule>
  </conditionalFormatting>
  <conditionalFormatting sqref="Q148:Q153">
    <cfRule type="cellIs" dxfId="17226" priority="927" operator="lessThan">
      <formula>0</formula>
    </cfRule>
  </conditionalFormatting>
  <conditionalFormatting sqref="R148:R153">
    <cfRule type="cellIs" dxfId="17225" priority="925" operator="lessThan">
      <formula>0.8</formula>
    </cfRule>
    <cfRule type="cellIs" dxfId="17224" priority="926" operator="greaterThan">
      <formula>1</formula>
    </cfRule>
  </conditionalFormatting>
  <conditionalFormatting sqref="R148:R153">
    <cfRule type="cellIs" dxfId="17223" priority="923" operator="greaterThan">
      <formula>1</formula>
    </cfRule>
    <cfRule type="cellIs" dxfId="17222" priority="924" operator="lessThan">
      <formula>0.8</formula>
    </cfRule>
  </conditionalFormatting>
  <conditionalFormatting sqref="P148:P153">
    <cfRule type="cellIs" dxfId="17221" priority="922" operator="greaterThan">
      <formula>0</formula>
    </cfRule>
  </conditionalFormatting>
  <conditionalFormatting sqref="P148:P153">
    <cfRule type="cellIs" dxfId="17220" priority="916" operator="greaterThan">
      <formula>0</formula>
    </cfRule>
  </conditionalFormatting>
  <conditionalFormatting sqref="Q148:Q153">
    <cfRule type="cellIs" dxfId="17219" priority="921" operator="lessThan">
      <formula>0</formula>
    </cfRule>
  </conditionalFormatting>
  <conditionalFormatting sqref="R148:R153">
    <cfRule type="cellIs" dxfId="17218" priority="919" operator="lessThan">
      <formula>0.8</formula>
    </cfRule>
    <cfRule type="cellIs" dxfId="17217" priority="920" operator="greaterThan">
      <formula>1</formula>
    </cfRule>
  </conditionalFormatting>
  <conditionalFormatting sqref="R148:R153">
    <cfRule type="cellIs" dxfId="17216" priority="917" operator="greaterThan">
      <formula>1</formula>
    </cfRule>
    <cfRule type="cellIs" dxfId="17215" priority="918" operator="lessThan">
      <formula>0.8</formula>
    </cfRule>
  </conditionalFormatting>
  <conditionalFormatting sqref="Q148:Q153">
    <cfRule type="cellIs" dxfId="17214" priority="915" operator="lessThan">
      <formula>0</formula>
    </cfRule>
  </conditionalFormatting>
  <conditionalFormatting sqref="R148:R153">
    <cfRule type="cellIs" dxfId="17213" priority="913" operator="lessThan">
      <formula>0.8</formula>
    </cfRule>
    <cfRule type="cellIs" dxfId="17212" priority="914" operator="greaterThan">
      <formula>1</formula>
    </cfRule>
  </conditionalFormatting>
  <conditionalFormatting sqref="R148:R153">
    <cfRule type="cellIs" dxfId="17211" priority="911" operator="greaterThan">
      <formula>1</formula>
    </cfRule>
    <cfRule type="cellIs" dxfId="17210" priority="912" operator="lessThan">
      <formula>0.8</formula>
    </cfRule>
  </conditionalFormatting>
  <conditionalFormatting sqref="P148:P153">
    <cfRule type="cellIs" dxfId="17209" priority="910" operator="greaterThan">
      <formula>0</formula>
    </cfRule>
  </conditionalFormatting>
  <conditionalFormatting sqref="Q148:Q153">
    <cfRule type="cellIs" dxfId="17208" priority="909" operator="lessThan">
      <formula>0</formula>
    </cfRule>
  </conditionalFormatting>
  <conditionalFormatting sqref="R148:R153">
    <cfRule type="cellIs" dxfId="17207" priority="907" operator="lessThan">
      <formula>0.8</formula>
    </cfRule>
    <cfRule type="cellIs" dxfId="17206" priority="908" operator="greaterThan">
      <formula>1</formula>
    </cfRule>
  </conditionalFormatting>
  <conditionalFormatting sqref="R148:R153">
    <cfRule type="cellIs" dxfId="17205" priority="905" operator="greaterThan">
      <formula>1</formula>
    </cfRule>
    <cfRule type="cellIs" dxfId="17204" priority="906" operator="lessThan">
      <formula>0.8</formula>
    </cfRule>
  </conditionalFormatting>
  <conditionalFormatting sqref="P148:P153">
    <cfRule type="cellIs" dxfId="17203" priority="904" operator="greaterThan">
      <formula>0</formula>
    </cfRule>
  </conditionalFormatting>
  <conditionalFormatting sqref="P148:P153">
    <cfRule type="cellIs" dxfId="17202" priority="898" operator="greaterThan">
      <formula>0</formula>
    </cfRule>
  </conditionalFormatting>
  <conditionalFormatting sqref="Q148:Q153">
    <cfRule type="cellIs" dxfId="17201" priority="903" operator="lessThan">
      <formula>0</formula>
    </cfRule>
  </conditionalFormatting>
  <conditionalFormatting sqref="R148:R153">
    <cfRule type="cellIs" dxfId="17200" priority="901" operator="lessThan">
      <formula>0.8</formula>
    </cfRule>
    <cfRule type="cellIs" dxfId="17199" priority="902" operator="greaterThan">
      <formula>1</formula>
    </cfRule>
  </conditionalFormatting>
  <conditionalFormatting sqref="R148:R153">
    <cfRule type="cellIs" dxfId="17198" priority="899" operator="greaterThan">
      <formula>1</formula>
    </cfRule>
    <cfRule type="cellIs" dxfId="17197" priority="900" operator="lessThan">
      <formula>0.8</formula>
    </cfRule>
  </conditionalFormatting>
  <conditionalFormatting sqref="Q148:Q153">
    <cfRule type="cellIs" dxfId="17196" priority="897" operator="lessThan">
      <formula>0</formula>
    </cfRule>
  </conditionalFormatting>
  <conditionalFormatting sqref="R148:R153">
    <cfRule type="cellIs" dxfId="17195" priority="895" operator="lessThan">
      <formula>0.8</formula>
    </cfRule>
    <cfRule type="cellIs" dxfId="17194" priority="896" operator="greaterThan">
      <formula>1</formula>
    </cfRule>
  </conditionalFormatting>
  <conditionalFormatting sqref="R148:R153">
    <cfRule type="cellIs" dxfId="17193" priority="893" operator="greaterThan">
      <formula>1</formula>
    </cfRule>
    <cfRule type="cellIs" dxfId="17192" priority="894" operator="lessThan">
      <formula>0.8</formula>
    </cfRule>
  </conditionalFormatting>
  <conditionalFormatting sqref="P148:P153">
    <cfRule type="cellIs" dxfId="17191" priority="892" operator="greaterThan">
      <formula>0</formula>
    </cfRule>
  </conditionalFormatting>
  <conditionalFormatting sqref="Q148:Q153">
    <cfRule type="cellIs" dxfId="17190" priority="886" operator="lessThan">
      <formula>0</formula>
    </cfRule>
  </conditionalFormatting>
  <conditionalFormatting sqref="P148:P153">
    <cfRule type="cellIs" dxfId="17189" priority="887" operator="greaterThan">
      <formula>0</formula>
    </cfRule>
  </conditionalFormatting>
  <conditionalFormatting sqref="R148:R153">
    <cfRule type="cellIs" dxfId="17188" priority="890" operator="lessThan">
      <formula>0.8</formula>
    </cfRule>
    <cfRule type="cellIs" dxfId="17187" priority="891" operator="greaterThan">
      <formula>1</formula>
    </cfRule>
  </conditionalFormatting>
  <conditionalFormatting sqref="R148:R153">
    <cfRule type="cellIs" dxfId="17186" priority="888" operator="greaterThan">
      <formula>1</formula>
    </cfRule>
    <cfRule type="cellIs" dxfId="17185" priority="889" operator="lessThan">
      <formula>0.8</formula>
    </cfRule>
  </conditionalFormatting>
  <conditionalFormatting sqref="Q148:Q153">
    <cfRule type="cellIs" dxfId="17184" priority="880" operator="lessThan">
      <formula>0</formula>
    </cfRule>
  </conditionalFormatting>
  <conditionalFormatting sqref="R148:R153">
    <cfRule type="cellIs" dxfId="17183" priority="884" operator="lessThan">
      <formula>0.8</formula>
    </cfRule>
    <cfRule type="cellIs" dxfId="17182" priority="885" operator="greaterThan">
      <formula>1</formula>
    </cfRule>
  </conditionalFormatting>
  <conditionalFormatting sqref="R148:R153">
    <cfRule type="cellIs" dxfId="17181" priority="882" operator="greaterThan">
      <formula>1</formula>
    </cfRule>
    <cfRule type="cellIs" dxfId="17180" priority="883" operator="lessThan">
      <formula>0.8</formula>
    </cfRule>
  </conditionalFormatting>
  <conditionalFormatting sqref="P148:P153">
    <cfRule type="cellIs" dxfId="17179" priority="881" operator="greaterThan">
      <formula>0</formula>
    </cfRule>
  </conditionalFormatting>
  <conditionalFormatting sqref="Q148:Q153">
    <cfRule type="cellIs" dxfId="17178" priority="879" operator="lessThan">
      <formula>0</formula>
    </cfRule>
  </conditionalFormatting>
  <conditionalFormatting sqref="R148:R153">
    <cfRule type="cellIs" dxfId="17177" priority="877" operator="lessThan">
      <formula>0.8</formula>
    </cfRule>
    <cfRule type="cellIs" dxfId="17176" priority="878" operator="greaterThan">
      <formula>1</formula>
    </cfRule>
  </conditionalFormatting>
  <conditionalFormatting sqref="R148:R153">
    <cfRule type="cellIs" dxfId="17175" priority="875" operator="greaterThan">
      <formula>1</formula>
    </cfRule>
    <cfRule type="cellIs" dxfId="17174" priority="876" operator="lessThan">
      <formula>0.8</formula>
    </cfRule>
  </conditionalFormatting>
  <conditionalFormatting sqref="P148:P153">
    <cfRule type="cellIs" dxfId="17173" priority="874" operator="greaterThan">
      <formula>0</formula>
    </cfRule>
  </conditionalFormatting>
  <conditionalFormatting sqref="Q148:Q153">
    <cfRule type="cellIs" dxfId="17172" priority="873" operator="lessThan">
      <formula>0</formula>
    </cfRule>
  </conditionalFormatting>
  <conditionalFormatting sqref="R148:R153">
    <cfRule type="cellIs" dxfId="17171" priority="871" operator="lessThan">
      <formula>0.8</formula>
    </cfRule>
    <cfRule type="cellIs" dxfId="17170" priority="872" operator="greaterThan">
      <formula>1</formula>
    </cfRule>
  </conditionalFormatting>
  <conditionalFormatting sqref="R148:R153">
    <cfRule type="cellIs" dxfId="17169" priority="869" operator="greaterThan">
      <formula>1</formula>
    </cfRule>
    <cfRule type="cellIs" dxfId="17168" priority="870" operator="lessThan">
      <formula>0.8</formula>
    </cfRule>
  </conditionalFormatting>
  <conditionalFormatting sqref="P148:P153">
    <cfRule type="cellIs" dxfId="17167" priority="868" operator="greaterThan">
      <formula>0</formula>
    </cfRule>
  </conditionalFormatting>
  <conditionalFormatting sqref="Q148:Q153">
    <cfRule type="cellIs" dxfId="17166" priority="867" operator="lessThan">
      <formula>0</formula>
    </cfRule>
  </conditionalFormatting>
  <conditionalFormatting sqref="R148:R153">
    <cfRule type="cellIs" dxfId="17165" priority="865" operator="lessThan">
      <formula>0.8</formula>
    </cfRule>
    <cfRule type="cellIs" dxfId="17164" priority="866" operator="greaterThan">
      <formula>1</formula>
    </cfRule>
  </conditionalFormatting>
  <conditionalFormatting sqref="R148:R153">
    <cfRule type="cellIs" dxfId="17163" priority="863" operator="greaterThan">
      <formula>1</formula>
    </cfRule>
    <cfRule type="cellIs" dxfId="17162" priority="864" operator="lessThan">
      <formula>0.8</formula>
    </cfRule>
  </conditionalFormatting>
  <conditionalFormatting sqref="P148:P153">
    <cfRule type="cellIs" dxfId="17161" priority="862" operator="greaterThan">
      <formula>0</formula>
    </cfRule>
  </conditionalFormatting>
  <conditionalFormatting sqref="Q148:Q153">
    <cfRule type="cellIs" dxfId="17160" priority="861" operator="lessThan">
      <formula>0</formula>
    </cfRule>
  </conditionalFormatting>
  <conditionalFormatting sqref="R148:R153">
    <cfRule type="cellIs" dxfId="17159" priority="859" operator="lessThan">
      <formula>0.8</formula>
    </cfRule>
    <cfRule type="cellIs" dxfId="17158" priority="860" operator="greaterThan">
      <formula>1</formula>
    </cfRule>
  </conditionalFormatting>
  <conditionalFormatting sqref="R148:R153">
    <cfRule type="cellIs" dxfId="17157" priority="857" operator="greaterThan">
      <formula>1</formula>
    </cfRule>
    <cfRule type="cellIs" dxfId="17156" priority="858" operator="lessThan">
      <formula>0.8</formula>
    </cfRule>
  </conditionalFormatting>
  <conditionalFormatting sqref="P148:P153">
    <cfRule type="cellIs" dxfId="17155" priority="856" operator="greaterThan">
      <formula>0</formula>
    </cfRule>
  </conditionalFormatting>
  <conditionalFormatting sqref="Q148:Q153">
    <cfRule type="cellIs" dxfId="17154" priority="855" operator="lessThan">
      <formula>0</formula>
    </cfRule>
  </conditionalFormatting>
  <conditionalFormatting sqref="R148:R153">
    <cfRule type="cellIs" dxfId="17153" priority="853" operator="lessThan">
      <formula>0.8</formula>
    </cfRule>
    <cfRule type="cellIs" dxfId="17152" priority="854" operator="greaterThan">
      <formula>1</formula>
    </cfRule>
  </conditionalFormatting>
  <conditionalFormatting sqref="R148:R153">
    <cfRule type="cellIs" dxfId="17151" priority="851" operator="greaterThan">
      <formula>1</formula>
    </cfRule>
    <cfRule type="cellIs" dxfId="17150" priority="852" operator="lessThan">
      <formula>0.8</formula>
    </cfRule>
  </conditionalFormatting>
  <conditionalFormatting sqref="P148:P153">
    <cfRule type="cellIs" dxfId="17149" priority="850" operator="greaterThan">
      <formula>0</formula>
    </cfRule>
  </conditionalFormatting>
  <conditionalFormatting sqref="Q148:Q153">
    <cfRule type="cellIs" dxfId="17148" priority="849" operator="lessThan">
      <formula>0</formula>
    </cfRule>
  </conditionalFormatting>
  <conditionalFormatting sqref="R148:R153">
    <cfRule type="cellIs" dxfId="17147" priority="847" operator="lessThan">
      <formula>0.8</formula>
    </cfRule>
    <cfRule type="cellIs" dxfId="17146" priority="848" operator="greaterThan">
      <formula>1</formula>
    </cfRule>
  </conditionalFormatting>
  <conditionalFormatting sqref="R148:R153">
    <cfRule type="cellIs" dxfId="17145" priority="845" operator="greaterThan">
      <formula>1</formula>
    </cfRule>
    <cfRule type="cellIs" dxfId="17144" priority="846" operator="lessThan">
      <formula>0.8</formula>
    </cfRule>
  </conditionalFormatting>
  <conditionalFormatting sqref="P148:P153">
    <cfRule type="cellIs" dxfId="17143" priority="844" operator="greaterThan">
      <formula>0</formula>
    </cfRule>
  </conditionalFormatting>
  <conditionalFormatting sqref="Q148:Q153">
    <cfRule type="cellIs" dxfId="17142" priority="843" operator="lessThan">
      <formula>0</formula>
    </cfRule>
  </conditionalFormatting>
  <conditionalFormatting sqref="R148:R153">
    <cfRule type="cellIs" dxfId="17141" priority="841" operator="lessThan">
      <formula>0.8</formula>
    </cfRule>
    <cfRule type="cellIs" dxfId="17140" priority="842" operator="greaterThan">
      <formula>1</formula>
    </cfRule>
  </conditionalFormatting>
  <conditionalFormatting sqref="R148:R153">
    <cfRule type="cellIs" dxfId="17139" priority="839" operator="greaterThan">
      <formula>1</formula>
    </cfRule>
    <cfRule type="cellIs" dxfId="17138" priority="840" operator="lessThan">
      <formula>0.8</formula>
    </cfRule>
  </conditionalFormatting>
  <conditionalFormatting sqref="P148:P153">
    <cfRule type="cellIs" dxfId="17137" priority="838" operator="greaterThan">
      <formula>0</formula>
    </cfRule>
  </conditionalFormatting>
  <conditionalFormatting sqref="P148:P153">
    <cfRule type="cellIs" dxfId="17136" priority="832" operator="greaterThan">
      <formula>0</formula>
    </cfRule>
  </conditionalFormatting>
  <conditionalFormatting sqref="Q148:Q153">
    <cfRule type="cellIs" dxfId="17135" priority="837" operator="lessThan">
      <formula>0</formula>
    </cfRule>
  </conditionalFormatting>
  <conditionalFormatting sqref="R148:R153">
    <cfRule type="cellIs" dxfId="17134" priority="835" operator="lessThan">
      <formula>0.8</formula>
    </cfRule>
    <cfRule type="cellIs" dxfId="17133" priority="836" operator="greaterThan">
      <formula>1</formula>
    </cfRule>
  </conditionalFormatting>
  <conditionalFormatting sqref="R148:R153">
    <cfRule type="cellIs" dxfId="17132" priority="833" operator="greaterThan">
      <formula>1</formula>
    </cfRule>
    <cfRule type="cellIs" dxfId="17131" priority="834" operator="lessThan">
      <formula>0.8</formula>
    </cfRule>
  </conditionalFormatting>
  <conditionalFormatting sqref="P148:P153">
    <cfRule type="cellIs" dxfId="17130" priority="826" operator="greaterThan">
      <formula>0</formula>
    </cfRule>
  </conditionalFormatting>
  <conditionalFormatting sqref="Q148:Q153">
    <cfRule type="cellIs" dxfId="17129" priority="831" operator="lessThan">
      <formula>0</formula>
    </cfRule>
  </conditionalFormatting>
  <conditionalFormatting sqref="R148:R153">
    <cfRule type="cellIs" dxfId="17128" priority="829" operator="lessThan">
      <formula>0.8</formula>
    </cfRule>
    <cfRule type="cellIs" dxfId="17127" priority="830" operator="greaterThan">
      <formula>1</formula>
    </cfRule>
  </conditionalFormatting>
  <conditionalFormatting sqref="R148:R153">
    <cfRule type="cellIs" dxfId="17126" priority="827" operator="greaterThan">
      <formula>1</formula>
    </cfRule>
    <cfRule type="cellIs" dxfId="17125" priority="828" operator="lessThan">
      <formula>0.8</formula>
    </cfRule>
  </conditionalFormatting>
  <conditionalFormatting sqref="R148:R153">
    <cfRule type="cellIs" dxfId="17124" priority="823" operator="lessThan">
      <formula>0.8</formula>
    </cfRule>
    <cfRule type="cellIs" dxfId="17123" priority="824" operator="greaterThan">
      <formula>1</formula>
    </cfRule>
  </conditionalFormatting>
  <conditionalFormatting sqref="R148:R153">
    <cfRule type="cellIs" dxfId="17122" priority="821" operator="greaterThan">
      <formula>1</formula>
    </cfRule>
    <cfRule type="cellIs" dxfId="17121" priority="822" operator="lessThan">
      <formula>0.8</formula>
    </cfRule>
  </conditionalFormatting>
  <conditionalFormatting sqref="P148:P153">
    <cfRule type="cellIs" dxfId="17120" priority="820" operator="greaterThan">
      <formula>0</formula>
    </cfRule>
  </conditionalFormatting>
  <conditionalFormatting sqref="Q148:Q153">
    <cfRule type="cellIs" dxfId="17119" priority="825" operator="lessThan">
      <formula>0</formula>
    </cfRule>
  </conditionalFormatting>
  <conditionalFormatting sqref="Q148:Q153">
    <cfRule type="cellIs" dxfId="17118" priority="819" operator="lessThan">
      <formula>0</formula>
    </cfRule>
  </conditionalFormatting>
  <conditionalFormatting sqref="R148:R153">
    <cfRule type="cellIs" dxfId="17117" priority="817" operator="lessThan">
      <formula>0.8</formula>
    </cfRule>
    <cfRule type="cellIs" dxfId="17116" priority="818" operator="greaterThan">
      <formula>1</formula>
    </cfRule>
  </conditionalFormatting>
  <conditionalFormatting sqref="R148:R153">
    <cfRule type="cellIs" dxfId="17115" priority="815" operator="greaterThan">
      <formula>1</formula>
    </cfRule>
    <cfRule type="cellIs" dxfId="17114" priority="816" operator="lessThan">
      <formula>0.8</formula>
    </cfRule>
  </conditionalFormatting>
  <conditionalFormatting sqref="P148:P153">
    <cfRule type="cellIs" dxfId="17113" priority="814" operator="greaterThan">
      <formula>0</formula>
    </cfRule>
  </conditionalFormatting>
  <conditionalFormatting sqref="P148:P153">
    <cfRule type="cellIs" dxfId="17112" priority="808" operator="greaterThan">
      <formula>0</formula>
    </cfRule>
  </conditionalFormatting>
  <conditionalFormatting sqref="Q148:Q153">
    <cfRule type="cellIs" dxfId="17111" priority="813" operator="lessThan">
      <formula>0</formula>
    </cfRule>
  </conditionalFormatting>
  <conditionalFormatting sqref="R148:R153">
    <cfRule type="cellIs" dxfId="17110" priority="811" operator="lessThan">
      <formula>0.8</formula>
    </cfRule>
    <cfRule type="cellIs" dxfId="17109" priority="812" operator="greaterThan">
      <formula>1</formula>
    </cfRule>
  </conditionalFormatting>
  <conditionalFormatting sqref="R148:R153">
    <cfRule type="cellIs" dxfId="17108" priority="809" operator="greaterThan">
      <formula>1</formula>
    </cfRule>
    <cfRule type="cellIs" dxfId="17107" priority="810" operator="lessThan">
      <formula>0.8</formula>
    </cfRule>
  </conditionalFormatting>
  <conditionalFormatting sqref="P148:P153">
    <cfRule type="cellIs" dxfId="17106" priority="802" operator="greaterThan">
      <formula>0</formula>
    </cfRule>
  </conditionalFormatting>
  <conditionalFormatting sqref="Q148:Q153">
    <cfRule type="cellIs" dxfId="17105" priority="807" operator="lessThan">
      <formula>0</formula>
    </cfRule>
  </conditionalFormatting>
  <conditionalFormatting sqref="R148:R153">
    <cfRule type="cellIs" dxfId="17104" priority="805" operator="lessThan">
      <formula>0.8</formula>
    </cfRule>
    <cfRule type="cellIs" dxfId="17103" priority="806" operator="greaterThan">
      <formula>1</formula>
    </cfRule>
  </conditionalFormatting>
  <conditionalFormatting sqref="R148:R153">
    <cfRule type="cellIs" dxfId="17102" priority="803" operator="greaterThan">
      <formula>1</formula>
    </cfRule>
    <cfRule type="cellIs" dxfId="17101" priority="804" operator="lessThan">
      <formula>0.8</formula>
    </cfRule>
  </conditionalFormatting>
  <conditionalFormatting sqref="R148:R153">
    <cfRule type="cellIs" dxfId="17100" priority="799" operator="lessThan">
      <formula>0.8</formula>
    </cfRule>
    <cfRule type="cellIs" dxfId="17099" priority="800" operator="greaterThan">
      <formula>1</formula>
    </cfRule>
  </conditionalFormatting>
  <conditionalFormatting sqref="R148:R153">
    <cfRule type="cellIs" dxfId="17098" priority="797" operator="greaterThan">
      <formula>1</formula>
    </cfRule>
    <cfRule type="cellIs" dxfId="17097" priority="798" operator="lessThan">
      <formula>0.8</formula>
    </cfRule>
  </conditionalFormatting>
  <conditionalFormatting sqref="P148:P153">
    <cfRule type="cellIs" dxfId="17096" priority="796" operator="greaterThan">
      <formula>0</formula>
    </cfRule>
  </conditionalFormatting>
  <conditionalFormatting sqref="Q148:Q153">
    <cfRule type="cellIs" dxfId="17095" priority="801" operator="lessThan">
      <formula>0</formula>
    </cfRule>
  </conditionalFormatting>
  <conditionalFormatting sqref="P148:P153">
    <cfRule type="cellIs" dxfId="17094" priority="790" operator="greaterThan">
      <formula>0</formula>
    </cfRule>
  </conditionalFormatting>
  <conditionalFormatting sqref="Q148:Q153">
    <cfRule type="cellIs" dxfId="17093" priority="795" operator="lessThan">
      <formula>0</formula>
    </cfRule>
  </conditionalFormatting>
  <conditionalFormatting sqref="R148:R153">
    <cfRule type="cellIs" dxfId="17092" priority="793" operator="lessThan">
      <formula>0.8</formula>
    </cfRule>
    <cfRule type="cellIs" dxfId="17091" priority="794" operator="greaterThan">
      <formula>1</formula>
    </cfRule>
  </conditionalFormatting>
  <conditionalFormatting sqref="R148:R153">
    <cfRule type="cellIs" dxfId="17090" priority="791" operator="greaterThan">
      <formula>1</formula>
    </cfRule>
    <cfRule type="cellIs" dxfId="17089" priority="792" operator="lessThan">
      <formula>0.8</formula>
    </cfRule>
  </conditionalFormatting>
  <conditionalFormatting sqref="R148:R153">
    <cfRule type="cellIs" dxfId="17088" priority="787" operator="lessThan">
      <formula>0.8</formula>
    </cfRule>
    <cfRule type="cellIs" dxfId="17087" priority="788" operator="greaterThan">
      <formula>1</formula>
    </cfRule>
  </conditionalFormatting>
  <conditionalFormatting sqref="R148:R153">
    <cfRule type="cellIs" dxfId="17086" priority="785" operator="greaterThan">
      <formula>1</formula>
    </cfRule>
    <cfRule type="cellIs" dxfId="17085" priority="786" operator="lessThan">
      <formula>0.8</formula>
    </cfRule>
  </conditionalFormatting>
  <conditionalFormatting sqref="P148:P153">
    <cfRule type="cellIs" dxfId="17084" priority="784" operator="greaterThan">
      <formula>0</formula>
    </cfRule>
  </conditionalFormatting>
  <conditionalFormatting sqref="Q148:Q153">
    <cfRule type="cellIs" dxfId="17083" priority="789" operator="lessThan">
      <formula>0</formula>
    </cfRule>
  </conditionalFormatting>
  <conditionalFormatting sqref="R148:R153">
    <cfRule type="cellIs" dxfId="17082" priority="781" operator="lessThan">
      <formula>0.8</formula>
    </cfRule>
    <cfRule type="cellIs" dxfId="17081" priority="782" operator="greaterThan">
      <formula>1</formula>
    </cfRule>
  </conditionalFormatting>
  <conditionalFormatting sqref="R148:R153">
    <cfRule type="cellIs" dxfId="17080" priority="779" operator="greaterThan">
      <formula>1</formula>
    </cfRule>
    <cfRule type="cellIs" dxfId="17079" priority="780" operator="lessThan">
      <formula>0.8</formula>
    </cfRule>
  </conditionalFormatting>
  <conditionalFormatting sqref="P148:P153">
    <cfRule type="cellIs" dxfId="17078" priority="778" operator="greaterThan">
      <formula>0</formula>
    </cfRule>
  </conditionalFormatting>
  <conditionalFormatting sqref="Q148:Q153">
    <cfRule type="cellIs" dxfId="17077" priority="783" operator="lessThan">
      <formula>0</formula>
    </cfRule>
  </conditionalFormatting>
  <conditionalFormatting sqref="Q148:Q153">
    <cfRule type="cellIs" dxfId="17076" priority="777" operator="lessThan">
      <formula>0</formula>
    </cfRule>
  </conditionalFormatting>
  <conditionalFormatting sqref="R148:R153">
    <cfRule type="cellIs" dxfId="17075" priority="775" operator="lessThan">
      <formula>0.8</formula>
    </cfRule>
    <cfRule type="cellIs" dxfId="17074" priority="776" operator="greaterThan">
      <formula>1</formula>
    </cfRule>
  </conditionalFormatting>
  <conditionalFormatting sqref="R148:R153">
    <cfRule type="cellIs" dxfId="17073" priority="773" operator="greaterThan">
      <formula>1</formula>
    </cfRule>
    <cfRule type="cellIs" dxfId="17072" priority="774" operator="lessThan">
      <formula>0.8</formula>
    </cfRule>
  </conditionalFormatting>
  <conditionalFormatting sqref="P148:P153">
    <cfRule type="cellIs" dxfId="17071" priority="772" operator="greaterThan">
      <formula>0</formula>
    </cfRule>
  </conditionalFormatting>
  <conditionalFormatting sqref="Q148:Q153">
    <cfRule type="cellIs" dxfId="17070" priority="766" operator="lessThan">
      <formula>0</formula>
    </cfRule>
  </conditionalFormatting>
  <conditionalFormatting sqref="R148:R153">
    <cfRule type="cellIs" dxfId="17069" priority="770" operator="lessThan">
      <formula>0.8</formula>
    </cfRule>
    <cfRule type="cellIs" dxfId="17068" priority="771" operator="greaterThan">
      <formula>1</formula>
    </cfRule>
  </conditionalFormatting>
  <conditionalFormatting sqref="R148:R153">
    <cfRule type="cellIs" dxfId="17067" priority="768" operator="greaterThan">
      <formula>1</formula>
    </cfRule>
    <cfRule type="cellIs" dxfId="17066" priority="769" operator="lessThan">
      <formula>0.8</formula>
    </cfRule>
  </conditionalFormatting>
  <conditionalFormatting sqref="P148:P153">
    <cfRule type="cellIs" dxfId="17065" priority="767" operator="greaterThan">
      <formula>0</formula>
    </cfRule>
  </conditionalFormatting>
  <conditionalFormatting sqref="Q148:Q153">
    <cfRule type="cellIs" dxfId="17064" priority="765" operator="lessThan">
      <formula>0</formula>
    </cfRule>
  </conditionalFormatting>
  <conditionalFormatting sqref="R148:R153">
    <cfRule type="cellIs" dxfId="17063" priority="763" operator="lessThan">
      <formula>0.8</formula>
    </cfRule>
    <cfRule type="cellIs" dxfId="17062" priority="764" operator="greaterThan">
      <formula>1</formula>
    </cfRule>
  </conditionalFormatting>
  <conditionalFormatting sqref="R148:R153">
    <cfRule type="cellIs" dxfId="17061" priority="761" operator="greaterThan">
      <formula>1</formula>
    </cfRule>
    <cfRule type="cellIs" dxfId="17060" priority="762" operator="lessThan">
      <formula>0.8</formula>
    </cfRule>
  </conditionalFormatting>
  <conditionalFormatting sqref="P148:P153">
    <cfRule type="cellIs" dxfId="17059" priority="760" operator="greaterThan">
      <formula>0</formula>
    </cfRule>
  </conditionalFormatting>
  <conditionalFormatting sqref="Q148:Q153">
    <cfRule type="cellIs" dxfId="17058" priority="759" operator="lessThan">
      <formula>0</formula>
    </cfRule>
  </conditionalFormatting>
  <conditionalFormatting sqref="R148:R153">
    <cfRule type="cellIs" dxfId="17057" priority="757" operator="lessThan">
      <formula>0.8</formula>
    </cfRule>
    <cfRule type="cellIs" dxfId="17056" priority="758" operator="greaterThan">
      <formula>1</formula>
    </cfRule>
  </conditionalFormatting>
  <conditionalFormatting sqref="R148:R153">
    <cfRule type="cellIs" dxfId="17055" priority="755" operator="greaterThan">
      <formula>1</formula>
    </cfRule>
    <cfRule type="cellIs" dxfId="17054" priority="756" operator="lessThan">
      <formula>0.8</formula>
    </cfRule>
  </conditionalFormatting>
  <conditionalFormatting sqref="P148:P153">
    <cfRule type="cellIs" dxfId="17053" priority="754" operator="greaterThan">
      <formula>0</formula>
    </cfRule>
  </conditionalFormatting>
  <conditionalFormatting sqref="Q148:Q153">
    <cfRule type="cellIs" dxfId="17052" priority="753" operator="lessThan">
      <formula>0</formula>
    </cfRule>
  </conditionalFormatting>
  <conditionalFormatting sqref="R148:R153">
    <cfRule type="cellIs" dxfId="17051" priority="751" operator="lessThan">
      <formula>0.8</formula>
    </cfRule>
    <cfRule type="cellIs" dxfId="17050" priority="752" operator="greaterThan">
      <formula>1</formula>
    </cfRule>
  </conditionalFormatting>
  <conditionalFormatting sqref="R148:R153">
    <cfRule type="cellIs" dxfId="17049" priority="749" operator="greaterThan">
      <formula>1</formula>
    </cfRule>
    <cfRule type="cellIs" dxfId="17048" priority="750" operator="lessThan">
      <formula>0.8</formula>
    </cfRule>
  </conditionalFormatting>
  <conditionalFormatting sqref="P148:P153">
    <cfRule type="cellIs" dxfId="17047" priority="748" operator="greaterThan">
      <formula>0</formula>
    </cfRule>
  </conditionalFormatting>
  <conditionalFormatting sqref="Q148:Q153">
    <cfRule type="cellIs" dxfId="17046" priority="747" operator="lessThan">
      <formula>0</formula>
    </cfRule>
  </conditionalFormatting>
  <conditionalFormatting sqref="R148:R153">
    <cfRule type="cellIs" dxfId="17045" priority="745" operator="lessThan">
      <formula>0.8</formula>
    </cfRule>
    <cfRule type="cellIs" dxfId="17044" priority="746" operator="greaterThan">
      <formula>1</formula>
    </cfRule>
  </conditionalFormatting>
  <conditionalFormatting sqref="R148:R153">
    <cfRule type="cellIs" dxfId="17043" priority="743" operator="greaterThan">
      <formula>1</formula>
    </cfRule>
    <cfRule type="cellIs" dxfId="17042" priority="744" operator="lessThan">
      <formula>0.8</formula>
    </cfRule>
  </conditionalFormatting>
  <conditionalFormatting sqref="P148:P153">
    <cfRule type="cellIs" dxfId="17041" priority="742" operator="greaterThan">
      <formula>0</formula>
    </cfRule>
  </conditionalFormatting>
  <conditionalFormatting sqref="Q148:Q153">
    <cfRule type="cellIs" dxfId="17040" priority="741" operator="lessThan">
      <formula>0</formula>
    </cfRule>
  </conditionalFormatting>
  <conditionalFormatting sqref="R148:R153">
    <cfRule type="cellIs" dxfId="17039" priority="739" operator="lessThan">
      <formula>0.8</formula>
    </cfRule>
    <cfRule type="cellIs" dxfId="17038" priority="740" operator="greaterThan">
      <formula>1</formula>
    </cfRule>
  </conditionalFormatting>
  <conditionalFormatting sqref="R148:R153">
    <cfRule type="cellIs" dxfId="17037" priority="737" operator="greaterThan">
      <formula>1</formula>
    </cfRule>
    <cfRule type="cellIs" dxfId="17036" priority="738" operator="lessThan">
      <formula>0.8</formula>
    </cfRule>
  </conditionalFormatting>
  <conditionalFormatting sqref="P148:P153">
    <cfRule type="cellIs" dxfId="17035" priority="736" operator="greaterThan">
      <formula>0</formula>
    </cfRule>
  </conditionalFormatting>
  <conditionalFormatting sqref="P148:P153">
    <cfRule type="cellIs" dxfId="17034" priority="730" operator="greaterThan">
      <formula>0</formula>
    </cfRule>
  </conditionalFormatting>
  <conditionalFormatting sqref="Q148:Q153">
    <cfRule type="cellIs" dxfId="17033" priority="735" operator="lessThan">
      <formula>0</formula>
    </cfRule>
  </conditionalFormatting>
  <conditionalFormatting sqref="R148:R153">
    <cfRule type="cellIs" dxfId="17032" priority="733" operator="lessThan">
      <formula>0.8</formula>
    </cfRule>
    <cfRule type="cellIs" dxfId="17031" priority="734" operator="greaterThan">
      <formula>1</formula>
    </cfRule>
  </conditionalFormatting>
  <conditionalFormatting sqref="R148:R153">
    <cfRule type="cellIs" dxfId="17030" priority="731" operator="greaterThan">
      <formula>1</formula>
    </cfRule>
    <cfRule type="cellIs" dxfId="17029" priority="732" operator="lessThan">
      <formula>0.8</formula>
    </cfRule>
  </conditionalFormatting>
  <conditionalFormatting sqref="P148:P153">
    <cfRule type="cellIs" dxfId="17028" priority="724" operator="greaterThan">
      <formula>0</formula>
    </cfRule>
  </conditionalFormatting>
  <conditionalFormatting sqref="Q148:Q153">
    <cfRule type="cellIs" dxfId="17027" priority="729" operator="lessThan">
      <formula>0</formula>
    </cfRule>
  </conditionalFormatting>
  <conditionalFormatting sqref="R148:R153">
    <cfRule type="cellIs" dxfId="17026" priority="727" operator="lessThan">
      <formula>0.8</formula>
    </cfRule>
    <cfRule type="cellIs" dxfId="17025" priority="728" operator="greaterThan">
      <formula>1</formula>
    </cfRule>
  </conditionalFormatting>
  <conditionalFormatting sqref="R148:R153">
    <cfRule type="cellIs" dxfId="17024" priority="725" operator="greaterThan">
      <formula>1</formula>
    </cfRule>
    <cfRule type="cellIs" dxfId="17023" priority="726" operator="lessThan">
      <formula>0.8</formula>
    </cfRule>
  </conditionalFormatting>
  <conditionalFormatting sqref="R148:R153">
    <cfRule type="cellIs" dxfId="17022" priority="721" operator="lessThan">
      <formula>0.8</formula>
    </cfRule>
    <cfRule type="cellIs" dxfId="17021" priority="722" operator="greaterThan">
      <formula>1</formula>
    </cfRule>
  </conditionalFormatting>
  <conditionalFormatting sqref="R148:R153">
    <cfRule type="cellIs" dxfId="17020" priority="719" operator="greaterThan">
      <formula>1</formula>
    </cfRule>
    <cfRule type="cellIs" dxfId="17019" priority="720" operator="lessThan">
      <formula>0.8</formula>
    </cfRule>
  </conditionalFormatting>
  <conditionalFormatting sqref="P148:P153">
    <cfRule type="cellIs" dxfId="17018" priority="718" operator="greaterThan">
      <formula>0</formula>
    </cfRule>
  </conditionalFormatting>
  <conditionalFormatting sqref="Q148:Q153">
    <cfRule type="cellIs" dxfId="17017" priority="723" operator="lessThan">
      <formula>0</formula>
    </cfRule>
  </conditionalFormatting>
  <conditionalFormatting sqref="P44:P51">
    <cfRule type="cellIs" dxfId="17016" priority="712" operator="greaterThan">
      <formula>0</formula>
    </cfRule>
  </conditionalFormatting>
  <conditionalFormatting sqref="Q44:Q51">
    <cfRule type="cellIs" dxfId="17015" priority="717" operator="lessThan">
      <formula>0</formula>
    </cfRule>
  </conditionalFormatting>
  <conditionalFormatting sqref="R44:R51">
    <cfRule type="cellIs" dxfId="17014" priority="715" operator="lessThan">
      <formula>0.8</formula>
    </cfRule>
    <cfRule type="cellIs" dxfId="17013" priority="716" operator="greaterThan">
      <formula>1</formula>
    </cfRule>
  </conditionalFormatting>
  <conditionalFormatting sqref="R44:R51">
    <cfRule type="cellIs" dxfId="17012" priority="713" operator="greaterThan">
      <formula>1</formula>
    </cfRule>
    <cfRule type="cellIs" dxfId="17011" priority="714" operator="lessThan">
      <formula>0.8</formula>
    </cfRule>
  </conditionalFormatting>
  <conditionalFormatting sqref="Q84:Q91">
    <cfRule type="cellIs" dxfId="17010" priority="711" operator="lessThan">
      <formula>0</formula>
    </cfRule>
  </conditionalFormatting>
  <conditionalFormatting sqref="R84:R91">
    <cfRule type="cellIs" dxfId="17009" priority="709" operator="lessThan">
      <formula>0.8</formula>
    </cfRule>
    <cfRule type="cellIs" dxfId="17008" priority="710" operator="greaterThan">
      <formula>1</formula>
    </cfRule>
  </conditionalFormatting>
  <conditionalFormatting sqref="R84:R91">
    <cfRule type="cellIs" dxfId="17007" priority="707" operator="greaterThan">
      <formula>1</formula>
    </cfRule>
    <cfRule type="cellIs" dxfId="17006" priority="708" operator="lessThan">
      <formula>0.8</formula>
    </cfRule>
  </conditionalFormatting>
  <conditionalFormatting sqref="P84:P91">
    <cfRule type="cellIs" dxfId="17005" priority="706" operator="greaterThan">
      <formula>0</formula>
    </cfRule>
  </conditionalFormatting>
  <conditionalFormatting sqref="Q84:Q91">
    <cfRule type="cellIs" dxfId="17004" priority="705" operator="lessThan">
      <formula>0</formula>
    </cfRule>
  </conditionalFormatting>
  <conditionalFormatting sqref="R84:R91">
    <cfRule type="cellIs" dxfId="17003" priority="703" operator="lessThan">
      <formula>0.8</formula>
    </cfRule>
    <cfRule type="cellIs" dxfId="17002" priority="704" operator="greaterThan">
      <formula>1</formula>
    </cfRule>
  </conditionalFormatting>
  <conditionalFormatting sqref="R84:R91">
    <cfRule type="cellIs" dxfId="17001" priority="701" operator="greaterThan">
      <formula>1</formula>
    </cfRule>
    <cfRule type="cellIs" dxfId="17000" priority="702" operator="lessThan">
      <formula>0.8</formula>
    </cfRule>
  </conditionalFormatting>
  <conditionalFormatting sqref="P84:P91">
    <cfRule type="cellIs" dxfId="16999" priority="700" operator="greaterThan">
      <formula>0</formula>
    </cfRule>
  </conditionalFormatting>
  <conditionalFormatting sqref="Q84:Q91">
    <cfRule type="cellIs" dxfId="16998" priority="699" operator="lessThan">
      <formula>0</formula>
    </cfRule>
  </conditionalFormatting>
  <conditionalFormatting sqref="R84:R91">
    <cfRule type="cellIs" dxfId="16997" priority="697" operator="lessThan">
      <formula>0.8</formula>
    </cfRule>
    <cfRule type="cellIs" dxfId="16996" priority="698" operator="greaterThan">
      <formula>1</formula>
    </cfRule>
  </conditionalFormatting>
  <conditionalFormatting sqref="R84:R91">
    <cfRule type="cellIs" dxfId="16995" priority="695" operator="greaterThan">
      <formula>1</formula>
    </cfRule>
    <cfRule type="cellIs" dxfId="16994" priority="696" operator="lessThan">
      <formula>0.8</formula>
    </cfRule>
  </conditionalFormatting>
  <conditionalFormatting sqref="P84:P91">
    <cfRule type="cellIs" dxfId="16993" priority="694" operator="greaterThan">
      <formula>0</formula>
    </cfRule>
  </conditionalFormatting>
  <conditionalFormatting sqref="Q84:Q91">
    <cfRule type="cellIs" dxfId="16992" priority="693" operator="lessThan">
      <formula>0</formula>
    </cfRule>
  </conditionalFormatting>
  <conditionalFormatting sqref="R84:R91">
    <cfRule type="cellIs" dxfId="16991" priority="691" operator="lessThan">
      <formula>0.8</formula>
    </cfRule>
    <cfRule type="cellIs" dxfId="16990" priority="692" operator="greaterThan">
      <formula>1</formula>
    </cfRule>
  </conditionalFormatting>
  <conditionalFormatting sqref="R84:R91">
    <cfRule type="cellIs" dxfId="16989" priority="689" operator="greaterThan">
      <formula>1</formula>
    </cfRule>
    <cfRule type="cellIs" dxfId="16988" priority="690" operator="lessThan">
      <formula>0.8</formula>
    </cfRule>
  </conditionalFormatting>
  <conditionalFormatting sqref="P84:P91">
    <cfRule type="cellIs" dxfId="16987" priority="688" operator="greaterThan">
      <formula>0</formula>
    </cfRule>
  </conditionalFormatting>
  <conditionalFormatting sqref="P84:P91">
    <cfRule type="cellIs" dxfId="16986" priority="682" operator="greaterThan">
      <formula>0</formula>
    </cfRule>
  </conditionalFormatting>
  <conditionalFormatting sqref="Q84:Q91">
    <cfRule type="cellIs" dxfId="16985" priority="687" operator="lessThan">
      <formula>0</formula>
    </cfRule>
  </conditionalFormatting>
  <conditionalFormatting sqref="R84:R91">
    <cfRule type="cellIs" dxfId="16984" priority="685" operator="lessThan">
      <formula>0.8</formula>
    </cfRule>
    <cfRule type="cellIs" dxfId="16983" priority="686" operator="greaterThan">
      <formula>1</formula>
    </cfRule>
  </conditionalFormatting>
  <conditionalFormatting sqref="R84:R91">
    <cfRule type="cellIs" dxfId="16982" priority="683" operator="greaterThan">
      <formula>1</formula>
    </cfRule>
    <cfRule type="cellIs" dxfId="16981" priority="684" operator="lessThan">
      <formula>0.8</formula>
    </cfRule>
  </conditionalFormatting>
  <conditionalFormatting sqref="P84:P91">
    <cfRule type="cellIs" dxfId="16980" priority="676" operator="greaterThan">
      <formula>0</formula>
    </cfRule>
  </conditionalFormatting>
  <conditionalFormatting sqref="Q84:Q91">
    <cfRule type="cellIs" dxfId="16979" priority="681" operator="lessThan">
      <formula>0</formula>
    </cfRule>
  </conditionalFormatting>
  <conditionalFormatting sqref="R84:R91">
    <cfRule type="cellIs" dxfId="16978" priority="679" operator="lessThan">
      <formula>0.8</formula>
    </cfRule>
    <cfRule type="cellIs" dxfId="16977" priority="680" operator="greaterThan">
      <formula>1</formula>
    </cfRule>
  </conditionalFormatting>
  <conditionalFormatting sqref="R84:R91">
    <cfRule type="cellIs" dxfId="16976" priority="677" operator="greaterThan">
      <formula>1</formula>
    </cfRule>
    <cfRule type="cellIs" dxfId="16975" priority="678" operator="lessThan">
      <formula>0.8</formula>
    </cfRule>
  </conditionalFormatting>
  <conditionalFormatting sqref="R84:R91">
    <cfRule type="cellIs" dxfId="16974" priority="673" operator="lessThan">
      <formula>0.8</formula>
    </cfRule>
    <cfRule type="cellIs" dxfId="16973" priority="674" operator="greaterThan">
      <formula>1</formula>
    </cfRule>
  </conditionalFormatting>
  <conditionalFormatting sqref="R84:R91">
    <cfRule type="cellIs" dxfId="16972" priority="671" operator="greaterThan">
      <formula>1</formula>
    </cfRule>
    <cfRule type="cellIs" dxfId="16971" priority="672" operator="lessThan">
      <formula>0.8</formula>
    </cfRule>
  </conditionalFormatting>
  <conditionalFormatting sqref="P84:P91">
    <cfRule type="cellIs" dxfId="16970" priority="670" operator="greaterThan">
      <formula>0</formula>
    </cfRule>
  </conditionalFormatting>
  <conditionalFormatting sqref="Q84:Q91">
    <cfRule type="cellIs" dxfId="16969" priority="675" operator="lessThan">
      <formula>0</formula>
    </cfRule>
  </conditionalFormatting>
  <conditionalFormatting sqref="Q84:Q91">
    <cfRule type="cellIs" dxfId="16968" priority="669" operator="lessThan">
      <formula>0</formula>
    </cfRule>
  </conditionalFormatting>
  <conditionalFormatting sqref="R84:R91">
    <cfRule type="cellIs" dxfId="16967" priority="667" operator="lessThan">
      <formula>0.8</formula>
    </cfRule>
    <cfRule type="cellIs" dxfId="16966" priority="668" operator="greaterThan">
      <formula>1</formula>
    </cfRule>
  </conditionalFormatting>
  <conditionalFormatting sqref="R84:R91">
    <cfRule type="cellIs" dxfId="16965" priority="665" operator="greaterThan">
      <formula>1</formula>
    </cfRule>
    <cfRule type="cellIs" dxfId="16964" priority="666" operator="lessThan">
      <formula>0.8</formula>
    </cfRule>
  </conditionalFormatting>
  <conditionalFormatting sqref="P84:P91">
    <cfRule type="cellIs" dxfId="16963" priority="664" operator="greaterThan">
      <formula>0</formula>
    </cfRule>
  </conditionalFormatting>
  <conditionalFormatting sqref="P84:P91">
    <cfRule type="cellIs" dxfId="16962" priority="658" operator="greaterThan">
      <formula>0</formula>
    </cfRule>
  </conditionalFormatting>
  <conditionalFormatting sqref="Q84:Q91">
    <cfRule type="cellIs" dxfId="16961" priority="663" operator="lessThan">
      <formula>0</formula>
    </cfRule>
  </conditionalFormatting>
  <conditionalFormatting sqref="R84:R91">
    <cfRule type="cellIs" dxfId="16960" priority="661" operator="lessThan">
      <formula>0.8</formula>
    </cfRule>
    <cfRule type="cellIs" dxfId="16959" priority="662" operator="greaterThan">
      <formula>1</formula>
    </cfRule>
  </conditionalFormatting>
  <conditionalFormatting sqref="R84:R91">
    <cfRule type="cellIs" dxfId="16958" priority="659" operator="greaterThan">
      <formula>1</formula>
    </cfRule>
    <cfRule type="cellIs" dxfId="16957" priority="660" operator="lessThan">
      <formula>0.8</formula>
    </cfRule>
  </conditionalFormatting>
  <conditionalFormatting sqref="P84:P91">
    <cfRule type="cellIs" dxfId="16956" priority="652" operator="greaterThan">
      <formula>0</formula>
    </cfRule>
  </conditionalFormatting>
  <conditionalFormatting sqref="Q84:Q91">
    <cfRule type="cellIs" dxfId="16955" priority="657" operator="lessThan">
      <formula>0</formula>
    </cfRule>
  </conditionalFormatting>
  <conditionalFormatting sqref="R84:R91">
    <cfRule type="cellIs" dxfId="16954" priority="655" operator="lessThan">
      <formula>0.8</formula>
    </cfRule>
    <cfRule type="cellIs" dxfId="16953" priority="656" operator="greaterThan">
      <formula>1</formula>
    </cfRule>
  </conditionalFormatting>
  <conditionalFormatting sqref="R84:R91">
    <cfRule type="cellIs" dxfId="16952" priority="653" operator="greaterThan">
      <formula>1</formula>
    </cfRule>
    <cfRule type="cellIs" dxfId="16951" priority="654" operator="lessThan">
      <formula>0.8</formula>
    </cfRule>
  </conditionalFormatting>
  <conditionalFormatting sqref="R84:R91">
    <cfRule type="cellIs" dxfId="16950" priority="649" operator="lessThan">
      <formula>0.8</formula>
    </cfRule>
    <cfRule type="cellIs" dxfId="16949" priority="650" operator="greaterThan">
      <formula>1</formula>
    </cfRule>
  </conditionalFormatting>
  <conditionalFormatting sqref="R84:R91">
    <cfRule type="cellIs" dxfId="16948" priority="647" operator="greaterThan">
      <formula>1</formula>
    </cfRule>
    <cfRule type="cellIs" dxfId="16947" priority="648" operator="lessThan">
      <formula>0.8</formula>
    </cfRule>
  </conditionalFormatting>
  <conditionalFormatting sqref="P84:P91">
    <cfRule type="cellIs" dxfId="16946" priority="646" operator="greaterThan">
      <formula>0</formula>
    </cfRule>
  </conditionalFormatting>
  <conditionalFormatting sqref="Q84:Q91">
    <cfRule type="cellIs" dxfId="16945" priority="651" operator="lessThan">
      <formula>0</formula>
    </cfRule>
  </conditionalFormatting>
  <conditionalFormatting sqref="P84:P91">
    <cfRule type="cellIs" dxfId="16944" priority="640" operator="greaterThan">
      <formula>0</formula>
    </cfRule>
  </conditionalFormatting>
  <conditionalFormatting sqref="Q84:Q91">
    <cfRule type="cellIs" dxfId="16943" priority="645" operator="lessThan">
      <formula>0</formula>
    </cfRule>
  </conditionalFormatting>
  <conditionalFormatting sqref="R84:R91">
    <cfRule type="cellIs" dxfId="16942" priority="643" operator="lessThan">
      <formula>0.8</formula>
    </cfRule>
    <cfRule type="cellIs" dxfId="16941" priority="644" operator="greaterThan">
      <formula>1</formula>
    </cfRule>
  </conditionalFormatting>
  <conditionalFormatting sqref="R84:R91">
    <cfRule type="cellIs" dxfId="16940" priority="641" operator="greaterThan">
      <formula>1</formula>
    </cfRule>
    <cfRule type="cellIs" dxfId="16939" priority="642" operator="lessThan">
      <formula>0.8</formula>
    </cfRule>
  </conditionalFormatting>
  <conditionalFormatting sqref="R84:R91">
    <cfRule type="cellIs" dxfId="16938" priority="637" operator="lessThan">
      <formula>0.8</formula>
    </cfRule>
    <cfRule type="cellIs" dxfId="16937" priority="638" operator="greaterThan">
      <formula>1</formula>
    </cfRule>
  </conditionalFormatting>
  <conditionalFormatting sqref="R84:R91">
    <cfRule type="cellIs" dxfId="16936" priority="635" operator="greaterThan">
      <formula>1</formula>
    </cfRule>
    <cfRule type="cellIs" dxfId="16935" priority="636" operator="lessThan">
      <formula>0.8</formula>
    </cfRule>
  </conditionalFormatting>
  <conditionalFormatting sqref="P84:P91">
    <cfRule type="cellIs" dxfId="16934" priority="634" operator="greaterThan">
      <formula>0</formula>
    </cfRule>
  </conditionalFormatting>
  <conditionalFormatting sqref="Q84:Q91">
    <cfRule type="cellIs" dxfId="16933" priority="639" operator="lessThan">
      <formula>0</formula>
    </cfRule>
  </conditionalFormatting>
  <conditionalFormatting sqref="R84:R91">
    <cfRule type="cellIs" dxfId="16932" priority="631" operator="lessThan">
      <formula>0.8</formula>
    </cfRule>
    <cfRule type="cellIs" dxfId="16931" priority="632" operator="greaterThan">
      <formula>1</formula>
    </cfRule>
  </conditionalFormatting>
  <conditionalFormatting sqref="R84:R91">
    <cfRule type="cellIs" dxfId="16930" priority="629" operator="greaterThan">
      <formula>1</formula>
    </cfRule>
    <cfRule type="cellIs" dxfId="16929" priority="630" operator="lessThan">
      <formula>0.8</formula>
    </cfRule>
  </conditionalFormatting>
  <conditionalFormatting sqref="P84:P91">
    <cfRule type="cellIs" dxfId="16928" priority="628" operator="greaterThan">
      <formula>0</formula>
    </cfRule>
  </conditionalFormatting>
  <conditionalFormatting sqref="Q84:Q91">
    <cfRule type="cellIs" dxfId="16927" priority="633" operator="lessThan">
      <formula>0</formula>
    </cfRule>
  </conditionalFormatting>
  <conditionalFormatting sqref="Q84:Q91">
    <cfRule type="cellIs" dxfId="16926" priority="627" operator="lessThan">
      <formula>0</formula>
    </cfRule>
  </conditionalFormatting>
  <conditionalFormatting sqref="R84:R91">
    <cfRule type="cellIs" dxfId="16925" priority="625" operator="lessThan">
      <formula>0.8</formula>
    </cfRule>
    <cfRule type="cellIs" dxfId="16924" priority="626" operator="greaterThan">
      <formula>1</formula>
    </cfRule>
  </conditionalFormatting>
  <conditionalFormatting sqref="R84:R91">
    <cfRule type="cellIs" dxfId="16923" priority="623" operator="greaterThan">
      <formula>1</formula>
    </cfRule>
    <cfRule type="cellIs" dxfId="16922" priority="624" operator="lessThan">
      <formula>0.8</formula>
    </cfRule>
  </conditionalFormatting>
  <conditionalFormatting sqref="P84:P91">
    <cfRule type="cellIs" dxfId="16921" priority="622" operator="greaterThan">
      <formula>0</formula>
    </cfRule>
  </conditionalFormatting>
  <conditionalFormatting sqref="Q84:Q91">
    <cfRule type="cellIs" dxfId="16920" priority="616" operator="lessThan">
      <formula>0</formula>
    </cfRule>
  </conditionalFormatting>
  <conditionalFormatting sqref="R84:R91">
    <cfRule type="cellIs" dxfId="16919" priority="620" operator="lessThan">
      <formula>0.8</formula>
    </cfRule>
    <cfRule type="cellIs" dxfId="16918" priority="621" operator="greaterThan">
      <formula>1</formula>
    </cfRule>
  </conditionalFormatting>
  <conditionalFormatting sqref="R84:R91">
    <cfRule type="cellIs" dxfId="16917" priority="618" operator="greaterThan">
      <formula>1</formula>
    </cfRule>
    <cfRule type="cellIs" dxfId="16916" priority="619" operator="lessThan">
      <formula>0.8</formula>
    </cfRule>
  </conditionalFormatting>
  <conditionalFormatting sqref="P84:P91">
    <cfRule type="cellIs" dxfId="16915" priority="617" operator="greaterThan">
      <formula>0</formula>
    </cfRule>
  </conditionalFormatting>
  <conditionalFormatting sqref="Q84:Q91">
    <cfRule type="cellIs" dxfId="16914" priority="615" operator="lessThan">
      <formula>0</formula>
    </cfRule>
  </conditionalFormatting>
  <conditionalFormatting sqref="R84:R91">
    <cfRule type="cellIs" dxfId="16913" priority="613" operator="lessThan">
      <formula>0.8</formula>
    </cfRule>
    <cfRule type="cellIs" dxfId="16912" priority="614" operator="greaterThan">
      <formula>1</formula>
    </cfRule>
  </conditionalFormatting>
  <conditionalFormatting sqref="R84:R91">
    <cfRule type="cellIs" dxfId="16911" priority="611" operator="greaterThan">
      <formula>1</formula>
    </cfRule>
    <cfRule type="cellIs" dxfId="16910" priority="612" operator="lessThan">
      <formula>0.8</formula>
    </cfRule>
  </conditionalFormatting>
  <conditionalFormatting sqref="P84:P91">
    <cfRule type="cellIs" dxfId="16909" priority="610" operator="greaterThan">
      <formula>0</formula>
    </cfRule>
  </conditionalFormatting>
  <conditionalFormatting sqref="Q84:Q91">
    <cfRule type="cellIs" dxfId="16908" priority="609" operator="lessThan">
      <formula>0</formula>
    </cfRule>
  </conditionalFormatting>
  <conditionalFormatting sqref="R84:R91">
    <cfRule type="cellIs" dxfId="16907" priority="607" operator="lessThan">
      <formula>0.8</formula>
    </cfRule>
    <cfRule type="cellIs" dxfId="16906" priority="608" operator="greaterThan">
      <formula>1</formula>
    </cfRule>
  </conditionalFormatting>
  <conditionalFormatting sqref="R84:R91">
    <cfRule type="cellIs" dxfId="16905" priority="605" operator="greaterThan">
      <formula>1</formula>
    </cfRule>
    <cfRule type="cellIs" dxfId="16904" priority="606" operator="lessThan">
      <formula>0.8</formula>
    </cfRule>
  </conditionalFormatting>
  <conditionalFormatting sqref="P84:P91">
    <cfRule type="cellIs" dxfId="16903" priority="604" operator="greaterThan">
      <formula>0</formula>
    </cfRule>
  </conditionalFormatting>
  <conditionalFormatting sqref="Q84:Q91">
    <cfRule type="cellIs" dxfId="16902" priority="603" operator="lessThan">
      <formula>0</formula>
    </cfRule>
  </conditionalFormatting>
  <conditionalFormatting sqref="R84:R91">
    <cfRule type="cellIs" dxfId="16901" priority="601" operator="lessThan">
      <formula>0.8</formula>
    </cfRule>
    <cfRule type="cellIs" dxfId="16900" priority="602" operator="greaterThan">
      <formula>1</formula>
    </cfRule>
  </conditionalFormatting>
  <conditionalFormatting sqref="R84:R91">
    <cfRule type="cellIs" dxfId="16899" priority="599" operator="greaterThan">
      <formula>1</formula>
    </cfRule>
    <cfRule type="cellIs" dxfId="16898" priority="600" operator="lessThan">
      <formula>0.8</formula>
    </cfRule>
  </conditionalFormatting>
  <conditionalFormatting sqref="P84:P91">
    <cfRule type="cellIs" dxfId="16897" priority="598" operator="greaterThan">
      <formula>0</formula>
    </cfRule>
  </conditionalFormatting>
  <conditionalFormatting sqref="Q84:Q91">
    <cfRule type="cellIs" dxfId="16896" priority="597" operator="lessThan">
      <formula>0</formula>
    </cfRule>
  </conditionalFormatting>
  <conditionalFormatting sqref="R84:R91">
    <cfRule type="cellIs" dxfId="16895" priority="595" operator="lessThan">
      <formula>0.8</formula>
    </cfRule>
    <cfRule type="cellIs" dxfId="16894" priority="596" operator="greaterThan">
      <formula>1</formula>
    </cfRule>
  </conditionalFormatting>
  <conditionalFormatting sqref="R84:R91">
    <cfRule type="cellIs" dxfId="16893" priority="593" operator="greaterThan">
      <formula>1</formula>
    </cfRule>
    <cfRule type="cellIs" dxfId="16892" priority="594" operator="lessThan">
      <formula>0.8</formula>
    </cfRule>
  </conditionalFormatting>
  <conditionalFormatting sqref="P84:P91">
    <cfRule type="cellIs" dxfId="16891" priority="592" operator="greaterThan">
      <formula>0</formula>
    </cfRule>
  </conditionalFormatting>
  <conditionalFormatting sqref="Q84:Q91">
    <cfRule type="cellIs" dxfId="16890" priority="591" operator="lessThan">
      <formula>0</formula>
    </cfRule>
  </conditionalFormatting>
  <conditionalFormatting sqref="R84:R91">
    <cfRule type="cellIs" dxfId="16889" priority="589" operator="lessThan">
      <formula>0.8</formula>
    </cfRule>
    <cfRule type="cellIs" dxfId="16888" priority="590" operator="greaterThan">
      <formula>1</formula>
    </cfRule>
  </conditionalFormatting>
  <conditionalFormatting sqref="R84:R91">
    <cfRule type="cellIs" dxfId="16887" priority="587" operator="greaterThan">
      <formula>1</formula>
    </cfRule>
    <cfRule type="cellIs" dxfId="16886" priority="588" operator="lessThan">
      <formula>0.8</formula>
    </cfRule>
  </conditionalFormatting>
  <conditionalFormatting sqref="P84:P91">
    <cfRule type="cellIs" dxfId="16885" priority="586" operator="greaterThan">
      <formula>0</formula>
    </cfRule>
  </conditionalFormatting>
  <conditionalFormatting sqref="P84:P91">
    <cfRule type="cellIs" dxfId="16884" priority="580" operator="greaterThan">
      <formula>0</formula>
    </cfRule>
  </conditionalFormatting>
  <conditionalFormatting sqref="Q84:Q91">
    <cfRule type="cellIs" dxfId="16883" priority="585" operator="lessThan">
      <formula>0</formula>
    </cfRule>
  </conditionalFormatting>
  <conditionalFormatting sqref="R84:R91">
    <cfRule type="cellIs" dxfId="16882" priority="583" operator="lessThan">
      <formula>0.8</formula>
    </cfRule>
    <cfRule type="cellIs" dxfId="16881" priority="584" operator="greaterThan">
      <formula>1</formula>
    </cfRule>
  </conditionalFormatting>
  <conditionalFormatting sqref="R84:R91">
    <cfRule type="cellIs" dxfId="16880" priority="581" operator="greaterThan">
      <formula>1</formula>
    </cfRule>
    <cfRule type="cellIs" dxfId="16879" priority="582" operator="lessThan">
      <formula>0.8</formula>
    </cfRule>
  </conditionalFormatting>
  <conditionalFormatting sqref="P84:P91">
    <cfRule type="cellIs" dxfId="16878" priority="574" operator="greaterThan">
      <formula>0</formula>
    </cfRule>
  </conditionalFormatting>
  <conditionalFormatting sqref="Q84:Q91">
    <cfRule type="cellIs" dxfId="16877" priority="579" operator="lessThan">
      <formula>0</formula>
    </cfRule>
  </conditionalFormatting>
  <conditionalFormatting sqref="R84:R91">
    <cfRule type="cellIs" dxfId="16876" priority="577" operator="lessThan">
      <formula>0.8</formula>
    </cfRule>
    <cfRule type="cellIs" dxfId="16875" priority="578" operator="greaterThan">
      <formula>1</formula>
    </cfRule>
  </conditionalFormatting>
  <conditionalFormatting sqref="R84:R91">
    <cfRule type="cellIs" dxfId="16874" priority="575" operator="greaterThan">
      <formula>1</formula>
    </cfRule>
    <cfRule type="cellIs" dxfId="16873" priority="576" operator="lessThan">
      <formula>0.8</formula>
    </cfRule>
  </conditionalFormatting>
  <conditionalFormatting sqref="R84:R91">
    <cfRule type="cellIs" dxfId="16872" priority="571" operator="lessThan">
      <formula>0.8</formula>
    </cfRule>
    <cfRule type="cellIs" dxfId="16871" priority="572" operator="greaterThan">
      <formula>1</formula>
    </cfRule>
  </conditionalFormatting>
  <conditionalFormatting sqref="R84:R91">
    <cfRule type="cellIs" dxfId="16870" priority="569" operator="greaterThan">
      <formula>1</formula>
    </cfRule>
    <cfRule type="cellIs" dxfId="16869" priority="570" operator="lessThan">
      <formula>0.8</formula>
    </cfRule>
  </conditionalFormatting>
  <conditionalFormatting sqref="P84:P91">
    <cfRule type="cellIs" dxfId="16868" priority="568" operator="greaterThan">
      <formula>0</formula>
    </cfRule>
  </conditionalFormatting>
  <conditionalFormatting sqref="Q84:Q91">
    <cfRule type="cellIs" dxfId="16867" priority="573" operator="lessThan">
      <formula>0</formula>
    </cfRule>
  </conditionalFormatting>
  <conditionalFormatting sqref="Q84:Q91">
    <cfRule type="cellIs" dxfId="16866" priority="567" operator="lessThan">
      <formula>0</formula>
    </cfRule>
  </conditionalFormatting>
  <conditionalFormatting sqref="R84:R91">
    <cfRule type="cellIs" dxfId="16865" priority="565" operator="lessThan">
      <formula>0.8</formula>
    </cfRule>
    <cfRule type="cellIs" dxfId="16864" priority="566" operator="greaterThan">
      <formula>1</formula>
    </cfRule>
  </conditionalFormatting>
  <conditionalFormatting sqref="R84:R91">
    <cfRule type="cellIs" dxfId="16863" priority="563" operator="greaterThan">
      <formula>1</formula>
    </cfRule>
    <cfRule type="cellIs" dxfId="16862" priority="564" operator="lessThan">
      <formula>0.8</formula>
    </cfRule>
  </conditionalFormatting>
  <conditionalFormatting sqref="P84:P91">
    <cfRule type="cellIs" dxfId="16861" priority="562" operator="greaterThan">
      <formula>0</formula>
    </cfRule>
  </conditionalFormatting>
  <conditionalFormatting sqref="Q84:Q91">
    <cfRule type="cellIs" dxfId="16860" priority="561" operator="lessThan">
      <formula>0</formula>
    </cfRule>
  </conditionalFormatting>
  <conditionalFormatting sqref="R84:R91">
    <cfRule type="cellIs" dxfId="16859" priority="559" operator="lessThan">
      <formula>0.8</formula>
    </cfRule>
    <cfRule type="cellIs" dxfId="16858" priority="560" operator="greaterThan">
      <formula>1</formula>
    </cfRule>
  </conditionalFormatting>
  <conditionalFormatting sqref="R84:R91">
    <cfRule type="cellIs" dxfId="16857" priority="557" operator="greaterThan">
      <formula>1</formula>
    </cfRule>
    <cfRule type="cellIs" dxfId="16856" priority="558" operator="lessThan">
      <formula>0.8</formula>
    </cfRule>
  </conditionalFormatting>
  <conditionalFormatting sqref="P84:P91">
    <cfRule type="cellIs" dxfId="16855" priority="556" operator="greaterThan">
      <formula>0</formula>
    </cfRule>
  </conditionalFormatting>
  <conditionalFormatting sqref="Q84:Q91">
    <cfRule type="cellIs" dxfId="16854" priority="555" operator="lessThan">
      <formula>0</formula>
    </cfRule>
  </conditionalFormatting>
  <conditionalFormatting sqref="R84:R91">
    <cfRule type="cellIs" dxfId="16853" priority="553" operator="lessThan">
      <formula>0.8</formula>
    </cfRule>
    <cfRule type="cellIs" dxfId="16852" priority="554" operator="greaterThan">
      <formula>1</formula>
    </cfRule>
  </conditionalFormatting>
  <conditionalFormatting sqref="R84:R91">
    <cfRule type="cellIs" dxfId="16851" priority="551" operator="greaterThan">
      <formula>1</formula>
    </cfRule>
    <cfRule type="cellIs" dxfId="16850" priority="552" operator="lessThan">
      <formula>0.8</formula>
    </cfRule>
  </conditionalFormatting>
  <conditionalFormatting sqref="P84:P91">
    <cfRule type="cellIs" dxfId="16849" priority="550" operator="greaterThan">
      <formula>0</formula>
    </cfRule>
  </conditionalFormatting>
  <conditionalFormatting sqref="Q84:Q91">
    <cfRule type="cellIs" dxfId="16848" priority="549" operator="lessThan">
      <formula>0</formula>
    </cfRule>
  </conditionalFormatting>
  <conditionalFormatting sqref="R84:R91">
    <cfRule type="cellIs" dxfId="16847" priority="547" operator="lessThan">
      <formula>0.8</formula>
    </cfRule>
    <cfRule type="cellIs" dxfId="16846" priority="548" operator="greaterThan">
      <formula>1</formula>
    </cfRule>
  </conditionalFormatting>
  <conditionalFormatting sqref="R84:R91">
    <cfRule type="cellIs" dxfId="16845" priority="545" operator="greaterThan">
      <formula>1</formula>
    </cfRule>
    <cfRule type="cellIs" dxfId="16844" priority="546" operator="lessThan">
      <formula>0.8</formula>
    </cfRule>
  </conditionalFormatting>
  <conditionalFormatting sqref="P84:P91">
    <cfRule type="cellIs" dxfId="16843" priority="544" operator="greaterThan">
      <formula>0</formula>
    </cfRule>
  </conditionalFormatting>
  <conditionalFormatting sqref="P84:P91">
    <cfRule type="cellIs" dxfId="16842" priority="538" operator="greaterThan">
      <formula>0</formula>
    </cfRule>
  </conditionalFormatting>
  <conditionalFormatting sqref="Q84:Q91">
    <cfRule type="cellIs" dxfId="16841" priority="543" operator="lessThan">
      <formula>0</formula>
    </cfRule>
  </conditionalFormatting>
  <conditionalFormatting sqref="R84:R91">
    <cfRule type="cellIs" dxfId="16840" priority="541" operator="lessThan">
      <formula>0.8</formula>
    </cfRule>
    <cfRule type="cellIs" dxfId="16839" priority="542" operator="greaterThan">
      <formula>1</formula>
    </cfRule>
  </conditionalFormatting>
  <conditionalFormatting sqref="R84:R91">
    <cfRule type="cellIs" dxfId="16838" priority="539" operator="greaterThan">
      <formula>1</formula>
    </cfRule>
    <cfRule type="cellIs" dxfId="16837" priority="540" operator="lessThan">
      <formula>0.8</formula>
    </cfRule>
  </conditionalFormatting>
  <conditionalFormatting sqref="P84:P91">
    <cfRule type="cellIs" dxfId="16836" priority="532" operator="greaterThan">
      <formula>0</formula>
    </cfRule>
  </conditionalFormatting>
  <conditionalFormatting sqref="Q84:Q91">
    <cfRule type="cellIs" dxfId="16835" priority="537" operator="lessThan">
      <formula>0</formula>
    </cfRule>
  </conditionalFormatting>
  <conditionalFormatting sqref="R84:R91">
    <cfRule type="cellIs" dxfId="16834" priority="535" operator="lessThan">
      <formula>0.8</formula>
    </cfRule>
    <cfRule type="cellIs" dxfId="16833" priority="536" operator="greaterThan">
      <formula>1</formula>
    </cfRule>
  </conditionalFormatting>
  <conditionalFormatting sqref="R84:R91">
    <cfRule type="cellIs" dxfId="16832" priority="533" operator="greaterThan">
      <formula>1</formula>
    </cfRule>
    <cfRule type="cellIs" dxfId="16831" priority="534" operator="lessThan">
      <formula>0.8</formula>
    </cfRule>
  </conditionalFormatting>
  <conditionalFormatting sqref="R84:R91">
    <cfRule type="cellIs" dxfId="16830" priority="529" operator="lessThan">
      <formula>0.8</formula>
    </cfRule>
    <cfRule type="cellIs" dxfId="16829" priority="530" operator="greaterThan">
      <formula>1</formula>
    </cfRule>
  </conditionalFormatting>
  <conditionalFormatting sqref="R84:R91">
    <cfRule type="cellIs" dxfId="16828" priority="527" operator="greaterThan">
      <formula>1</formula>
    </cfRule>
    <cfRule type="cellIs" dxfId="16827" priority="528" operator="lessThan">
      <formula>0.8</formula>
    </cfRule>
  </conditionalFormatting>
  <conditionalFormatting sqref="P84:P91">
    <cfRule type="cellIs" dxfId="16826" priority="526" operator="greaterThan">
      <formula>0</formula>
    </cfRule>
  </conditionalFormatting>
  <conditionalFormatting sqref="Q84:Q91">
    <cfRule type="cellIs" dxfId="16825" priority="531" operator="lessThan">
      <formula>0</formula>
    </cfRule>
  </conditionalFormatting>
  <conditionalFormatting sqref="Q84:Q91">
    <cfRule type="cellIs" dxfId="16824" priority="525" operator="lessThan">
      <formula>0</formula>
    </cfRule>
  </conditionalFormatting>
  <conditionalFormatting sqref="R84:R91">
    <cfRule type="cellIs" dxfId="16823" priority="523" operator="lessThan">
      <formula>0.8</formula>
    </cfRule>
    <cfRule type="cellIs" dxfId="16822" priority="524" operator="greaterThan">
      <formula>1</formula>
    </cfRule>
  </conditionalFormatting>
  <conditionalFormatting sqref="R84:R91">
    <cfRule type="cellIs" dxfId="16821" priority="521" operator="greaterThan">
      <formula>1</formula>
    </cfRule>
    <cfRule type="cellIs" dxfId="16820" priority="522" operator="lessThan">
      <formula>0.8</formula>
    </cfRule>
  </conditionalFormatting>
  <conditionalFormatting sqref="P84:P91">
    <cfRule type="cellIs" dxfId="16819" priority="520" operator="greaterThan">
      <formula>0</formula>
    </cfRule>
  </conditionalFormatting>
  <conditionalFormatting sqref="P84:P91">
    <cfRule type="cellIs" dxfId="16818" priority="514" operator="greaterThan">
      <formula>0</formula>
    </cfRule>
  </conditionalFormatting>
  <conditionalFormatting sqref="Q84:Q91">
    <cfRule type="cellIs" dxfId="16817" priority="519" operator="lessThan">
      <formula>0</formula>
    </cfRule>
  </conditionalFormatting>
  <conditionalFormatting sqref="R84:R91">
    <cfRule type="cellIs" dxfId="16816" priority="517" operator="lessThan">
      <formula>0.8</formula>
    </cfRule>
    <cfRule type="cellIs" dxfId="16815" priority="518" operator="greaterThan">
      <formula>1</formula>
    </cfRule>
  </conditionalFormatting>
  <conditionalFormatting sqref="R84:R91">
    <cfRule type="cellIs" dxfId="16814" priority="515" operator="greaterThan">
      <formula>1</formula>
    </cfRule>
    <cfRule type="cellIs" dxfId="16813" priority="516" operator="lessThan">
      <formula>0.8</formula>
    </cfRule>
  </conditionalFormatting>
  <conditionalFormatting sqref="P84:P91">
    <cfRule type="cellIs" dxfId="16812" priority="508" operator="greaterThan">
      <formula>0</formula>
    </cfRule>
  </conditionalFormatting>
  <conditionalFormatting sqref="Q84:Q91">
    <cfRule type="cellIs" dxfId="16811" priority="513" operator="lessThan">
      <formula>0</formula>
    </cfRule>
  </conditionalFormatting>
  <conditionalFormatting sqref="R84:R91">
    <cfRule type="cellIs" dxfId="16810" priority="511" operator="lessThan">
      <formula>0.8</formula>
    </cfRule>
    <cfRule type="cellIs" dxfId="16809" priority="512" operator="greaterThan">
      <formula>1</formula>
    </cfRule>
  </conditionalFormatting>
  <conditionalFormatting sqref="R84:R91">
    <cfRule type="cellIs" dxfId="16808" priority="509" operator="greaterThan">
      <formula>1</formula>
    </cfRule>
    <cfRule type="cellIs" dxfId="16807" priority="510" operator="lessThan">
      <formula>0.8</formula>
    </cfRule>
  </conditionalFormatting>
  <conditionalFormatting sqref="R84:R91">
    <cfRule type="cellIs" dxfId="16806" priority="505" operator="lessThan">
      <formula>0.8</formula>
    </cfRule>
    <cfRule type="cellIs" dxfId="16805" priority="506" operator="greaterThan">
      <formula>1</formula>
    </cfRule>
  </conditionalFormatting>
  <conditionalFormatting sqref="R84:R91">
    <cfRule type="cellIs" dxfId="16804" priority="503" operator="greaterThan">
      <formula>1</formula>
    </cfRule>
    <cfRule type="cellIs" dxfId="16803" priority="504" operator="lessThan">
      <formula>0.8</formula>
    </cfRule>
  </conditionalFormatting>
  <conditionalFormatting sqref="P84:P91">
    <cfRule type="cellIs" dxfId="16802" priority="502" operator="greaterThan">
      <formula>0</formula>
    </cfRule>
  </conditionalFormatting>
  <conditionalFormatting sqref="Q84:Q91">
    <cfRule type="cellIs" dxfId="16801" priority="507" operator="lessThan">
      <formula>0</formula>
    </cfRule>
  </conditionalFormatting>
  <conditionalFormatting sqref="P84:P91">
    <cfRule type="cellIs" dxfId="16800" priority="496" operator="greaterThan">
      <formula>0</formula>
    </cfRule>
  </conditionalFormatting>
  <conditionalFormatting sqref="Q84:Q91">
    <cfRule type="cellIs" dxfId="16799" priority="501" operator="lessThan">
      <formula>0</formula>
    </cfRule>
  </conditionalFormatting>
  <conditionalFormatting sqref="R84:R91">
    <cfRule type="cellIs" dxfId="16798" priority="499" operator="lessThan">
      <formula>0.8</formula>
    </cfRule>
    <cfRule type="cellIs" dxfId="16797" priority="500" operator="greaterThan">
      <formula>1</formula>
    </cfRule>
  </conditionalFormatting>
  <conditionalFormatting sqref="R84:R91">
    <cfRule type="cellIs" dxfId="16796" priority="497" operator="greaterThan">
      <formula>1</formula>
    </cfRule>
    <cfRule type="cellIs" dxfId="16795" priority="498" operator="lessThan">
      <formula>0.8</formula>
    </cfRule>
  </conditionalFormatting>
  <conditionalFormatting sqref="R84:R91">
    <cfRule type="cellIs" dxfId="16794" priority="493" operator="lessThan">
      <formula>0.8</formula>
    </cfRule>
    <cfRule type="cellIs" dxfId="16793" priority="494" operator="greaterThan">
      <formula>1</formula>
    </cfRule>
  </conditionalFormatting>
  <conditionalFormatting sqref="R84:R91">
    <cfRule type="cellIs" dxfId="16792" priority="491" operator="greaterThan">
      <formula>1</formula>
    </cfRule>
    <cfRule type="cellIs" dxfId="16791" priority="492" operator="lessThan">
      <formula>0.8</formula>
    </cfRule>
  </conditionalFormatting>
  <conditionalFormatting sqref="P84:P91">
    <cfRule type="cellIs" dxfId="16790" priority="490" operator="greaterThan">
      <formula>0</formula>
    </cfRule>
  </conditionalFormatting>
  <conditionalFormatting sqref="Q84:Q91">
    <cfRule type="cellIs" dxfId="16789" priority="495" operator="lessThan">
      <formula>0</formula>
    </cfRule>
  </conditionalFormatting>
  <conditionalFormatting sqref="R84:R91">
    <cfRule type="cellIs" dxfId="16788" priority="487" operator="lessThan">
      <formula>0.8</formula>
    </cfRule>
    <cfRule type="cellIs" dxfId="16787" priority="488" operator="greaterThan">
      <formula>1</formula>
    </cfRule>
  </conditionalFormatting>
  <conditionalFormatting sqref="R84:R91">
    <cfRule type="cellIs" dxfId="16786" priority="485" operator="greaterThan">
      <formula>1</formula>
    </cfRule>
    <cfRule type="cellIs" dxfId="16785" priority="486" operator="lessThan">
      <formula>0.8</formula>
    </cfRule>
  </conditionalFormatting>
  <conditionalFormatting sqref="P84:P91">
    <cfRule type="cellIs" dxfId="16784" priority="484" operator="greaterThan">
      <formula>0</formula>
    </cfRule>
  </conditionalFormatting>
  <conditionalFormatting sqref="Q84:Q91">
    <cfRule type="cellIs" dxfId="16783" priority="489" operator="lessThan">
      <formula>0</formula>
    </cfRule>
  </conditionalFormatting>
  <conditionalFormatting sqref="Q84:Q91">
    <cfRule type="cellIs" dxfId="16782" priority="483" operator="lessThan">
      <formula>0</formula>
    </cfRule>
  </conditionalFormatting>
  <conditionalFormatting sqref="R84:R91">
    <cfRule type="cellIs" dxfId="16781" priority="481" operator="lessThan">
      <formula>0.8</formula>
    </cfRule>
    <cfRule type="cellIs" dxfId="16780" priority="482" operator="greaterThan">
      <formula>1</formula>
    </cfRule>
  </conditionalFormatting>
  <conditionalFormatting sqref="R84:R91">
    <cfRule type="cellIs" dxfId="16779" priority="479" operator="greaterThan">
      <formula>1</formula>
    </cfRule>
    <cfRule type="cellIs" dxfId="16778" priority="480" operator="lessThan">
      <formula>0.8</formula>
    </cfRule>
  </conditionalFormatting>
  <conditionalFormatting sqref="P84:P91">
    <cfRule type="cellIs" dxfId="16777" priority="478" operator="greaterThan">
      <formula>0</formula>
    </cfRule>
  </conditionalFormatting>
  <conditionalFormatting sqref="Q84:Q91">
    <cfRule type="cellIs" dxfId="16776" priority="472" operator="lessThan">
      <formula>0</formula>
    </cfRule>
  </conditionalFormatting>
  <conditionalFormatting sqref="R84:R91">
    <cfRule type="cellIs" dxfId="16775" priority="476" operator="lessThan">
      <formula>0.8</formula>
    </cfRule>
    <cfRule type="cellIs" dxfId="16774" priority="477" operator="greaterThan">
      <formula>1</formula>
    </cfRule>
  </conditionalFormatting>
  <conditionalFormatting sqref="R84:R91">
    <cfRule type="cellIs" dxfId="16773" priority="474" operator="greaterThan">
      <formula>1</formula>
    </cfRule>
    <cfRule type="cellIs" dxfId="16772" priority="475" operator="lessThan">
      <formula>0.8</formula>
    </cfRule>
  </conditionalFormatting>
  <conditionalFormatting sqref="P84:P91">
    <cfRule type="cellIs" dxfId="16771" priority="473" operator="greaterThan">
      <formula>0</formula>
    </cfRule>
  </conditionalFormatting>
  <conditionalFormatting sqref="Q84:Q91">
    <cfRule type="cellIs" dxfId="16770" priority="471" operator="lessThan">
      <formula>0</formula>
    </cfRule>
  </conditionalFormatting>
  <conditionalFormatting sqref="R84:R91">
    <cfRule type="cellIs" dxfId="16769" priority="469" operator="lessThan">
      <formula>0.8</formula>
    </cfRule>
    <cfRule type="cellIs" dxfId="16768" priority="470" operator="greaterThan">
      <formula>1</formula>
    </cfRule>
  </conditionalFormatting>
  <conditionalFormatting sqref="R84:R91">
    <cfRule type="cellIs" dxfId="16767" priority="467" operator="greaterThan">
      <formula>1</formula>
    </cfRule>
    <cfRule type="cellIs" dxfId="16766" priority="468" operator="lessThan">
      <formula>0.8</formula>
    </cfRule>
  </conditionalFormatting>
  <conditionalFormatting sqref="P84:P91">
    <cfRule type="cellIs" dxfId="16765" priority="466" operator="greaterThan">
      <formula>0</formula>
    </cfRule>
  </conditionalFormatting>
  <conditionalFormatting sqref="Q84:Q91">
    <cfRule type="cellIs" dxfId="16764" priority="465" operator="lessThan">
      <formula>0</formula>
    </cfRule>
  </conditionalFormatting>
  <conditionalFormatting sqref="R84:R91">
    <cfRule type="cellIs" dxfId="16763" priority="463" operator="lessThan">
      <formula>0.8</formula>
    </cfRule>
    <cfRule type="cellIs" dxfId="16762" priority="464" operator="greaterThan">
      <formula>1</formula>
    </cfRule>
  </conditionalFormatting>
  <conditionalFormatting sqref="R84:R91">
    <cfRule type="cellIs" dxfId="16761" priority="461" operator="greaterThan">
      <formula>1</formula>
    </cfRule>
    <cfRule type="cellIs" dxfId="16760" priority="462" operator="lessThan">
      <formula>0.8</formula>
    </cfRule>
  </conditionalFormatting>
  <conditionalFormatting sqref="P84:P91">
    <cfRule type="cellIs" dxfId="16759" priority="460" operator="greaterThan">
      <formula>0</formula>
    </cfRule>
  </conditionalFormatting>
  <conditionalFormatting sqref="Q84:Q91">
    <cfRule type="cellIs" dxfId="16758" priority="459" operator="lessThan">
      <formula>0</formula>
    </cfRule>
  </conditionalFormatting>
  <conditionalFormatting sqref="R84:R91">
    <cfRule type="cellIs" dxfId="16757" priority="457" operator="lessThan">
      <formula>0.8</formula>
    </cfRule>
    <cfRule type="cellIs" dxfId="16756" priority="458" operator="greaterThan">
      <formula>1</formula>
    </cfRule>
  </conditionalFormatting>
  <conditionalFormatting sqref="R84:R91">
    <cfRule type="cellIs" dxfId="16755" priority="455" operator="greaterThan">
      <formula>1</formula>
    </cfRule>
    <cfRule type="cellIs" dxfId="16754" priority="456" operator="lessThan">
      <formula>0.8</formula>
    </cfRule>
  </conditionalFormatting>
  <conditionalFormatting sqref="P84:P91">
    <cfRule type="cellIs" dxfId="16753" priority="454" operator="greaterThan">
      <formula>0</formula>
    </cfRule>
  </conditionalFormatting>
  <conditionalFormatting sqref="Q84:Q91">
    <cfRule type="cellIs" dxfId="16752" priority="453" operator="lessThan">
      <formula>0</formula>
    </cfRule>
  </conditionalFormatting>
  <conditionalFormatting sqref="R84:R91">
    <cfRule type="cellIs" dxfId="16751" priority="451" operator="lessThan">
      <formula>0.8</formula>
    </cfRule>
    <cfRule type="cellIs" dxfId="16750" priority="452" operator="greaterThan">
      <formula>1</formula>
    </cfRule>
  </conditionalFormatting>
  <conditionalFormatting sqref="R84:R91">
    <cfRule type="cellIs" dxfId="16749" priority="449" operator="greaterThan">
      <formula>1</formula>
    </cfRule>
    <cfRule type="cellIs" dxfId="16748" priority="450" operator="lessThan">
      <formula>0.8</formula>
    </cfRule>
  </conditionalFormatting>
  <conditionalFormatting sqref="P84:P91">
    <cfRule type="cellIs" dxfId="16747" priority="448" operator="greaterThan">
      <formula>0</formula>
    </cfRule>
  </conditionalFormatting>
  <conditionalFormatting sqref="Q84:Q91">
    <cfRule type="cellIs" dxfId="16746" priority="447" operator="lessThan">
      <formula>0</formula>
    </cfRule>
  </conditionalFormatting>
  <conditionalFormatting sqref="R84:R91">
    <cfRule type="cellIs" dxfId="16745" priority="445" operator="lessThan">
      <formula>0.8</formula>
    </cfRule>
    <cfRule type="cellIs" dxfId="16744" priority="446" operator="greaterThan">
      <formula>1</formula>
    </cfRule>
  </conditionalFormatting>
  <conditionalFormatting sqref="R84:R91">
    <cfRule type="cellIs" dxfId="16743" priority="443" operator="greaterThan">
      <formula>1</formula>
    </cfRule>
    <cfRule type="cellIs" dxfId="16742" priority="444" operator="lessThan">
      <formula>0.8</formula>
    </cfRule>
  </conditionalFormatting>
  <conditionalFormatting sqref="P84:P91">
    <cfRule type="cellIs" dxfId="16741" priority="442" operator="greaterThan">
      <formula>0</formula>
    </cfRule>
  </conditionalFormatting>
  <conditionalFormatting sqref="P84:P91">
    <cfRule type="cellIs" dxfId="16740" priority="436" operator="greaterThan">
      <formula>0</formula>
    </cfRule>
  </conditionalFormatting>
  <conditionalFormatting sqref="Q84:Q91">
    <cfRule type="cellIs" dxfId="16739" priority="441" operator="lessThan">
      <formula>0</formula>
    </cfRule>
  </conditionalFormatting>
  <conditionalFormatting sqref="R84:R91">
    <cfRule type="cellIs" dxfId="16738" priority="439" operator="lessThan">
      <formula>0.8</formula>
    </cfRule>
    <cfRule type="cellIs" dxfId="16737" priority="440" operator="greaterThan">
      <formula>1</formula>
    </cfRule>
  </conditionalFormatting>
  <conditionalFormatting sqref="R84:R91">
    <cfRule type="cellIs" dxfId="16736" priority="437" operator="greaterThan">
      <formula>1</formula>
    </cfRule>
    <cfRule type="cellIs" dxfId="16735" priority="438" operator="lessThan">
      <formula>0.8</formula>
    </cfRule>
  </conditionalFormatting>
  <conditionalFormatting sqref="P84:P91">
    <cfRule type="cellIs" dxfId="16734" priority="430" operator="greaterThan">
      <formula>0</formula>
    </cfRule>
  </conditionalFormatting>
  <conditionalFormatting sqref="Q84:Q91">
    <cfRule type="cellIs" dxfId="16733" priority="435" operator="lessThan">
      <formula>0</formula>
    </cfRule>
  </conditionalFormatting>
  <conditionalFormatting sqref="R84:R91">
    <cfRule type="cellIs" dxfId="16732" priority="433" operator="lessThan">
      <formula>0.8</formula>
    </cfRule>
    <cfRule type="cellIs" dxfId="16731" priority="434" operator="greaterThan">
      <formula>1</formula>
    </cfRule>
  </conditionalFormatting>
  <conditionalFormatting sqref="R84:R91">
    <cfRule type="cellIs" dxfId="16730" priority="431" operator="greaterThan">
      <formula>1</formula>
    </cfRule>
    <cfRule type="cellIs" dxfId="16729" priority="432" operator="lessThan">
      <formula>0.8</formula>
    </cfRule>
  </conditionalFormatting>
  <conditionalFormatting sqref="R84:R91">
    <cfRule type="cellIs" dxfId="16728" priority="427" operator="lessThan">
      <formula>0.8</formula>
    </cfRule>
    <cfRule type="cellIs" dxfId="16727" priority="428" operator="greaterThan">
      <formula>1</formula>
    </cfRule>
  </conditionalFormatting>
  <conditionalFormatting sqref="R84:R91">
    <cfRule type="cellIs" dxfId="16726" priority="425" operator="greaterThan">
      <formula>1</formula>
    </cfRule>
    <cfRule type="cellIs" dxfId="16725" priority="426" operator="lessThan">
      <formula>0.8</formula>
    </cfRule>
  </conditionalFormatting>
  <conditionalFormatting sqref="P84:P91">
    <cfRule type="cellIs" dxfId="16724" priority="424" operator="greaterThan">
      <formula>0</formula>
    </cfRule>
  </conditionalFormatting>
  <conditionalFormatting sqref="Q84:Q91">
    <cfRule type="cellIs" dxfId="16723" priority="429" operator="lessThan">
      <formula>0</formula>
    </cfRule>
  </conditionalFormatting>
  <conditionalFormatting sqref="Q84:Q91">
    <cfRule type="cellIs" dxfId="16722" priority="418" operator="lessThan">
      <formula>0</formula>
    </cfRule>
  </conditionalFormatting>
  <conditionalFormatting sqref="P84:P91">
    <cfRule type="cellIs" dxfId="16721" priority="419" operator="greaterThan">
      <formula>0</formula>
    </cfRule>
  </conditionalFormatting>
  <conditionalFormatting sqref="R84:R91">
    <cfRule type="cellIs" dxfId="16720" priority="422" operator="lessThan">
      <formula>0.8</formula>
    </cfRule>
    <cfRule type="cellIs" dxfId="16719" priority="423" operator="greaterThan">
      <formula>1</formula>
    </cfRule>
  </conditionalFormatting>
  <conditionalFormatting sqref="R84:R91">
    <cfRule type="cellIs" dxfId="16718" priority="420" operator="greaterThan">
      <formula>1</formula>
    </cfRule>
    <cfRule type="cellIs" dxfId="16717" priority="421" operator="lessThan">
      <formula>0.8</formula>
    </cfRule>
  </conditionalFormatting>
  <conditionalFormatting sqref="Q84:Q91">
    <cfRule type="cellIs" dxfId="16716" priority="412" operator="lessThan">
      <formula>0</formula>
    </cfRule>
  </conditionalFormatting>
  <conditionalFormatting sqref="R84:R91">
    <cfRule type="cellIs" dxfId="16715" priority="416" operator="lessThan">
      <formula>0.8</formula>
    </cfRule>
    <cfRule type="cellIs" dxfId="16714" priority="417" operator="greaterThan">
      <formula>1</formula>
    </cfRule>
  </conditionalFormatting>
  <conditionalFormatting sqref="R84:R91">
    <cfRule type="cellIs" dxfId="16713" priority="414" operator="greaterThan">
      <formula>1</formula>
    </cfRule>
    <cfRule type="cellIs" dxfId="16712" priority="415" operator="lessThan">
      <formula>0.8</formula>
    </cfRule>
  </conditionalFormatting>
  <conditionalFormatting sqref="P84:P91">
    <cfRule type="cellIs" dxfId="16711" priority="413" operator="greaterThan">
      <formula>0</formula>
    </cfRule>
  </conditionalFormatting>
  <conditionalFormatting sqref="Q84:Q91">
    <cfRule type="cellIs" dxfId="16710" priority="411" operator="lessThan">
      <formula>0</formula>
    </cfRule>
  </conditionalFormatting>
  <conditionalFormatting sqref="R84:R91">
    <cfRule type="cellIs" dxfId="16709" priority="409" operator="lessThan">
      <formula>0.8</formula>
    </cfRule>
    <cfRule type="cellIs" dxfId="16708" priority="410" operator="greaterThan">
      <formula>1</formula>
    </cfRule>
  </conditionalFormatting>
  <conditionalFormatting sqref="R84:R91">
    <cfRule type="cellIs" dxfId="16707" priority="407" operator="greaterThan">
      <formula>1</formula>
    </cfRule>
    <cfRule type="cellIs" dxfId="16706" priority="408" operator="lessThan">
      <formula>0.8</formula>
    </cfRule>
  </conditionalFormatting>
  <conditionalFormatting sqref="P84:P91">
    <cfRule type="cellIs" dxfId="16705" priority="406" operator="greaterThan">
      <formula>0</formula>
    </cfRule>
  </conditionalFormatting>
  <conditionalFormatting sqref="Q84:Q91">
    <cfRule type="cellIs" dxfId="16704" priority="405" operator="lessThan">
      <formula>0</formula>
    </cfRule>
  </conditionalFormatting>
  <conditionalFormatting sqref="R84:R91">
    <cfRule type="cellIs" dxfId="16703" priority="403" operator="lessThan">
      <formula>0.8</formula>
    </cfRule>
    <cfRule type="cellIs" dxfId="16702" priority="404" operator="greaterThan">
      <formula>1</formula>
    </cfRule>
  </conditionalFormatting>
  <conditionalFormatting sqref="R84:R91">
    <cfRule type="cellIs" dxfId="16701" priority="401" operator="greaterThan">
      <formula>1</formula>
    </cfRule>
    <cfRule type="cellIs" dxfId="16700" priority="402" operator="lessThan">
      <formula>0.8</formula>
    </cfRule>
  </conditionalFormatting>
  <conditionalFormatting sqref="P84:P91">
    <cfRule type="cellIs" dxfId="16699" priority="400" operator="greaterThan">
      <formula>0</formula>
    </cfRule>
  </conditionalFormatting>
  <conditionalFormatting sqref="Q84:Q91">
    <cfRule type="cellIs" dxfId="16698" priority="399" operator="lessThan">
      <formula>0</formula>
    </cfRule>
  </conditionalFormatting>
  <conditionalFormatting sqref="R84:R91">
    <cfRule type="cellIs" dxfId="16697" priority="397" operator="lessThan">
      <formula>0.8</formula>
    </cfRule>
    <cfRule type="cellIs" dxfId="16696" priority="398" operator="greaterThan">
      <formula>1</formula>
    </cfRule>
  </conditionalFormatting>
  <conditionalFormatting sqref="R84:R91">
    <cfRule type="cellIs" dxfId="16695" priority="395" operator="greaterThan">
      <formula>1</formula>
    </cfRule>
    <cfRule type="cellIs" dxfId="16694" priority="396" operator="lessThan">
      <formula>0.8</formula>
    </cfRule>
  </conditionalFormatting>
  <conditionalFormatting sqref="P84:P91">
    <cfRule type="cellIs" dxfId="16693" priority="394" operator="greaterThan">
      <formula>0</formula>
    </cfRule>
  </conditionalFormatting>
  <conditionalFormatting sqref="Q84:Q91">
    <cfRule type="cellIs" dxfId="16692" priority="393" operator="lessThan">
      <formula>0</formula>
    </cfRule>
  </conditionalFormatting>
  <conditionalFormatting sqref="R84:R91">
    <cfRule type="cellIs" dxfId="16691" priority="391" operator="lessThan">
      <formula>0.8</formula>
    </cfRule>
    <cfRule type="cellIs" dxfId="16690" priority="392" operator="greaterThan">
      <formula>1</formula>
    </cfRule>
  </conditionalFormatting>
  <conditionalFormatting sqref="R84:R91">
    <cfRule type="cellIs" dxfId="16689" priority="389" operator="greaterThan">
      <formula>1</formula>
    </cfRule>
    <cfRule type="cellIs" dxfId="16688" priority="390" operator="lessThan">
      <formula>0.8</formula>
    </cfRule>
  </conditionalFormatting>
  <conditionalFormatting sqref="P84:P91">
    <cfRule type="cellIs" dxfId="16687" priority="388" operator="greaterThan">
      <formula>0</formula>
    </cfRule>
  </conditionalFormatting>
  <conditionalFormatting sqref="Q84:Q91">
    <cfRule type="cellIs" dxfId="16686" priority="387" operator="lessThan">
      <formula>0</formula>
    </cfRule>
  </conditionalFormatting>
  <conditionalFormatting sqref="R84:R91">
    <cfRule type="cellIs" dxfId="16685" priority="385" operator="lessThan">
      <formula>0.8</formula>
    </cfRule>
    <cfRule type="cellIs" dxfId="16684" priority="386" operator="greaterThan">
      <formula>1</formula>
    </cfRule>
  </conditionalFormatting>
  <conditionalFormatting sqref="R84:R91">
    <cfRule type="cellIs" dxfId="16683" priority="383" operator="greaterThan">
      <formula>1</formula>
    </cfRule>
    <cfRule type="cellIs" dxfId="16682" priority="384" operator="lessThan">
      <formula>0.8</formula>
    </cfRule>
  </conditionalFormatting>
  <conditionalFormatting sqref="P84:P91">
    <cfRule type="cellIs" dxfId="16681" priority="382" operator="greaterThan">
      <formula>0</formula>
    </cfRule>
  </conditionalFormatting>
  <conditionalFormatting sqref="Q84:Q91">
    <cfRule type="cellIs" dxfId="16680" priority="381" operator="lessThan">
      <formula>0</formula>
    </cfRule>
  </conditionalFormatting>
  <conditionalFormatting sqref="R84:R91">
    <cfRule type="cellIs" dxfId="16679" priority="379" operator="lessThan">
      <formula>0.8</formula>
    </cfRule>
    <cfRule type="cellIs" dxfId="16678" priority="380" operator="greaterThan">
      <formula>1</formula>
    </cfRule>
  </conditionalFormatting>
  <conditionalFormatting sqref="R84:R91">
    <cfRule type="cellIs" dxfId="16677" priority="377" operator="greaterThan">
      <formula>1</formula>
    </cfRule>
    <cfRule type="cellIs" dxfId="16676" priority="378" operator="lessThan">
      <formula>0.8</formula>
    </cfRule>
  </conditionalFormatting>
  <conditionalFormatting sqref="P84:P91">
    <cfRule type="cellIs" dxfId="16675" priority="376" operator="greaterThan">
      <formula>0</formula>
    </cfRule>
  </conditionalFormatting>
  <conditionalFormatting sqref="Q84:Q91">
    <cfRule type="cellIs" dxfId="16674" priority="375" operator="lessThan">
      <formula>0</formula>
    </cfRule>
  </conditionalFormatting>
  <conditionalFormatting sqref="R84:R91">
    <cfRule type="cellIs" dxfId="16673" priority="373" operator="lessThan">
      <formula>0.8</formula>
    </cfRule>
    <cfRule type="cellIs" dxfId="16672" priority="374" operator="greaterThan">
      <formula>1</formula>
    </cfRule>
  </conditionalFormatting>
  <conditionalFormatting sqref="R84:R91">
    <cfRule type="cellIs" dxfId="16671" priority="371" operator="greaterThan">
      <formula>1</formula>
    </cfRule>
    <cfRule type="cellIs" dxfId="16670" priority="372" operator="lessThan">
      <formula>0.8</formula>
    </cfRule>
  </conditionalFormatting>
  <conditionalFormatting sqref="P84:P91">
    <cfRule type="cellIs" dxfId="16669" priority="370" operator="greaterThan">
      <formula>0</formula>
    </cfRule>
  </conditionalFormatting>
  <conditionalFormatting sqref="P84:P91">
    <cfRule type="cellIs" dxfId="16668" priority="364" operator="greaterThan">
      <formula>0</formula>
    </cfRule>
  </conditionalFormatting>
  <conditionalFormatting sqref="Q84:Q91">
    <cfRule type="cellIs" dxfId="16667" priority="369" operator="lessThan">
      <formula>0</formula>
    </cfRule>
  </conditionalFormatting>
  <conditionalFormatting sqref="R84:R91">
    <cfRule type="cellIs" dxfId="16666" priority="367" operator="lessThan">
      <formula>0.8</formula>
    </cfRule>
    <cfRule type="cellIs" dxfId="16665" priority="368" operator="greaterThan">
      <formula>1</formula>
    </cfRule>
  </conditionalFormatting>
  <conditionalFormatting sqref="R84:R91">
    <cfRule type="cellIs" dxfId="16664" priority="365" operator="greaterThan">
      <formula>1</formula>
    </cfRule>
    <cfRule type="cellIs" dxfId="16663" priority="366" operator="lessThan">
      <formula>0.8</formula>
    </cfRule>
  </conditionalFormatting>
  <conditionalFormatting sqref="P84:P91">
    <cfRule type="cellIs" dxfId="16662" priority="358" operator="greaterThan">
      <formula>0</formula>
    </cfRule>
  </conditionalFormatting>
  <conditionalFormatting sqref="Q84:Q91">
    <cfRule type="cellIs" dxfId="16661" priority="363" operator="lessThan">
      <formula>0</formula>
    </cfRule>
  </conditionalFormatting>
  <conditionalFormatting sqref="R84:R91">
    <cfRule type="cellIs" dxfId="16660" priority="361" operator="lessThan">
      <formula>0.8</formula>
    </cfRule>
    <cfRule type="cellIs" dxfId="16659" priority="362" operator="greaterThan">
      <formula>1</formula>
    </cfRule>
  </conditionalFormatting>
  <conditionalFormatting sqref="R84:R91">
    <cfRule type="cellIs" dxfId="16658" priority="359" operator="greaterThan">
      <formula>1</formula>
    </cfRule>
    <cfRule type="cellIs" dxfId="16657" priority="360" operator="lessThan">
      <formula>0.8</formula>
    </cfRule>
  </conditionalFormatting>
  <conditionalFormatting sqref="R84:R91">
    <cfRule type="cellIs" dxfId="16656" priority="355" operator="lessThan">
      <formula>0.8</formula>
    </cfRule>
    <cfRule type="cellIs" dxfId="16655" priority="356" operator="greaterThan">
      <formula>1</formula>
    </cfRule>
  </conditionalFormatting>
  <conditionalFormatting sqref="R84:R91">
    <cfRule type="cellIs" dxfId="16654" priority="353" operator="greaterThan">
      <formula>1</formula>
    </cfRule>
    <cfRule type="cellIs" dxfId="16653" priority="354" operator="lessThan">
      <formula>0.8</formula>
    </cfRule>
  </conditionalFormatting>
  <conditionalFormatting sqref="P84:P91">
    <cfRule type="cellIs" dxfId="16652" priority="352" operator="greaterThan">
      <formula>0</formula>
    </cfRule>
  </conditionalFormatting>
  <conditionalFormatting sqref="Q84:Q91">
    <cfRule type="cellIs" dxfId="16651" priority="357" operator="lessThan">
      <formula>0</formula>
    </cfRule>
  </conditionalFormatting>
  <conditionalFormatting sqref="Q84:Q91">
    <cfRule type="cellIs" dxfId="16650" priority="351" operator="lessThan">
      <formula>0</formula>
    </cfRule>
  </conditionalFormatting>
  <conditionalFormatting sqref="R84:R91">
    <cfRule type="cellIs" dxfId="16649" priority="349" operator="lessThan">
      <formula>0.8</formula>
    </cfRule>
    <cfRule type="cellIs" dxfId="16648" priority="350" operator="greaterThan">
      <formula>1</formula>
    </cfRule>
  </conditionalFormatting>
  <conditionalFormatting sqref="R84:R91">
    <cfRule type="cellIs" dxfId="16647" priority="347" operator="greaterThan">
      <formula>1</formula>
    </cfRule>
    <cfRule type="cellIs" dxfId="16646" priority="348" operator="lessThan">
      <formula>0.8</formula>
    </cfRule>
  </conditionalFormatting>
  <conditionalFormatting sqref="P84:P91">
    <cfRule type="cellIs" dxfId="16645" priority="346" operator="greaterThan">
      <formula>0</formula>
    </cfRule>
  </conditionalFormatting>
  <conditionalFormatting sqref="P84:P91">
    <cfRule type="cellIs" dxfId="16644" priority="340" operator="greaterThan">
      <formula>0</formula>
    </cfRule>
  </conditionalFormatting>
  <conditionalFormatting sqref="Q84:Q91">
    <cfRule type="cellIs" dxfId="16643" priority="345" operator="lessThan">
      <formula>0</formula>
    </cfRule>
  </conditionalFormatting>
  <conditionalFormatting sqref="R84:R91">
    <cfRule type="cellIs" dxfId="16642" priority="343" operator="lessThan">
      <formula>0.8</formula>
    </cfRule>
    <cfRule type="cellIs" dxfId="16641" priority="344" operator="greaterThan">
      <formula>1</formula>
    </cfRule>
  </conditionalFormatting>
  <conditionalFormatting sqref="R84:R91">
    <cfRule type="cellIs" dxfId="16640" priority="341" operator="greaterThan">
      <formula>1</formula>
    </cfRule>
    <cfRule type="cellIs" dxfId="16639" priority="342" operator="lessThan">
      <formula>0.8</formula>
    </cfRule>
  </conditionalFormatting>
  <conditionalFormatting sqref="P84:P91">
    <cfRule type="cellIs" dxfId="16638" priority="334" operator="greaterThan">
      <formula>0</formula>
    </cfRule>
  </conditionalFormatting>
  <conditionalFormatting sqref="Q84:Q91">
    <cfRule type="cellIs" dxfId="16637" priority="339" operator="lessThan">
      <formula>0</formula>
    </cfRule>
  </conditionalFormatting>
  <conditionalFormatting sqref="R84:R91">
    <cfRule type="cellIs" dxfId="16636" priority="337" operator="lessThan">
      <formula>0.8</formula>
    </cfRule>
    <cfRule type="cellIs" dxfId="16635" priority="338" operator="greaterThan">
      <formula>1</formula>
    </cfRule>
  </conditionalFormatting>
  <conditionalFormatting sqref="R84:R91">
    <cfRule type="cellIs" dxfId="16634" priority="335" operator="greaterThan">
      <formula>1</formula>
    </cfRule>
    <cfRule type="cellIs" dxfId="16633" priority="336" operator="lessThan">
      <formula>0.8</formula>
    </cfRule>
  </conditionalFormatting>
  <conditionalFormatting sqref="R84:R91">
    <cfRule type="cellIs" dxfId="16632" priority="331" operator="lessThan">
      <formula>0.8</formula>
    </cfRule>
    <cfRule type="cellIs" dxfId="16631" priority="332" operator="greaterThan">
      <formula>1</formula>
    </cfRule>
  </conditionalFormatting>
  <conditionalFormatting sqref="R84:R91">
    <cfRule type="cellIs" dxfId="16630" priority="329" operator="greaterThan">
      <formula>1</formula>
    </cfRule>
    <cfRule type="cellIs" dxfId="16629" priority="330" operator="lessThan">
      <formula>0.8</formula>
    </cfRule>
  </conditionalFormatting>
  <conditionalFormatting sqref="P84:P91">
    <cfRule type="cellIs" dxfId="16628" priority="328" operator="greaterThan">
      <formula>0</formula>
    </cfRule>
  </conditionalFormatting>
  <conditionalFormatting sqref="Q84:Q91">
    <cfRule type="cellIs" dxfId="16627" priority="333" operator="lessThan">
      <formula>0</formula>
    </cfRule>
  </conditionalFormatting>
  <conditionalFormatting sqref="P84:P91">
    <cfRule type="cellIs" dxfId="16626" priority="322" operator="greaterThan">
      <formula>0</formula>
    </cfRule>
  </conditionalFormatting>
  <conditionalFormatting sqref="Q84:Q91">
    <cfRule type="cellIs" dxfId="16625" priority="327" operator="lessThan">
      <formula>0</formula>
    </cfRule>
  </conditionalFormatting>
  <conditionalFormatting sqref="R84:R91">
    <cfRule type="cellIs" dxfId="16624" priority="325" operator="lessThan">
      <formula>0.8</formula>
    </cfRule>
    <cfRule type="cellIs" dxfId="16623" priority="326" operator="greaterThan">
      <formula>1</formula>
    </cfRule>
  </conditionalFormatting>
  <conditionalFormatting sqref="R84:R91">
    <cfRule type="cellIs" dxfId="16622" priority="323" operator="greaterThan">
      <formula>1</formula>
    </cfRule>
    <cfRule type="cellIs" dxfId="16621" priority="324" operator="lessThan">
      <formula>0.8</formula>
    </cfRule>
  </conditionalFormatting>
  <conditionalFormatting sqref="R84:R91">
    <cfRule type="cellIs" dxfId="16620" priority="319" operator="lessThan">
      <formula>0.8</formula>
    </cfRule>
    <cfRule type="cellIs" dxfId="16619" priority="320" operator="greaterThan">
      <formula>1</formula>
    </cfRule>
  </conditionalFormatting>
  <conditionalFormatting sqref="R84:R91">
    <cfRule type="cellIs" dxfId="16618" priority="317" operator="greaterThan">
      <formula>1</formula>
    </cfRule>
    <cfRule type="cellIs" dxfId="16617" priority="318" operator="lessThan">
      <formula>0.8</formula>
    </cfRule>
  </conditionalFormatting>
  <conditionalFormatting sqref="P84:P91">
    <cfRule type="cellIs" dxfId="16616" priority="316" operator="greaterThan">
      <formula>0</formula>
    </cfRule>
  </conditionalFormatting>
  <conditionalFormatting sqref="Q84:Q91">
    <cfRule type="cellIs" dxfId="16615" priority="321" operator="lessThan">
      <formula>0</formula>
    </cfRule>
  </conditionalFormatting>
  <conditionalFormatting sqref="R84:R91">
    <cfRule type="cellIs" dxfId="16614" priority="313" operator="lessThan">
      <formula>0.8</formula>
    </cfRule>
    <cfRule type="cellIs" dxfId="16613" priority="314" operator="greaterThan">
      <formula>1</formula>
    </cfRule>
  </conditionalFormatting>
  <conditionalFormatting sqref="R84:R91">
    <cfRule type="cellIs" dxfId="16612" priority="311" operator="greaterThan">
      <formula>1</formula>
    </cfRule>
    <cfRule type="cellIs" dxfId="16611" priority="312" operator="lessThan">
      <formula>0.8</formula>
    </cfRule>
  </conditionalFormatting>
  <conditionalFormatting sqref="P84:P91">
    <cfRule type="cellIs" dxfId="16610" priority="310" operator="greaterThan">
      <formula>0</formula>
    </cfRule>
  </conditionalFormatting>
  <conditionalFormatting sqref="Q84:Q91">
    <cfRule type="cellIs" dxfId="16609" priority="315" operator="lessThan">
      <formula>0</formula>
    </cfRule>
  </conditionalFormatting>
  <conditionalFormatting sqref="Q84:Q91">
    <cfRule type="cellIs" dxfId="16608" priority="309" operator="lessThan">
      <formula>0</formula>
    </cfRule>
  </conditionalFormatting>
  <conditionalFormatting sqref="R84:R91">
    <cfRule type="cellIs" dxfId="16607" priority="307" operator="lessThan">
      <formula>0.8</formula>
    </cfRule>
    <cfRule type="cellIs" dxfId="16606" priority="308" operator="greaterThan">
      <formula>1</formula>
    </cfRule>
  </conditionalFormatting>
  <conditionalFormatting sqref="R84:R91">
    <cfRule type="cellIs" dxfId="16605" priority="305" operator="greaterThan">
      <formula>1</formula>
    </cfRule>
    <cfRule type="cellIs" dxfId="16604" priority="306" operator="lessThan">
      <formula>0.8</formula>
    </cfRule>
  </conditionalFormatting>
  <conditionalFormatting sqref="P84:P91">
    <cfRule type="cellIs" dxfId="16603" priority="304" operator="greaterThan">
      <formula>0</formula>
    </cfRule>
  </conditionalFormatting>
  <conditionalFormatting sqref="Q84:Q91">
    <cfRule type="cellIs" dxfId="16602" priority="298" operator="lessThan">
      <formula>0</formula>
    </cfRule>
  </conditionalFormatting>
  <conditionalFormatting sqref="R84:R91">
    <cfRule type="cellIs" dxfId="16601" priority="302" operator="lessThan">
      <formula>0.8</formula>
    </cfRule>
    <cfRule type="cellIs" dxfId="16600" priority="303" operator="greaterThan">
      <formula>1</formula>
    </cfRule>
  </conditionalFormatting>
  <conditionalFormatting sqref="R84:R91">
    <cfRule type="cellIs" dxfId="16599" priority="300" operator="greaterThan">
      <formula>1</formula>
    </cfRule>
    <cfRule type="cellIs" dxfId="16598" priority="301" operator="lessThan">
      <formula>0.8</formula>
    </cfRule>
  </conditionalFormatting>
  <conditionalFormatting sqref="P84:P91">
    <cfRule type="cellIs" dxfId="16597" priority="299" operator="greaterThan">
      <formula>0</formula>
    </cfRule>
  </conditionalFormatting>
  <conditionalFormatting sqref="Q84:Q91">
    <cfRule type="cellIs" dxfId="16596" priority="297" operator="lessThan">
      <formula>0</formula>
    </cfRule>
  </conditionalFormatting>
  <conditionalFormatting sqref="R84:R91">
    <cfRule type="cellIs" dxfId="16595" priority="295" operator="lessThan">
      <formula>0.8</formula>
    </cfRule>
    <cfRule type="cellIs" dxfId="16594" priority="296" operator="greaterThan">
      <formula>1</formula>
    </cfRule>
  </conditionalFormatting>
  <conditionalFormatting sqref="R84:R91">
    <cfRule type="cellIs" dxfId="16593" priority="293" operator="greaterThan">
      <formula>1</formula>
    </cfRule>
    <cfRule type="cellIs" dxfId="16592" priority="294" operator="lessThan">
      <formula>0.8</formula>
    </cfRule>
  </conditionalFormatting>
  <conditionalFormatting sqref="P84:P91">
    <cfRule type="cellIs" dxfId="16591" priority="292" operator="greaterThan">
      <formula>0</formula>
    </cfRule>
  </conditionalFormatting>
  <conditionalFormatting sqref="Q84:Q91">
    <cfRule type="cellIs" dxfId="16590" priority="291" operator="lessThan">
      <formula>0</formula>
    </cfRule>
  </conditionalFormatting>
  <conditionalFormatting sqref="R84:R91">
    <cfRule type="cellIs" dxfId="16589" priority="289" operator="lessThan">
      <formula>0.8</formula>
    </cfRule>
    <cfRule type="cellIs" dxfId="16588" priority="290" operator="greaterThan">
      <formula>1</formula>
    </cfRule>
  </conditionalFormatting>
  <conditionalFormatting sqref="R84:R91">
    <cfRule type="cellIs" dxfId="16587" priority="287" operator="greaterThan">
      <formula>1</formula>
    </cfRule>
    <cfRule type="cellIs" dxfId="16586" priority="288" operator="lessThan">
      <formula>0.8</formula>
    </cfRule>
  </conditionalFormatting>
  <conditionalFormatting sqref="P84:P91">
    <cfRule type="cellIs" dxfId="16585" priority="286" operator="greaterThan">
      <formula>0</formula>
    </cfRule>
  </conditionalFormatting>
  <conditionalFormatting sqref="Q84:Q91">
    <cfRule type="cellIs" dxfId="16584" priority="285" operator="lessThan">
      <formula>0</formula>
    </cfRule>
  </conditionalFormatting>
  <conditionalFormatting sqref="R84:R91">
    <cfRule type="cellIs" dxfId="16583" priority="283" operator="lessThan">
      <formula>0.8</formula>
    </cfRule>
    <cfRule type="cellIs" dxfId="16582" priority="284" operator="greaterThan">
      <formula>1</formula>
    </cfRule>
  </conditionalFormatting>
  <conditionalFormatting sqref="R84:R91">
    <cfRule type="cellIs" dxfId="16581" priority="281" operator="greaterThan">
      <formula>1</formula>
    </cfRule>
    <cfRule type="cellIs" dxfId="16580" priority="282" operator="lessThan">
      <formula>0.8</formula>
    </cfRule>
  </conditionalFormatting>
  <conditionalFormatting sqref="P84:P91">
    <cfRule type="cellIs" dxfId="16579" priority="280" operator="greaterThan">
      <formula>0</formula>
    </cfRule>
  </conditionalFormatting>
  <conditionalFormatting sqref="Q84:Q91">
    <cfRule type="cellIs" dxfId="16578" priority="279" operator="lessThan">
      <formula>0</formula>
    </cfRule>
  </conditionalFormatting>
  <conditionalFormatting sqref="R84:R91">
    <cfRule type="cellIs" dxfId="16577" priority="277" operator="lessThan">
      <formula>0.8</formula>
    </cfRule>
    <cfRule type="cellIs" dxfId="16576" priority="278" operator="greaterThan">
      <formula>1</formula>
    </cfRule>
  </conditionalFormatting>
  <conditionalFormatting sqref="R84:R91">
    <cfRule type="cellIs" dxfId="16575" priority="275" operator="greaterThan">
      <formula>1</formula>
    </cfRule>
    <cfRule type="cellIs" dxfId="16574" priority="276" operator="lessThan">
      <formula>0.8</formula>
    </cfRule>
  </conditionalFormatting>
  <conditionalFormatting sqref="P84:P91">
    <cfRule type="cellIs" dxfId="16573" priority="274" operator="greaterThan">
      <formula>0</formula>
    </cfRule>
  </conditionalFormatting>
  <conditionalFormatting sqref="Q84:Q91">
    <cfRule type="cellIs" dxfId="16572" priority="273" operator="lessThan">
      <formula>0</formula>
    </cfRule>
  </conditionalFormatting>
  <conditionalFormatting sqref="R84:R91">
    <cfRule type="cellIs" dxfId="16571" priority="271" operator="lessThan">
      <formula>0.8</formula>
    </cfRule>
    <cfRule type="cellIs" dxfId="16570" priority="272" operator="greaterThan">
      <formula>1</formula>
    </cfRule>
  </conditionalFormatting>
  <conditionalFormatting sqref="R84:R91">
    <cfRule type="cellIs" dxfId="16569" priority="269" operator="greaterThan">
      <formula>1</formula>
    </cfRule>
    <cfRule type="cellIs" dxfId="16568" priority="270" operator="lessThan">
      <formula>0.8</formula>
    </cfRule>
  </conditionalFormatting>
  <conditionalFormatting sqref="P84:P91">
    <cfRule type="cellIs" dxfId="16567" priority="268" operator="greaterThan">
      <formula>0</formula>
    </cfRule>
  </conditionalFormatting>
  <conditionalFormatting sqref="P84:P91">
    <cfRule type="cellIs" dxfId="16566" priority="262" operator="greaterThan">
      <formula>0</formula>
    </cfRule>
  </conditionalFormatting>
  <conditionalFormatting sqref="Q84:Q91">
    <cfRule type="cellIs" dxfId="16565" priority="267" operator="lessThan">
      <formula>0</formula>
    </cfRule>
  </conditionalFormatting>
  <conditionalFormatting sqref="R84:R91">
    <cfRule type="cellIs" dxfId="16564" priority="265" operator="lessThan">
      <formula>0.8</formula>
    </cfRule>
    <cfRule type="cellIs" dxfId="16563" priority="266" operator="greaterThan">
      <formula>1</formula>
    </cfRule>
  </conditionalFormatting>
  <conditionalFormatting sqref="R84:R91">
    <cfRule type="cellIs" dxfId="16562" priority="263" operator="greaterThan">
      <formula>1</formula>
    </cfRule>
    <cfRule type="cellIs" dxfId="16561" priority="264" operator="lessThan">
      <formula>0.8</formula>
    </cfRule>
  </conditionalFormatting>
  <conditionalFormatting sqref="P84:P91">
    <cfRule type="cellIs" dxfId="16560" priority="256" operator="greaterThan">
      <formula>0</formula>
    </cfRule>
  </conditionalFormatting>
  <conditionalFormatting sqref="Q84:Q91">
    <cfRule type="cellIs" dxfId="16559" priority="261" operator="lessThan">
      <formula>0</formula>
    </cfRule>
  </conditionalFormatting>
  <conditionalFormatting sqref="R84:R91">
    <cfRule type="cellIs" dxfId="16558" priority="259" operator="lessThan">
      <formula>0.8</formula>
    </cfRule>
    <cfRule type="cellIs" dxfId="16557" priority="260" operator="greaterThan">
      <formula>1</formula>
    </cfRule>
  </conditionalFormatting>
  <conditionalFormatting sqref="R84:R91">
    <cfRule type="cellIs" dxfId="16556" priority="257" operator="greaterThan">
      <formula>1</formula>
    </cfRule>
    <cfRule type="cellIs" dxfId="16555" priority="258" operator="lessThan">
      <formula>0.8</formula>
    </cfRule>
  </conditionalFormatting>
  <conditionalFormatting sqref="R84:R91">
    <cfRule type="cellIs" dxfId="16554" priority="253" operator="lessThan">
      <formula>0.8</formula>
    </cfRule>
    <cfRule type="cellIs" dxfId="16553" priority="254" operator="greaterThan">
      <formula>1</formula>
    </cfRule>
  </conditionalFormatting>
  <conditionalFormatting sqref="R84:R91">
    <cfRule type="cellIs" dxfId="16552" priority="251" operator="greaterThan">
      <formula>1</formula>
    </cfRule>
    <cfRule type="cellIs" dxfId="16551" priority="252" operator="lessThan">
      <formula>0.8</formula>
    </cfRule>
  </conditionalFormatting>
  <conditionalFormatting sqref="P84:P91">
    <cfRule type="cellIs" dxfId="16550" priority="250" operator="greaterThan">
      <formula>0</formula>
    </cfRule>
  </conditionalFormatting>
  <conditionalFormatting sqref="Q84:Q91">
    <cfRule type="cellIs" dxfId="16549" priority="255" operator="lessThan">
      <formula>0</formula>
    </cfRule>
  </conditionalFormatting>
  <conditionalFormatting sqref="Q84:Q91">
    <cfRule type="cellIs" dxfId="16548" priority="249" operator="lessThan">
      <formula>0</formula>
    </cfRule>
  </conditionalFormatting>
  <conditionalFormatting sqref="R84:R91">
    <cfRule type="cellIs" dxfId="16547" priority="247" operator="lessThan">
      <formula>0.8</formula>
    </cfRule>
    <cfRule type="cellIs" dxfId="16546" priority="248" operator="greaterThan">
      <formula>1</formula>
    </cfRule>
  </conditionalFormatting>
  <conditionalFormatting sqref="R84:R91">
    <cfRule type="cellIs" dxfId="16545" priority="245" operator="greaterThan">
      <formula>1</formula>
    </cfRule>
    <cfRule type="cellIs" dxfId="16544" priority="246" operator="lessThan">
      <formula>0.8</formula>
    </cfRule>
  </conditionalFormatting>
  <conditionalFormatting sqref="P84:P91">
    <cfRule type="cellIs" dxfId="16543" priority="244" operator="greaterThan">
      <formula>0</formula>
    </cfRule>
  </conditionalFormatting>
  <conditionalFormatting sqref="Q84:Q91">
    <cfRule type="cellIs" dxfId="16542" priority="243" operator="lessThan">
      <formula>0</formula>
    </cfRule>
  </conditionalFormatting>
  <conditionalFormatting sqref="R84:R91">
    <cfRule type="cellIs" dxfId="16541" priority="241" operator="lessThan">
      <formula>0.8</formula>
    </cfRule>
    <cfRule type="cellIs" dxfId="16540" priority="242" operator="greaterThan">
      <formula>1</formula>
    </cfRule>
  </conditionalFormatting>
  <conditionalFormatting sqref="R84:R91">
    <cfRule type="cellIs" dxfId="16539" priority="239" operator="greaterThan">
      <formula>1</formula>
    </cfRule>
    <cfRule type="cellIs" dxfId="16538" priority="240" operator="lessThan">
      <formula>0.8</formula>
    </cfRule>
  </conditionalFormatting>
  <conditionalFormatting sqref="P84:P91">
    <cfRule type="cellIs" dxfId="16537" priority="238" operator="greaterThan">
      <formula>0</formula>
    </cfRule>
  </conditionalFormatting>
  <conditionalFormatting sqref="Q84:Q91">
    <cfRule type="cellIs" dxfId="16536" priority="237" operator="lessThan">
      <formula>0</formula>
    </cfRule>
  </conditionalFormatting>
  <conditionalFormatting sqref="R84:R91">
    <cfRule type="cellIs" dxfId="16535" priority="235" operator="lessThan">
      <formula>0.8</formula>
    </cfRule>
    <cfRule type="cellIs" dxfId="16534" priority="236" operator="greaterThan">
      <formula>1</formula>
    </cfRule>
  </conditionalFormatting>
  <conditionalFormatting sqref="R84:R91">
    <cfRule type="cellIs" dxfId="16533" priority="233" operator="greaterThan">
      <formula>1</formula>
    </cfRule>
    <cfRule type="cellIs" dxfId="16532" priority="234" operator="lessThan">
      <formula>0.8</formula>
    </cfRule>
  </conditionalFormatting>
  <conditionalFormatting sqref="P84:P91">
    <cfRule type="cellIs" dxfId="16531" priority="232" operator="greaterThan">
      <formula>0</formula>
    </cfRule>
  </conditionalFormatting>
  <conditionalFormatting sqref="Q84:Q91">
    <cfRule type="cellIs" dxfId="16530" priority="231" operator="lessThan">
      <formula>0</formula>
    </cfRule>
  </conditionalFormatting>
  <conditionalFormatting sqref="R84:R91">
    <cfRule type="cellIs" dxfId="16529" priority="229" operator="lessThan">
      <formula>0.8</formula>
    </cfRule>
    <cfRule type="cellIs" dxfId="16528" priority="230" operator="greaterThan">
      <formula>1</formula>
    </cfRule>
  </conditionalFormatting>
  <conditionalFormatting sqref="R84:R91">
    <cfRule type="cellIs" dxfId="16527" priority="227" operator="greaterThan">
      <formula>1</formula>
    </cfRule>
    <cfRule type="cellIs" dxfId="16526" priority="228" operator="lessThan">
      <formula>0.8</formula>
    </cfRule>
  </conditionalFormatting>
  <conditionalFormatting sqref="P84:P91">
    <cfRule type="cellIs" dxfId="16525" priority="226" operator="greaterThan">
      <formula>0</formula>
    </cfRule>
  </conditionalFormatting>
  <conditionalFormatting sqref="P84:P91">
    <cfRule type="cellIs" dxfId="16524" priority="220" operator="greaterThan">
      <formula>0</formula>
    </cfRule>
  </conditionalFormatting>
  <conditionalFormatting sqref="Q84:Q91">
    <cfRule type="cellIs" dxfId="16523" priority="225" operator="lessThan">
      <formula>0</formula>
    </cfRule>
  </conditionalFormatting>
  <conditionalFormatting sqref="R84:R91">
    <cfRule type="cellIs" dxfId="16522" priority="223" operator="lessThan">
      <formula>0.8</formula>
    </cfRule>
    <cfRule type="cellIs" dxfId="16521" priority="224" operator="greaterThan">
      <formula>1</formula>
    </cfRule>
  </conditionalFormatting>
  <conditionalFormatting sqref="R84:R91">
    <cfRule type="cellIs" dxfId="16520" priority="221" operator="greaterThan">
      <formula>1</formula>
    </cfRule>
    <cfRule type="cellIs" dxfId="16519" priority="222" operator="lessThan">
      <formula>0.8</formula>
    </cfRule>
  </conditionalFormatting>
  <conditionalFormatting sqref="P84:P91">
    <cfRule type="cellIs" dxfId="16518" priority="214" operator="greaterThan">
      <formula>0</formula>
    </cfRule>
  </conditionalFormatting>
  <conditionalFormatting sqref="Q84:Q91">
    <cfRule type="cellIs" dxfId="16517" priority="219" operator="lessThan">
      <formula>0</formula>
    </cfRule>
  </conditionalFormatting>
  <conditionalFormatting sqref="R84:R91">
    <cfRule type="cellIs" dxfId="16516" priority="217" operator="lessThan">
      <formula>0.8</formula>
    </cfRule>
    <cfRule type="cellIs" dxfId="16515" priority="218" operator="greaterThan">
      <formula>1</formula>
    </cfRule>
  </conditionalFormatting>
  <conditionalFormatting sqref="R84:R91">
    <cfRule type="cellIs" dxfId="16514" priority="215" operator="greaterThan">
      <formula>1</formula>
    </cfRule>
    <cfRule type="cellIs" dxfId="16513" priority="216" operator="lessThan">
      <formula>0.8</formula>
    </cfRule>
  </conditionalFormatting>
  <conditionalFormatting sqref="R84:R91">
    <cfRule type="cellIs" dxfId="16512" priority="211" operator="lessThan">
      <formula>0.8</formula>
    </cfRule>
    <cfRule type="cellIs" dxfId="16511" priority="212" operator="greaterThan">
      <formula>1</formula>
    </cfRule>
  </conditionalFormatting>
  <conditionalFormatting sqref="R84:R91">
    <cfRule type="cellIs" dxfId="16510" priority="209" operator="greaterThan">
      <formula>1</formula>
    </cfRule>
    <cfRule type="cellIs" dxfId="16509" priority="210" operator="lessThan">
      <formula>0.8</formula>
    </cfRule>
  </conditionalFormatting>
  <conditionalFormatting sqref="P84:P91">
    <cfRule type="cellIs" dxfId="16508" priority="208" operator="greaterThan">
      <formula>0</formula>
    </cfRule>
  </conditionalFormatting>
  <conditionalFormatting sqref="Q84:Q91">
    <cfRule type="cellIs" dxfId="16507" priority="213" operator="lessThan">
      <formula>0</formula>
    </cfRule>
  </conditionalFormatting>
  <conditionalFormatting sqref="Q84:Q91">
    <cfRule type="cellIs" dxfId="16506" priority="207" operator="lessThan">
      <formula>0</formula>
    </cfRule>
  </conditionalFormatting>
  <conditionalFormatting sqref="R84:R91">
    <cfRule type="cellIs" dxfId="16505" priority="205" operator="lessThan">
      <formula>0.8</formula>
    </cfRule>
    <cfRule type="cellIs" dxfId="16504" priority="206" operator="greaterThan">
      <formula>1</formula>
    </cfRule>
  </conditionalFormatting>
  <conditionalFormatting sqref="R84:R91">
    <cfRule type="cellIs" dxfId="16503" priority="203" operator="greaterThan">
      <formula>1</formula>
    </cfRule>
    <cfRule type="cellIs" dxfId="16502" priority="204" operator="lessThan">
      <formula>0.8</formula>
    </cfRule>
  </conditionalFormatting>
  <conditionalFormatting sqref="P84:P91">
    <cfRule type="cellIs" dxfId="16501" priority="202" operator="greaterThan">
      <formula>0</formula>
    </cfRule>
  </conditionalFormatting>
  <conditionalFormatting sqref="P84:P91">
    <cfRule type="cellIs" dxfId="16500" priority="196" operator="greaterThan">
      <formula>0</formula>
    </cfRule>
  </conditionalFormatting>
  <conditionalFormatting sqref="Q84:Q91">
    <cfRule type="cellIs" dxfId="16499" priority="201" operator="lessThan">
      <formula>0</formula>
    </cfRule>
  </conditionalFormatting>
  <conditionalFormatting sqref="R84:R91">
    <cfRule type="cellIs" dxfId="16498" priority="199" operator="lessThan">
      <formula>0.8</formula>
    </cfRule>
    <cfRule type="cellIs" dxfId="16497" priority="200" operator="greaterThan">
      <formula>1</formula>
    </cfRule>
  </conditionalFormatting>
  <conditionalFormatting sqref="R84:R91">
    <cfRule type="cellIs" dxfId="16496" priority="197" operator="greaterThan">
      <formula>1</formula>
    </cfRule>
    <cfRule type="cellIs" dxfId="16495" priority="198" operator="lessThan">
      <formula>0.8</formula>
    </cfRule>
  </conditionalFormatting>
  <conditionalFormatting sqref="P84:P91">
    <cfRule type="cellIs" dxfId="16494" priority="190" operator="greaterThan">
      <formula>0</formula>
    </cfRule>
  </conditionalFormatting>
  <conditionalFormatting sqref="Q84:Q91">
    <cfRule type="cellIs" dxfId="16493" priority="195" operator="lessThan">
      <formula>0</formula>
    </cfRule>
  </conditionalFormatting>
  <conditionalFormatting sqref="R84:R91">
    <cfRule type="cellIs" dxfId="16492" priority="193" operator="lessThan">
      <formula>0.8</formula>
    </cfRule>
    <cfRule type="cellIs" dxfId="16491" priority="194" operator="greaterThan">
      <formula>1</formula>
    </cfRule>
  </conditionalFormatting>
  <conditionalFormatting sqref="R84:R91">
    <cfRule type="cellIs" dxfId="16490" priority="191" operator="greaterThan">
      <formula>1</formula>
    </cfRule>
    <cfRule type="cellIs" dxfId="16489" priority="192" operator="lessThan">
      <formula>0.8</formula>
    </cfRule>
  </conditionalFormatting>
  <conditionalFormatting sqref="R84:R91">
    <cfRule type="cellIs" dxfId="16488" priority="187" operator="lessThan">
      <formula>0.8</formula>
    </cfRule>
    <cfRule type="cellIs" dxfId="16487" priority="188" operator="greaterThan">
      <formula>1</formula>
    </cfRule>
  </conditionalFormatting>
  <conditionalFormatting sqref="R84:R91">
    <cfRule type="cellIs" dxfId="16486" priority="185" operator="greaterThan">
      <formula>1</formula>
    </cfRule>
    <cfRule type="cellIs" dxfId="16485" priority="186" operator="lessThan">
      <formula>0.8</formula>
    </cfRule>
  </conditionalFormatting>
  <conditionalFormatting sqref="P84:P91">
    <cfRule type="cellIs" dxfId="16484" priority="184" operator="greaterThan">
      <formula>0</formula>
    </cfRule>
  </conditionalFormatting>
  <conditionalFormatting sqref="Q84:Q91">
    <cfRule type="cellIs" dxfId="16483" priority="189" operator="lessThan">
      <formula>0</formula>
    </cfRule>
  </conditionalFormatting>
  <conditionalFormatting sqref="P84:P91">
    <cfRule type="cellIs" dxfId="16482" priority="178" operator="greaterThan">
      <formula>0</formula>
    </cfRule>
  </conditionalFormatting>
  <conditionalFormatting sqref="Q84:Q91">
    <cfRule type="cellIs" dxfId="16481" priority="183" operator="lessThan">
      <formula>0</formula>
    </cfRule>
  </conditionalFormatting>
  <conditionalFormatting sqref="R84:R91">
    <cfRule type="cellIs" dxfId="16480" priority="181" operator="lessThan">
      <formula>0.8</formula>
    </cfRule>
    <cfRule type="cellIs" dxfId="16479" priority="182" operator="greaterThan">
      <formula>1</formula>
    </cfRule>
  </conditionalFormatting>
  <conditionalFormatting sqref="R84:R91">
    <cfRule type="cellIs" dxfId="16478" priority="179" operator="greaterThan">
      <formula>1</formula>
    </cfRule>
    <cfRule type="cellIs" dxfId="16477" priority="180" operator="lessThan">
      <formula>0.8</formula>
    </cfRule>
  </conditionalFormatting>
  <conditionalFormatting sqref="R84:R91">
    <cfRule type="cellIs" dxfId="16476" priority="175" operator="lessThan">
      <formula>0.8</formula>
    </cfRule>
    <cfRule type="cellIs" dxfId="16475" priority="176" operator="greaterThan">
      <formula>1</formula>
    </cfRule>
  </conditionalFormatting>
  <conditionalFormatting sqref="R84:R91">
    <cfRule type="cellIs" dxfId="16474" priority="173" operator="greaterThan">
      <formula>1</formula>
    </cfRule>
    <cfRule type="cellIs" dxfId="16473" priority="174" operator="lessThan">
      <formula>0.8</formula>
    </cfRule>
  </conditionalFormatting>
  <conditionalFormatting sqref="P84:P91">
    <cfRule type="cellIs" dxfId="16472" priority="172" operator="greaterThan">
      <formula>0</formula>
    </cfRule>
  </conditionalFormatting>
  <conditionalFormatting sqref="Q84:Q91">
    <cfRule type="cellIs" dxfId="16471" priority="177" operator="lessThan">
      <formula>0</formula>
    </cfRule>
  </conditionalFormatting>
  <conditionalFormatting sqref="R84:R91">
    <cfRule type="cellIs" dxfId="16470" priority="169" operator="lessThan">
      <formula>0.8</formula>
    </cfRule>
    <cfRule type="cellIs" dxfId="16469" priority="170" operator="greaterThan">
      <formula>1</formula>
    </cfRule>
  </conditionalFormatting>
  <conditionalFormatting sqref="R84:R91">
    <cfRule type="cellIs" dxfId="16468" priority="167" operator="greaterThan">
      <formula>1</formula>
    </cfRule>
    <cfRule type="cellIs" dxfId="16467" priority="168" operator="lessThan">
      <formula>0.8</formula>
    </cfRule>
  </conditionalFormatting>
  <conditionalFormatting sqref="P84:P91">
    <cfRule type="cellIs" dxfId="16466" priority="166" operator="greaterThan">
      <formula>0</formula>
    </cfRule>
  </conditionalFormatting>
  <conditionalFormatting sqref="Q84:Q91">
    <cfRule type="cellIs" dxfId="16465" priority="171" operator="lessThan">
      <formula>0</formula>
    </cfRule>
  </conditionalFormatting>
  <conditionalFormatting sqref="Q84:Q91">
    <cfRule type="cellIs" dxfId="16464" priority="165" operator="lessThan">
      <formula>0</formula>
    </cfRule>
  </conditionalFormatting>
  <conditionalFormatting sqref="R84:R91">
    <cfRule type="cellIs" dxfId="16463" priority="163" operator="lessThan">
      <formula>0.8</formula>
    </cfRule>
    <cfRule type="cellIs" dxfId="16462" priority="164" operator="greaterThan">
      <formula>1</formula>
    </cfRule>
  </conditionalFormatting>
  <conditionalFormatting sqref="R84:R91">
    <cfRule type="cellIs" dxfId="16461" priority="161" operator="greaterThan">
      <formula>1</formula>
    </cfRule>
    <cfRule type="cellIs" dxfId="16460" priority="162" operator="lessThan">
      <formula>0.8</formula>
    </cfRule>
  </conditionalFormatting>
  <conditionalFormatting sqref="P84:P91">
    <cfRule type="cellIs" dxfId="16459" priority="160" operator="greaterThan">
      <formula>0</formula>
    </cfRule>
  </conditionalFormatting>
  <conditionalFormatting sqref="Q84:Q91">
    <cfRule type="cellIs" dxfId="16458" priority="154" operator="lessThan">
      <formula>0</formula>
    </cfRule>
  </conditionalFormatting>
  <conditionalFormatting sqref="R84:R91">
    <cfRule type="cellIs" dxfId="16457" priority="158" operator="lessThan">
      <formula>0.8</formula>
    </cfRule>
    <cfRule type="cellIs" dxfId="16456" priority="159" operator="greaterThan">
      <formula>1</formula>
    </cfRule>
  </conditionalFormatting>
  <conditionalFormatting sqref="R84:R91">
    <cfRule type="cellIs" dxfId="16455" priority="156" operator="greaterThan">
      <formula>1</formula>
    </cfRule>
    <cfRule type="cellIs" dxfId="16454" priority="157" operator="lessThan">
      <formula>0.8</formula>
    </cfRule>
  </conditionalFormatting>
  <conditionalFormatting sqref="P84:P91">
    <cfRule type="cellIs" dxfId="16453" priority="155" operator="greaterThan">
      <formula>0</formula>
    </cfRule>
  </conditionalFormatting>
  <conditionalFormatting sqref="Q84:Q91">
    <cfRule type="cellIs" dxfId="16452" priority="153" operator="lessThan">
      <formula>0</formula>
    </cfRule>
  </conditionalFormatting>
  <conditionalFormatting sqref="R84:R91">
    <cfRule type="cellIs" dxfId="16451" priority="151" operator="lessThan">
      <formula>0.8</formula>
    </cfRule>
    <cfRule type="cellIs" dxfId="16450" priority="152" operator="greaterThan">
      <formula>1</formula>
    </cfRule>
  </conditionalFormatting>
  <conditionalFormatting sqref="R84:R91">
    <cfRule type="cellIs" dxfId="16449" priority="149" operator="greaterThan">
      <formula>1</formula>
    </cfRule>
    <cfRule type="cellIs" dxfId="16448" priority="150" operator="lessThan">
      <formula>0.8</formula>
    </cfRule>
  </conditionalFormatting>
  <conditionalFormatting sqref="P84:P91">
    <cfRule type="cellIs" dxfId="16447" priority="148" operator="greaterThan">
      <formula>0</formula>
    </cfRule>
  </conditionalFormatting>
  <conditionalFormatting sqref="Q84:Q91">
    <cfRule type="cellIs" dxfId="16446" priority="147" operator="lessThan">
      <formula>0</formula>
    </cfRule>
  </conditionalFormatting>
  <conditionalFormatting sqref="R84:R91">
    <cfRule type="cellIs" dxfId="16445" priority="145" operator="lessThan">
      <formula>0.8</formula>
    </cfRule>
    <cfRule type="cellIs" dxfId="16444" priority="146" operator="greaterThan">
      <formula>1</formula>
    </cfRule>
  </conditionalFormatting>
  <conditionalFormatting sqref="R84:R91">
    <cfRule type="cellIs" dxfId="16443" priority="143" operator="greaterThan">
      <formula>1</formula>
    </cfRule>
    <cfRule type="cellIs" dxfId="16442" priority="144" operator="lessThan">
      <formula>0.8</formula>
    </cfRule>
  </conditionalFormatting>
  <conditionalFormatting sqref="P84:P91">
    <cfRule type="cellIs" dxfId="16441" priority="142" operator="greaterThan">
      <formula>0</formula>
    </cfRule>
  </conditionalFormatting>
  <conditionalFormatting sqref="Q84:Q91">
    <cfRule type="cellIs" dxfId="16440" priority="141" operator="lessThan">
      <formula>0</formula>
    </cfRule>
  </conditionalFormatting>
  <conditionalFormatting sqref="R84:R91">
    <cfRule type="cellIs" dxfId="16439" priority="139" operator="lessThan">
      <formula>0.8</formula>
    </cfRule>
    <cfRule type="cellIs" dxfId="16438" priority="140" operator="greaterThan">
      <formula>1</formula>
    </cfRule>
  </conditionalFormatting>
  <conditionalFormatting sqref="R84:R91">
    <cfRule type="cellIs" dxfId="16437" priority="137" operator="greaterThan">
      <formula>1</formula>
    </cfRule>
    <cfRule type="cellIs" dxfId="16436" priority="138" operator="lessThan">
      <formula>0.8</formula>
    </cfRule>
  </conditionalFormatting>
  <conditionalFormatting sqref="P84:P91">
    <cfRule type="cellIs" dxfId="16435" priority="136" operator="greaterThan">
      <formula>0</formula>
    </cfRule>
  </conditionalFormatting>
  <conditionalFormatting sqref="Q84:Q91">
    <cfRule type="cellIs" dxfId="16434" priority="135" operator="lessThan">
      <formula>0</formula>
    </cfRule>
  </conditionalFormatting>
  <conditionalFormatting sqref="R84:R91">
    <cfRule type="cellIs" dxfId="16433" priority="133" operator="lessThan">
      <formula>0.8</formula>
    </cfRule>
    <cfRule type="cellIs" dxfId="16432" priority="134" operator="greaterThan">
      <formula>1</formula>
    </cfRule>
  </conditionalFormatting>
  <conditionalFormatting sqref="R84:R91">
    <cfRule type="cellIs" dxfId="16431" priority="131" operator="greaterThan">
      <formula>1</formula>
    </cfRule>
    <cfRule type="cellIs" dxfId="16430" priority="132" operator="lessThan">
      <formula>0.8</formula>
    </cfRule>
  </conditionalFormatting>
  <conditionalFormatting sqref="P84:P91">
    <cfRule type="cellIs" dxfId="16429" priority="130" operator="greaterThan">
      <formula>0</formula>
    </cfRule>
  </conditionalFormatting>
  <conditionalFormatting sqref="Q84:Q91">
    <cfRule type="cellIs" dxfId="16428" priority="129" operator="lessThan">
      <formula>0</formula>
    </cfRule>
  </conditionalFormatting>
  <conditionalFormatting sqref="R84:R91">
    <cfRule type="cellIs" dxfId="16427" priority="127" operator="lessThan">
      <formula>0.8</formula>
    </cfRule>
    <cfRule type="cellIs" dxfId="16426" priority="128" operator="greaterThan">
      <formula>1</formula>
    </cfRule>
  </conditionalFormatting>
  <conditionalFormatting sqref="R84:R91">
    <cfRule type="cellIs" dxfId="16425" priority="125" operator="greaterThan">
      <formula>1</formula>
    </cfRule>
    <cfRule type="cellIs" dxfId="16424" priority="126" operator="lessThan">
      <formula>0.8</formula>
    </cfRule>
  </conditionalFormatting>
  <conditionalFormatting sqref="P84:P91">
    <cfRule type="cellIs" dxfId="16423" priority="124" operator="greaterThan">
      <formula>0</formula>
    </cfRule>
  </conditionalFormatting>
  <conditionalFormatting sqref="P84:P91">
    <cfRule type="cellIs" dxfId="16422" priority="118" operator="greaterThan">
      <formula>0</formula>
    </cfRule>
  </conditionalFormatting>
  <conditionalFormatting sqref="Q84:Q91">
    <cfRule type="cellIs" dxfId="16421" priority="123" operator="lessThan">
      <formula>0</formula>
    </cfRule>
  </conditionalFormatting>
  <conditionalFormatting sqref="R84:R91">
    <cfRule type="cellIs" dxfId="16420" priority="121" operator="lessThan">
      <formula>0.8</formula>
    </cfRule>
    <cfRule type="cellIs" dxfId="16419" priority="122" operator="greaterThan">
      <formula>1</formula>
    </cfRule>
  </conditionalFormatting>
  <conditionalFormatting sqref="R84:R91">
    <cfRule type="cellIs" dxfId="16418" priority="119" operator="greaterThan">
      <formula>1</formula>
    </cfRule>
    <cfRule type="cellIs" dxfId="16417" priority="120" operator="lessThan">
      <formula>0.8</formula>
    </cfRule>
  </conditionalFormatting>
  <conditionalFormatting sqref="P84:P91">
    <cfRule type="cellIs" dxfId="16416" priority="112" operator="greaterThan">
      <formula>0</formula>
    </cfRule>
  </conditionalFormatting>
  <conditionalFormatting sqref="Q84:Q91">
    <cfRule type="cellIs" dxfId="16415" priority="117" operator="lessThan">
      <formula>0</formula>
    </cfRule>
  </conditionalFormatting>
  <conditionalFormatting sqref="R84:R91">
    <cfRule type="cellIs" dxfId="16414" priority="115" operator="lessThan">
      <formula>0.8</formula>
    </cfRule>
    <cfRule type="cellIs" dxfId="16413" priority="116" operator="greaterThan">
      <formula>1</formula>
    </cfRule>
  </conditionalFormatting>
  <conditionalFormatting sqref="R84:R91">
    <cfRule type="cellIs" dxfId="16412" priority="113" operator="greaterThan">
      <formula>1</formula>
    </cfRule>
    <cfRule type="cellIs" dxfId="16411" priority="114" operator="lessThan">
      <formula>0.8</formula>
    </cfRule>
  </conditionalFormatting>
  <conditionalFormatting sqref="R84:R91">
    <cfRule type="cellIs" dxfId="16410" priority="109" operator="lessThan">
      <formula>0.8</formula>
    </cfRule>
    <cfRule type="cellIs" dxfId="16409" priority="110" operator="greaterThan">
      <formula>1</formula>
    </cfRule>
  </conditionalFormatting>
  <conditionalFormatting sqref="R84:R91">
    <cfRule type="cellIs" dxfId="16408" priority="107" operator="greaterThan">
      <formula>1</formula>
    </cfRule>
    <cfRule type="cellIs" dxfId="16407" priority="108" operator="lessThan">
      <formula>0.8</formula>
    </cfRule>
  </conditionalFormatting>
  <conditionalFormatting sqref="P84:P91">
    <cfRule type="cellIs" dxfId="16406" priority="106" operator="greaterThan">
      <formula>0</formula>
    </cfRule>
  </conditionalFormatting>
  <conditionalFormatting sqref="Q84:Q91">
    <cfRule type="cellIs" dxfId="16405" priority="111" operator="lessThan">
      <formula>0</formula>
    </cfRule>
  </conditionalFormatting>
  <conditionalFormatting sqref="Q84:Q91">
    <cfRule type="cellIs" dxfId="16404" priority="100" operator="lessThan">
      <formula>0</formula>
    </cfRule>
  </conditionalFormatting>
  <conditionalFormatting sqref="P84:P91">
    <cfRule type="cellIs" dxfId="16403" priority="101" operator="greaterThan">
      <formula>0</formula>
    </cfRule>
  </conditionalFormatting>
  <conditionalFormatting sqref="R84:R91">
    <cfRule type="cellIs" dxfId="16402" priority="104" operator="lessThan">
      <formula>0.8</formula>
    </cfRule>
    <cfRule type="cellIs" dxfId="16401" priority="105" operator="greaterThan">
      <formula>1</formula>
    </cfRule>
  </conditionalFormatting>
  <conditionalFormatting sqref="R84:R91">
    <cfRule type="cellIs" dxfId="16400" priority="102" operator="greaterThan">
      <formula>1</formula>
    </cfRule>
    <cfRule type="cellIs" dxfId="16399" priority="103" operator="lessThan">
      <formula>0.8</formula>
    </cfRule>
  </conditionalFormatting>
  <conditionalFormatting sqref="Q84:Q91">
    <cfRule type="cellIs" dxfId="16398" priority="94" operator="lessThan">
      <formula>0</formula>
    </cfRule>
  </conditionalFormatting>
  <conditionalFormatting sqref="R84:R91">
    <cfRule type="cellIs" dxfId="16397" priority="98" operator="lessThan">
      <formula>0.8</formula>
    </cfRule>
    <cfRule type="cellIs" dxfId="16396" priority="99" operator="greaterThan">
      <formula>1</formula>
    </cfRule>
  </conditionalFormatting>
  <conditionalFormatting sqref="R84:R91">
    <cfRule type="cellIs" dxfId="16395" priority="96" operator="greaterThan">
      <formula>1</formula>
    </cfRule>
    <cfRule type="cellIs" dxfId="16394" priority="97" operator="lessThan">
      <formula>0.8</formula>
    </cfRule>
  </conditionalFormatting>
  <conditionalFormatting sqref="P84:P91">
    <cfRule type="cellIs" dxfId="16393" priority="95" operator="greaterThan">
      <formula>0</formula>
    </cfRule>
  </conditionalFormatting>
  <conditionalFormatting sqref="Q84:Q91">
    <cfRule type="cellIs" dxfId="16392" priority="93" operator="lessThan">
      <formula>0</formula>
    </cfRule>
  </conditionalFormatting>
  <conditionalFormatting sqref="R84:R91">
    <cfRule type="cellIs" dxfId="16391" priority="91" operator="lessThan">
      <formula>0.8</formula>
    </cfRule>
    <cfRule type="cellIs" dxfId="16390" priority="92" operator="greaterThan">
      <formula>1</formula>
    </cfRule>
  </conditionalFormatting>
  <conditionalFormatting sqref="R84:R91">
    <cfRule type="cellIs" dxfId="16389" priority="89" operator="greaterThan">
      <formula>1</formula>
    </cfRule>
    <cfRule type="cellIs" dxfId="16388" priority="90" operator="lessThan">
      <formula>0.8</formula>
    </cfRule>
  </conditionalFormatting>
  <conditionalFormatting sqref="P84:P91">
    <cfRule type="cellIs" dxfId="16387" priority="88" operator="greaterThan">
      <formula>0</formula>
    </cfRule>
  </conditionalFormatting>
  <conditionalFormatting sqref="Q84:Q91">
    <cfRule type="cellIs" dxfId="16386" priority="87" operator="lessThan">
      <formula>0</formula>
    </cfRule>
  </conditionalFormatting>
  <conditionalFormatting sqref="R84:R91">
    <cfRule type="cellIs" dxfId="16385" priority="85" operator="lessThan">
      <formula>0.8</formula>
    </cfRule>
    <cfRule type="cellIs" dxfId="16384" priority="86" operator="greaterThan">
      <formula>1</formula>
    </cfRule>
  </conditionalFormatting>
  <conditionalFormatting sqref="R84:R91">
    <cfRule type="cellIs" dxfId="16383" priority="83" operator="greaterThan">
      <formula>1</formula>
    </cfRule>
    <cfRule type="cellIs" dxfId="16382" priority="84" operator="lessThan">
      <formula>0.8</formula>
    </cfRule>
  </conditionalFormatting>
  <conditionalFormatting sqref="P84:P91">
    <cfRule type="cellIs" dxfId="16381" priority="82" operator="greaterThan">
      <formula>0</formula>
    </cfRule>
  </conditionalFormatting>
  <conditionalFormatting sqref="Q84:Q91">
    <cfRule type="cellIs" dxfId="16380" priority="81" operator="lessThan">
      <formula>0</formula>
    </cfRule>
  </conditionalFormatting>
  <conditionalFormatting sqref="R84:R91">
    <cfRule type="cellIs" dxfId="16379" priority="79" operator="lessThan">
      <formula>0.8</formula>
    </cfRule>
    <cfRule type="cellIs" dxfId="16378" priority="80" operator="greaterThan">
      <formula>1</formula>
    </cfRule>
  </conditionalFormatting>
  <conditionalFormatting sqref="R84:R91">
    <cfRule type="cellIs" dxfId="16377" priority="77" operator="greaterThan">
      <formula>1</formula>
    </cfRule>
    <cfRule type="cellIs" dxfId="16376" priority="78" operator="lessThan">
      <formula>0.8</formula>
    </cfRule>
  </conditionalFormatting>
  <conditionalFormatting sqref="P84:P91">
    <cfRule type="cellIs" dxfId="16375" priority="76" operator="greaterThan">
      <formula>0</formula>
    </cfRule>
  </conditionalFormatting>
  <conditionalFormatting sqref="Q162:Q166">
    <cfRule type="cellIs" dxfId="16374" priority="75" operator="lessThan">
      <formula>0</formula>
    </cfRule>
  </conditionalFormatting>
  <conditionalFormatting sqref="R162:R166">
    <cfRule type="cellIs" dxfId="16373" priority="73" operator="lessThan">
      <formula>0.8</formula>
    </cfRule>
    <cfRule type="cellIs" dxfId="16372" priority="74" operator="greaterThan">
      <formula>1</formula>
    </cfRule>
  </conditionalFormatting>
  <conditionalFormatting sqref="R162:R166">
    <cfRule type="cellIs" dxfId="16371" priority="71" operator="greaterThan">
      <formula>1</formula>
    </cfRule>
    <cfRule type="cellIs" dxfId="16370" priority="72" operator="lessThan">
      <formula>0.8</formula>
    </cfRule>
  </conditionalFormatting>
  <conditionalFormatting sqref="P162:P166">
    <cfRule type="cellIs" dxfId="16369" priority="70" operator="greaterThan">
      <formula>0</formula>
    </cfRule>
  </conditionalFormatting>
  <conditionalFormatting sqref="P167:P168">
    <cfRule type="cellIs" dxfId="16368" priority="64" operator="greaterThan">
      <formula>0</formula>
    </cfRule>
  </conditionalFormatting>
  <conditionalFormatting sqref="R167:R168">
    <cfRule type="cellIs" dxfId="16367" priority="67" operator="lessThan">
      <formula>0.8</formula>
    </cfRule>
    <cfRule type="cellIs" dxfId="16366" priority="68" operator="greaterThan">
      <formula>1</formula>
    </cfRule>
  </conditionalFormatting>
  <conditionalFormatting sqref="R167:R168">
    <cfRule type="cellIs" dxfId="16365" priority="65" operator="greaterThan">
      <formula>1</formula>
    </cfRule>
    <cfRule type="cellIs" dxfId="16364" priority="66" operator="lessThan">
      <formula>0.8</formula>
    </cfRule>
  </conditionalFormatting>
  <conditionalFormatting sqref="Q167:Q168">
    <cfRule type="cellIs" dxfId="16363" priority="69" operator="lessThan">
      <formula>0</formula>
    </cfRule>
  </conditionalFormatting>
  <conditionalFormatting sqref="Q161">
    <cfRule type="cellIs" dxfId="16362" priority="63" operator="lessThan">
      <formula>0</formula>
    </cfRule>
  </conditionalFormatting>
  <conditionalFormatting sqref="R161">
    <cfRule type="cellIs" dxfId="16361" priority="61" operator="lessThan">
      <formula>0.8</formula>
    </cfRule>
    <cfRule type="cellIs" dxfId="16360" priority="62" operator="greaterThan">
      <formula>1</formula>
    </cfRule>
  </conditionalFormatting>
  <conditionalFormatting sqref="R161">
    <cfRule type="cellIs" dxfId="16359" priority="59" operator="greaterThan">
      <formula>1</formula>
    </cfRule>
    <cfRule type="cellIs" dxfId="16358" priority="60" operator="lessThan">
      <formula>0.8</formula>
    </cfRule>
  </conditionalFormatting>
  <conditionalFormatting sqref="P161">
    <cfRule type="cellIs" dxfId="16357" priority="58" operator="greaterThan">
      <formula>0</formula>
    </cfRule>
  </conditionalFormatting>
  <conditionalFormatting sqref="Q162:Q166">
    <cfRule type="cellIs" dxfId="16356" priority="57" operator="lessThan">
      <formula>0</formula>
    </cfRule>
  </conditionalFormatting>
  <conditionalFormatting sqref="R162:R166">
    <cfRule type="cellIs" dxfId="16355" priority="55" operator="lessThan">
      <formula>0.8</formula>
    </cfRule>
    <cfRule type="cellIs" dxfId="16354" priority="56" operator="greaterThan">
      <formula>1</formula>
    </cfRule>
  </conditionalFormatting>
  <conditionalFormatting sqref="R162:R166">
    <cfRule type="cellIs" dxfId="16353" priority="53" operator="greaterThan">
      <formula>1</formula>
    </cfRule>
    <cfRule type="cellIs" dxfId="16352" priority="54" operator="lessThan">
      <formula>0.8</formula>
    </cfRule>
  </conditionalFormatting>
  <conditionalFormatting sqref="P162:P166">
    <cfRule type="cellIs" dxfId="16351" priority="52" operator="greaterThan">
      <formula>0</formula>
    </cfRule>
  </conditionalFormatting>
  <conditionalFormatting sqref="Q162:Q166">
    <cfRule type="cellIs" dxfId="16350" priority="51" operator="lessThan">
      <formula>0</formula>
    </cfRule>
  </conditionalFormatting>
  <conditionalFormatting sqref="R162:R166">
    <cfRule type="cellIs" dxfId="16349" priority="49" operator="lessThan">
      <formula>0.8</formula>
    </cfRule>
    <cfRule type="cellIs" dxfId="16348" priority="50" operator="greaterThan">
      <formula>1</formula>
    </cfRule>
  </conditionalFormatting>
  <conditionalFormatting sqref="R162:R166">
    <cfRule type="cellIs" dxfId="16347" priority="47" operator="greaterThan">
      <formula>1</formula>
    </cfRule>
    <cfRule type="cellIs" dxfId="16346" priority="48" operator="lessThan">
      <formula>0.8</formula>
    </cfRule>
  </conditionalFormatting>
  <conditionalFormatting sqref="P162:P166">
    <cfRule type="cellIs" dxfId="16345" priority="46" operator="greaterThan">
      <formula>0</formula>
    </cfRule>
  </conditionalFormatting>
  <conditionalFormatting sqref="Q167:Q168">
    <cfRule type="cellIs" dxfId="16344" priority="45" operator="lessThan">
      <formula>0</formula>
    </cfRule>
  </conditionalFormatting>
  <conditionalFormatting sqref="R167:R168">
    <cfRule type="cellIs" dxfId="16343" priority="43" operator="lessThan">
      <formula>0.8</formula>
    </cfRule>
    <cfRule type="cellIs" dxfId="16342" priority="44" operator="greaterThan">
      <formula>1</formula>
    </cfRule>
  </conditionalFormatting>
  <conditionalFormatting sqref="R167:R168">
    <cfRule type="cellIs" dxfId="16341" priority="41" operator="greaterThan">
      <formula>1</formula>
    </cfRule>
    <cfRule type="cellIs" dxfId="16340" priority="42" operator="lessThan">
      <formula>0.8</formula>
    </cfRule>
  </conditionalFormatting>
  <conditionalFormatting sqref="P167:P168">
    <cfRule type="cellIs" dxfId="16339" priority="40" operator="greaterThan">
      <formula>0</formula>
    </cfRule>
  </conditionalFormatting>
  <conditionalFormatting sqref="Q161">
    <cfRule type="cellIs" dxfId="16338" priority="39" operator="lessThan">
      <formula>0</formula>
    </cfRule>
  </conditionalFormatting>
  <conditionalFormatting sqref="R161">
    <cfRule type="cellIs" dxfId="16337" priority="37" operator="lessThan">
      <formula>0.8</formula>
    </cfRule>
    <cfRule type="cellIs" dxfId="16336" priority="38" operator="greaterThan">
      <formula>1</formula>
    </cfRule>
  </conditionalFormatting>
  <conditionalFormatting sqref="R161">
    <cfRule type="cellIs" dxfId="16335" priority="35" operator="greaterThan">
      <formula>1</formula>
    </cfRule>
    <cfRule type="cellIs" dxfId="16334" priority="36" operator="lessThan">
      <formula>0.8</formula>
    </cfRule>
  </conditionalFormatting>
  <conditionalFormatting sqref="P161">
    <cfRule type="cellIs" dxfId="16333" priority="34" operator="greaterThan">
      <formula>0</formula>
    </cfRule>
  </conditionalFormatting>
  <conditionalFormatting sqref="Q162:Q166">
    <cfRule type="cellIs" dxfId="16332" priority="33" operator="lessThan">
      <formula>0</formula>
    </cfRule>
  </conditionalFormatting>
  <conditionalFormatting sqref="R162:R166">
    <cfRule type="cellIs" dxfId="16331" priority="31" operator="lessThan">
      <formula>0.8</formula>
    </cfRule>
    <cfRule type="cellIs" dxfId="16330" priority="32" operator="greaterThan">
      <formula>1</formula>
    </cfRule>
  </conditionalFormatting>
  <conditionalFormatting sqref="R162:R166">
    <cfRule type="cellIs" dxfId="16329" priority="29" operator="greaterThan">
      <formula>1</formula>
    </cfRule>
    <cfRule type="cellIs" dxfId="16328" priority="30" operator="lessThan">
      <formula>0.8</formula>
    </cfRule>
  </conditionalFormatting>
  <conditionalFormatting sqref="P162:P166">
    <cfRule type="cellIs" dxfId="16327" priority="28" operator="greaterThan">
      <formula>0</formula>
    </cfRule>
  </conditionalFormatting>
  <conditionalFormatting sqref="Q161">
    <cfRule type="cellIs" dxfId="16326" priority="27" operator="lessThan">
      <formula>0</formula>
    </cfRule>
  </conditionalFormatting>
  <conditionalFormatting sqref="R161">
    <cfRule type="cellIs" dxfId="16325" priority="25" operator="lessThan">
      <formula>0.8</formula>
    </cfRule>
    <cfRule type="cellIs" dxfId="16324" priority="26" operator="greaterThan">
      <formula>1</formula>
    </cfRule>
  </conditionalFormatting>
  <conditionalFormatting sqref="R161">
    <cfRule type="cellIs" dxfId="16323" priority="23" operator="greaterThan">
      <formula>1</formula>
    </cfRule>
    <cfRule type="cellIs" dxfId="16322" priority="24" operator="lessThan">
      <formula>0.8</formula>
    </cfRule>
  </conditionalFormatting>
  <conditionalFormatting sqref="P161">
    <cfRule type="cellIs" dxfId="16321" priority="22" operator="greaterThan">
      <formula>0</formula>
    </cfRule>
  </conditionalFormatting>
  <conditionalFormatting sqref="Q162:Q166">
    <cfRule type="cellIs" dxfId="16320" priority="21" operator="lessThan">
      <formula>0</formula>
    </cfRule>
  </conditionalFormatting>
  <conditionalFormatting sqref="R162:R166">
    <cfRule type="cellIs" dxfId="16319" priority="19" operator="lessThan">
      <formula>0.8</formula>
    </cfRule>
    <cfRule type="cellIs" dxfId="16318" priority="20" operator="greaterThan">
      <formula>1</formula>
    </cfRule>
  </conditionalFormatting>
  <conditionalFormatting sqref="R162:R166">
    <cfRule type="cellIs" dxfId="16317" priority="17" operator="greaterThan">
      <formula>1</formula>
    </cfRule>
    <cfRule type="cellIs" dxfId="16316" priority="18" operator="lessThan">
      <formula>0.8</formula>
    </cfRule>
  </conditionalFormatting>
  <conditionalFormatting sqref="P162:P166">
    <cfRule type="cellIs" dxfId="16315" priority="16" operator="greaterThan">
      <formula>0</formula>
    </cfRule>
  </conditionalFormatting>
  <conditionalFormatting sqref="Q161">
    <cfRule type="cellIs" dxfId="16314" priority="15" operator="lessThan">
      <formula>0</formula>
    </cfRule>
  </conditionalFormatting>
  <conditionalFormatting sqref="R161">
    <cfRule type="cellIs" dxfId="16313" priority="13" operator="lessThan">
      <formula>0.8</formula>
    </cfRule>
    <cfRule type="cellIs" dxfId="16312" priority="14" operator="greaterThan">
      <formula>1</formula>
    </cfRule>
  </conditionalFormatting>
  <conditionalFormatting sqref="R161">
    <cfRule type="cellIs" dxfId="16311" priority="11" operator="greaterThan">
      <formula>1</formula>
    </cfRule>
    <cfRule type="cellIs" dxfId="16310" priority="12" operator="lessThan">
      <formula>0.8</formula>
    </cfRule>
  </conditionalFormatting>
  <conditionalFormatting sqref="P161">
    <cfRule type="cellIs" dxfId="16309" priority="10" operator="greaterThan">
      <formula>0</formula>
    </cfRule>
  </conditionalFormatting>
  <conditionalFormatting sqref="P167:P168">
    <cfRule type="cellIs" dxfId="16308" priority="4" operator="greaterThan">
      <formula>0</formula>
    </cfRule>
  </conditionalFormatting>
  <conditionalFormatting sqref="R167:R168">
    <cfRule type="cellIs" dxfId="16307" priority="7" operator="lessThan">
      <formula>0.8</formula>
    </cfRule>
    <cfRule type="cellIs" dxfId="16306" priority="8" operator="greaterThan">
      <formula>1</formula>
    </cfRule>
  </conditionalFormatting>
  <conditionalFormatting sqref="R167:R168">
    <cfRule type="cellIs" dxfId="16305" priority="5" operator="greaterThan">
      <formula>1</formula>
    </cfRule>
    <cfRule type="cellIs" dxfId="16304" priority="6" operator="lessThan">
      <formula>0.8</formula>
    </cfRule>
  </conditionalFormatting>
  <conditionalFormatting sqref="Q167:Q168">
    <cfRule type="cellIs" dxfId="16303" priority="9" operator="lessThan">
      <formula>0</formula>
    </cfRule>
  </conditionalFormatting>
  <conditionalFormatting sqref="AF30">
    <cfRule type="cellIs" dxfId="16302" priority="3" operator="lessThan">
      <formula>0</formula>
    </cfRule>
  </conditionalFormatting>
  <conditionalFormatting sqref="AG30">
    <cfRule type="cellIs" dxfId="16301" priority="1" operator="greaterThan">
      <formula>1</formula>
    </cfRule>
    <cfRule type="cellIs" dxfId="1630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7" zoomScale="40" zoomScaleNormal="40" workbookViewId="0">
      <selection activeCell="Q40" sqref="Q4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511</v>
      </c>
      <c r="E3" s="581"/>
      <c r="F3" s="570" t="s">
        <v>2</v>
      </c>
      <c r="G3" s="531"/>
      <c r="H3" s="582">
        <v>217741.00000000003</v>
      </c>
      <c r="I3" s="583"/>
      <c r="J3" s="570" t="s">
        <v>3</v>
      </c>
      <c r="K3" s="531"/>
      <c r="L3" s="575">
        <v>6900619.1589562185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383.46189651873715</v>
      </c>
      <c r="G6" s="572"/>
      <c r="H6" s="550">
        <f>AVERAGE(D13:P13,Q13)</f>
        <v>140.44012310087257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v>0</v>
      </c>
      <c r="O6" s="539">
        <v>0</v>
      </c>
      <c r="P6" s="555">
        <v>2</v>
      </c>
      <c r="Q6" s="539">
        <v>3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356.08261363571057</v>
      </c>
      <c r="G7" s="543"/>
      <c r="H7" s="544">
        <f>AVERAGE(D14:P14,Q14)</f>
        <v>126.70885374669602</v>
      </c>
      <c r="I7" s="545"/>
      <c r="J7" s="544">
        <f>AVERAGE(D31:E31,G31:H31)</f>
        <v>711.76998618746188</v>
      </c>
      <c r="K7" s="545"/>
      <c r="L7" s="546">
        <f>AVERAGE(J31:M31)</f>
        <v>803.20340069551025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0.90541333697828175</v>
      </c>
      <c r="G8" s="549"/>
      <c r="H8" s="548">
        <f>AVERAGE(D15:O15,P15:Q15)</f>
        <v>0.89834598045680369</v>
      </c>
      <c r="I8" s="549"/>
      <c r="J8" s="548">
        <f>AVERAGE(D32:E32,G32:H32)</f>
        <v>0.94736298695830712</v>
      </c>
      <c r="K8" s="549"/>
      <c r="L8" s="548">
        <f>AVERAGE(J32:M32)</f>
        <v>0.91228723814652679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133.76218323586747</v>
      </c>
      <c r="E13" s="19">
        <v>119.15429505135388</v>
      </c>
      <c r="F13" s="19">
        <v>159.31333333333333</v>
      </c>
      <c r="G13" s="19">
        <v>369.04761904761904</v>
      </c>
      <c r="H13" s="19">
        <v>228.57142857142858</v>
      </c>
      <c r="I13" s="19">
        <v>89.34516028633675</v>
      </c>
      <c r="J13" s="19">
        <v>75.981968810916172</v>
      </c>
      <c r="K13" s="19">
        <v>117.86339869281046</v>
      </c>
      <c r="L13" s="19">
        <v>96.077380952380949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123.77064008339751</v>
      </c>
      <c r="E14" s="19">
        <v>103.75107196458772</v>
      </c>
      <c r="F14" s="19">
        <v>133.84792128230833</v>
      </c>
      <c r="G14" s="19">
        <v>325.06132977834767</v>
      </c>
      <c r="H14" s="19">
        <v>224.10437735646761</v>
      </c>
      <c r="I14" s="19">
        <v>78.614648126302541</v>
      </c>
      <c r="J14" s="19">
        <v>69.921341833543678</v>
      </c>
      <c r="K14" s="19">
        <v>108.23373201649306</v>
      </c>
      <c r="L14" s="19">
        <v>81.7873565374327</v>
      </c>
      <c r="M14" s="19">
        <v>75.50194711403455</v>
      </c>
      <c r="N14" s="19">
        <v>77.465813060295488</v>
      </c>
      <c r="O14" s="19">
        <v>67.380947236419928</v>
      </c>
      <c r="P14" s="19">
        <v>168.62232684111441</v>
      </c>
      <c r="Q14" s="9">
        <v>135.86049922299901</v>
      </c>
    </row>
    <row r="15" spans="2:17" ht="39.9" customHeight="1">
      <c r="B15" s="524"/>
      <c r="C15" s="379" t="s">
        <v>295</v>
      </c>
      <c r="D15" s="10">
        <f t="shared" ref="D15:Q15" si="0">D14/D13</f>
        <v>0.92530367768555688</v>
      </c>
      <c r="E15" s="10">
        <f t="shared" si="0"/>
        <v>0.87072876323822335</v>
      </c>
      <c r="F15" s="10">
        <f t="shared" si="0"/>
        <v>0.840155173969379</v>
      </c>
      <c r="G15" s="10">
        <f t="shared" si="0"/>
        <v>0.88081134520584536</v>
      </c>
      <c r="H15" s="10">
        <f t="shared" si="0"/>
        <v>0.9804566509345457</v>
      </c>
      <c r="I15" s="10">
        <f t="shared" si="0"/>
        <v>0.87989822699243414</v>
      </c>
      <c r="J15" s="10">
        <f t="shared" si="0"/>
        <v>0.9202359839812182</v>
      </c>
      <c r="K15" s="10">
        <f t="shared" si="0"/>
        <v>0.91829807401519636</v>
      </c>
      <c r="L15" s="10">
        <f t="shared" si="0"/>
        <v>0.85126546671759462</v>
      </c>
      <c r="M15" s="10">
        <f t="shared" si="0"/>
        <v>0.8986590774690898</v>
      </c>
      <c r="N15" s="10">
        <f t="shared" si="0"/>
        <v>0.91869333910350748</v>
      </c>
      <c r="O15" s="10">
        <f t="shared" si="0"/>
        <v>0.84380387970910331</v>
      </c>
      <c r="P15" s="381">
        <f t="shared" si="0"/>
        <v>0.94279740588689875</v>
      </c>
      <c r="Q15" s="11">
        <f t="shared" si="0"/>
        <v>0.9057366614866601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0.67847222222222225</v>
      </c>
      <c r="E17" s="12">
        <v>0.5625</v>
      </c>
      <c r="F17" s="12">
        <v>0.50694444444444431</v>
      </c>
      <c r="G17" s="12">
        <v>0.72777777777777763</v>
      </c>
      <c r="H17" s="12">
        <v>0.73472222222222217</v>
      </c>
      <c r="I17" s="12">
        <v>0.65763888888888888</v>
      </c>
      <c r="J17" s="12">
        <v>0.68680555555555534</v>
      </c>
      <c r="K17" s="12">
        <v>0.6284722222222221</v>
      </c>
      <c r="L17" s="12">
        <v>0.90833333333333344</v>
      </c>
      <c r="M17" s="12">
        <v>0.89791666666666659</v>
      </c>
      <c r="N17" s="12">
        <v>0.94166666666666665</v>
      </c>
      <c r="O17" s="22">
        <v>0.90069444444444435</v>
      </c>
      <c r="P17" s="12">
        <v>0.57847222222222217</v>
      </c>
      <c r="Q17" s="382">
        <v>0.51388888888888895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>
        <v>1</v>
      </c>
      <c r="E20" s="384" t="s">
        <v>30</v>
      </c>
      <c r="F20" s="384">
        <v>1</v>
      </c>
      <c r="G20" s="384" t="s">
        <v>30</v>
      </c>
      <c r="H20" s="384" t="s">
        <v>30</v>
      </c>
      <c r="I20" s="384" t="s">
        <v>30</v>
      </c>
      <c r="J20" s="384" t="s">
        <v>30</v>
      </c>
      <c r="K20" s="384" t="s">
        <v>30</v>
      </c>
      <c r="L20" s="384" t="s">
        <v>30</v>
      </c>
      <c r="M20" s="384" t="s">
        <v>30</v>
      </c>
      <c r="N20" s="384" t="s">
        <v>30</v>
      </c>
      <c r="O20" s="384" t="s">
        <v>30</v>
      </c>
      <c r="P20" s="384" t="s">
        <v>30</v>
      </c>
      <c r="Q20" s="385"/>
    </row>
    <row r="21" spans="2:17" ht="22.8" customHeight="1">
      <c r="B21" s="530"/>
      <c r="C21" s="383" t="s">
        <v>300</v>
      </c>
      <c r="D21" s="384" t="s">
        <v>30</v>
      </c>
      <c r="E21" s="384">
        <v>1</v>
      </c>
      <c r="F21" s="384" t="s">
        <v>30</v>
      </c>
      <c r="G21" s="384" t="s">
        <v>30</v>
      </c>
      <c r="H21" s="384">
        <v>1</v>
      </c>
      <c r="I21" s="384" t="s">
        <v>30</v>
      </c>
      <c r="J21" s="384">
        <v>1</v>
      </c>
      <c r="K21" s="384" t="s">
        <v>30</v>
      </c>
      <c r="L21" s="384" t="s">
        <v>30</v>
      </c>
      <c r="M21" s="384" t="s">
        <v>30</v>
      </c>
      <c r="N21" s="384" t="s">
        <v>30</v>
      </c>
      <c r="O21" s="384" t="s">
        <v>30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19.666666666666668</v>
      </c>
      <c r="E22" s="386">
        <v>17.571428571428573</v>
      </c>
      <c r="F22" s="386">
        <v>14</v>
      </c>
      <c r="G22" s="386">
        <v>5.666666666666667</v>
      </c>
      <c r="H22" s="386">
        <v>6.6</v>
      </c>
      <c r="I22" s="386">
        <v>16.666666666666668</v>
      </c>
      <c r="J22" s="386">
        <v>18.666666666666668</v>
      </c>
      <c r="K22" s="386">
        <v>15.8</v>
      </c>
      <c r="L22" s="386">
        <v>15.875</v>
      </c>
      <c r="M22" s="386">
        <v>18.625</v>
      </c>
      <c r="N22" s="386">
        <v>17.75</v>
      </c>
      <c r="O22" s="386">
        <v>18.833333333333332</v>
      </c>
      <c r="P22" s="386">
        <v>13</v>
      </c>
      <c r="Q22" s="387">
        <v>11.4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38</v>
      </c>
      <c r="H25" s="17" t="s">
        <v>38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473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474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272.31250000000045</v>
      </c>
      <c r="E31" s="8">
        <v>768.46442255062914</v>
      </c>
      <c r="F31" s="8">
        <v>0</v>
      </c>
      <c r="G31" s="8">
        <v>886.86135553255042</v>
      </c>
      <c r="H31" s="397">
        <v>919.44166666666729</v>
      </c>
      <c r="I31" s="396">
        <v>0</v>
      </c>
      <c r="J31" s="8">
        <v>785.62500000000273</v>
      </c>
      <c r="K31" s="8">
        <v>623.99999999999875</v>
      </c>
      <c r="L31" s="8">
        <v>901.60050753843791</v>
      </c>
      <c r="M31" s="397">
        <v>901.58809524360197</v>
      </c>
      <c r="N31" s="378"/>
      <c r="O31" s="378"/>
      <c r="P31" s="378"/>
      <c r="Q31" s="378"/>
    </row>
    <row r="32" spans="2:17" ht="39.9" customHeight="1">
      <c r="B32" s="524"/>
      <c r="C32" s="472" t="s">
        <v>295</v>
      </c>
      <c r="D32" s="399">
        <f t="shared" ref="D32:M32" si="1">D31/D30</f>
        <v>0.85097656250000142</v>
      </c>
      <c r="E32" s="10">
        <f t="shared" si="1"/>
        <v>0.93147202733409595</v>
      </c>
      <c r="F32" s="10">
        <f t="shared" si="1"/>
        <v>0</v>
      </c>
      <c r="G32" s="10">
        <f t="shared" si="1"/>
        <v>0.98540150614727828</v>
      </c>
      <c r="H32" s="10">
        <f t="shared" si="1"/>
        <v>1.0216018518518526</v>
      </c>
      <c r="I32" s="396">
        <f t="shared" si="1"/>
        <v>0</v>
      </c>
      <c r="J32" s="10">
        <f t="shared" si="1"/>
        <v>0.9522727272727306</v>
      </c>
      <c r="K32" s="10">
        <f t="shared" si="1"/>
        <v>0.69333333333333191</v>
      </c>
      <c r="L32" s="10">
        <f t="shared" si="1"/>
        <v>1.0017783417093755</v>
      </c>
      <c r="M32" s="11">
        <f t="shared" si="1"/>
        <v>1.0017645502706689</v>
      </c>
      <c r="N32" s="378"/>
      <c r="O32" s="378"/>
      <c r="P32" s="378"/>
      <c r="Q32" s="378"/>
    </row>
    <row r="33" spans="2:17" ht="25.8" customHeight="1">
      <c r="B33" s="525" t="s">
        <v>296</v>
      </c>
      <c r="C33" s="472" t="s">
        <v>297</v>
      </c>
      <c r="D33" s="400">
        <v>0.18055555555555555</v>
      </c>
      <c r="E33" s="12">
        <v>0.18055555555555555</v>
      </c>
      <c r="F33" s="12">
        <v>0</v>
      </c>
      <c r="G33" s="12">
        <v>3063.7500000000109</v>
      </c>
      <c r="H33" s="382">
        <v>0.18055555555555555</v>
      </c>
      <c r="I33" s="400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472" t="s">
        <v>51</v>
      </c>
      <c r="D34" s="400">
        <v>0.22222222222222221</v>
      </c>
      <c r="E34" s="12">
        <v>0.30555555555555552</v>
      </c>
      <c r="F34" s="12">
        <v>0</v>
      </c>
      <c r="G34" s="12">
        <v>1062.6086956521719</v>
      </c>
      <c r="H34" s="382">
        <v>0.40138888888888885</v>
      </c>
      <c r="I34" s="23">
        <v>0</v>
      </c>
      <c r="J34" s="12">
        <v>0.72777777777777775</v>
      </c>
      <c r="K34" s="12">
        <v>0.8125</v>
      </c>
      <c r="L34" s="12">
        <v>1.0659722222222221</v>
      </c>
      <c r="M34" s="13">
        <v>46115.013888888891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4</v>
      </c>
      <c r="K35" s="402">
        <v>3.6666666666666665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6299" priority="4" operator="lessThan">
      <formula>0.8</formula>
    </cfRule>
  </conditionalFormatting>
  <conditionalFormatting sqref="J32:L32">
    <cfRule type="cellIs" dxfId="16298" priority="3" operator="lessThan">
      <formula>0.8</formula>
    </cfRule>
  </conditionalFormatting>
  <conditionalFormatting sqref="M32">
    <cfRule type="cellIs" dxfId="16297" priority="2" operator="lessThan">
      <formula>0.8</formula>
    </cfRule>
  </conditionalFormatting>
  <conditionalFormatting sqref="H32">
    <cfRule type="cellIs" dxfId="1629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5" zoomScale="70" zoomScaleNormal="70" workbookViewId="0">
      <selection activeCell="M82" sqref="M82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383</v>
      </c>
      <c r="B1" s="281"/>
      <c r="C1" s="282"/>
      <c r="D1" s="283" t="s">
        <v>384</v>
      </c>
      <c r="E1" s="284">
        <f>SUM(G5:G124)</f>
        <v>67186</v>
      </c>
      <c r="F1" s="285" t="s">
        <v>3</v>
      </c>
      <c r="G1" s="286">
        <f>SUM(H5:H124)</f>
        <v>1250717.097961039</v>
      </c>
      <c r="H1" s="287" t="s">
        <v>385</v>
      </c>
      <c r="I1" s="288">
        <f>+J16+J64+J24+J38+J51+J81+J100+J91+J57+J124+J111</f>
        <v>38.733333333333334</v>
      </c>
      <c r="J1" s="584" t="s">
        <v>386</v>
      </c>
      <c r="K1" s="585"/>
      <c r="L1" s="586"/>
      <c r="M1" s="584" t="s">
        <v>387</v>
      </c>
      <c r="N1" s="585"/>
      <c r="O1" s="585"/>
      <c r="P1" s="585"/>
      <c r="Q1" s="585"/>
      <c r="R1" s="586"/>
    </row>
    <row r="2" spans="1:18" ht="26.25" customHeight="1" thickBot="1">
      <c r="A2" s="590" t="s">
        <v>438</v>
      </c>
      <c r="B2" s="591"/>
      <c r="C2" s="290"/>
      <c r="D2" s="446" t="s">
        <v>389</v>
      </c>
      <c r="E2" s="291">
        <f>AVERAGE(L16,L24,L38,L51,L100,L111,L91)</f>
        <v>581.31048821867796</v>
      </c>
      <c r="F2" s="292" t="s">
        <v>55</v>
      </c>
      <c r="G2" s="293">
        <f>G1/E1</f>
        <v>18.615739855937829</v>
      </c>
      <c r="H2" s="294" t="s">
        <v>390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391</v>
      </c>
      <c r="B3" s="594" t="s">
        <v>392</v>
      </c>
      <c r="C3" s="448"/>
      <c r="D3" s="595" t="s">
        <v>393</v>
      </c>
      <c r="E3" s="595"/>
      <c r="F3" s="596" t="s">
        <v>58</v>
      </c>
      <c r="G3" s="597" t="s">
        <v>394</v>
      </c>
      <c r="H3" s="598" t="s">
        <v>395</v>
      </c>
      <c r="I3" s="599" t="s">
        <v>396</v>
      </c>
      <c r="J3" s="601" t="s">
        <v>397</v>
      </c>
      <c r="K3" s="603" t="s">
        <v>398</v>
      </c>
      <c r="L3" s="605" t="s">
        <v>389</v>
      </c>
      <c r="M3" s="607" t="s">
        <v>63</v>
      </c>
      <c r="N3" s="607"/>
      <c r="O3" s="601" t="s">
        <v>150</v>
      </c>
      <c r="P3" s="608" t="s">
        <v>399</v>
      </c>
      <c r="Q3" s="601" t="s">
        <v>400</v>
      </c>
      <c r="R3" s="601"/>
    </row>
    <row r="4" spans="1:18" ht="15.75" customHeight="1">
      <c r="A4" s="593"/>
      <c r="B4" s="594"/>
      <c r="C4" s="448"/>
      <c r="D4" s="595"/>
      <c r="E4" s="595"/>
      <c r="F4" s="596"/>
      <c r="G4" s="597"/>
      <c r="H4" s="598"/>
      <c r="I4" s="600"/>
      <c r="J4" s="602"/>
      <c r="K4" s="604"/>
      <c r="L4" s="606"/>
      <c r="M4" s="452" t="s">
        <v>65</v>
      </c>
      <c r="N4" s="452" t="s">
        <v>66</v>
      </c>
      <c r="O4" s="602"/>
      <c r="P4" s="609"/>
      <c r="Q4" s="296" t="s">
        <v>401</v>
      </c>
      <c r="R4" s="296" t="s">
        <v>402</v>
      </c>
    </row>
    <row r="5" spans="1:18">
      <c r="A5" s="610" t="s">
        <v>403</v>
      </c>
      <c r="B5" s="297">
        <v>0</v>
      </c>
      <c r="C5" s="297"/>
      <c r="D5" s="298" t="s">
        <v>404</v>
      </c>
      <c r="E5" s="298"/>
      <c r="F5" s="299" t="s">
        <v>186</v>
      </c>
      <c r="G5" s="448">
        <v>1194</v>
      </c>
      <c r="H5" s="300">
        <f>F5*G5</f>
        <v>0</v>
      </c>
      <c r="I5" s="450"/>
      <c r="J5" s="301">
        <v>9</v>
      </c>
      <c r="K5" s="302">
        <f t="shared" ref="K5:K12" si="0">G5/P5*60</f>
        <v>1592</v>
      </c>
      <c r="L5" s="303">
        <f t="shared" ref="L5:L12" si="1">K5/J5</f>
        <v>176.88888888888889</v>
      </c>
      <c r="M5" s="304">
        <v>0.17361111111111113</v>
      </c>
      <c r="N5" s="304">
        <v>0.20486111111111113</v>
      </c>
      <c r="O5" s="296">
        <v>10</v>
      </c>
      <c r="P5" s="443">
        <f t="shared" ref="P5:P14" si="2">(N5-M5)*24*60</f>
        <v>45</v>
      </c>
      <c r="Q5" s="305"/>
      <c r="R5" s="305"/>
    </row>
    <row r="6" spans="1:18">
      <c r="A6" s="610"/>
      <c r="B6" s="297">
        <v>0</v>
      </c>
      <c r="C6" s="297"/>
      <c r="D6" s="298" t="s">
        <v>405</v>
      </c>
      <c r="E6" s="298"/>
      <c r="F6" s="299" t="s">
        <v>186</v>
      </c>
      <c r="G6" s="448">
        <v>1257</v>
      </c>
      <c r="H6" s="300">
        <f t="shared" ref="H6:H113" si="3">F6*G6</f>
        <v>0</v>
      </c>
      <c r="I6" s="450"/>
      <c r="J6" s="301">
        <v>9</v>
      </c>
      <c r="K6" s="302">
        <f t="shared" si="0"/>
        <v>1676</v>
      </c>
      <c r="L6" s="303">
        <f t="shared" si="1"/>
        <v>186.22222222222223</v>
      </c>
      <c r="M6" s="304">
        <v>0.20833333333333334</v>
      </c>
      <c r="N6" s="304">
        <v>0.23958333333333334</v>
      </c>
      <c r="O6" s="296">
        <v>5</v>
      </c>
      <c r="P6" s="443">
        <f t="shared" si="2"/>
        <v>45</v>
      </c>
      <c r="Q6" s="296"/>
      <c r="R6" s="296"/>
    </row>
    <row r="7" spans="1:18">
      <c r="A7" s="610"/>
      <c r="B7" s="297" t="s">
        <v>187</v>
      </c>
      <c r="C7" s="297"/>
      <c r="D7" s="298" t="s">
        <v>406</v>
      </c>
      <c r="E7" s="298"/>
      <c r="F7" s="299">
        <v>36.450000000000003</v>
      </c>
      <c r="G7" s="448">
        <v>1378</v>
      </c>
      <c r="H7" s="300">
        <f t="shared" si="3"/>
        <v>50228.100000000006</v>
      </c>
      <c r="I7" s="450"/>
      <c r="J7" s="301">
        <v>13</v>
      </c>
      <c r="K7" s="302">
        <f t="shared" si="0"/>
        <v>1503.272727272727</v>
      </c>
      <c r="L7" s="303">
        <f t="shared" si="1"/>
        <v>115.63636363636361</v>
      </c>
      <c r="M7" s="304">
        <v>0.24305555555555555</v>
      </c>
      <c r="N7" s="304">
        <v>0.28125</v>
      </c>
      <c r="O7" s="296">
        <v>5</v>
      </c>
      <c r="P7" s="443">
        <f t="shared" si="2"/>
        <v>55.000000000000007</v>
      </c>
      <c r="Q7" s="305"/>
      <c r="R7" s="305"/>
    </row>
    <row r="8" spans="1:18">
      <c r="A8" s="610"/>
      <c r="B8" s="297" t="s">
        <v>187</v>
      </c>
      <c r="C8" s="297"/>
      <c r="D8" s="298" t="s">
        <v>407</v>
      </c>
      <c r="E8" s="298"/>
      <c r="F8" s="299">
        <v>27.05</v>
      </c>
      <c r="G8" s="448">
        <v>411</v>
      </c>
      <c r="H8" s="300">
        <f t="shared" si="3"/>
        <v>11117.550000000001</v>
      </c>
      <c r="I8" s="450"/>
      <c r="J8" s="301">
        <v>13</v>
      </c>
      <c r="K8" s="302">
        <f t="shared" si="0"/>
        <v>1232.9999999999995</v>
      </c>
      <c r="L8" s="303">
        <f t="shared" si="1"/>
        <v>94.846153846153811</v>
      </c>
      <c r="M8" s="304">
        <v>0.28472222222222221</v>
      </c>
      <c r="N8" s="304">
        <v>0.2986111111111111</v>
      </c>
      <c r="O8" s="296">
        <v>5</v>
      </c>
      <c r="P8" s="443">
        <f t="shared" si="2"/>
        <v>20.000000000000007</v>
      </c>
      <c r="Q8" s="305">
        <v>0.30555555555555552</v>
      </c>
      <c r="R8" s="305">
        <v>0.33680555555555558</v>
      </c>
    </row>
    <row r="9" spans="1:18">
      <c r="A9" s="610"/>
      <c r="B9" s="297" t="s">
        <v>187</v>
      </c>
      <c r="C9" s="297"/>
      <c r="D9" s="298" t="s">
        <v>408</v>
      </c>
      <c r="E9" s="298"/>
      <c r="F9" s="299">
        <v>19.7</v>
      </c>
      <c r="G9" s="306">
        <v>891</v>
      </c>
      <c r="H9" s="300">
        <f t="shared" si="3"/>
        <v>17552.7</v>
      </c>
      <c r="I9" s="450"/>
      <c r="J9" s="301">
        <v>13</v>
      </c>
      <c r="K9" s="302">
        <f t="shared" si="0"/>
        <v>1188</v>
      </c>
      <c r="L9" s="303">
        <f t="shared" si="1"/>
        <v>91.384615384615387</v>
      </c>
      <c r="M9" s="304">
        <v>0.34027777777777773</v>
      </c>
      <c r="N9" s="304">
        <v>0.37152777777777773</v>
      </c>
      <c r="O9" s="296">
        <v>5</v>
      </c>
      <c r="P9" s="443">
        <f t="shared" si="2"/>
        <v>45</v>
      </c>
      <c r="Q9" s="305"/>
      <c r="R9" s="305"/>
    </row>
    <row r="10" spans="1:18">
      <c r="A10" s="610"/>
      <c r="B10" s="297" t="s">
        <v>187</v>
      </c>
      <c r="C10" s="297"/>
      <c r="D10" s="298" t="s">
        <v>409</v>
      </c>
      <c r="E10" s="298"/>
      <c r="F10" s="299">
        <v>17.87</v>
      </c>
      <c r="G10" s="306">
        <v>441</v>
      </c>
      <c r="H10" s="300">
        <f t="shared" si="3"/>
        <v>7880.67</v>
      </c>
      <c r="I10" s="450"/>
      <c r="J10" s="301">
        <v>13</v>
      </c>
      <c r="K10" s="302">
        <f t="shared" si="0"/>
        <v>1058.4000000000003</v>
      </c>
      <c r="L10" s="303">
        <f t="shared" si="1"/>
        <v>81.415384615384639</v>
      </c>
      <c r="M10" s="304">
        <v>0.375</v>
      </c>
      <c r="N10" s="304">
        <v>0.3923611111111111</v>
      </c>
      <c r="O10" s="296">
        <v>5</v>
      </c>
      <c r="P10" s="443">
        <f t="shared" si="2"/>
        <v>24.999999999999993</v>
      </c>
      <c r="Q10" s="305"/>
      <c r="R10" s="305"/>
    </row>
    <row r="11" spans="1:18">
      <c r="A11" s="610"/>
      <c r="B11" s="297" t="s">
        <v>187</v>
      </c>
      <c r="C11" s="297"/>
      <c r="D11" s="298" t="s">
        <v>410</v>
      </c>
      <c r="E11" s="298"/>
      <c r="F11" s="299">
        <v>25.64</v>
      </c>
      <c r="G11" s="306">
        <v>534</v>
      </c>
      <c r="H11" s="300">
        <f t="shared" si="3"/>
        <v>13691.76</v>
      </c>
      <c r="I11" s="450"/>
      <c r="J11" s="301">
        <v>10</v>
      </c>
      <c r="K11" s="302">
        <f t="shared" si="0"/>
        <v>1601.999999999993</v>
      </c>
      <c r="L11" s="303">
        <f t="shared" si="1"/>
        <v>160.19999999999931</v>
      </c>
      <c r="M11" s="304">
        <v>0.39583333333333331</v>
      </c>
      <c r="N11" s="304">
        <v>0.40972222222222227</v>
      </c>
      <c r="O11" s="296">
        <v>5</v>
      </c>
      <c r="P11" s="443">
        <f t="shared" si="2"/>
        <v>20.000000000000089</v>
      </c>
      <c r="Q11" s="305"/>
      <c r="R11" s="305"/>
    </row>
    <row r="12" spans="1:18">
      <c r="A12" s="611"/>
      <c r="B12" s="297" t="s">
        <v>187</v>
      </c>
      <c r="C12" s="297"/>
      <c r="D12" s="298" t="s">
        <v>411</v>
      </c>
      <c r="E12" s="298"/>
      <c r="F12" s="299">
        <v>29.52</v>
      </c>
      <c r="G12" s="306">
        <v>1194</v>
      </c>
      <c r="H12" s="300">
        <f t="shared" si="3"/>
        <v>35246.879999999997</v>
      </c>
      <c r="I12" s="450"/>
      <c r="J12" s="301">
        <v>12</v>
      </c>
      <c r="K12" s="302">
        <f t="shared" si="0"/>
        <v>1790.9999999999957</v>
      </c>
      <c r="L12" s="303">
        <f t="shared" si="1"/>
        <v>149.24999999999963</v>
      </c>
      <c r="M12" s="304">
        <v>0.41319444444444442</v>
      </c>
      <c r="N12" s="304">
        <v>0.44097222222222227</v>
      </c>
      <c r="O12" s="296">
        <v>5</v>
      </c>
      <c r="P12" s="443">
        <f t="shared" si="2"/>
        <v>40.000000000000099</v>
      </c>
      <c r="Q12" s="305"/>
      <c r="R12" s="305"/>
    </row>
    <row r="13" spans="1:18">
      <c r="A13" s="611"/>
      <c r="B13" s="297" t="s">
        <v>187</v>
      </c>
      <c r="C13" s="449"/>
      <c r="D13" s="298" t="s">
        <v>412</v>
      </c>
      <c r="E13" s="298"/>
      <c r="F13" s="299">
        <v>29.856999999999999</v>
      </c>
      <c r="G13" s="447">
        <v>1257</v>
      </c>
      <c r="H13" s="300">
        <f t="shared" si="3"/>
        <v>37530.248999999996</v>
      </c>
      <c r="I13" s="450"/>
      <c r="J13" s="301">
        <v>12</v>
      </c>
      <c r="K13" s="302">
        <f>G13/P13*60</f>
        <v>1885.4999999999955</v>
      </c>
      <c r="L13" s="303">
        <f>K13/J13</f>
        <v>157.12499999999963</v>
      </c>
      <c r="M13" s="304">
        <v>0.44444444444444442</v>
      </c>
      <c r="N13" s="304">
        <v>0.47222222222222227</v>
      </c>
      <c r="O13" s="296">
        <v>5</v>
      </c>
      <c r="P13" s="443">
        <f t="shared" si="2"/>
        <v>40.000000000000099</v>
      </c>
      <c r="Q13" s="305"/>
      <c r="R13" s="296"/>
    </row>
    <row r="14" spans="1:18">
      <c r="A14" s="611"/>
      <c r="B14" s="297" t="s">
        <v>184</v>
      </c>
      <c r="C14" s="297"/>
      <c r="D14" s="444" t="s">
        <v>155</v>
      </c>
      <c r="E14" s="445"/>
      <c r="F14" s="299">
        <v>28.57</v>
      </c>
      <c r="G14" s="306">
        <v>1335</v>
      </c>
      <c r="H14" s="300">
        <f t="shared" si="3"/>
        <v>38140.949999999997</v>
      </c>
      <c r="I14" s="450"/>
      <c r="J14" s="301">
        <v>10</v>
      </c>
      <c r="K14" s="302">
        <f>G14/P14*60</f>
        <v>1456.3636363636331</v>
      </c>
      <c r="L14" s="303">
        <f>K14/J14</f>
        <v>145.63636363636331</v>
      </c>
      <c r="M14" s="304">
        <v>0.47569444444444442</v>
      </c>
      <c r="N14" s="304">
        <v>0.51388888888888895</v>
      </c>
      <c r="O14" s="296">
        <v>5</v>
      </c>
      <c r="P14" s="443">
        <f t="shared" si="2"/>
        <v>55.000000000000128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3"/>
        <v>0</v>
      </c>
      <c r="I15" s="450"/>
      <c r="J15" s="301"/>
      <c r="K15" s="302"/>
      <c r="L15" s="303"/>
      <c r="M15" s="304"/>
      <c r="N15" s="304"/>
      <c r="O15" s="296"/>
      <c r="P15" s="443"/>
      <c r="Q15" s="296"/>
      <c r="R15" s="296"/>
    </row>
    <row r="16" spans="1:18" ht="15.75" customHeight="1">
      <c r="A16" s="612"/>
      <c r="B16" s="297">
        <v>0</v>
      </c>
      <c r="C16" s="308" t="s">
        <v>413</v>
      </c>
      <c r="D16" s="613" t="s">
        <v>414</v>
      </c>
      <c r="E16" s="613"/>
      <c r="F16" s="309"/>
      <c r="G16" s="310"/>
      <c r="H16" s="311"/>
      <c r="I16" s="312"/>
      <c r="J16" s="313">
        <f>AVERAGE(J5:J15)</f>
        <v>11.4</v>
      </c>
      <c r="K16" s="313">
        <f>AVERAGE(K5:K15)</f>
        <v>1498.5536363636343</v>
      </c>
      <c r="L16" s="314">
        <f>AVERAGE(L5:L15)</f>
        <v>135.86049922299901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415</v>
      </c>
      <c r="B17" s="297" t="s">
        <v>187</v>
      </c>
      <c r="C17" s="449"/>
      <c r="D17" s="617" t="s">
        <v>416</v>
      </c>
      <c r="E17" s="618"/>
      <c r="F17" s="299">
        <v>14.03</v>
      </c>
      <c r="G17" s="448">
        <v>393</v>
      </c>
      <c r="H17" s="315">
        <f t="shared" ref="H17:H23" si="4">F17*G17</f>
        <v>5513.79</v>
      </c>
      <c r="I17" s="316"/>
      <c r="J17" s="301">
        <v>6</v>
      </c>
      <c r="K17" s="302">
        <f>G17/P17*60</f>
        <v>1473.7500000000018</v>
      </c>
      <c r="L17" s="303">
        <f>K17/J17</f>
        <v>245.62500000000031</v>
      </c>
      <c r="M17" s="304">
        <v>0.18055555555555555</v>
      </c>
      <c r="N17" s="304">
        <v>0.19166666666666665</v>
      </c>
      <c r="O17" s="296">
        <v>20</v>
      </c>
      <c r="P17" s="443">
        <f>(N17-M17)*24*60</f>
        <v>15.999999999999982</v>
      </c>
      <c r="Q17" s="296"/>
      <c r="R17" s="296"/>
    </row>
    <row r="18" spans="1:18" ht="15.75" customHeight="1">
      <c r="A18" s="614"/>
      <c r="B18" s="297" t="s">
        <v>184</v>
      </c>
      <c r="C18" s="449"/>
      <c r="D18" s="619" t="s">
        <v>417</v>
      </c>
      <c r="E18" s="620"/>
      <c r="F18" s="299">
        <v>14.49</v>
      </c>
      <c r="G18" s="447">
        <v>598</v>
      </c>
      <c r="H18" s="300">
        <f t="shared" si="4"/>
        <v>8665.02</v>
      </c>
      <c r="I18" s="450"/>
      <c r="J18" s="301">
        <v>5</v>
      </c>
      <c r="K18" s="302">
        <f>G18/P18*60</f>
        <v>1495.0000000000027</v>
      </c>
      <c r="L18" s="303">
        <f>K18/J18</f>
        <v>299.00000000000057</v>
      </c>
      <c r="M18" s="304">
        <v>0.20555555555555557</v>
      </c>
      <c r="N18" s="304">
        <v>0.22222222222222221</v>
      </c>
      <c r="O18" s="296">
        <v>20</v>
      </c>
      <c r="P18" s="443">
        <f t="shared" ref="P18" si="5">(N18-M18)*24*60</f>
        <v>23.999999999999954</v>
      </c>
      <c r="Q18" s="305"/>
      <c r="R18" s="305"/>
    </row>
    <row r="19" spans="1:18" ht="15.75" customHeight="1">
      <c r="A19" s="614"/>
      <c r="B19" s="297">
        <v>0</v>
      </c>
      <c r="C19" s="449"/>
      <c r="D19" s="619"/>
      <c r="E19" s="620"/>
      <c r="F19" s="299" t="s">
        <v>186</v>
      </c>
      <c r="G19" s="447"/>
      <c r="H19" s="300">
        <f t="shared" si="4"/>
        <v>0</v>
      </c>
      <c r="I19" s="450"/>
      <c r="J19" s="301"/>
      <c r="K19" s="302"/>
      <c r="L19" s="303"/>
      <c r="M19" s="304"/>
      <c r="N19" s="304"/>
      <c r="O19" s="296"/>
      <c r="P19" s="443"/>
      <c r="Q19" s="305"/>
      <c r="R19" s="305"/>
    </row>
    <row r="20" spans="1:18" ht="15.75" customHeight="1">
      <c r="A20" s="615"/>
      <c r="B20" s="297">
        <v>0</v>
      </c>
      <c r="C20" s="449"/>
      <c r="D20" s="317"/>
      <c r="E20" s="445"/>
      <c r="F20" s="299" t="s">
        <v>186</v>
      </c>
      <c r="G20" s="447"/>
      <c r="H20" s="300">
        <f t="shared" si="4"/>
        <v>0</v>
      </c>
      <c r="I20" s="450"/>
      <c r="J20" s="301"/>
      <c r="K20" s="302"/>
      <c r="L20" s="303"/>
      <c r="M20" s="304"/>
      <c r="N20" s="304"/>
      <c r="O20" s="296"/>
      <c r="P20" s="443"/>
      <c r="Q20" s="296"/>
      <c r="R20" s="296"/>
    </row>
    <row r="21" spans="1:18" ht="15.75" customHeight="1">
      <c r="A21" s="615"/>
      <c r="B21" s="297">
        <v>0</v>
      </c>
      <c r="C21" s="449"/>
      <c r="D21" s="317"/>
      <c r="E21" s="445"/>
      <c r="F21" s="299" t="s">
        <v>186</v>
      </c>
      <c r="G21" s="447"/>
      <c r="H21" s="300">
        <f t="shared" si="4"/>
        <v>0</v>
      </c>
      <c r="I21" s="450"/>
      <c r="J21" s="301"/>
      <c r="K21" s="302"/>
      <c r="L21" s="303"/>
      <c r="M21" s="304"/>
      <c r="N21" s="304"/>
      <c r="O21" s="296"/>
      <c r="P21" s="443"/>
      <c r="Q21" s="296"/>
      <c r="R21" s="296"/>
    </row>
    <row r="22" spans="1:18" ht="15.75" customHeight="1">
      <c r="A22" s="615"/>
      <c r="B22" s="297">
        <v>0</v>
      </c>
      <c r="C22" s="449"/>
      <c r="D22" s="317"/>
      <c r="E22" s="445"/>
      <c r="F22" s="299" t="s">
        <v>186</v>
      </c>
      <c r="G22" s="447"/>
      <c r="H22" s="300">
        <f t="shared" si="4"/>
        <v>0</v>
      </c>
      <c r="I22" s="450"/>
      <c r="J22" s="301"/>
      <c r="K22" s="302"/>
      <c r="L22" s="303"/>
      <c r="M22" s="304"/>
      <c r="N22" s="304"/>
      <c r="O22" s="296"/>
      <c r="P22" s="443"/>
      <c r="Q22" s="296"/>
      <c r="R22" s="296"/>
    </row>
    <row r="23" spans="1:18" ht="15.75" customHeight="1">
      <c r="A23" s="615"/>
      <c r="B23" s="297">
        <v>0</v>
      </c>
      <c r="C23" s="449"/>
      <c r="D23" s="317"/>
      <c r="E23" s="445"/>
      <c r="F23" s="299" t="s">
        <v>186</v>
      </c>
      <c r="G23" s="447"/>
      <c r="H23" s="300">
        <f t="shared" si="4"/>
        <v>0</v>
      </c>
      <c r="I23" s="450"/>
      <c r="J23" s="301"/>
      <c r="K23" s="302"/>
      <c r="L23" s="303"/>
      <c r="M23" s="304"/>
      <c r="N23" s="304"/>
      <c r="O23" s="296"/>
      <c r="P23" s="443"/>
      <c r="Q23" s="296"/>
      <c r="R23" s="296"/>
    </row>
    <row r="24" spans="1:18" ht="17.399999999999999" customHeight="1">
      <c r="A24" s="616"/>
      <c r="B24" s="297">
        <v>0</v>
      </c>
      <c r="C24" s="6" t="s">
        <v>418</v>
      </c>
      <c r="D24" s="613" t="s">
        <v>414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1484.3750000000023</v>
      </c>
      <c r="L24" s="314">
        <f>AVERAGE(L17:L23)</f>
        <v>272.31250000000045</v>
      </c>
      <c r="M24" s="304"/>
      <c r="N24" s="304"/>
      <c r="O24" s="296"/>
      <c r="P24" s="296"/>
      <c r="Q24" s="296"/>
      <c r="R24" s="296"/>
    </row>
    <row r="25" spans="1:18">
      <c r="A25" s="625" t="s">
        <v>419</v>
      </c>
      <c r="B25" s="297" t="s">
        <v>184</v>
      </c>
      <c r="C25" s="319"/>
      <c r="D25" s="321" t="s">
        <v>420</v>
      </c>
      <c r="E25" s="320"/>
      <c r="F25" s="299">
        <v>15.03</v>
      </c>
      <c r="G25" s="448">
        <v>1828</v>
      </c>
      <c r="H25" s="300">
        <f t="shared" ref="H25:H27" si="6">F25*G25</f>
        <v>27474.84</v>
      </c>
      <c r="I25" s="450"/>
      <c r="J25" s="301">
        <v>4</v>
      </c>
      <c r="K25" s="302">
        <f t="shared" ref="K25:K27" si="7">G25/P25*60</f>
        <v>2741.9999999999991</v>
      </c>
      <c r="L25" s="303">
        <f t="shared" ref="L25:L27" si="8">K25/J25</f>
        <v>685.49999999999977</v>
      </c>
      <c r="M25" s="304">
        <v>0.18055555555555555</v>
      </c>
      <c r="N25" s="304">
        <v>0.20833333333333334</v>
      </c>
      <c r="O25" s="296">
        <v>20</v>
      </c>
      <c r="P25" s="443">
        <f t="shared" ref="P25:P27" si="9">(N25-M25)*24*60</f>
        <v>40.000000000000014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48">
        <v>2686</v>
      </c>
      <c r="H26" s="300">
        <f t="shared" si="6"/>
        <v>48831.479999999996</v>
      </c>
      <c r="I26" s="450"/>
      <c r="J26" s="301">
        <v>4</v>
      </c>
      <c r="K26" s="302">
        <f t="shared" si="7"/>
        <v>2778.6206896551707</v>
      </c>
      <c r="L26" s="303">
        <f t="shared" si="8"/>
        <v>694.65517241379268</v>
      </c>
      <c r="M26" s="304">
        <v>0.22222222222222221</v>
      </c>
      <c r="N26" s="304">
        <v>0.26250000000000001</v>
      </c>
      <c r="O26" s="296">
        <v>20</v>
      </c>
      <c r="P26" s="443">
        <f t="shared" si="9"/>
        <v>58.000000000000036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48">
        <v>1943</v>
      </c>
      <c r="H27" s="300">
        <f t="shared" si="6"/>
        <v>36003.79</v>
      </c>
      <c r="I27" s="450"/>
      <c r="J27" s="301">
        <v>3</v>
      </c>
      <c r="K27" s="302">
        <f t="shared" si="7"/>
        <v>2775.7142857142849</v>
      </c>
      <c r="L27" s="303">
        <f t="shared" si="8"/>
        <v>925.23809523809496</v>
      </c>
      <c r="M27" s="304">
        <v>0.27638888888888885</v>
      </c>
      <c r="N27" s="304">
        <v>0.30555555555555552</v>
      </c>
      <c r="O27" s="296">
        <v>20</v>
      </c>
      <c r="P27" s="443">
        <f t="shared" si="9"/>
        <v>42.000000000000014</v>
      </c>
      <c r="Q27" s="305"/>
      <c r="R27" s="305"/>
    </row>
    <row r="28" spans="1:18">
      <c r="A28" s="625"/>
      <c r="B28" s="297">
        <v>0</v>
      </c>
      <c r="C28" s="449"/>
      <c r="D28" s="317"/>
      <c r="E28" s="322"/>
      <c r="F28" s="299"/>
      <c r="G28" s="448"/>
      <c r="H28" s="300"/>
      <c r="I28" s="450"/>
      <c r="J28" s="301"/>
      <c r="K28" s="302"/>
      <c r="L28" s="303"/>
      <c r="M28" s="304"/>
      <c r="N28" s="304"/>
      <c r="O28" s="296"/>
      <c r="P28" s="443"/>
      <c r="Q28" s="305"/>
      <c r="R28" s="305"/>
    </row>
    <row r="29" spans="1:18">
      <c r="A29" s="625"/>
      <c r="B29" s="297">
        <v>0</v>
      </c>
      <c r="C29" s="448"/>
      <c r="D29" s="321"/>
      <c r="E29" s="322"/>
      <c r="F29" s="299"/>
      <c r="G29" s="448"/>
      <c r="H29" s="300"/>
      <c r="I29" s="450"/>
      <c r="J29" s="301"/>
      <c r="K29" s="302"/>
      <c r="L29" s="303"/>
      <c r="M29" s="304"/>
      <c r="N29" s="304"/>
      <c r="O29" s="296"/>
      <c r="P29" s="443"/>
      <c r="Q29" s="305"/>
      <c r="R29" s="305"/>
    </row>
    <row r="30" spans="1:18">
      <c r="A30" s="625"/>
      <c r="B30" s="297">
        <v>0</v>
      </c>
      <c r="C30" s="448"/>
      <c r="D30" s="323"/>
      <c r="E30" s="322"/>
      <c r="F30" s="299"/>
      <c r="G30" s="448"/>
      <c r="H30" s="300"/>
      <c r="I30" s="450"/>
      <c r="J30" s="301"/>
      <c r="K30" s="302"/>
      <c r="L30" s="303"/>
      <c r="M30" s="304"/>
      <c r="N30" s="304"/>
      <c r="O30" s="296"/>
      <c r="P30" s="443"/>
      <c r="Q30" s="305"/>
      <c r="R30" s="305"/>
    </row>
    <row r="31" spans="1:18" ht="15.75" customHeight="1">
      <c r="A31" s="625"/>
      <c r="B31" s="297">
        <v>0</v>
      </c>
      <c r="C31" s="449"/>
      <c r="D31" s="317"/>
      <c r="E31" s="322"/>
      <c r="F31" s="299"/>
      <c r="G31" s="448"/>
      <c r="H31" s="300"/>
      <c r="I31" s="450"/>
      <c r="J31" s="301"/>
      <c r="K31" s="302"/>
      <c r="L31" s="303"/>
      <c r="M31" s="304"/>
      <c r="N31" s="304"/>
      <c r="O31" s="296"/>
      <c r="P31" s="443"/>
      <c r="Q31" s="305"/>
      <c r="R31" s="305"/>
    </row>
    <row r="32" spans="1:18">
      <c r="A32" s="625"/>
      <c r="B32" s="297">
        <v>0</v>
      </c>
      <c r="C32" s="449"/>
      <c r="D32" s="317"/>
      <c r="E32" s="445"/>
      <c r="F32" s="299" t="s">
        <v>186</v>
      </c>
      <c r="G32" s="448"/>
      <c r="H32" s="300">
        <f t="shared" ref="H32:H37" si="10">F32*G32</f>
        <v>0</v>
      </c>
      <c r="I32" s="450"/>
      <c r="J32" s="301"/>
      <c r="K32" s="302"/>
      <c r="L32" s="303"/>
      <c r="M32" s="304"/>
      <c r="N32" s="304"/>
      <c r="O32" s="296"/>
      <c r="P32" s="443"/>
      <c r="Q32" s="305"/>
      <c r="R32" s="305"/>
    </row>
    <row r="33" spans="1:18">
      <c r="A33" s="625"/>
      <c r="B33" s="297">
        <v>0</v>
      </c>
      <c r="C33" s="448"/>
      <c r="D33" s="321"/>
      <c r="E33" s="322"/>
      <c r="F33" s="299" t="s">
        <v>186</v>
      </c>
      <c r="G33" s="448"/>
      <c r="H33" s="300">
        <f t="shared" si="10"/>
        <v>0</v>
      </c>
      <c r="I33" s="450"/>
      <c r="J33" s="301"/>
      <c r="K33" s="302"/>
      <c r="L33" s="303"/>
      <c r="M33" s="304"/>
      <c r="N33" s="304"/>
      <c r="O33" s="296"/>
      <c r="P33" s="443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10"/>
        <v>0</v>
      </c>
      <c r="I34" s="450"/>
      <c r="J34" s="301"/>
      <c r="K34" s="302"/>
      <c r="L34" s="303"/>
      <c r="M34" s="304"/>
      <c r="N34" s="304"/>
      <c r="O34" s="296"/>
      <c r="P34" s="443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10"/>
        <v>0</v>
      </c>
      <c r="I35" s="450"/>
      <c r="J35" s="301"/>
      <c r="K35" s="302"/>
      <c r="L35" s="303"/>
      <c r="M35" s="304"/>
      <c r="N35" s="304"/>
      <c r="O35" s="296"/>
      <c r="P35" s="443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10"/>
        <v>0</v>
      </c>
      <c r="I36" s="450"/>
      <c r="J36" s="301"/>
      <c r="K36" s="302"/>
      <c r="L36" s="303"/>
      <c r="M36" s="304"/>
      <c r="N36" s="304"/>
      <c r="O36" s="296"/>
      <c r="P36" s="443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10"/>
        <v>0</v>
      </c>
      <c r="I37" s="450"/>
      <c r="J37" s="301"/>
      <c r="K37" s="302"/>
      <c r="L37" s="303"/>
      <c r="M37" s="304"/>
      <c r="N37" s="304"/>
      <c r="O37" s="296"/>
      <c r="P37" s="443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2765.4449917898182</v>
      </c>
      <c r="L38" s="314">
        <f>AVERAGE(L25:L37)</f>
        <v>768.46442255062914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421</v>
      </c>
      <c r="B39" s="297">
        <v>0</v>
      </c>
      <c r="C39" s="449"/>
      <c r="D39" s="317"/>
      <c r="E39" s="445"/>
      <c r="F39" s="299" t="s">
        <v>186</v>
      </c>
      <c r="G39" s="448"/>
      <c r="H39" s="300">
        <f t="shared" ref="H39:H47" si="11">F39*G39</f>
        <v>0</v>
      </c>
      <c r="I39" s="450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49"/>
      <c r="D40" s="317"/>
      <c r="E40" s="445"/>
      <c r="F40" s="299" t="s">
        <v>186</v>
      </c>
      <c r="G40" s="448"/>
      <c r="H40" s="300">
        <f t="shared" si="11"/>
        <v>0</v>
      </c>
      <c r="I40" s="450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49"/>
      <c r="D41" s="321"/>
      <c r="E41" s="445"/>
      <c r="F41" s="299" t="s">
        <v>186</v>
      </c>
      <c r="G41" s="448"/>
      <c r="H41" s="300">
        <f t="shared" si="11"/>
        <v>0</v>
      </c>
      <c r="I41" s="450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49"/>
      <c r="D42" s="321"/>
      <c r="E42" s="445"/>
      <c r="F42" s="299" t="s">
        <v>186</v>
      </c>
      <c r="G42" s="448"/>
      <c r="H42" s="300">
        <f t="shared" si="11"/>
        <v>0</v>
      </c>
      <c r="I42" s="450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49"/>
      <c r="D43" s="320"/>
      <c r="E43" s="445"/>
      <c r="F43" s="299" t="s">
        <v>186</v>
      </c>
      <c r="G43" s="448"/>
      <c r="H43" s="300">
        <f t="shared" si="11"/>
        <v>0</v>
      </c>
      <c r="I43" s="450"/>
      <c r="J43" s="301"/>
      <c r="K43" s="302"/>
      <c r="L43" s="303"/>
      <c r="M43" s="304"/>
      <c r="N43" s="304"/>
      <c r="O43" s="296"/>
      <c r="P43" s="443"/>
      <c r="Q43" s="305"/>
      <c r="R43" s="305"/>
    </row>
    <row r="44" spans="1:18">
      <c r="A44" s="628"/>
      <c r="B44" s="297">
        <v>0</v>
      </c>
      <c r="C44" s="449"/>
      <c r="D44" s="321"/>
      <c r="E44" s="327"/>
      <c r="F44" s="299" t="s">
        <v>186</v>
      </c>
      <c r="G44" s="328"/>
      <c r="H44" s="329">
        <f t="shared" si="11"/>
        <v>0</v>
      </c>
      <c r="I44" s="451"/>
      <c r="J44" s="301"/>
      <c r="K44" s="302"/>
      <c r="L44" s="303"/>
      <c r="M44" s="304"/>
      <c r="N44" s="304"/>
      <c r="O44" s="296"/>
      <c r="P44" s="443"/>
      <c r="Q44" s="305"/>
      <c r="R44" s="305"/>
    </row>
    <row r="45" spans="1:18">
      <c r="A45" s="628"/>
      <c r="B45" s="297">
        <v>0</v>
      </c>
      <c r="C45" s="449"/>
      <c r="D45" s="337"/>
      <c r="E45" s="322"/>
      <c r="F45" s="299" t="s">
        <v>186</v>
      </c>
      <c r="G45" s="448"/>
      <c r="H45" s="300">
        <f t="shared" si="11"/>
        <v>0</v>
      </c>
      <c r="I45" s="450"/>
      <c r="J45" s="301"/>
      <c r="K45" s="302"/>
      <c r="L45" s="303"/>
      <c r="M45" s="304"/>
      <c r="N45" s="304"/>
      <c r="O45" s="296"/>
      <c r="P45" s="443"/>
      <c r="Q45" s="305"/>
      <c r="R45" s="305"/>
    </row>
    <row r="46" spans="1:18">
      <c r="A46" s="628"/>
      <c r="B46" s="297">
        <v>0</v>
      </c>
      <c r="C46" s="449"/>
      <c r="D46" s="321"/>
      <c r="E46" s="327"/>
      <c r="F46" s="299" t="s">
        <v>186</v>
      </c>
      <c r="G46" s="328"/>
      <c r="H46" s="329">
        <f t="shared" si="11"/>
        <v>0</v>
      </c>
      <c r="I46" s="451"/>
      <c r="J46" s="301"/>
      <c r="K46" s="302"/>
      <c r="L46" s="303"/>
      <c r="M46" s="304"/>
      <c r="N46" s="304"/>
      <c r="O46" s="296"/>
      <c r="P46" s="443"/>
      <c r="Q46" s="305"/>
      <c r="R46" s="305"/>
    </row>
    <row r="47" spans="1:18">
      <c r="A47" s="628"/>
      <c r="B47" s="297">
        <v>0</v>
      </c>
      <c r="C47" s="449"/>
      <c r="D47" s="337"/>
      <c r="E47" s="322"/>
      <c r="F47" s="299" t="s">
        <v>186</v>
      </c>
      <c r="G47" s="448"/>
      <c r="H47" s="300">
        <f t="shared" si="11"/>
        <v>0</v>
      </c>
      <c r="I47" s="450"/>
      <c r="J47" s="301"/>
      <c r="K47" s="302"/>
      <c r="L47" s="303"/>
      <c r="M47" s="304"/>
      <c r="N47" s="304"/>
      <c r="O47" s="296"/>
      <c r="P47" s="443"/>
      <c r="Q47" s="305"/>
      <c r="R47" s="305"/>
    </row>
    <row r="48" spans="1:18">
      <c r="A48" s="629"/>
      <c r="B48" s="297">
        <v>0</v>
      </c>
      <c r="C48" s="448"/>
      <c r="D48" s="321"/>
      <c r="E48" s="376"/>
      <c r="F48" s="299" t="s">
        <v>186</v>
      </c>
      <c r="G48" s="448"/>
      <c r="H48" s="300"/>
      <c r="I48" s="450"/>
      <c r="J48" s="301"/>
      <c r="K48" s="302"/>
      <c r="L48" s="303"/>
      <c r="M48" s="304"/>
      <c r="N48" s="304"/>
      <c r="O48" s="296"/>
      <c r="P48" s="443"/>
      <c r="Q48" s="305"/>
      <c r="R48" s="305"/>
    </row>
    <row r="49" spans="1:18">
      <c r="A49" s="629"/>
      <c r="B49" s="297">
        <v>0</v>
      </c>
      <c r="C49" s="448"/>
      <c r="D49" s="330"/>
      <c r="E49" s="331"/>
      <c r="F49" s="299" t="s">
        <v>186</v>
      </c>
      <c r="G49" s="296"/>
      <c r="H49" s="329">
        <f>F49*G49</f>
        <v>0</v>
      </c>
      <c r="I49" s="443"/>
      <c r="J49" s="301"/>
      <c r="K49" s="302"/>
      <c r="L49" s="303"/>
      <c r="M49" s="304"/>
      <c r="N49" s="304"/>
      <c r="O49" s="296"/>
      <c r="P49" s="443"/>
      <c r="Q49" s="305"/>
      <c r="R49" s="305"/>
    </row>
    <row r="50" spans="1:18">
      <c r="A50" s="629"/>
      <c r="B50" s="297">
        <v>0</v>
      </c>
      <c r="C50" s="448"/>
      <c r="D50" s="330"/>
      <c r="E50" s="331"/>
      <c r="F50" s="299" t="s">
        <v>186</v>
      </c>
      <c r="G50" s="296"/>
      <c r="H50" s="329">
        <f>F50*G50</f>
        <v>0</v>
      </c>
      <c r="I50" s="443"/>
      <c r="J50" s="301"/>
      <c r="K50" s="302"/>
      <c r="L50" s="303"/>
      <c r="M50" s="304"/>
      <c r="N50" s="304"/>
      <c r="O50" s="296"/>
      <c r="P50" s="443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414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422</v>
      </c>
      <c r="B52" s="297" t="s">
        <v>184</v>
      </c>
      <c r="C52" s="449"/>
      <c r="D52" s="320" t="s">
        <v>159</v>
      </c>
      <c r="E52" s="335"/>
      <c r="F52" s="299">
        <v>25.03</v>
      </c>
      <c r="G52" s="448">
        <v>616</v>
      </c>
      <c r="H52" s="300">
        <f>F52*G52</f>
        <v>15418.480000000001</v>
      </c>
      <c r="I52" s="450"/>
      <c r="J52" s="301">
        <v>4</v>
      </c>
      <c r="K52" s="302">
        <f>G52/P52*60</f>
        <v>3079.9999999999905</v>
      </c>
      <c r="L52" s="303">
        <f>K52/J52</f>
        <v>769.99999999999761</v>
      </c>
      <c r="M52" s="304">
        <v>0.30555555555555552</v>
      </c>
      <c r="N52" s="304">
        <v>0.31388888888888888</v>
      </c>
      <c r="O52" s="302">
        <v>20</v>
      </c>
      <c r="P52" s="443">
        <f>(N52-M52)*24*60</f>
        <v>12.000000000000037</v>
      </c>
      <c r="Q52" s="305"/>
      <c r="R52" s="305"/>
    </row>
    <row r="53" spans="1:18" ht="15.6" customHeight="1">
      <c r="A53" s="632"/>
      <c r="B53" s="297" t="s">
        <v>184</v>
      </c>
      <c r="C53" s="449"/>
      <c r="D53" s="320" t="s">
        <v>160</v>
      </c>
      <c r="E53" s="336"/>
      <c r="F53" s="299">
        <v>24.82</v>
      </c>
      <c r="G53" s="306">
        <v>817</v>
      </c>
      <c r="H53" s="300">
        <f t="shared" ref="H53:H62" si="12">F53*G53</f>
        <v>20277.939999999999</v>
      </c>
      <c r="I53" s="450"/>
      <c r="J53" s="301">
        <v>4</v>
      </c>
      <c r="K53" s="302">
        <f t="shared" ref="K53:K56" si="13">G53/P53*60</f>
        <v>3063.7500000000109</v>
      </c>
      <c r="L53" s="303">
        <f t="shared" ref="L53:L56" si="14">K53/J53</f>
        <v>765.93750000000273</v>
      </c>
      <c r="M53" s="304">
        <v>0.32777777777777778</v>
      </c>
      <c r="N53" s="304">
        <v>0.33888888888888885</v>
      </c>
      <c r="O53" s="302">
        <v>20</v>
      </c>
      <c r="P53" s="443">
        <f t="shared" ref="P53:P56" si="15">(N53-M53)*24*60</f>
        <v>15.999999999999943</v>
      </c>
      <c r="Q53" s="305"/>
      <c r="R53" s="305"/>
    </row>
    <row r="54" spans="1:18" ht="15.6" customHeight="1">
      <c r="A54" s="632"/>
      <c r="B54" s="297" t="s">
        <v>184</v>
      </c>
      <c r="C54" s="449"/>
      <c r="D54" s="320" t="s">
        <v>161</v>
      </c>
      <c r="E54" s="445"/>
      <c r="F54" s="299">
        <v>30</v>
      </c>
      <c r="G54" s="306">
        <v>1455</v>
      </c>
      <c r="H54" s="300">
        <f t="shared" si="12"/>
        <v>43650</v>
      </c>
      <c r="I54" s="450"/>
      <c r="J54" s="301">
        <v>4</v>
      </c>
      <c r="K54" s="302">
        <f t="shared" si="13"/>
        <v>3117.8571428571449</v>
      </c>
      <c r="L54" s="303">
        <f t="shared" si="14"/>
        <v>779.46428571428623</v>
      </c>
      <c r="M54" s="304">
        <v>0.3527777777777778</v>
      </c>
      <c r="N54" s="304">
        <v>0.37222222222222223</v>
      </c>
      <c r="O54" s="302">
        <v>20</v>
      </c>
      <c r="P54" s="443">
        <f t="shared" si="15"/>
        <v>27.999999999999979</v>
      </c>
      <c r="Q54" s="305">
        <v>0.37222222222222223</v>
      </c>
      <c r="R54" s="305">
        <v>0.41388888888888892</v>
      </c>
    </row>
    <row r="55" spans="1:18" ht="15.6" customHeight="1">
      <c r="A55" s="632"/>
      <c r="B55" s="297" t="s">
        <v>184</v>
      </c>
      <c r="C55" s="449"/>
      <c r="D55" s="338" t="s">
        <v>162</v>
      </c>
      <c r="E55" s="322"/>
      <c r="F55" s="299">
        <v>14.03</v>
      </c>
      <c r="G55" s="306">
        <v>2444</v>
      </c>
      <c r="H55" s="300">
        <f t="shared" si="12"/>
        <v>34289.32</v>
      </c>
      <c r="I55" s="450"/>
      <c r="J55" s="301">
        <v>3</v>
      </c>
      <c r="K55" s="302">
        <f t="shared" si="13"/>
        <v>3187.8260869565161</v>
      </c>
      <c r="L55" s="303">
        <f t="shared" si="14"/>
        <v>1062.6086956521719</v>
      </c>
      <c r="M55" s="304">
        <v>0.43124999999999997</v>
      </c>
      <c r="N55" s="304">
        <v>0.46319444444444446</v>
      </c>
      <c r="O55" s="302">
        <v>20</v>
      </c>
      <c r="P55" s="443">
        <f t="shared" si="15"/>
        <v>46.000000000000078</v>
      </c>
      <c r="Q55" s="305"/>
      <c r="R55" s="305"/>
    </row>
    <row r="56" spans="1:18" ht="15.6" customHeight="1">
      <c r="A56" s="632"/>
      <c r="B56" s="297" t="s">
        <v>184</v>
      </c>
      <c r="C56" s="449"/>
      <c r="D56" s="321" t="s">
        <v>164</v>
      </c>
      <c r="E56" s="322"/>
      <c r="F56" s="299">
        <v>18.18</v>
      </c>
      <c r="G56" s="306">
        <v>1426</v>
      </c>
      <c r="H56" s="300">
        <f t="shared" si="12"/>
        <v>25924.68</v>
      </c>
      <c r="I56" s="450"/>
      <c r="J56" s="301">
        <v>3</v>
      </c>
      <c r="K56" s="302">
        <f t="shared" si="13"/>
        <v>3168.8888888888814</v>
      </c>
      <c r="L56" s="303">
        <f t="shared" si="14"/>
        <v>1056.2962962962938</v>
      </c>
      <c r="M56" s="304">
        <v>0.4770833333333333</v>
      </c>
      <c r="N56" s="304">
        <v>0.49583333333333335</v>
      </c>
      <c r="O56" s="302">
        <v>20</v>
      </c>
      <c r="P56" s="443">
        <f t="shared" si="15"/>
        <v>27.000000000000064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12"/>
        <v>0</v>
      </c>
      <c r="I57" s="450"/>
      <c r="J57" s="301"/>
      <c r="K57" s="302"/>
      <c r="L57" s="303"/>
      <c r="M57" s="304"/>
      <c r="N57" s="304"/>
      <c r="O57" s="302"/>
      <c r="P57" s="443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12"/>
        <v>0</v>
      </c>
      <c r="I58" s="450"/>
      <c r="J58" s="301"/>
      <c r="K58" s="302"/>
      <c r="L58" s="303"/>
      <c r="M58" s="304"/>
      <c r="N58" s="304"/>
      <c r="O58" s="302"/>
      <c r="P58" s="443"/>
      <c r="Q58" s="305"/>
      <c r="R58" s="305"/>
    </row>
    <row r="59" spans="1:18" ht="15.6" customHeight="1">
      <c r="A59" s="632"/>
      <c r="B59" s="297">
        <v>0</v>
      </c>
      <c r="C59" s="449"/>
      <c r="D59" s="337"/>
      <c r="E59" s="322"/>
      <c r="F59" s="299" t="s">
        <v>186</v>
      </c>
      <c r="G59" s="306"/>
      <c r="H59" s="300">
        <f t="shared" si="12"/>
        <v>0</v>
      </c>
      <c r="I59" s="450"/>
      <c r="J59" s="301"/>
      <c r="K59" s="302"/>
      <c r="L59" s="303"/>
      <c r="M59" s="304"/>
      <c r="N59" s="304"/>
      <c r="O59" s="302"/>
      <c r="P59" s="443"/>
      <c r="Q59" s="305"/>
      <c r="R59" s="305"/>
    </row>
    <row r="60" spans="1:18" ht="15.6" customHeight="1">
      <c r="A60" s="632"/>
      <c r="B60" s="297">
        <v>0</v>
      </c>
      <c r="C60" s="449"/>
      <c r="D60" s="338"/>
      <c r="E60" s="341"/>
      <c r="F60" s="299" t="s">
        <v>186</v>
      </c>
      <c r="G60" s="306"/>
      <c r="H60" s="300">
        <f t="shared" si="12"/>
        <v>0</v>
      </c>
      <c r="I60" s="450"/>
      <c r="J60" s="301"/>
      <c r="K60" s="302"/>
      <c r="L60" s="303"/>
      <c r="M60" s="304"/>
      <c r="N60" s="304"/>
      <c r="O60" s="302"/>
      <c r="P60" s="443"/>
      <c r="Q60" s="305"/>
      <c r="R60" s="305"/>
    </row>
    <row r="61" spans="1:18" ht="15.6" customHeight="1">
      <c r="A61" s="632"/>
      <c r="B61" s="297">
        <v>0</v>
      </c>
      <c r="C61" s="449"/>
      <c r="D61" s="320"/>
      <c r="E61" s="322"/>
      <c r="F61" s="299" t="s">
        <v>186</v>
      </c>
      <c r="G61" s="306"/>
      <c r="H61" s="300">
        <f t="shared" si="12"/>
        <v>0</v>
      </c>
      <c r="I61" s="450"/>
      <c r="J61" s="301"/>
      <c r="K61" s="302"/>
      <c r="L61" s="303"/>
      <c r="M61" s="304"/>
      <c r="N61" s="304"/>
      <c r="O61" s="302"/>
      <c r="P61" s="443"/>
      <c r="Q61" s="305"/>
      <c r="R61" s="305"/>
    </row>
    <row r="62" spans="1:18" ht="15.6" customHeight="1">
      <c r="A62" s="632"/>
      <c r="B62" s="297">
        <v>0</v>
      </c>
      <c r="C62" s="449"/>
      <c r="D62" s="337"/>
      <c r="E62" s="342"/>
      <c r="F62" s="299" t="s">
        <v>186</v>
      </c>
      <c r="G62" s="306"/>
      <c r="H62" s="300">
        <f t="shared" si="12"/>
        <v>0</v>
      </c>
      <c r="I62" s="450"/>
      <c r="J62" s="301"/>
      <c r="K62" s="302"/>
      <c r="L62" s="303"/>
      <c r="M62" s="304"/>
      <c r="N62" s="304"/>
      <c r="O62" s="302"/>
      <c r="P62" s="443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3"/>
        <v>0</v>
      </c>
      <c r="I63" s="451"/>
      <c r="J63" s="301"/>
      <c r="K63" s="302"/>
      <c r="L63" s="303"/>
      <c r="M63" s="304"/>
      <c r="N63" s="304"/>
      <c r="O63" s="296"/>
      <c r="P63" s="443"/>
      <c r="Q63" s="305"/>
      <c r="R63" s="305"/>
    </row>
    <row r="64" spans="1:18" ht="15.75" customHeight="1">
      <c r="A64" s="633"/>
      <c r="B64" s="297">
        <v>0</v>
      </c>
      <c r="C64" s="6" t="s">
        <v>423</v>
      </c>
      <c r="D64" s="613" t="s">
        <v>414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3123.6644237405089</v>
      </c>
      <c r="L64" s="314">
        <f>AVERAGE(L52:L63)</f>
        <v>886.86135553255042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424</v>
      </c>
      <c r="B65" s="297" t="s">
        <v>184</v>
      </c>
      <c r="C65" s="449"/>
      <c r="D65" s="321" t="s">
        <v>425</v>
      </c>
      <c r="E65" s="335"/>
      <c r="F65" s="299">
        <v>16.66</v>
      </c>
      <c r="G65" s="448">
        <v>2114</v>
      </c>
      <c r="H65" s="300">
        <f>F65*G65</f>
        <v>35219.24</v>
      </c>
      <c r="I65" s="450"/>
      <c r="J65" s="301">
        <v>4</v>
      </c>
      <c r="K65" s="302">
        <f t="shared" ref="K65:K69" si="16">G65/P65*60</f>
        <v>2642.4999999999986</v>
      </c>
      <c r="L65" s="303">
        <f t="shared" ref="L65:L69" si="17">K65/J65</f>
        <v>660.62499999999966</v>
      </c>
      <c r="M65" s="304">
        <v>0.18055555555555555</v>
      </c>
      <c r="N65" s="304">
        <v>0.21388888888888891</v>
      </c>
      <c r="O65" s="302">
        <v>20</v>
      </c>
      <c r="P65" s="443">
        <f>(N65-M65)*24*60</f>
        <v>48.000000000000028</v>
      </c>
      <c r="Q65" s="305"/>
      <c r="R65" s="305"/>
    </row>
    <row r="66" spans="1:18" ht="15.6" customHeight="1">
      <c r="A66" s="635"/>
      <c r="B66" s="297" t="s">
        <v>184</v>
      </c>
      <c r="C66" s="449"/>
      <c r="D66" s="321" t="s">
        <v>426</v>
      </c>
      <c r="E66" s="336"/>
      <c r="F66" s="299">
        <v>22.281818181818181</v>
      </c>
      <c r="G66" s="306">
        <v>601</v>
      </c>
      <c r="H66" s="300">
        <f t="shared" ref="H66:H74" si="18">F66*G66</f>
        <v>13391.372727272726</v>
      </c>
      <c r="I66" s="450"/>
      <c r="J66" s="301">
        <v>4</v>
      </c>
      <c r="K66" s="302">
        <f t="shared" si="16"/>
        <v>3004.9999999999909</v>
      </c>
      <c r="L66" s="303">
        <f t="shared" si="17"/>
        <v>751.24999999999773</v>
      </c>
      <c r="M66" s="304">
        <v>0.22777777777777777</v>
      </c>
      <c r="N66" s="304">
        <v>0.23611111111111113</v>
      </c>
      <c r="O66" s="302">
        <v>20</v>
      </c>
      <c r="P66" s="443">
        <f t="shared" ref="P66:P69" si="19">(N66-M66)*24*60</f>
        <v>12.000000000000037</v>
      </c>
      <c r="Q66" s="305"/>
      <c r="R66" s="305"/>
    </row>
    <row r="67" spans="1:18" ht="15.6" customHeight="1">
      <c r="A67" s="635"/>
      <c r="B67" s="297" t="s">
        <v>184</v>
      </c>
      <c r="C67" s="449"/>
      <c r="D67" s="337" t="s">
        <v>427</v>
      </c>
      <c r="E67" s="322"/>
      <c r="F67" s="299">
        <v>17.890909090909091</v>
      </c>
      <c r="G67" s="306">
        <v>1494</v>
      </c>
      <c r="H67" s="300">
        <f t="shared" si="18"/>
        <v>26729.018181818181</v>
      </c>
      <c r="I67" s="450"/>
      <c r="J67" s="301">
        <v>3</v>
      </c>
      <c r="K67" s="302">
        <f t="shared" si="16"/>
        <v>3201.4285714285738</v>
      </c>
      <c r="L67" s="303">
        <f t="shared" si="17"/>
        <v>1067.142857142858</v>
      </c>
      <c r="M67" s="304">
        <v>0.25</v>
      </c>
      <c r="N67" s="304">
        <v>0.26944444444444443</v>
      </c>
      <c r="O67" s="302">
        <v>20</v>
      </c>
      <c r="P67" s="443">
        <f t="shared" si="19"/>
        <v>27.999999999999979</v>
      </c>
      <c r="Q67" s="305">
        <v>0.26944444444444443</v>
      </c>
      <c r="R67" s="305">
        <v>0.31111111111111112</v>
      </c>
    </row>
    <row r="68" spans="1:18" ht="15.6" customHeight="1">
      <c r="A68" s="635"/>
      <c r="B68" s="297" t="s">
        <v>184</v>
      </c>
      <c r="C68" s="449"/>
      <c r="D68" s="320" t="s">
        <v>163</v>
      </c>
      <c r="E68" s="322"/>
      <c r="F68" s="299">
        <v>18.18</v>
      </c>
      <c r="G68" s="306">
        <v>796</v>
      </c>
      <c r="H68" s="300">
        <f t="shared" si="18"/>
        <v>14471.28</v>
      </c>
      <c r="I68" s="450"/>
      <c r="J68" s="301">
        <v>3</v>
      </c>
      <c r="K68" s="302">
        <f t="shared" si="16"/>
        <v>3184.0000000000114</v>
      </c>
      <c r="L68" s="303">
        <f t="shared" si="17"/>
        <v>1061.3333333333371</v>
      </c>
      <c r="M68" s="304">
        <v>0.32847222222222222</v>
      </c>
      <c r="N68" s="304">
        <v>0.33888888888888885</v>
      </c>
      <c r="O68" s="302">
        <v>20</v>
      </c>
      <c r="P68" s="443">
        <f t="shared" si="19"/>
        <v>14.999999999999947</v>
      </c>
      <c r="Q68" s="305"/>
      <c r="R68" s="305"/>
    </row>
    <row r="69" spans="1:18" ht="15.6" customHeight="1">
      <c r="A69" s="635"/>
      <c r="B69" s="297" t="s">
        <v>184</v>
      </c>
      <c r="C69" s="449"/>
      <c r="D69" s="337" t="s">
        <v>165</v>
      </c>
      <c r="E69" s="322"/>
      <c r="F69" s="299">
        <v>14.285714285714283</v>
      </c>
      <c r="G69" s="306">
        <v>3699</v>
      </c>
      <c r="H69" s="300">
        <f t="shared" si="18"/>
        <v>52842.85714285713</v>
      </c>
      <c r="I69" s="450"/>
      <c r="J69" s="301">
        <v>3</v>
      </c>
      <c r="K69" s="302">
        <f t="shared" si="16"/>
        <v>3170.5714285714325</v>
      </c>
      <c r="L69" s="303">
        <f t="shared" si="17"/>
        <v>1056.8571428571443</v>
      </c>
      <c r="M69" s="304">
        <v>0.3527777777777778</v>
      </c>
      <c r="N69" s="304">
        <v>0.40138888888888885</v>
      </c>
      <c r="O69" s="302">
        <v>20</v>
      </c>
      <c r="P69" s="443">
        <f t="shared" si="19"/>
        <v>69.999999999999915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18"/>
        <v>0</v>
      </c>
      <c r="I70" s="450"/>
      <c r="J70" s="301"/>
      <c r="K70" s="302"/>
      <c r="L70" s="303"/>
      <c r="M70" s="304"/>
      <c r="N70" s="304"/>
      <c r="O70" s="302"/>
      <c r="P70" s="443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18"/>
        <v>0</v>
      </c>
      <c r="I71" s="450"/>
      <c r="J71" s="301"/>
      <c r="K71" s="302"/>
      <c r="L71" s="303"/>
      <c r="M71" s="304"/>
      <c r="N71" s="304"/>
      <c r="O71" s="302"/>
      <c r="P71" s="443"/>
      <c r="Q71" s="305"/>
      <c r="R71" s="305"/>
    </row>
    <row r="72" spans="1:18" ht="15.6" customHeight="1">
      <c r="A72" s="635"/>
      <c r="B72" s="297">
        <v>0</v>
      </c>
      <c r="C72" s="449"/>
      <c r="D72" s="337"/>
      <c r="E72" s="322"/>
      <c r="F72" s="299" t="s">
        <v>186</v>
      </c>
      <c r="G72" s="306"/>
      <c r="H72" s="300">
        <f t="shared" si="18"/>
        <v>0</v>
      </c>
      <c r="I72" s="450"/>
      <c r="J72" s="301"/>
      <c r="K72" s="302"/>
      <c r="L72" s="303"/>
      <c r="M72" s="304"/>
      <c r="N72" s="304"/>
      <c r="O72" s="302"/>
      <c r="P72" s="443"/>
      <c r="Q72" s="305"/>
      <c r="R72" s="305"/>
    </row>
    <row r="73" spans="1:18" ht="15.6" customHeight="1">
      <c r="A73" s="635"/>
      <c r="B73" s="297">
        <v>0</v>
      </c>
      <c r="C73" s="449"/>
      <c r="D73" s="337"/>
      <c r="E73" s="322"/>
      <c r="F73" s="299" t="s">
        <v>186</v>
      </c>
      <c r="G73" s="306"/>
      <c r="H73" s="300">
        <f t="shared" si="18"/>
        <v>0</v>
      </c>
      <c r="I73" s="450"/>
      <c r="J73" s="301"/>
      <c r="K73" s="302"/>
      <c r="L73" s="303"/>
      <c r="M73" s="304"/>
      <c r="N73" s="304"/>
      <c r="O73" s="302"/>
      <c r="P73" s="443"/>
      <c r="Q73" s="305"/>
      <c r="R73" s="305"/>
    </row>
    <row r="74" spans="1:18" ht="15.6" customHeight="1">
      <c r="A74" s="635"/>
      <c r="B74" s="297">
        <v>0</v>
      </c>
      <c r="C74" s="449"/>
      <c r="D74" s="337"/>
      <c r="E74" s="322"/>
      <c r="F74" s="299" t="s">
        <v>186</v>
      </c>
      <c r="G74" s="306"/>
      <c r="H74" s="300">
        <f t="shared" si="18"/>
        <v>0</v>
      </c>
      <c r="I74" s="450"/>
      <c r="J74" s="301"/>
      <c r="K74" s="302"/>
      <c r="L74" s="303"/>
      <c r="M74" s="304"/>
      <c r="N74" s="304"/>
      <c r="O74" s="302"/>
      <c r="P74" s="443"/>
      <c r="Q74" s="305"/>
      <c r="R74" s="305"/>
    </row>
    <row r="75" spans="1:18" ht="15.75" customHeight="1">
      <c r="A75" s="636"/>
      <c r="B75" s="297">
        <v>0</v>
      </c>
      <c r="C75" s="6" t="s">
        <v>428</v>
      </c>
      <c r="D75" s="613" t="s">
        <v>414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3040.7000000000016</v>
      </c>
      <c r="L75" s="314">
        <f>AVERAGE(L65:L74)</f>
        <v>919.44166666666729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 t="shared" si="3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43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48"/>
      <c r="H77" s="300">
        <f t="shared" si="3"/>
        <v>0</v>
      </c>
      <c r="I77" s="450"/>
      <c r="J77" s="301"/>
      <c r="K77" s="302"/>
      <c r="L77" s="303"/>
      <c r="M77" s="304"/>
      <c r="N77" s="304"/>
      <c r="O77" s="296"/>
      <c r="P77" s="443"/>
      <c r="Q77" s="296"/>
      <c r="R77" s="296"/>
    </row>
    <row r="78" spans="1:18">
      <c r="A78" s="621"/>
      <c r="B78" s="297">
        <v>0</v>
      </c>
      <c r="C78" s="308"/>
      <c r="D78" s="442"/>
      <c r="E78" s="442"/>
      <c r="F78" s="299" t="s">
        <v>186</v>
      </c>
      <c r="G78" s="324"/>
      <c r="H78" s="300">
        <f t="shared" si="3"/>
        <v>0</v>
      </c>
      <c r="I78" s="450"/>
      <c r="J78" s="301"/>
      <c r="K78" s="302"/>
      <c r="L78" s="303"/>
      <c r="M78" s="304"/>
      <c r="N78" s="304"/>
      <c r="O78" s="296"/>
      <c r="P78" s="443"/>
      <c r="Q78" s="296"/>
      <c r="R78" s="296"/>
    </row>
    <row r="79" spans="1:18">
      <c r="A79" s="621"/>
      <c r="B79" s="297">
        <v>0</v>
      </c>
      <c r="C79" s="308"/>
      <c r="D79" s="442"/>
      <c r="E79" s="442"/>
      <c r="F79" s="299" t="s">
        <v>186</v>
      </c>
      <c r="G79" s="324"/>
      <c r="H79" s="300">
        <f t="shared" si="3"/>
        <v>0</v>
      </c>
      <c r="I79" s="450"/>
      <c r="J79" s="301"/>
      <c r="K79" s="302"/>
      <c r="L79" s="303"/>
      <c r="M79" s="304"/>
      <c r="N79" s="304"/>
      <c r="O79" s="296"/>
      <c r="P79" s="443"/>
      <c r="Q79" s="296"/>
      <c r="R79" s="296"/>
    </row>
    <row r="80" spans="1:18">
      <c r="A80" s="621"/>
      <c r="B80" s="297">
        <v>0</v>
      </c>
      <c r="C80" s="308"/>
      <c r="D80" s="442"/>
      <c r="E80" s="442"/>
      <c r="F80" s="299" t="s">
        <v>186</v>
      </c>
      <c r="G80" s="324"/>
      <c r="H80" s="300">
        <f t="shared" si="3"/>
        <v>0</v>
      </c>
      <c r="I80" s="450"/>
      <c r="J80" s="301"/>
      <c r="K80" s="302"/>
      <c r="L80" s="303"/>
      <c r="M80" s="304"/>
      <c r="N80" s="304"/>
      <c r="O80" s="296"/>
      <c r="P80" s="443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414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429</v>
      </c>
      <c r="B82" s="297" t="s">
        <v>184</v>
      </c>
      <c r="C82" s="319"/>
      <c r="D82" s="320" t="s">
        <v>168</v>
      </c>
      <c r="E82" s="346"/>
      <c r="F82" s="299">
        <v>18.18</v>
      </c>
      <c r="G82" s="324">
        <v>419</v>
      </c>
      <c r="H82" s="347">
        <f t="shared" ref="H82:H90" si="20">F82*G82</f>
        <v>7617.42</v>
      </c>
      <c r="I82" s="450"/>
      <c r="J82" s="301">
        <v>4</v>
      </c>
      <c r="K82" s="302">
        <f t="shared" ref="K82" si="21">G82/P82*60</f>
        <v>3142.5000000000109</v>
      </c>
      <c r="L82" s="303">
        <f t="shared" ref="L82" si="22">K82/J82</f>
        <v>785.62500000000273</v>
      </c>
      <c r="M82" s="304">
        <v>0.72222222222222221</v>
      </c>
      <c r="N82" s="304">
        <v>0.72777777777777775</v>
      </c>
      <c r="O82" s="302">
        <v>20</v>
      </c>
      <c r="P82" s="443">
        <f>(N82-M82)*24*60</f>
        <v>7.9999999999999716</v>
      </c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20"/>
        <v>0</v>
      </c>
      <c r="I83" s="450"/>
      <c r="J83" s="301"/>
      <c r="K83" s="302"/>
      <c r="L83" s="303"/>
      <c r="M83" s="304"/>
      <c r="N83" s="304"/>
      <c r="O83" s="302"/>
      <c r="P83" s="443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20"/>
        <v>0</v>
      </c>
      <c r="I84" s="450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20"/>
        <v>0</v>
      </c>
      <c r="I85" s="450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48"/>
      <c r="H86" s="348">
        <f t="shared" si="20"/>
        <v>0</v>
      </c>
      <c r="I86" s="450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48"/>
      <c r="H87" s="348">
        <f t="shared" si="20"/>
        <v>0</v>
      </c>
      <c r="I87" s="450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48"/>
      <c r="H88" s="348">
        <f t="shared" si="20"/>
        <v>0</v>
      </c>
      <c r="I88" s="450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48"/>
      <c r="H89" s="348">
        <f t="shared" si="20"/>
        <v>0</v>
      </c>
      <c r="I89" s="450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48"/>
      <c r="H90" s="348">
        <f t="shared" si="20"/>
        <v>0</v>
      </c>
      <c r="I90" s="450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419</v>
      </c>
      <c r="D91" s="641" t="s">
        <v>414</v>
      </c>
      <c r="E91" s="641"/>
      <c r="F91" s="309"/>
      <c r="G91" s="350"/>
      <c r="H91" s="351"/>
      <c r="I91" s="312"/>
      <c r="J91" s="313">
        <f>AVERAGE(J82:J90)</f>
        <v>4</v>
      </c>
      <c r="K91" s="313">
        <f>AVERAGE(K82:K90)</f>
        <v>3142.5000000000109</v>
      </c>
      <c r="L91" s="314">
        <f>AVERAGE(L82:L90)</f>
        <v>785.62500000000273</v>
      </c>
      <c r="M91" s="304"/>
      <c r="N91" s="304"/>
      <c r="O91" s="302"/>
      <c r="P91" s="302"/>
      <c r="Q91" s="303"/>
      <c r="R91" s="303"/>
    </row>
    <row r="92" spans="1:18" ht="16.2" customHeight="1">
      <c r="A92" s="642" t="s">
        <v>430</v>
      </c>
      <c r="B92" s="297" t="s">
        <v>184</v>
      </c>
      <c r="C92" s="308"/>
      <c r="D92" s="352" t="s">
        <v>431</v>
      </c>
      <c r="E92" s="346"/>
      <c r="F92" s="299">
        <v>24.54</v>
      </c>
      <c r="G92" s="448">
        <v>1551</v>
      </c>
      <c r="H92" s="300">
        <f t="shared" ref="H92:H97" si="23">F92*G92</f>
        <v>38061.54</v>
      </c>
      <c r="I92" s="450"/>
      <c r="J92" s="301">
        <v>3</v>
      </c>
      <c r="K92" s="302">
        <f>G92/P92*60</f>
        <v>2326.4999999999991</v>
      </c>
      <c r="L92" s="303">
        <f t="shared" ref="L92:L94" si="24">K92/J92</f>
        <v>775.49999999999966</v>
      </c>
      <c r="M92" s="304">
        <v>0.72222222222222221</v>
      </c>
      <c r="N92" s="304">
        <v>0.75</v>
      </c>
      <c r="O92" s="296">
        <v>20</v>
      </c>
      <c r="P92" s="443">
        <f>(N92-M92)*24*60</f>
        <v>40.000000000000014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48">
        <v>748</v>
      </c>
      <c r="H93" s="300">
        <f t="shared" si="23"/>
        <v>16815.04</v>
      </c>
      <c r="I93" s="450"/>
      <c r="J93" s="301">
        <v>4</v>
      </c>
      <c r="K93" s="302">
        <f t="shared" ref="K93:K94" si="25">G93/P93*60</f>
        <v>2243.99999999999</v>
      </c>
      <c r="L93" s="303">
        <f t="shared" si="24"/>
        <v>560.9999999999975</v>
      </c>
      <c r="M93" s="304">
        <v>0.76388888888888884</v>
      </c>
      <c r="N93" s="304">
        <v>0.77777777777777779</v>
      </c>
      <c r="O93" s="296">
        <v>20</v>
      </c>
      <c r="P93" s="443">
        <f>(N93-M93)*24*60</f>
        <v>20.000000000000089</v>
      </c>
      <c r="Q93" s="305"/>
      <c r="R93" s="305"/>
    </row>
    <row r="94" spans="1:18">
      <c r="A94" s="643"/>
      <c r="B94" s="297" t="s">
        <v>184</v>
      </c>
      <c r="C94" s="308"/>
      <c r="D94" s="352" t="s">
        <v>432</v>
      </c>
      <c r="E94" s="341"/>
      <c r="F94" s="299">
        <v>22.21</v>
      </c>
      <c r="G94" s="306">
        <v>1071</v>
      </c>
      <c r="H94" s="300">
        <f t="shared" si="23"/>
        <v>23786.91</v>
      </c>
      <c r="I94" s="450"/>
      <c r="J94" s="301">
        <v>4</v>
      </c>
      <c r="K94" s="302">
        <f t="shared" si="25"/>
        <v>2141.9999999999964</v>
      </c>
      <c r="L94" s="303">
        <f t="shared" si="24"/>
        <v>535.49999999999909</v>
      </c>
      <c r="M94" s="304">
        <v>0.79166666666666663</v>
      </c>
      <c r="N94" s="304">
        <v>0.8125</v>
      </c>
      <c r="O94" s="296">
        <v>20</v>
      </c>
      <c r="P94" s="443">
        <f>(N94-M94)*24*60</f>
        <v>30.000000000000053</v>
      </c>
      <c r="Q94" s="305"/>
      <c r="R94" s="305"/>
    </row>
    <row r="95" spans="1:18">
      <c r="A95" s="644"/>
      <c r="B95" s="297">
        <v>0</v>
      </c>
      <c r="C95" s="308"/>
      <c r="D95" s="320"/>
      <c r="E95" s="341"/>
      <c r="F95" s="299" t="s">
        <v>186</v>
      </c>
      <c r="G95" s="306"/>
      <c r="H95" s="300">
        <f t="shared" si="23"/>
        <v>0</v>
      </c>
      <c r="I95" s="450"/>
      <c r="J95" s="301"/>
      <c r="K95" s="302"/>
      <c r="L95" s="303"/>
      <c r="M95" s="304"/>
      <c r="N95" s="304"/>
      <c r="O95" s="296"/>
      <c r="P95" s="443"/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23"/>
        <v>0</v>
      </c>
      <c r="I96" s="450"/>
      <c r="J96" s="301"/>
      <c r="K96" s="302"/>
      <c r="L96" s="303"/>
      <c r="M96" s="304"/>
      <c r="N96" s="304"/>
      <c r="O96" s="296"/>
      <c r="P96" s="443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23"/>
        <v>0</v>
      </c>
      <c r="I97" s="450"/>
      <c r="J97" s="301"/>
      <c r="K97" s="302"/>
      <c r="L97" s="303"/>
      <c r="M97" s="304"/>
      <c r="N97" s="304"/>
      <c r="O97" s="296"/>
      <c r="P97" s="443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50"/>
      <c r="J98" s="301"/>
      <c r="K98" s="302"/>
      <c r="L98" s="303"/>
      <c r="M98" s="304"/>
      <c r="N98" s="304"/>
      <c r="O98" s="296"/>
      <c r="P98" s="443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50"/>
      <c r="J99" s="301"/>
      <c r="K99" s="302"/>
      <c r="L99" s="303"/>
      <c r="M99" s="304"/>
      <c r="N99" s="304"/>
      <c r="O99" s="296"/>
      <c r="P99" s="443"/>
      <c r="Q99" s="305"/>
      <c r="R99" s="305"/>
    </row>
    <row r="100" spans="1:18" ht="15.75" customHeight="1">
      <c r="A100" s="644"/>
      <c r="B100" s="297">
        <v>0</v>
      </c>
      <c r="C100" s="6" t="s">
        <v>433</v>
      </c>
      <c r="D100" s="645" t="s">
        <v>414</v>
      </c>
      <c r="E100" s="646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2237.499999999995</v>
      </c>
      <c r="L100" s="314">
        <f>AVERAGE(L92:L99)</f>
        <v>623.99999999999875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434</v>
      </c>
      <c r="B101" s="297" t="s">
        <v>184</v>
      </c>
      <c r="C101" s="6"/>
      <c r="D101" s="341" t="s">
        <v>173</v>
      </c>
      <c r="E101" s="354"/>
      <c r="F101" s="299">
        <v>25.03</v>
      </c>
      <c r="G101" s="448">
        <v>954</v>
      </c>
      <c r="H101" s="300">
        <f t="shared" ref="H101:H110" si="26">F101*G101</f>
        <v>23878.620000000003</v>
      </c>
      <c r="I101" s="450"/>
      <c r="J101" s="301">
        <v>4</v>
      </c>
      <c r="K101" s="302">
        <f>G101/P101*60</f>
        <v>2861.9999999999873</v>
      </c>
      <c r="L101" s="303">
        <f t="shared" ref="L101:L105" si="27">K101/J101</f>
        <v>715.49999999999682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48">
        <v>1543</v>
      </c>
      <c r="H102" s="300">
        <f t="shared" si="26"/>
        <v>38297.26</v>
      </c>
      <c r="I102" s="450"/>
      <c r="J102" s="301">
        <v>4</v>
      </c>
      <c r="K102" s="302">
        <f t="shared" ref="K102:K105" si="29">G102/P102*60</f>
        <v>3085.9999999999945</v>
      </c>
      <c r="L102" s="303">
        <f t="shared" si="27"/>
        <v>771.49999999999864</v>
      </c>
      <c r="M102" s="304">
        <v>0.75</v>
      </c>
      <c r="N102" s="304">
        <v>0.77083333333333337</v>
      </c>
      <c r="O102" s="296">
        <v>20</v>
      </c>
      <c r="P102" s="302">
        <f t="shared" si="28"/>
        <v>30.000000000000053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48">
        <v>2727</v>
      </c>
      <c r="H103" s="300">
        <f t="shared" si="26"/>
        <v>77910.39</v>
      </c>
      <c r="I103" s="450"/>
      <c r="J103" s="301">
        <v>3</v>
      </c>
      <c r="K103" s="302">
        <f t="shared" si="29"/>
        <v>2974.9090909090928</v>
      </c>
      <c r="L103" s="303">
        <f t="shared" si="27"/>
        <v>991.63636363636431</v>
      </c>
      <c r="M103" s="304">
        <v>0.78472222222222221</v>
      </c>
      <c r="N103" s="304">
        <v>0.82291666666666663</v>
      </c>
      <c r="O103" s="296">
        <v>20</v>
      </c>
      <c r="P103" s="302">
        <f t="shared" si="28"/>
        <v>54.999999999999964</v>
      </c>
      <c r="Q103" s="305"/>
      <c r="R103" s="305"/>
    </row>
    <row r="104" spans="1:18">
      <c r="A104" s="647"/>
      <c r="B104" s="297" t="s">
        <v>184</v>
      </c>
      <c r="C104" s="6"/>
      <c r="D104" s="320" t="s">
        <v>435</v>
      </c>
      <c r="E104" s="341"/>
      <c r="F104" s="299">
        <v>14.03</v>
      </c>
      <c r="G104" s="448">
        <v>5276</v>
      </c>
      <c r="H104" s="300">
        <f t="shared" si="26"/>
        <v>74022.28</v>
      </c>
      <c r="I104" s="450"/>
      <c r="J104" s="301">
        <v>3</v>
      </c>
      <c r="K104" s="302">
        <f t="shared" si="29"/>
        <v>3014.8571428571395</v>
      </c>
      <c r="L104" s="303">
        <f t="shared" si="27"/>
        <v>1004.9523809523798</v>
      </c>
      <c r="M104" s="304">
        <v>0.83680555555555547</v>
      </c>
      <c r="N104" s="304">
        <v>0.90972222222222221</v>
      </c>
      <c r="O104" s="296">
        <v>20</v>
      </c>
      <c r="P104" s="302">
        <f>(N104-M104)*24*60</f>
        <v>105.00000000000011</v>
      </c>
      <c r="Q104" s="305">
        <v>0.90972222222222221</v>
      </c>
      <c r="R104" s="305">
        <v>0.95138888888888884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48">
        <v>7427</v>
      </c>
      <c r="H105" s="300">
        <f t="shared" si="26"/>
        <v>106099.99999999999</v>
      </c>
      <c r="I105" s="450"/>
      <c r="J105" s="301">
        <v>3</v>
      </c>
      <c r="K105" s="302">
        <f t="shared" si="29"/>
        <v>3073.2413793103492</v>
      </c>
      <c r="L105" s="303">
        <f t="shared" si="27"/>
        <v>1024.4137931034497</v>
      </c>
      <c r="M105" s="304">
        <v>0.96527777777777779</v>
      </c>
      <c r="N105" s="304">
        <v>1.0659722222222221</v>
      </c>
      <c r="O105" s="296">
        <v>20</v>
      </c>
      <c r="P105" s="302">
        <f>(N105-M105)*24*60</f>
        <v>144.9999999999998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26"/>
        <v>0</v>
      </c>
      <c r="I106" s="45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48"/>
      <c r="H107" s="300">
        <f t="shared" si="26"/>
        <v>0</v>
      </c>
      <c r="I107" s="45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48"/>
      <c r="H108" s="300">
        <f t="shared" si="26"/>
        <v>0</v>
      </c>
      <c r="I108" s="45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48"/>
      <c r="H109" s="300">
        <f t="shared" si="26"/>
        <v>0</v>
      </c>
      <c r="I109" s="45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48"/>
      <c r="H110" s="300">
        <f t="shared" si="26"/>
        <v>0</v>
      </c>
      <c r="I110" s="45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47"/>
      <c r="B111" s="297">
        <v>0</v>
      </c>
      <c r="C111" s="6" t="s">
        <v>423</v>
      </c>
      <c r="D111" s="624" t="s">
        <v>414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3002.2015226153126</v>
      </c>
      <c r="L111" s="314">
        <f>AVERAGE(L101:L110)</f>
        <v>901.60050753843791</v>
      </c>
      <c r="M111" s="304"/>
      <c r="N111" s="304"/>
      <c r="O111" s="302"/>
      <c r="P111" s="302"/>
      <c r="Q111" s="303"/>
      <c r="R111" s="296"/>
    </row>
    <row r="112" spans="1:18" ht="16.2" customHeight="1">
      <c r="A112" s="637" t="s">
        <v>436</v>
      </c>
      <c r="B112" s="297" t="s">
        <v>184</v>
      </c>
      <c r="C112" s="6"/>
      <c r="D112" s="337" t="s">
        <v>169</v>
      </c>
      <c r="E112" s="357"/>
      <c r="F112" s="299">
        <v>16.7</v>
      </c>
      <c r="G112" s="448">
        <v>1093</v>
      </c>
      <c r="H112" s="347">
        <f t="shared" si="3"/>
        <v>18253.099999999999</v>
      </c>
      <c r="I112" s="450"/>
      <c r="J112" s="301">
        <v>3</v>
      </c>
      <c r="K112" s="302">
        <f t="shared" ref="K112:K117" si="30">G112/P112*60</f>
        <v>3278.9999999999854</v>
      </c>
      <c r="L112" s="303">
        <f t="shared" ref="L112:L117" si="31">K112/J112</f>
        <v>1092.9999999999952</v>
      </c>
      <c r="M112" s="304">
        <v>0.72222222222222221</v>
      </c>
      <c r="N112" s="304">
        <v>0.73611111111111116</v>
      </c>
      <c r="O112" s="296">
        <v>20</v>
      </c>
      <c r="P112" s="443">
        <f t="shared" ref="P112:P117" si="32">(N112-M112)*24*60</f>
        <v>20.000000000000089</v>
      </c>
      <c r="Q112" s="296"/>
      <c r="R112" s="296"/>
    </row>
    <row r="113" spans="1:18">
      <c r="A113" s="637"/>
      <c r="B113" s="297" t="s">
        <v>184</v>
      </c>
      <c r="C113" s="319"/>
      <c r="D113" s="442" t="s">
        <v>177</v>
      </c>
      <c r="E113" s="442"/>
      <c r="F113" s="299">
        <v>18.18</v>
      </c>
      <c r="G113" s="448">
        <v>983</v>
      </c>
      <c r="H113" s="347">
        <f t="shared" si="3"/>
        <v>17870.939999999999</v>
      </c>
      <c r="I113" s="450"/>
      <c r="J113" s="301">
        <v>4</v>
      </c>
      <c r="K113" s="302">
        <f t="shared" si="30"/>
        <v>2949.0000000000105</v>
      </c>
      <c r="L113" s="303">
        <f t="shared" si="31"/>
        <v>737.25000000000261</v>
      </c>
      <c r="M113" s="304">
        <v>0.75</v>
      </c>
      <c r="N113" s="304">
        <v>0.76388888888888884</v>
      </c>
      <c r="O113" s="296">
        <v>20</v>
      </c>
      <c r="P113" s="443">
        <f t="shared" si="32"/>
        <v>19.999999999999929</v>
      </c>
      <c r="Q113" s="305"/>
      <c r="R113" s="305"/>
    </row>
    <row r="114" spans="1:18">
      <c r="A114" s="637"/>
      <c r="B114" s="297" t="s">
        <v>184</v>
      </c>
      <c r="C114" s="319"/>
      <c r="D114" s="442" t="s">
        <v>437</v>
      </c>
      <c r="E114" s="320"/>
      <c r="F114" s="299">
        <v>18.18</v>
      </c>
      <c r="G114" s="448">
        <v>1080</v>
      </c>
      <c r="H114" s="347">
        <f>F114*G114</f>
        <v>19634.400000000001</v>
      </c>
      <c r="I114" s="450"/>
      <c r="J114" s="301">
        <v>3</v>
      </c>
      <c r="K114" s="302">
        <f t="shared" si="30"/>
        <v>3240.0000000000114</v>
      </c>
      <c r="L114" s="303">
        <f t="shared" si="31"/>
        <v>1080.0000000000039</v>
      </c>
      <c r="M114" s="304">
        <v>0.77777777777777779</v>
      </c>
      <c r="N114" s="304">
        <v>0.79166666666666663</v>
      </c>
      <c r="O114" s="296">
        <v>20</v>
      </c>
      <c r="P114" s="443">
        <f t="shared" si="32"/>
        <v>19.999999999999929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48">
        <v>5034</v>
      </c>
      <c r="H115" s="347">
        <f t="shared" ref="H115:H123" si="33">F115*G115</f>
        <v>83866.44</v>
      </c>
      <c r="I115" s="450"/>
      <c r="J115" s="301">
        <v>4</v>
      </c>
      <c r="K115" s="302">
        <f t="shared" si="30"/>
        <v>3020.399999999996</v>
      </c>
      <c r="L115" s="303">
        <f t="shared" si="31"/>
        <v>755.099999999999</v>
      </c>
      <c r="M115" s="304">
        <v>0.80555555555555547</v>
      </c>
      <c r="N115" s="304">
        <v>0.875</v>
      </c>
      <c r="O115" s="296">
        <v>20</v>
      </c>
      <c r="P115" s="443">
        <f t="shared" si="32"/>
        <v>100.00000000000013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48">
        <v>1001</v>
      </c>
      <c r="H116" s="347">
        <f t="shared" si="33"/>
        <v>22304.1</v>
      </c>
      <c r="I116" s="450"/>
      <c r="J116" s="301">
        <v>4</v>
      </c>
      <c r="K116" s="302">
        <f t="shared" si="30"/>
        <v>3002.9999999999868</v>
      </c>
      <c r="L116" s="303">
        <f t="shared" si="31"/>
        <v>750.7499999999967</v>
      </c>
      <c r="M116" s="304">
        <v>0.88888888888888884</v>
      </c>
      <c r="N116" s="349">
        <v>0.90277777777777779</v>
      </c>
      <c r="O116" s="296">
        <v>20</v>
      </c>
      <c r="P116" s="443">
        <f t="shared" si="32"/>
        <v>20.000000000000089</v>
      </c>
      <c r="Q116" s="305">
        <v>0.90277777777777779</v>
      </c>
      <c r="R116" s="305">
        <v>0.94444444444444453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48">
        <v>3477</v>
      </c>
      <c r="H117" s="347">
        <f t="shared" si="33"/>
        <v>62206.69090909091</v>
      </c>
      <c r="I117" s="450"/>
      <c r="J117" s="301">
        <v>3</v>
      </c>
      <c r="K117" s="302">
        <f t="shared" si="30"/>
        <v>2980.2857143848432</v>
      </c>
      <c r="L117" s="303">
        <f t="shared" si="31"/>
        <v>993.42857146161441</v>
      </c>
      <c r="M117" s="304">
        <v>46114.965277777781</v>
      </c>
      <c r="N117" s="304">
        <v>46115.013888888891</v>
      </c>
      <c r="O117" s="302">
        <v>20</v>
      </c>
      <c r="P117" s="443">
        <f t="shared" si="32"/>
        <v>69.999999997671694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48"/>
      <c r="H118" s="347">
        <f t="shared" si="33"/>
        <v>0</v>
      </c>
      <c r="I118" s="450"/>
      <c r="J118" s="301"/>
      <c r="K118" s="302"/>
      <c r="L118" s="303"/>
      <c r="M118" s="304"/>
      <c r="N118" s="304"/>
      <c r="O118" s="296"/>
      <c r="P118" s="443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48"/>
      <c r="H119" s="347">
        <f t="shared" si="33"/>
        <v>0</v>
      </c>
      <c r="I119" s="450"/>
      <c r="J119" s="301"/>
      <c r="K119" s="302"/>
      <c r="L119" s="303"/>
      <c r="M119" s="304"/>
      <c r="N119" s="304"/>
      <c r="O119" s="296"/>
      <c r="P119" s="443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48"/>
      <c r="H120" s="347"/>
      <c r="I120" s="450"/>
      <c r="J120" s="301"/>
      <c r="K120" s="302"/>
      <c r="L120" s="303"/>
      <c r="M120" s="304"/>
      <c r="N120" s="304"/>
      <c r="O120" s="296"/>
      <c r="P120" s="443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48"/>
      <c r="H121" s="347"/>
      <c r="I121" s="450"/>
      <c r="J121" s="301"/>
      <c r="K121" s="302"/>
      <c r="L121" s="303"/>
      <c r="M121" s="304"/>
      <c r="N121" s="304"/>
      <c r="O121" s="296"/>
      <c r="P121" s="443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48"/>
      <c r="H122" s="347"/>
      <c r="I122" s="450"/>
      <c r="J122" s="301"/>
      <c r="K122" s="302"/>
      <c r="L122" s="303"/>
      <c r="M122" s="304"/>
      <c r="N122" s="304"/>
      <c r="O122" s="296"/>
      <c r="P122" s="443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48"/>
      <c r="H123" s="347">
        <f t="shared" si="33"/>
        <v>0</v>
      </c>
      <c r="I123" s="450"/>
      <c r="J123" s="301"/>
      <c r="K123" s="302"/>
      <c r="L123" s="303"/>
      <c r="M123" s="304"/>
      <c r="N123" s="304"/>
      <c r="O123" s="296"/>
      <c r="P123" s="443"/>
      <c r="Q123" s="305"/>
      <c r="R123" s="305"/>
    </row>
    <row r="124" spans="1:18" ht="17.399999999999999" customHeight="1">
      <c r="A124" s="637"/>
      <c r="B124" s="308">
        <v>0</v>
      </c>
      <c r="C124" s="6" t="s">
        <v>428</v>
      </c>
      <c r="D124" s="638" t="s">
        <v>414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3078.6142857308055</v>
      </c>
      <c r="L124" s="314">
        <f>AVERAGE(L112:L123)</f>
        <v>901.58809524360197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32" activePane="bottomLeft" state="frozen"/>
      <selection activeCell="A70" sqref="A70:A82"/>
      <selection pane="bottomLeft" activeCell="A70" sqref="A70:A8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233</v>
      </c>
      <c r="B1" s="28"/>
      <c r="C1" s="28"/>
      <c r="D1" s="471" t="s">
        <v>234</v>
      </c>
      <c r="E1" s="29">
        <f>SUM(G5:G173)</f>
        <v>150555.00000000003</v>
      </c>
      <c r="F1" s="455" t="s">
        <v>3</v>
      </c>
      <c r="G1" s="30">
        <f>SUM(H5:H173)</f>
        <v>5649902.0609951792</v>
      </c>
      <c r="H1" s="470" t="s">
        <v>52</v>
      </c>
      <c r="I1" s="31">
        <f>M17+M30+M43+M56+M69+M82+M95+M108+M121+M134+M147+M160+M173</f>
        <v>198.72142857142859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494</v>
      </c>
      <c r="Q1" s="649"/>
      <c r="R1" s="649"/>
      <c r="S1" s="649"/>
      <c r="T1" s="649" t="s">
        <v>235</v>
      </c>
      <c r="U1" s="649"/>
      <c r="V1" s="649"/>
      <c r="W1" s="649"/>
      <c r="X1" s="649"/>
      <c r="Y1" s="649"/>
      <c r="Z1" s="32" t="s">
        <v>236</v>
      </c>
      <c r="AA1" s="32" t="s">
        <v>264</v>
      </c>
      <c r="AB1" s="665" t="s">
        <v>258</v>
      </c>
      <c r="AC1" s="666"/>
      <c r="AD1" s="32" t="s">
        <v>236</v>
      </c>
      <c r="AE1" s="32" t="s">
        <v>237</v>
      </c>
      <c r="AF1" s="649" t="s">
        <v>238</v>
      </c>
      <c r="AG1" s="650"/>
      <c r="AH1" s="650"/>
    </row>
    <row r="2" spans="1:34" ht="26.25" customHeight="1">
      <c r="A2" s="657" t="s">
        <v>495</v>
      </c>
      <c r="B2" s="657"/>
      <c r="C2" s="471"/>
      <c r="D2" s="471" t="s">
        <v>28</v>
      </c>
      <c r="E2" s="34">
        <f>AVERAGE(O17,O30,O43,O56,O69,O82,O95,O108,O121,O134,O147,O160,O173)</f>
        <v>126.00488101774963</v>
      </c>
      <c r="F2" s="35" t="s">
        <v>55</v>
      </c>
      <c r="G2" s="36">
        <f>G1/E1</f>
        <v>37.527163235994671</v>
      </c>
      <c r="H2" s="470" t="s">
        <v>56</v>
      </c>
      <c r="I2" s="470">
        <f>COUNT(I5:I173)</f>
        <v>5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2</v>
      </c>
      <c r="AE2" s="38">
        <f>AE17+AE30+AE43+AE56+AE69+AE82+AE95+AE108+AE121+AE134+AE147+AE160+AE173</f>
        <v>3</v>
      </c>
      <c r="AF2" s="650"/>
      <c r="AG2" s="650"/>
      <c r="AH2" s="650"/>
    </row>
    <row r="3" spans="1:34" ht="30.6" customHeight="1">
      <c r="A3" s="658" t="s">
        <v>265</v>
      </c>
      <c r="B3" s="658" t="s">
        <v>57</v>
      </c>
      <c r="C3" s="659"/>
      <c r="D3" s="658" t="s">
        <v>260</v>
      </c>
      <c r="E3" s="658"/>
      <c r="F3" s="659" t="s">
        <v>58</v>
      </c>
      <c r="G3" s="674" t="s">
        <v>59</v>
      </c>
      <c r="H3" s="659" t="s">
        <v>60</v>
      </c>
      <c r="I3" s="651" t="s">
        <v>266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267</v>
      </c>
      <c r="O3" s="654" t="s">
        <v>28</v>
      </c>
      <c r="P3" s="652" t="s">
        <v>261</v>
      </c>
      <c r="Q3" s="654" t="s">
        <v>28</v>
      </c>
      <c r="R3" s="655" t="s">
        <v>239</v>
      </c>
      <c r="S3" s="656" t="s">
        <v>240</v>
      </c>
      <c r="T3" s="674" t="s">
        <v>63</v>
      </c>
      <c r="U3" s="674"/>
      <c r="V3" s="675" t="s">
        <v>64</v>
      </c>
      <c r="W3" s="651" t="s">
        <v>262</v>
      </c>
      <c r="X3" s="674" t="s">
        <v>241</v>
      </c>
      <c r="Y3" s="674"/>
      <c r="Z3" s="676" t="s">
        <v>268</v>
      </c>
      <c r="AA3" s="677"/>
      <c r="AB3" s="661" t="s">
        <v>242</v>
      </c>
      <c r="AC3" s="662"/>
      <c r="AD3" s="663" t="s">
        <v>269</v>
      </c>
      <c r="AE3" s="664"/>
      <c r="AF3" s="653" t="s">
        <v>267</v>
      </c>
      <c r="AG3" s="655" t="s">
        <v>239</v>
      </c>
      <c r="AH3" s="656" t="s">
        <v>240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65" t="s">
        <v>65</v>
      </c>
      <c r="U4" s="465" t="s">
        <v>66</v>
      </c>
      <c r="V4" s="674"/>
      <c r="W4" s="651"/>
      <c r="X4" s="455" t="s">
        <v>263</v>
      </c>
      <c r="Y4" s="455" t="s">
        <v>51</v>
      </c>
      <c r="Z4" s="465" t="s">
        <v>243</v>
      </c>
      <c r="AA4" s="465" t="s">
        <v>67</v>
      </c>
      <c r="AB4" s="662"/>
      <c r="AC4" s="662"/>
      <c r="AD4" s="465" t="s">
        <v>68</v>
      </c>
      <c r="AE4" s="39" t="s">
        <v>244</v>
      </c>
      <c r="AF4" s="653"/>
      <c r="AG4" s="655"/>
      <c r="AH4" s="656"/>
    </row>
    <row r="5" spans="1:34" ht="18.75" customHeight="1">
      <c r="A5" s="669" t="s">
        <v>69</v>
      </c>
      <c r="B5" s="40" t="s">
        <v>180</v>
      </c>
      <c r="C5" s="41"/>
      <c r="D5" s="42" t="s">
        <v>70</v>
      </c>
      <c r="E5" s="43"/>
      <c r="F5" s="361">
        <v>37.94</v>
      </c>
      <c r="G5" s="44">
        <v>3785.6</v>
      </c>
      <c r="H5" s="45">
        <f t="shared" ref="H5:H16" si="0">F5*G5</f>
        <v>143625.66399999999</v>
      </c>
      <c r="I5" s="466"/>
      <c r="J5" s="46">
        <v>20</v>
      </c>
      <c r="K5" s="44">
        <v>2400</v>
      </c>
      <c r="L5" s="47">
        <v>120</v>
      </c>
      <c r="M5" s="467">
        <v>20</v>
      </c>
      <c r="N5" s="44">
        <f t="shared" ref="N5:N10" si="1">G5/W5*60</f>
        <v>2294.3030303030291</v>
      </c>
      <c r="O5" s="47">
        <f t="shared" ref="O5:O10" si="2">N5/M5</f>
        <v>114.71515151515146</v>
      </c>
      <c r="P5" s="48">
        <f t="shared" ref="P5:P10" si="3">M5-J5</f>
        <v>0</v>
      </c>
      <c r="Q5" s="49">
        <f t="shared" ref="Q5:Q10" si="4">O5-L5</f>
        <v>-5.2848484848485384</v>
      </c>
      <c r="R5" s="457">
        <f t="shared" ref="R5:R10" si="5">O5/L5</f>
        <v>0.95595959595959556</v>
      </c>
      <c r="S5" s="672">
        <f>R17</f>
        <v>0.92530367768555688</v>
      </c>
      <c r="T5" s="50">
        <v>0.29166666666666669</v>
      </c>
      <c r="U5" s="50">
        <v>0.36041666666666672</v>
      </c>
      <c r="V5" s="455">
        <v>5</v>
      </c>
      <c r="W5" s="466">
        <f>(U5-T5)*24*60</f>
        <v>99.000000000000043</v>
      </c>
      <c r="X5" s="455"/>
      <c r="Y5" s="455"/>
      <c r="Z5" s="51"/>
      <c r="AA5" s="51"/>
      <c r="AB5" s="658"/>
      <c r="AC5" s="658"/>
      <c r="AD5" s="52"/>
      <c r="AE5" s="52"/>
      <c r="AF5" s="48">
        <f t="shared" ref="AF5:AF70" si="6">N5-K5</f>
        <v>-105.69696969697088</v>
      </c>
      <c r="AG5" s="457">
        <f t="shared" ref="AG5:AG70" si="7">N5/K5</f>
        <v>0.95595959595959545</v>
      </c>
      <c r="AH5" s="672">
        <f>AG17</f>
        <v>0.95982773649320374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2525.9</v>
      </c>
      <c r="H6" s="45">
        <f t="shared" si="0"/>
        <v>78975.122351621816</v>
      </c>
      <c r="I6" s="466"/>
      <c r="J6" s="46">
        <v>18</v>
      </c>
      <c r="K6" s="44">
        <v>2600</v>
      </c>
      <c r="L6" s="47">
        <v>144.44444444444446</v>
      </c>
      <c r="M6" s="467">
        <v>19</v>
      </c>
      <c r="N6" s="44">
        <f t="shared" si="1"/>
        <v>2525.8999999999987</v>
      </c>
      <c r="O6" s="47">
        <f t="shared" si="2"/>
        <v>132.94210526315783</v>
      </c>
      <c r="P6" s="48">
        <f t="shared" si="3"/>
        <v>1</v>
      </c>
      <c r="Q6" s="49">
        <f t="shared" si="4"/>
        <v>-11.502339181286629</v>
      </c>
      <c r="R6" s="457">
        <f t="shared" si="5"/>
        <v>0.92036842105263106</v>
      </c>
      <c r="S6" s="672"/>
      <c r="T6" s="50">
        <v>0.36597222222222225</v>
      </c>
      <c r="U6" s="50">
        <v>0.40763888888888894</v>
      </c>
      <c r="V6" s="455">
        <v>8</v>
      </c>
      <c r="W6" s="466">
        <f t="shared" ref="W6:W17" si="8">(U6-T6)*24*60</f>
        <v>60.000000000000028</v>
      </c>
      <c r="X6" s="53"/>
      <c r="Y6" s="53"/>
      <c r="Z6" s="54"/>
      <c r="AA6" s="54"/>
      <c r="AB6" s="658"/>
      <c r="AC6" s="658"/>
      <c r="AD6" s="453">
        <v>1</v>
      </c>
      <c r="AE6" s="453"/>
      <c r="AF6" s="48">
        <f t="shared" si="6"/>
        <v>-74.100000000001273</v>
      </c>
      <c r="AG6" s="457">
        <f t="shared" si="7"/>
        <v>0.97149999999999948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4579.68</v>
      </c>
      <c r="H7" s="45">
        <f t="shared" si="0"/>
        <v>174027.84000000003</v>
      </c>
      <c r="I7" s="466"/>
      <c r="J7" s="46">
        <v>19</v>
      </c>
      <c r="K7" s="44">
        <v>2600</v>
      </c>
      <c r="L7" s="47">
        <v>136.84210526315789</v>
      </c>
      <c r="M7" s="467">
        <v>20</v>
      </c>
      <c r="N7" s="44">
        <f t="shared" si="1"/>
        <v>2520.9247706422016</v>
      </c>
      <c r="O7" s="47">
        <f t="shared" si="2"/>
        <v>126.04623853211008</v>
      </c>
      <c r="P7" s="48">
        <f t="shared" si="3"/>
        <v>1</v>
      </c>
      <c r="Q7" s="49">
        <f t="shared" si="4"/>
        <v>-10.795866731047809</v>
      </c>
      <c r="R7" s="457">
        <f t="shared" si="5"/>
        <v>0.92110712773465064</v>
      </c>
      <c r="S7" s="672"/>
      <c r="T7" s="50">
        <v>0.42291666666666672</v>
      </c>
      <c r="U7" s="50">
        <v>0.49861111111111117</v>
      </c>
      <c r="V7" s="455">
        <v>22</v>
      </c>
      <c r="W7" s="466">
        <f t="shared" si="8"/>
        <v>109.00000000000001</v>
      </c>
      <c r="X7" s="53">
        <v>0.41111111111111115</v>
      </c>
      <c r="Y7" s="53">
        <v>0.4201388888888889</v>
      </c>
      <c r="Z7" s="54"/>
      <c r="AA7" s="54"/>
      <c r="AB7" s="658"/>
      <c r="AC7" s="658"/>
      <c r="AD7" s="453"/>
      <c r="AE7" s="453"/>
      <c r="AF7" s="48">
        <f t="shared" si="6"/>
        <v>-79.075229357798435</v>
      </c>
      <c r="AG7" s="457">
        <f t="shared" si="7"/>
        <v>0.96958645024700063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3598.32</v>
      </c>
      <c r="H8" s="45">
        <f t="shared" si="0"/>
        <v>136736.16</v>
      </c>
      <c r="I8" s="466"/>
      <c r="J8" s="46">
        <v>19</v>
      </c>
      <c r="K8" s="44">
        <v>2600</v>
      </c>
      <c r="L8" s="47">
        <v>136.84210526315789</v>
      </c>
      <c r="M8" s="467">
        <v>20</v>
      </c>
      <c r="N8" s="44">
        <f t="shared" si="1"/>
        <v>2510.4558139534884</v>
      </c>
      <c r="O8" s="47">
        <f t="shared" si="2"/>
        <v>125.52279069767442</v>
      </c>
      <c r="P8" s="48">
        <f t="shared" si="3"/>
        <v>1</v>
      </c>
      <c r="Q8" s="49">
        <f t="shared" si="4"/>
        <v>-11.319314565483467</v>
      </c>
      <c r="R8" s="457">
        <f t="shared" si="5"/>
        <v>0.91728193202146702</v>
      </c>
      <c r="S8" s="672"/>
      <c r="T8" s="50">
        <v>0.53819444444444453</v>
      </c>
      <c r="U8" s="50">
        <v>0.59791666666666676</v>
      </c>
      <c r="V8" s="455">
        <v>5</v>
      </c>
      <c r="W8" s="466">
        <f t="shared" si="8"/>
        <v>86.000000000000014</v>
      </c>
      <c r="X8" s="53"/>
      <c r="Y8" s="53"/>
      <c r="Z8" s="54"/>
      <c r="AA8" s="54"/>
      <c r="AB8" s="658"/>
      <c r="AC8" s="658"/>
      <c r="AD8" s="453"/>
      <c r="AE8" s="453"/>
      <c r="AF8" s="48">
        <f t="shared" si="6"/>
        <v>-89.544186046511641</v>
      </c>
      <c r="AG8" s="457">
        <f t="shared" si="7"/>
        <v>0.96555992844364935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1360.1</v>
      </c>
      <c r="H9" s="45">
        <f t="shared" si="0"/>
        <v>42525.065881642513</v>
      </c>
      <c r="I9" s="453"/>
      <c r="J9" s="46">
        <v>18</v>
      </c>
      <c r="K9" s="44">
        <v>2600</v>
      </c>
      <c r="L9" s="47">
        <v>144.44444444444446</v>
      </c>
      <c r="M9" s="467">
        <v>19</v>
      </c>
      <c r="N9" s="44">
        <f t="shared" si="1"/>
        <v>2472.9090909090878</v>
      </c>
      <c r="O9" s="47">
        <f t="shared" si="2"/>
        <v>130.15311004784672</v>
      </c>
      <c r="P9" s="48">
        <f t="shared" si="3"/>
        <v>1</v>
      </c>
      <c r="Q9" s="49">
        <f t="shared" si="4"/>
        <v>-14.291334396597733</v>
      </c>
      <c r="R9" s="457">
        <f t="shared" si="5"/>
        <v>0.90105999263893877</v>
      </c>
      <c r="S9" s="672"/>
      <c r="T9" s="50">
        <v>0.61388888888888893</v>
      </c>
      <c r="U9" s="50">
        <v>0.63680555555555562</v>
      </c>
      <c r="V9" s="455">
        <v>23</v>
      </c>
      <c r="W9" s="466">
        <f t="shared" si="8"/>
        <v>33.000000000000043</v>
      </c>
      <c r="X9" s="53">
        <v>0.60138888888888886</v>
      </c>
      <c r="Y9" s="53">
        <v>0.61111111111111105</v>
      </c>
      <c r="Z9" s="54"/>
      <c r="AA9" s="54"/>
      <c r="AB9" s="658"/>
      <c r="AC9" s="658"/>
      <c r="AD9" s="453"/>
      <c r="AE9" s="453"/>
      <c r="AF9" s="48">
        <f t="shared" si="6"/>
        <v>-127.09090909091219</v>
      </c>
      <c r="AG9" s="457">
        <f t="shared" si="7"/>
        <v>0.95111888111887988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2038.3999999999999</v>
      </c>
      <c r="H10" s="45">
        <f t="shared" si="0"/>
        <v>77336.895999999993</v>
      </c>
      <c r="I10" s="466"/>
      <c r="J10" s="46">
        <v>20</v>
      </c>
      <c r="K10" s="44">
        <v>2400</v>
      </c>
      <c r="L10" s="47">
        <v>120</v>
      </c>
      <c r="M10" s="467">
        <v>20</v>
      </c>
      <c r="N10" s="44">
        <f t="shared" si="1"/>
        <v>2264.8888888888901</v>
      </c>
      <c r="O10" s="47">
        <f t="shared" si="2"/>
        <v>113.2444444444445</v>
      </c>
      <c r="P10" s="48">
        <f t="shared" si="3"/>
        <v>0</v>
      </c>
      <c r="Q10" s="49">
        <f t="shared" si="4"/>
        <v>-6.7555555555555031</v>
      </c>
      <c r="R10" s="457">
        <f t="shared" si="5"/>
        <v>0.94370370370370416</v>
      </c>
      <c r="S10" s="673"/>
      <c r="T10" s="50">
        <v>0.64097222222222228</v>
      </c>
      <c r="U10" s="50">
        <v>0.67847222222222225</v>
      </c>
      <c r="V10" s="455">
        <v>6</v>
      </c>
      <c r="W10" s="466">
        <f t="shared" si="8"/>
        <v>53.999999999999972</v>
      </c>
      <c r="X10" s="53"/>
      <c r="Y10" s="53"/>
      <c r="Z10" s="54"/>
      <c r="AA10" s="54"/>
      <c r="AB10" s="658"/>
      <c r="AC10" s="658"/>
      <c r="AD10" s="453"/>
      <c r="AE10" s="453"/>
      <c r="AF10" s="48">
        <f t="shared" si="6"/>
        <v>-135.11111111110995</v>
      </c>
      <c r="AG10" s="457">
        <f t="shared" si="7"/>
        <v>0.94370370370370416</v>
      </c>
      <c r="AH10" s="673"/>
    </row>
    <row r="11" spans="1:34" ht="19.2" customHeight="1">
      <c r="A11" s="671"/>
      <c r="B11" s="40">
        <v>0</v>
      </c>
      <c r="C11" s="41"/>
      <c r="D11" s="42"/>
      <c r="E11" s="43"/>
      <c r="F11" s="361" t="s">
        <v>186</v>
      </c>
      <c r="G11" s="44"/>
      <c r="H11" s="45">
        <f t="shared" si="0"/>
        <v>0</v>
      </c>
      <c r="I11" s="466"/>
      <c r="J11" s="46"/>
      <c r="K11" s="44"/>
      <c r="L11" s="47"/>
      <c r="M11" s="467"/>
      <c r="N11" s="44"/>
      <c r="O11" s="47"/>
      <c r="P11" s="48"/>
      <c r="Q11" s="49"/>
      <c r="R11" s="457"/>
      <c r="S11" s="673"/>
      <c r="T11" s="50"/>
      <c r="U11" s="50"/>
      <c r="V11" s="455"/>
      <c r="W11" s="466"/>
      <c r="X11" s="53"/>
      <c r="Y11" s="53"/>
      <c r="Z11" s="54"/>
      <c r="AA11" s="54"/>
      <c r="AB11" s="658"/>
      <c r="AC11" s="658"/>
      <c r="AD11" s="453"/>
      <c r="AE11" s="453"/>
      <c r="AF11" s="48">
        <f t="shared" si="6"/>
        <v>0</v>
      </c>
      <c r="AG11" s="457" t="e">
        <f t="shared" si="7"/>
        <v>#DIV/0!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66"/>
      <c r="J12" s="46"/>
      <c r="K12" s="44"/>
      <c r="L12" s="47"/>
      <c r="M12" s="467"/>
      <c r="N12" s="44"/>
      <c r="O12" s="47"/>
      <c r="P12" s="48"/>
      <c r="Q12" s="49"/>
      <c r="R12" s="457"/>
      <c r="S12" s="673"/>
      <c r="T12" s="50"/>
      <c r="U12" s="50"/>
      <c r="V12" s="455"/>
      <c r="W12" s="466"/>
      <c r="X12" s="53"/>
      <c r="Y12" s="53"/>
      <c r="Z12" s="54"/>
      <c r="AA12" s="54"/>
      <c r="AB12" s="658"/>
      <c r="AC12" s="658"/>
      <c r="AD12" s="453"/>
      <c r="AE12" s="453"/>
      <c r="AF12" s="48">
        <f t="shared" si="6"/>
        <v>0</v>
      </c>
      <c r="AG12" s="457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68"/>
      <c r="J13" s="46"/>
      <c r="K13" s="44"/>
      <c r="L13" s="47"/>
      <c r="M13" s="62"/>
      <c r="N13" s="44"/>
      <c r="O13" s="47"/>
      <c r="P13" s="48"/>
      <c r="Q13" s="49"/>
      <c r="R13" s="457"/>
      <c r="S13" s="673"/>
      <c r="T13" s="63"/>
      <c r="U13" s="63"/>
      <c r="V13" s="468"/>
      <c r="W13" s="466"/>
      <c r="X13" s="64"/>
      <c r="Y13" s="64"/>
      <c r="Z13" s="54"/>
      <c r="AA13" s="54"/>
      <c r="AB13" s="658"/>
      <c r="AC13" s="658"/>
      <c r="AD13" s="453"/>
      <c r="AE13" s="453"/>
      <c r="AF13" s="48">
        <f t="shared" si="6"/>
        <v>0</v>
      </c>
      <c r="AG13" s="457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68"/>
      <c r="J14" s="46"/>
      <c r="K14" s="44"/>
      <c r="L14" s="47"/>
      <c r="M14" s="62"/>
      <c r="N14" s="44"/>
      <c r="O14" s="47"/>
      <c r="P14" s="48"/>
      <c r="Q14" s="49"/>
      <c r="R14" s="457"/>
      <c r="S14" s="673"/>
      <c r="T14" s="63"/>
      <c r="U14" s="63"/>
      <c r="V14" s="468"/>
      <c r="W14" s="466">
        <f t="shared" si="8"/>
        <v>0</v>
      </c>
      <c r="X14" s="64"/>
      <c r="Y14" s="64"/>
      <c r="Z14" s="54"/>
      <c r="AA14" s="54"/>
      <c r="AB14" s="658"/>
      <c r="AC14" s="658"/>
      <c r="AD14" s="453"/>
      <c r="AE14" s="453"/>
      <c r="AF14" s="65"/>
      <c r="AG14" s="458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68"/>
      <c r="J15" s="46"/>
      <c r="K15" s="44"/>
      <c r="L15" s="47"/>
      <c r="M15" s="62"/>
      <c r="N15" s="68"/>
      <c r="O15" s="47"/>
      <c r="P15" s="48"/>
      <c r="Q15" s="49"/>
      <c r="R15" s="457"/>
      <c r="S15" s="673"/>
      <c r="T15" s="63"/>
      <c r="U15" s="63"/>
      <c r="V15" s="468"/>
      <c r="W15" s="466">
        <f t="shared" si="8"/>
        <v>0</v>
      </c>
      <c r="X15" s="64"/>
      <c r="Y15" s="64"/>
      <c r="Z15" s="54"/>
      <c r="AA15" s="54"/>
      <c r="AB15" s="658"/>
      <c r="AC15" s="658"/>
      <c r="AD15" s="453"/>
      <c r="AE15" s="453"/>
      <c r="AF15" s="65"/>
      <c r="AG15" s="458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68"/>
      <c r="J16" s="46"/>
      <c r="K16" s="44"/>
      <c r="L16" s="47"/>
      <c r="M16" s="62"/>
      <c r="N16" s="68"/>
      <c r="O16" s="47"/>
      <c r="P16" s="48"/>
      <c r="Q16" s="49"/>
      <c r="R16" s="457"/>
      <c r="S16" s="673"/>
      <c r="T16" s="63"/>
      <c r="U16" s="63"/>
      <c r="V16" s="468"/>
      <c r="W16" s="466">
        <f t="shared" si="8"/>
        <v>0</v>
      </c>
      <c r="X16" s="64"/>
      <c r="Y16" s="64"/>
      <c r="Z16" s="54"/>
      <c r="AA16" s="54"/>
      <c r="AB16" s="658"/>
      <c r="AC16" s="658"/>
      <c r="AD16" s="453"/>
      <c r="AE16" s="453"/>
      <c r="AF16" s="65"/>
      <c r="AG16" s="458"/>
      <c r="AH16" s="673"/>
    </row>
    <row r="17" spans="1:34" ht="19.2" customHeight="1">
      <c r="A17" s="671"/>
      <c r="B17" s="69">
        <v>0</v>
      </c>
      <c r="C17" s="69" t="s">
        <v>16</v>
      </c>
      <c r="D17" s="678" t="s">
        <v>245</v>
      </c>
      <c r="E17" s="678"/>
      <c r="F17" s="362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2431.5635991161162</v>
      </c>
      <c r="O17" s="73">
        <f t="shared" si="9"/>
        <v>123.77064008339751</v>
      </c>
      <c r="P17" s="65">
        <f t="shared" ref="P17:P24" si="10">M17-J17</f>
        <v>0.66666666666666785</v>
      </c>
      <c r="Q17" s="74">
        <f t="shared" ref="Q17:Q24" si="11">O17-L17</f>
        <v>-9.9915431524699585</v>
      </c>
      <c r="R17" s="75">
        <f>O17/L17</f>
        <v>0.92530367768555688</v>
      </c>
      <c r="S17" s="673"/>
      <c r="T17" s="63"/>
      <c r="U17" s="63"/>
      <c r="V17" s="46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1</v>
      </c>
      <c r="AE17" s="79">
        <f>SUM(AE5:AE16)</f>
        <v>0</v>
      </c>
      <c r="AF17" s="65">
        <f t="shared" si="6"/>
        <v>-101.76973421721732</v>
      </c>
      <c r="AG17" s="458">
        <f t="shared" si="7"/>
        <v>0.95982773649320374</v>
      </c>
      <c r="AH17" s="673"/>
    </row>
    <row r="18" spans="1:34" ht="19.2" customHeight="1">
      <c r="A18" s="680" t="s">
        <v>271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2734.8999999999996</v>
      </c>
      <c r="H18" s="84">
        <f t="shared" ref="H18:H29" si="12">F18*G18</f>
        <v>100808.41399999999</v>
      </c>
      <c r="I18" s="45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2131.090909090909</v>
      </c>
      <c r="O18" s="86">
        <f t="shared" ref="O18:O24" si="14">N18/M18</f>
        <v>118.39393939393939</v>
      </c>
      <c r="P18" s="54">
        <f t="shared" si="10"/>
        <v>1</v>
      </c>
      <c r="Q18" s="88">
        <f t="shared" si="11"/>
        <v>-13.959001782531189</v>
      </c>
      <c r="R18" s="454">
        <f t="shared" ref="R18:R24" si="15">O18/L18</f>
        <v>0.89453198653198651</v>
      </c>
      <c r="S18" s="681">
        <f>R30</f>
        <v>0.87072876323822335</v>
      </c>
      <c r="T18" s="89">
        <v>0.16666666666666666</v>
      </c>
      <c r="U18" s="89">
        <v>0.22013888888888888</v>
      </c>
      <c r="V18" s="453">
        <v>5</v>
      </c>
      <c r="W18" s="90">
        <f>(U18-T18)*24*60</f>
        <v>77</v>
      </c>
      <c r="X18" s="86"/>
      <c r="Y18" s="86"/>
      <c r="Z18" s="54"/>
      <c r="AA18" s="54"/>
      <c r="AB18" s="658"/>
      <c r="AC18" s="658"/>
      <c r="AD18" s="453"/>
      <c r="AE18" s="453"/>
      <c r="AF18" s="91">
        <f t="shared" si="6"/>
        <v>-118.90909090909099</v>
      </c>
      <c r="AG18" s="92">
        <f t="shared" si="7"/>
        <v>0.94715151515151508</v>
      </c>
      <c r="AH18" s="682">
        <f>AG30</f>
        <v>0.90376185879136861</v>
      </c>
    </row>
    <row r="19" spans="1:34" ht="19.2" customHeight="1">
      <c r="A19" s="680"/>
      <c r="B19" s="463" t="s">
        <v>180</v>
      </c>
      <c r="C19" s="462"/>
      <c r="D19" s="82" t="s">
        <v>72</v>
      </c>
      <c r="E19" s="83"/>
      <c r="F19" s="361">
        <v>38.630952380952372</v>
      </c>
      <c r="G19" s="57">
        <v>1166.2</v>
      </c>
      <c r="H19" s="84">
        <f t="shared" si="12"/>
        <v>45051.416666666657</v>
      </c>
      <c r="I19" s="453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2332.3999999999987</v>
      </c>
      <c r="O19" s="95">
        <f t="shared" si="14"/>
        <v>122.75789473684203</v>
      </c>
      <c r="P19" s="54">
        <f t="shared" si="10"/>
        <v>1</v>
      </c>
      <c r="Q19" s="88">
        <f t="shared" si="11"/>
        <v>-21.686549707602424</v>
      </c>
      <c r="R19" s="454">
        <f t="shared" si="15"/>
        <v>0.84986234817813711</v>
      </c>
      <c r="S19" s="681"/>
      <c r="T19" s="89">
        <v>0.22500000000000001</v>
      </c>
      <c r="U19" s="89">
        <v>0.24583333333333335</v>
      </c>
      <c r="V19" s="453">
        <v>7</v>
      </c>
      <c r="W19" s="90">
        <f>(U19-T19)*24*60</f>
        <v>30.000000000000014</v>
      </c>
      <c r="X19" s="96"/>
      <c r="Y19" s="96"/>
      <c r="Z19" s="54"/>
      <c r="AA19" s="54"/>
      <c r="AB19" s="658"/>
      <c r="AC19" s="658"/>
      <c r="AD19" s="453"/>
      <c r="AE19" s="453">
        <v>1</v>
      </c>
      <c r="AF19" s="48">
        <f t="shared" si="6"/>
        <v>-267.60000000000127</v>
      </c>
      <c r="AG19" s="457">
        <f t="shared" si="7"/>
        <v>0.89707692307692255</v>
      </c>
      <c r="AH19" s="683"/>
    </row>
    <row r="20" spans="1:34" ht="19.2" customHeight="1">
      <c r="A20" s="680"/>
      <c r="B20" s="463" t="s">
        <v>182</v>
      </c>
      <c r="C20" s="55"/>
      <c r="D20" s="42" t="s">
        <v>80</v>
      </c>
      <c r="E20" s="83"/>
      <c r="F20" s="361">
        <v>38.39</v>
      </c>
      <c r="G20" s="57">
        <v>1983</v>
      </c>
      <c r="H20" s="84">
        <f t="shared" si="12"/>
        <v>76127.37</v>
      </c>
      <c r="I20" s="453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1450.9756097560969</v>
      </c>
      <c r="O20" s="95">
        <f t="shared" si="14"/>
        <v>85.351506456240998</v>
      </c>
      <c r="P20" s="54">
        <f t="shared" si="10"/>
        <v>1</v>
      </c>
      <c r="Q20" s="88">
        <f t="shared" si="11"/>
        <v>-16.898493543759002</v>
      </c>
      <c r="R20" s="454">
        <f t="shared" si="15"/>
        <v>0.83473355947423955</v>
      </c>
      <c r="S20" s="681"/>
      <c r="T20" s="89">
        <v>0.26111111111111113</v>
      </c>
      <c r="U20" s="89">
        <v>0.31805555555555559</v>
      </c>
      <c r="V20" s="453">
        <v>22</v>
      </c>
      <c r="W20" s="90">
        <f t="shared" ref="W20:W29" si="16">(U20-T20)*24*60</f>
        <v>82.000000000000028</v>
      </c>
      <c r="X20" s="96">
        <v>0.24930555555555556</v>
      </c>
      <c r="Y20" s="96">
        <v>0.25833333333333336</v>
      </c>
      <c r="Z20" s="54"/>
      <c r="AA20" s="54"/>
      <c r="AB20" s="658"/>
      <c r="AC20" s="658"/>
      <c r="AD20" s="453"/>
      <c r="AE20" s="453"/>
      <c r="AF20" s="91">
        <f t="shared" si="6"/>
        <v>-185.0243902439031</v>
      </c>
      <c r="AG20" s="92">
        <f t="shared" si="7"/>
        <v>0.88690440694137951</v>
      </c>
      <c r="AH20" s="683"/>
    </row>
    <row r="21" spans="1:34" ht="19.2" customHeight="1">
      <c r="A21" s="680"/>
      <c r="B21" s="463" t="s">
        <v>183</v>
      </c>
      <c r="C21" s="97"/>
      <c r="D21" s="98" t="s">
        <v>79</v>
      </c>
      <c r="E21" s="43"/>
      <c r="F21" s="361">
        <v>43.14</v>
      </c>
      <c r="G21" s="44">
        <v>1620</v>
      </c>
      <c r="H21" s="84">
        <f t="shared" si="12"/>
        <v>69886.8</v>
      </c>
      <c r="I21" s="455"/>
      <c r="J21" s="93">
        <v>16</v>
      </c>
      <c r="K21" s="44">
        <v>1440</v>
      </c>
      <c r="L21" s="47">
        <v>90</v>
      </c>
      <c r="M21" s="467">
        <v>16</v>
      </c>
      <c r="N21" s="94">
        <f t="shared" si="13"/>
        <v>1369.0140845070425</v>
      </c>
      <c r="O21" s="95">
        <f t="shared" si="14"/>
        <v>85.563380281690158</v>
      </c>
      <c r="P21" s="54">
        <f t="shared" si="10"/>
        <v>0</v>
      </c>
      <c r="Q21" s="88">
        <f t="shared" si="11"/>
        <v>-4.4366197183098421</v>
      </c>
      <c r="R21" s="454">
        <f t="shared" si="15"/>
        <v>0.95070422535211285</v>
      </c>
      <c r="S21" s="681"/>
      <c r="T21" s="89">
        <v>0.32291666666666669</v>
      </c>
      <c r="U21" s="89">
        <v>0.37222222222222223</v>
      </c>
      <c r="V21" s="453">
        <v>7</v>
      </c>
      <c r="W21" s="90">
        <f t="shared" si="16"/>
        <v>70.999999999999986</v>
      </c>
      <c r="X21" s="96"/>
      <c r="Y21" s="96"/>
      <c r="Z21" s="54"/>
      <c r="AA21" s="54"/>
      <c r="AB21" s="658"/>
      <c r="AC21" s="658"/>
      <c r="AD21" s="453"/>
      <c r="AE21" s="453"/>
      <c r="AF21" s="48">
        <f t="shared" si="6"/>
        <v>-70.985915492957474</v>
      </c>
      <c r="AG21" s="457">
        <f t="shared" si="7"/>
        <v>0.95070422535211285</v>
      </c>
      <c r="AH21" s="684"/>
    </row>
    <row r="22" spans="1:34" ht="19.2" customHeight="1">
      <c r="A22" s="680"/>
      <c r="B22" s="463" t="s">
        <v>182</v>
      </c>
      <c r="C22" s="97"/>
      <c r="D22" s="42" t="s">
        <v>198</v>
      </c>
      <c r="E22" s="43"/>
      <c r="F22" s="361">
        <v>38.1</v>
      </c>
      <c r="G22" s="44">
        <v>1013</v>
      </c>
      <c r="H22" s="84">
        <f t="shared" si="12"/>
        <v>38595.300000000003</v>
      </c>
      <c r="I22" s="455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1293.1914893617022</v>
      </c>
      <c r="O22" s="95">
        <f t="shared" si="14"/>
        <v>80.824468085106389</v>
      </c>
      <c r="P22" s="54">
        <f t="shared" si="10"/>
        <v>-1</v>
      </c>
      <c r="Q22" s="88">
        <f t="shared" si="11"/>
        <v>-7.410826032540669</v>
      </c>
      <c r="R22" s="454">
        <f t="shared" si="15"/>
        <v>0.91601063829787244</v>
      </c>
      <c r="S22" s="681"/>
      <c r="T22" s="89">
        <v>0.37708333333333333</v>
      </c>
      <c r="U22" s="89">
        <v>0.40972222222222221</v>
      </c>
      <c r="V22" s="453">
        <v>7</v>
      </c>
      <c r="W22" s="90">
        <f t="shared" si="16"/>
        <v>46.999999999999993</v>
      </c>
      <c r="X22" s="96"/>
      <c r="Y22" s="96"/>
      <c r="Z22" s="54"/>
      <c r="AA22" s="54"/>
      <c r="AB22" s="658"/>
      <c r="AC22" s="658"/>
      <c r="AD22" s="453"/>
      <c r="AE22" s="453"/>
      <c r="AF22" s="91">
        <f t="shared" si="6"/>
        <v>-206.80851063829778</v>
      </c>
      <c r="AG22" s="92">
        <f t="shared" si="7"/>
        <v>0.86212765957446813</v>
      </c>
      <c r="AH22" s="684"/>
    </row>
    <row r="23" spans="1:34" ht="19.2" customHeight="1">
      <c r="A23" s="680"/>
      <c r="B23" s="463" t="s">
        <v>180</v>
      </c>
      <c r="C23" s="97"/>
      <c r="D23" s="42" t="s">
        <v>72</v>
      </c>
      <c r="E23" s="43"/>
      <c r="F23" s="361">
        <v>38.630952380952372</v>
      </c>
      <c r="G23" s="44">
        <v>4664.8</v>
      </c>
      <c r="H23" s="84">
        <f t="shared" si="12"/>
        <v>180205.66666666663</v>
      </c>
      <c r="I23" s="455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2371.9322033898297</v>
      </c>
      <c r="O23" s="95">
        <f t="shared" si="14"/>
        <v>124.83853702051735</v>
      </c>
      <c r="P23" s="54">
        <f t="shared" si="10"/>
        <v>1</v>
      </c>
      <c r="Q23" s="88">
        <f t="shared" si="11"/>
        <v>-19.605907423927107</v>
      </c>
      <c r="R23" s="454">
        <f t="shared" si="15"/>
        <v>0.86426679475742774</v>
      </c>
      <c r="S23" s="681"/>
      <c r="T23" s="89">
        <v>0.44999999999999996</v>
      </c>
      <c r="U23" s="89">
        <v>0.53194444444444444</v>
      </c>
      <c r="V23" s="453">
        <v>5</v>
      </c>
      <c r="W23" s="90">
        <f t="shared" si="16"/>
        <v>118.00000000000006</v>
      </c>
      <c r="X23" s="96"/>
      <c r="Y23" s="96"/>
      <c r="Z23" s="54"/>
      <c r="AA23" s="54"/>
      <c r="AB23" s="658"/>
      <c r="AC23" s="658"/>
      <c r="AD23" s="453"/>
      <c r="AE23" s="453"/>
      <c r="AF23" s="48">
        <f t="shared" si="6"/>
        <v>-228.06779661017026</v>
      </c>
      <c r="AG23" s="457">
        <f t="shared" si="7"/>
        <v>0.91228161668839602</v>
      </c>
      <c r="AH23" s="684"/>
    </row>
    <row r="24" spans="1:34" ht="19.2" customHeight="1">
      <c r="A24" s="680"/>
      <c r="B24" s="463" t="s">
        <v>180</v>
      </c>
      <c r="C24" s="81"/>
      <c r="D24" s="82" t="s">
        <v>78</v>
      </c>
      <c r="E24" s="83"/>
      <c r="F24" s="361">
        <v>36.86</v>
      </c>
      <c r="G24" s="57">
        <v>1172.0999999999999</v>
      </c>
      <c r="H24" s="84">
        <f t="shared" si="12"/>
        <v>43203.605999999992</v>
      </c>
      <c r="I24" s="90"/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1953.4999999999982</v>
      </c>
      <c r="O24" s="95">
        <f t="shared" si="14"/>
        <v>108.52777777777767</v>
      </c>
      <c r="P24" s="54">
        <f t="shared" si="10"/>
        <v>1</v>
      </c>
      <c r="Q24" s="88">
        <f t="shared" si="11"/>
        <v>-23.825163398692908</v>
      </c>
      <c r="R24" s="454">
        <f t="shared" si="15"/>
        <v>0.81998765432098686</v>
      </c>
      <c r="S24" s="681"/>
      <c r="T24" s="89">
        <v>0.53749999999999998</v>
      </c>
      <c r="U24" s="89">
        <v>0.5625</v>
      </c>
      <c r="V24" s="453">
        <v>8</v>
      </c>
      <c r="W24" s="90">
        <f t="shared" si="16"/>
        <v>36.000000000000028</v>
      </c>
      <c r="X24" s="453"/>
      <c r="Y24" s="453"/>
      <c r="Z24" s="54"/>
      <c r="AA24" s="54"/>
      <c r="AB24" s="658"/>
      <c r="AC24" s="658"/>
      <c r="AD24" s="453"/>
      <c r="AE24" s="453"/>
      <c r="AF24" s="91">
        <f t="shared" si="6"/>
        <v>-296.50000000000182</v>
      </c>
      <c r="AG24" s="92">
        <f t="shared" si="7"/>
        <v>0.86822222222222145</v>
      </c>
      <c r="AH24" s="684"/>
    </row>
    <row r="25" spans="1:34" ht="19.2" customHeight="1">
      <c r="A25" s="680"/>
      <c r="B25" s="463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54"/>
      <c r="S25" s="681"/>
      <c r="T25" s="89"/>
      <c r="U25" s="89"/>
      <c r="V25" s="453"/>
      <c r="W25" s="90">
        <f t="shared" si="16"/>
        <v>0</v>
      </c>
      <c r="X25" s="453"/>
      <c r="Y25" s="453"/>
      <c r="Z25" s="54"/>
      <c r="AA25" s="54"/>
      <c r="AB25" s="658"/>
      <c r="AC25" s="658"/>
      <c r="AD25" s="453"/>
      <c r="AE25" s="453"/>
      <c r="AF25" s="48">
        <f t="shared" si="6"/>
        <v>0</v>
      </c>
      <c r="AG25" s="457" t="e">
        <f t="shared" si="7"/>
        <v>#DIV/0!</v>
      </c>
      <c r="AH25" s="684"/>
    </row>
    <row r="26" spans="1:34" ht="19.2" customHeight="1">
      <c r="A26" s="680"/>
      <c r="B26" s="463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4"/>
      <c r="S26" s="681"/>
      <c r="T26" s="89"/>
      <c r="U26" s="89"/>
      <c r="V26" s="453"/>
      <c r="W26" s="90">
        <f t="shared" si="16"/>
        <v>0</v>
      </c>
      <c r="X26" s="453"/>
      <c r="Y26" s="453"/>
      <c r="Z26" s="54"/>
      <c r="AA26" s="54"/>
      <c r="AB26" s="658"/>
      <c r="AC26" s="658"/>
      <c r="AD26" s="453"/>
      <c r="AE26" s="453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4"/>
      <c r="S27" s="681"/>
      <c r="T27" s="89"/>
      <c r="U27" s="89"/>
      <c r="V27" s="453"/>
      <c r="W27" s="90">
        <f t="shared" si="16"/>
        <v>0</v>
      </c>
      <c r="X27" s="453"/>
      <c r="Y27" s="453"/>
      <c r="Z27" s="54"/>
      <c r="AA27" s="54"/>
      <c r="AB27" s="658"/>
      <c r="AC27" s="658"/>
      <c r="AD27" s="453"/>
      <c r="AE27" s="453"/>
      <c r="AF27" s="48">
        <f t="shared" si="6"/>
        <v>0</v>
      </c>
      <c r="AG27" s="457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4"/>
      <c r="S28" s="681"/>
      <c r="T28" s="89"/>
      <c r="U28" s="89"/>
      <c r="V28" s="453"/>
      <c r="W28" s="90">
        <f t="shared" si="16"/>
        <v>0</v>
      </c>
      <c r="X28" s="453"/>
      <c r="Y28" s="453"/>
      <c r="Z28" s="54"/>
      <c r="AA28" s="54"/>
      <c r="AB28" s="658"/>
      <c r="AC28" s="658"/>
      <c r="AD28" s="453"/>
      <c r="AE28" s="453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4"/>
      <c r="S29" s="681"/>
      <c r="T29" s="89"/>
      <c r="U29" s="89"/>
      <c r="V29" s="453"/>
      <c r="W29" s="90">
        <f t="shared" si="16"/>
        <v>0</v>
      </c>
      <c r="X29" s="453"/>
      <c r="Y29" s="453"/>
      <c r="Z29" s="54"/>
      <c r="AA29" s="54"/>
      <c r="AB29" s="658"/>
      <c r="AC29" s="658"/>
      <c r="AD29" s="453"/>
      <c r="AE29" s="453"/>
      <c r="AF29" s="48">
        <f t="shared" si="6"/>
        <v>0</v>
      </c>
      <c r="AG29" s="457"/>
      <c r="AH29" s="684"/>
    </row>
    <row r="30" spans="1:34" ht="19.2" customHeight="1">
      <c r="A30" s="680"/>
      <c r="B30" s="99">
        <v>0</v>
      </c>
      <c r="C30" s="100" t="s">
        <v>246</v>
      </c>
      <c r="D30" s="679" t="s">
        <v>245</v>
      </c>
      <c r="E30" s="679"/>
      <c r="F30" s="365"/>
      <c r="G30" s="101"/>
      <c r="H30" s="102"/>
      <c r="I30" s="103"/>
      <c r="J30" s="101">
        <v>17</v>
      </c>
      <c r="K30" s="101">
        <v>2039.4285714285713</v>
      </c>
      <c r="L30" s="104">
        <v>119.15429505135388</v>
      </c>
      <c r="M30" s="101">
        <f t="shared" ref="M30:O30" si="17">AVERAGE(M18:M29)</f>
        <v>17.571428571428573</v>
      </c>
      <c r="N30" s="101">
        <f t="shared" si="17"/>
        <v>1843.1577565865111</v>
      </c>
      <c r="O30" s="104">
        <f t="shared" si="17"/>
        <v>103.75107196458772</v>
      </c>
      <c r="P30" s="54">
        <f t="shared" ref="P30:P35" si="18">M30-J30</f>
        <v>0.57142857142857295</v>
      </c>
      <c r="Q30" s="88">
        <f t="shared" ref="Q30:Q35" si="19">O30-L30</f>
        <v>-15.403223086766161</v>
      </c>
      <c r="R30" s="105">
        <f t="shared" ref="R30:R35" si="20">O30/L30</f>
        <v>0.87072876323822335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0</v>
      </c>
      <c r="AE30" s="107">
        <f>SUM(AE18:AE29)</f>
        <v>1</v>
      </c>
      <c r="AF30" s="108">
        <f t="shared" si="6"/>
        <v>-196.27081484206019</v>
      </c>
      <c r="AG30" s="109">
        <f t="shared" ref="AG30" si="21">N30/K30</f>
        <v>0.90376185879136861</v>
      </c>
      <c r="AH30" s="685"/>
    </row>
    <row r="31" spans="1:34" ht="19.2" customHeight="1">
      <c r="A31" s="688" t="s">
        <v>272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1850</v>
      </c>
      <c r="H31" s="113">
        <f t="shared" ref="H31:H40" si="22">F31*G31</f>
        <v>65360.5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5" si="23">G31/W31*60</f>
        <v>1850.0000000000005</v>
      </c>
      <c r="O31" s="116">
        <f t="shared" ref="O31:O35" si="24">N31/M31</f>
        <v>154.16666666666671</v>
      </c>
      <c r="P31" s="117">
        <f t="shared" si="18"/>
        <v>0</v>
      </c>
      <c r="Q31" s="118">
        <f t="shared" si="19"/>
        <v>-22.333333333333286</v>
      </c>
      <c r="R31" s="456">
        <f t="shared" si="20"/>
        <v>0.87346553352219103</v>
      </c>
      <c r="S31" s="690">
        <f>R43</f>
        <v>0.840155173969379</v>
      </c>
      <c r="T31" s="119">
        <v>0.16666666666666666</v>
      </c>
      <c r="U31" s="119">
        <v>0.20833333333333331</v>
      </c>
      <c r="V31" s="52">
        <v>5</v>
      </c>
      <c r="W31" s="120">
        <f t="shared" ref="W31:W42" si="25">(U31-T31)*24*60</f>
        <v>59.999999999999986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-267.99999999999955</v>
      </c>
      <c r="AG31" s="121">
        <f t="shared" si="7"/>
        <v>0.87346553352219092</v>
      </c>
      <c r="AH31" s="686">
        <f>AG43</f>
        <v>0.84312468013736996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1848</v>
      </c>
      <c r="H32" s="84">
        <f t="shared" si="22"/>
        <v>63257.039999999994</v>
      </c>
      <c r="I32" s="46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1879.3220338983053</v>
      </c>
      <c r="O32" s="47">
        <f t="shared" si="24"/>
        <v>156.61016949152545</v>
      </c>
      <c r="P32" s="48">
        <f t="shared" si="18"/>
        <v>0</v>
      </c>
      <c r="Q32" s="49">
        <f t="shared" si="19"/>
        <v>-19.889830508474546</v>
      </c>
      <c r="R32" s="457">
        <f t="shared" si="20"/>
        <v>0.88730974216161729</v>
      </c>
      <c r="S32" s="681"/>
      <c r="T32" s="89">
        <v>0.21388888888888888</v>
      </c>
      <c r="U32" s="89">
        <v>0.25486111111111109</v>
      </c>
      <c r="V32" s="453">
        <v>8</v>
      </c>
      <c r="W32" s="90">
        <f t="shared" si="25"/>
        <v>58.999999999999993</v>
      </c>
      <c r="X32" s="124"/>
      <c r="Y32" s="124"/>
      <c r="Z32" s="125"/>
      <c r="AA32" s="125"/>
      <c r="AB32" s="658"/>
      <c r="AC32" s="658"/>
      <c r="AD32" s="453"/>
      <c r="AE32" s="453"/>
      <c r="AF32" s="48">
        <f t="shared" si="6"/>
        <v>-238.67796610169466</v>
      </c>
      <c r="AG32" s="457">
        <f t="shared" si="7"/>
        <v>0.88730974216161729</v>
      </c>
      <c r="AH32" s="672"/>
    </row>
    <row r="33" spans="1:34" ht="19.2" customHeight="1">
      <c r="A33" s="689"/>
      <c r="B33" s="122" t="s">
        <v>184</v>
      </c>
      <c r="C33" s="453"/>
      <c r="D33" s="82" t="s">
        <v>82</v>
      </c>
      <c r="E33" s="83"/>
      <c r="F33" s="361">
        <v>36.409999999999997</v>
      </c>
      <c r="G33" s="57">
        <v>2764.8</v>
      </c>
      <c r="H33" s="84">
        <f t="shared" si="22"/>
        <v>100666.368</v>
      </c>
      <c r="I33" s="453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2182.7368421052638</v>
      </c>
      <c r="O33" s="47">
        <f t="shared" si="24"/>
        <v>218.27368421052637</v>
      </c>
      <c r="P33" s="48">
        <f t="shared" si="18"/>
        <v>0</v>
      </c>
      <c r="Q33" s="49">
        <f t="shared" si="19"/>
        <v>-58.626315789473608</v>
      </c>
      <c r="R33" s="457">
        <f t="shared" si="20"/>
        <v>0.78827621600045639</v>
      </c>
      <c r="S33" s="681"/>
      <c r="T33" s="89">
        <v>0.26944444444444443</v>
      </c>
      <c r="U33" s="89">
        <v>0.32222222222222219</v>
      </c>
      <c r="V33" s="453">
        <v>21</v>
      </c>
      <c r="W33" s="90">
        <f t="shared" si="25"/>
        <v>75.999999999999972</v>
      </c>
      <c r="X33" s="124">
        <v>0.25833333333333336</v>
      </c>
      <c r="Y33" s="124">
        <v>0.26666666666666666</v>
      </c>
      <c r="Z33" s="125"/>
      <c r="AA33" s="125"/>
      <c r="AB33" s="658"/>
      <c r="AC33" s="658"/>
      <c r="AD33" s="453">
        <v>1</v>
      </c>
      <c r="AE33" s="453"/>
      <c r="AF33" s="48">
        <f t="shared" si="6"/>
        <v>-586.2631578947362</v>
      </c>
      <c r="AG33" s="126">
        <f t="shared" si="7"/>
        <v>0.78827621600045639</v>
      </c>
      <c r="AH33" s="672"/>
    </row>
    <row r="34" spans="1:34" ht="19.2" customHeight="1">
      <c r="A34" s="689"/>
      <c r="B34" s="122" t="s">
        <v>185</v>
      </c>
      <c r="C34" s="127"/>
      <c r="D34" s="82" t="s">
        <v>270</v>
      </c>
      <c r="E34" s="83"/>
      <c r="F34" s="361">
        <v>54.09</v>
      </c>
      <c r="G34" s="57">
        <v>2180.25</v>
      </c>
      <c r="H34" s="84">
        <f t="shared" si="22"/>
        <v>117929.7225</v>
      </c>
      <c r="I34" s="453"/>
      <c r="J34" s="46">
        <v>18</v>
      </c>
      <c r="K34" s="44">
        <v>1500</v>
      </c>
      <c r="L34" s="47">
        <v>83.333333333333329</v>
      </c>
      <c r="M34" s="46">
        <v>18</v>
      </c>
      <c r="N34" s="44">
        <f t="shared" si="23"/>
        <v>1257.8365384615392</v>
      </c>
      <c r="O34" s="47">
        <f t="shared" si="24"/>
        <v>69.879807692307736</v>
      </c>
      <c r="P34" s="48">
        <f t="shared" si="18"/>
        <v>0</v>
      </c>
      <c r="Q34" s="49">
        <f t="shared" si="19"/>
        <v>-13.453525641025593</v>
      </c>
      <c r="R34" s="457">
        <f t="shared" si="20"/>
        <v>0.83855769230769284</v>
      </c>
      <c r="S34" s="681"/>
      <c r="T34" s="89">
        <v>0.32708333333333328</v>
      </c>
      <c r="U34" s="89">
        <v>0.39930555555555547</v>
      </c>
      <c r="V34" s="453">
        <v>7</v>
      </c>
      <c r="W34" s="90">
        <f t="shared" si="25"/>
        <v>103.99999999999994</v>
      </c>
      <c r="X34" s="124"/>
      <c r="Y34" s="124"/>
      <c r="Z34" s="125"/>
      <c r="AA34" s="125"/>
      <c r="AB34" s="658"/>
      <c r="AC34" s="658"/>
      <c r="AD34" s="453"/>
      <c r="AE34" s="453"/>
      <c r="AF34" s="48">
        <f t="shared" si="6"/>
        <v>-242.16346153846075</v>
      </c>
      <c r="AG34" s="126">
        <f t="shared" si="7"/>
        <v>0.83855769230769284</v>
      </c>
      <c r="AH34" s="672"/>
    </row>
    <row r="35" spans="1:34" ht="19.2" customHeight="1">
      <c r="A35" s="689"/>
      <c r="B35" s="122" t="s">
        <v>185</v>
      </c>
      <c r="C35" s="41"/>
      <c r="D35" s="42" t="s">
        <v>308</v>
      </c>
      <c r="E35" s="43"/>
      <c r="F35" s="361">
        <v>50.67</v>
      </c>
      <c r="G35" s="128">
        <v>2046</v>
      </c>
      <c r="H35" s="84">
        <f t="shared" si="22"/>
        <v>103670.82</v>
      </c>
      <c r="I35" s="455"/>
      <c r="J35" s="46">
        <v>18</v>
      </c>
      <c r="K35" s="44">
        <v>1500</v>
      </c>
      <c r="L35" s="47">
        <v>83.333333333333329</v>
      </c>
      <c r="M35" s="46">
        <v>18</v>
      </c>
      <c r="N35" s="44">
        <f t="shared" si="23"/>
        <v>1265.5670103092787</v>
      </c>
      <c r="O35" s="47">
        <f t="shared" si="24"/>
        <v>70.309278350515484</v>
      </c>
      <c r="P35" s="48">
        <f t="shared" si="18"/>
        <v>0</v>
      </c>
      <c r="Q35" s="49">
        <f t="shared" si="19"/>
        <v>-13.024054982817844</v>
      </c>
      <c r="R35" s="457">
        <f t="shared" si="20"/>
        <v>0.84371134020618588</v>
      </c>
      <c r="S35" s="681"/>
      <c r="T35" s="89">
        <v>0.43958333333333321</v>
      </c>
      <c r="U35" s="89">
        <v>0.50694444444444431</v>
      </c>
      <c r="V35" s="453">
        <v>5</v>
      </c>
      <c r="W35" s="90">
        <f t="shared" si="25"/>
        <v>96.999999999999972</v>
      </c>
      <c r="X35" s="124"/>
      <c r="Y35" s="124"/>
      <c r="Z35" s="125"/>
      <c r="AA35" s="125"/>
      <c r="AB35" s="658"/>
      <c r="AC35" s="658"/>
      <c r="AD35" s="453"/>
      <c r="AE35" s="453"/>
      <c r="AF35" s="117">
        <f t="shared" si="6"/>
        <v>-234.43298969072134</v>
      </c>
      <c r="AG35" s="121">
        <f t="shared" si="7"/>
        <v>0.84371134020618577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453"/>
      <c r="J36" s="46"/>
      <c r="K36" s="44"/>
      <c r="L36" s="47"/>
      <c r="M36" s="46"/>
      <c r="N36" s="44"/>
      <c r="O36" s="47"/>
      <c r="P36" s="48"/>
      <c r="Q36" s="49"/>
      <c r="R36" s="457"/>
      <c r="S36" s="681"/>
      <c r="T36" s="89"/>
      <c r="U36" s="89"/>
      <c r="V36" s="453"/>
      <c r="W36" s="90">
        <f t="shared" si="25"/>
        <v>0</v>
      </c>
      <c r="X36" s="124"/>
      <c r="Y36" s="124"/>
      <c r="Z36" s="125"/>
      <c r="AA36" s="125"/>
      <c r="AB36" s="658"/>
      <c r="AC36" s="658"/>
      <c r="AD36" s="453"/>
      <c r="AE36" s="453"/>
      <c r="AF36" s="48">
        <f t="shared" si="6"/>
        <v>0</v>
      </c>
      <c r="AG36" s="457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453"/>
      <c r="J37" s="46"/>
      <c r="K37" s="44"/>
      <c r="L37" s="47"/>
      <c r="M37" s="46"/>
      <c r="N37" s="44"/>
      <c r="O37" s="47"/>
      <c r="P37" s="48"/>
      <c r="Q37" s="49"/>
      <c r="R37" s="457"/>
      <c r="S37" s="681"/>
      <c r="T37" s="89"/>
      <c r="U37" s="89"/>
      <c r="V37" s="453"/>
      <c r="W37" s="90">
        <f t="shared" si="25"/>
        <v>0</v>
      </c>
      <c r="X37" s="124"/>
      <c r="Y37" s="124"/>
      <c r="Z37" s="125"/>
      <c r="AA37" s="125"/>
      <c r="AB37" s="658"/>
      <c r="AC37" s="658"/>
      <c r="AD37" s="453"/>
      <c r="AE37" s="453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453"/>
      <c r="J38" s="46"/>
      <c r="K38" s="44"/>
      <c r="L38" s="47"/>
      <c r="M38" s="464"/>
      <c r="N38" s="44"/>
      <c r="O38" s="47"/>
      <c r="P38" s="48"/>
      <c r="Q38" s="49"/>
      <c r="R38" s="457"/>
      <c r="S38" s="681"/>
      <c r="T38" s="89"/>
      <c r="U38" s="89"/>
      <c r="V38" s="453"/>
      <c r="W38" s="90">
        <f t="shared" si="25"/>
        <v>0</v>
      </c>
      <c r="X38" s="124"/>
      <c r="Y38" s="124"/>
      <c r="Z38" s="125"/>
      <c r="AA38" s="125"/>
      <c r="AB38" s="658"/>
      <c r="AC38" s="658"/>
      <c r="AD38" s="453"/>
      <c r="AE38" s="453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453"/>
      <c r="J39" s="46"/>
      <c r="K39" s="44"/>
      <c r="L39" s="47"/>
      <c r="M39" s="464"/>
      <c r="N39" s="44"/>
      <c r="O39" s="47"/>
      <c r="P39" s="48"/>
      <c r="Q39" s="49"/>
      <c r="R39" s="457"/>
      <c r="S39" s="681"/>
      <c r="T39" s="89"/>
      <c r="U39" s="89"/>
      <c r="V39" s="453"/>
      <c r="W39" s="90">
        <f t="shared" si="25"/>
        <v>0</v>
      </c>
      <c r="X39" s="124"/>
      <c r="Y39" s="124"/>
      <c r="Z39" s="125"/>
      <c r="AA39" s="125"/>
      <c r="AB39" s="658"/>
      <c r="AC39" s="658"/>
      <c r="AD39" s="453"/>
      <c r="AE39" s="453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55"/>
      <c r="J40" s="132"/>
      <c r="K40" s="133"/>
      <c r="L40" s="134"/>
      <c r="M40" s="467"/>
      <c r="N40" s="44"/>
      <c r="O40" s="47"/>
      <c r="P40" s="48"/>
      <c r="Q40" s="49"/>
      <c r="R40" s="457"/>
      <c r="S40" s="681"/>
      <c r="T40" s="89"/>
      <c r="U40" s="89"/>
      <c r="V40" s="453"/>
      <c r="W40" s="90">
        <f t="shared" si="25"/>
        <v>0</v>
      </c>
      <c r="X40" s="124"/>
      <c r="Y40" s="124"/>
      <c r="Z40" s="125"/>
      <c r="AA40" s="125"/>
      <c r="AB40" s="658"/>
      <c r="AC40" s="658"/>
      <c r="AD40" s="453"/>
      <c r="AE40" s="453"/>
      <c r="AF40" s="48">
        <f t="shared" si="6"/>
        <v>0</v>
      </c>
      <c r="AG40" s="457" t="e">
        <f t="shared" si="7"/>
        <v>#DIV/0!</v>
      </c>
      <c r="AH40" s="673"/>
    </row>
    <row r="41" spans="1:34" ht="19.2" customHeight="1">
      <c r="A41" s="689"/>
      <c r="B41" s="453">
        <v>0</v>
      </c>
      <c r="C41" s="55"/>
      <c r="D41" s="82"/>
      <c r="E41" s="83"/>
      <c r="F41" s="361" t="s">
        <v>186</v>
      </c>
      <c r="G41" s="57"/>
      <c r="H41" s="84"/>
      <c r="I41" s="453"/>
      <c r="J41" s="87"/>
      <c r="K41" s="57"/>
      <c r="L41" s="86"/>
      <c r="M41" s="464"/>
      <c r="N41" s="57"/>
      <c r="O41" s="86"/>
      <c r="P41" s="54"/>
      <c r="Q41" s="88"/>
      <c r="R41" s="454"/>
      <c r="S41" s="681"/>
      <c r="T41" s="89"/>
      <c r="U41" s="89"/>
      <c r="V41" s="453"/>
      <c r="W41" s="90">
        <f t="shared" si="25"/>
        <v>0</v>
      </c>
      <c r="X41" s="124"/>
      <c r="Y41" s="124"/>
      <c r="Z41" s="125"/>
      <c r="AA41" s="125"/>
      <c r="AB41" s="658"/>
      <c r="AC41" s="658"/>
      <c r="AD41" s="453"/>
      <c r="AE41" s="453"/>
      <c r="AF41" s="48"/>
      <c r="AG41" s="130"/>
      <c r="AH41" s="673"/>
    </row>
    <row r="42" spans="1:34" ht="19.2" customHeight="1">
      <c r="A42" s="689"/>
      <c r="B42" s="453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453"/>
      <c r="J42" s="87"/>
      <c r="K42" s="57"/>
      <c r="L42" s="86"/>
      <c r="M42" s="464"/>
      <c r="N42" s="57"/>
      <c r="O42" s="86"/>
      <c r="P42" s="54"/>
      <c r="Q42" s="88"/>
      <c r="R42" s="454"/>
      <c r="S42" s="681"/>
      <c r="T42" s="89"/>
      <c r="U42" s="89"/>
      <c r="V42" s="453"/>
      <c r="W42" s="90">
        <f t="shared" si="25"/>
        <v>0</v>
      </c>
      <c r="X42" s="124"/>
      <c r="Y42" s="124"/>
      <c r="Z42" s="125"/>
      <c r="AA42" s="125"/>
      <c r="AB42" s="658"/>
      <c r="AC42" s="658"/>
      <c r="AD42" s="453"/>
      <c r="AE42" s="453"/>
      <c r="AF42" s="48"/>
      <c r="AG42" s="130"/>
      <c r="AH42" s="673"/>
    </row>
    <row r="43" spans="1:34" ht="19.2" customHeight="1">
      <c r="A43" s="689"/>
      <c r="B43" s="122">
        <v>0</v>
      </c>
      <c r="C43" s="100" t="s">
        <v>17</v>
      </c>
      <c r="D43" s="687" t="s">
        <v>245</v>
      </c>
      <c r="E43" s="687"/>
      <c r="F43" s="365"/>
      <c r="G43" s="101"/>
      <c r="H43" s="102"/>
      <c r="I43" s="103"/>
      <c r="J43" s="101">
        <v>14</v>
      </c>
      <c r="K43" s="101">
        <v>2001</v>
      </c>
      <c r="L43" s="104">
        <v>159.31333333333333</v>
      </c>
      <c r="M43" s="101">
        <f t="shared" ref="M43:O43" si="26">AVERAGE(M31:M42)</f>
        <v>14</v>
      </c>
      <c r="N43" s="101">
        <f t="shared" si="26"/>
        <v>1687.0924849548774</v>
      </c>
      <c r="O43" s="104">
        <f t="shared" si="26"/>
        <v>133.84792128230833</v>
      </c>
      <c r="P43" s="54">
        <f>M43-J43</f>
        <v>0</v>
      </c>
      <c r="Q43" s="88">
        <f>N43-K43</f>
        <v>-313.90751504512264</v>
      </c>
      <c r="R43" s="105">
        <f t="shared" ref="R43:R49" si="27">O43/L43</f>
        <v>0.840155173969379</v>
      </c>
      <c r="S43" s="681"/>
      <c r="T43" s="89"/>
      <c r="U43" s="89"/>
      <c r="V43" s="453"/>
      <c r="W43" s="453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1</v>
      </c>
      <c r="AE43" s="107">
        <f>SUM(AE31:AE42)</f>
        <v>0</v>
      </c>
      <c r="AF43" s="48">
        <f t="shared" ref="AF43:AF54" si="28">N43-K43</f>
        <v>-313.90751504512264</v>
      </c>
      <c r="AG43" s="458">
        <f t="shared" si="7"/>
        <v>0.84312468013736996</v>
      </c>
      <c r="AH43" s="673"/>
    </row>
    <row r="44" spans="1:34" s="148" customFormat="1" ht="19.2" customHeight="1">
      <c r="A44" s="691" t="s">
        <v>84</v>
      </c>
      <c r="B44" s="97" t="s">
        <v>184</v>
      </c>
      <c r="C44" s="136"/>
      <c r="D44" s="42" t="s">
        <v>98</v>
      </c>
      <c r="E44" s="43"/>
      <c r="F44" s="368">
        <v>24.73</v>
      </c>
      <c r="G44" s="137">
        <v>1956</v>
      </c>
      <c r="H44" s="45">
        <f>F44*G44</f>
        <v>48371.88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2133.8181818181815</v>
      </c>
      <c r="O44" s="141">
        <f t="shared" ref="O44:O49" si="30">N44/M44</f>
        <v>426.76363636363629</v>
      </c>
      <c r="P44" s="51">
        <f t="shared" ref="P44:P49" si="31">M44-J44</f>
        <v>1</v>
      </c>
      <c r="Q44" s="142">
        <f t="shared" ref="Q44:Q49" si="32">O44-L44</f>
        <v>-73.236363636363706</v>
      </c>
      <c r="R44" s="143">
        <f t="shared" si="27"/>
        <v>0.85352727272727258</v>
      </c>
      <c r="S44" s="672">
        <f>R56</f>
        <v>0.88081134520584536</v>
      </c>
      <c r="T44" s="144">
        <v>0.16666666666666666</v>
      </c>
      <c r="U44" s="144">
        <v>0.2048611111111111</v>
      </c>
      <c r="V44" s="145">
        <v>5</v>
      </c>
      <c r="W44" s="146">
        <f t="shared" ref="W44:W56" si="33">(U44-T44)*24*60</f>
        <v>55.000000000000007</v>
      </c>
      <c r="X44" s="124"/>
      <c r="Y44" s="124"/>
      <c r="Z44" s="125"/>
      <c r="AA44" s="125"/>
      <c r="AB44" s="658"/>
      <c r="AC44" s="658"/>
      <c r="AD44" s="453"/>
      <c r="AE44" s="453"/>
      <c r="AF44" s="147">
        <f t="shared" si="28"/>
        <v>133.81818181818153</v>
      </c>
      <c r="AG44" s="461">
        <f t="shared" si="7"/>
        <v>1.0669090909090908</v>
      </c>
      <c r="AH44" s="694">
        <f>AG56</f>
        <v>1.0127174262050169</v>
      </c>
    </row>
    <row r="45" spans="1:34" s="148" customFormat="1" ht="19.2" customHeight="1">
      <c r="A45" s="692"/>
      <c r="B45" s="97" t="s">
        <v>184</v>
      </c>
      <c r="C45" s="136"/>
      <c r="D45" s="42" t="s">
        <v>99</v>
      </c>
      <c r="E45" s="43"/>
      <c r="F45" s="368">
        <v>24.73</v>
      </c>
      <c r="G45" s="137">
        <v>1761</v>
      </c>
      <c r="H45" s="45">
        <f>F45*G45</f>
        <v>43549.53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2113.2000000000007</v>
      </c>
      <c r="O45" s="141">
        <f t="shared" si="30"/>
        <v>422.64000000000016</v>
      </c>
      <c r="P45" s="51">
        <f t="shared" si="31"/>
        <v>1</v>
      </c>
      <c r="Q45" s="142">
        <f t="shared" si="32"/>
        <v>-77.359999999999843</v>
      </c>
      <c r="R45" s="143">
        <f t="shared" si="27"/>
        <v>0.84528000000000036</v>
      </c>
      <c r="S45" s="672"/>
      <c r="T45" s="144">
        <v>0.20833333333333331</v>
      </c>
      <c r="U45" s="144">
        <v>0.24305555555555552</v>
      </c>
      <c r="V45" s="145">
        <v>5</v>
      </c>
      <c r="W45" s="146">
        <f t="shared" si="33"/>
        <v>49.999999999999986</v>
      </c>
      <c r="X45" s="124"/>
      <c r="Y45" s="124"/>
      <c r="Z45" s="125"/>
      <c r="AA45" s="125"/>
      <c r="AB45" s="658"/>
      <c r="AC45" s="658"/>
      <c r="AD45" s="453"/>
      <c r="AE45" s="453"/>
      <c r="AF45" s="147">
        <f t="shared" si="28"/>
        <v>113.20000000000073</v>
      </c>
      <c r="AG45" s="461">
        <f t="shared" si="7"/>
        <v>1.0566000000000004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199</v>
      </c>
      <c r="E46" s="43"/>
      <c r="F46" s="368">
        <v>21.92</v>
      </c>
      <c r="G46" s="137">
        <v>869</v>
      </c>
      <c r="H46" s="45">
        <f t="shared" ref="H46:H50" si="34">F46*G46</f>
        <v>19048.480000000003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2085.6000000000008</v>
      </c>
      <c r="O46" s="141">
        <f t="shared" si="30"/>
        <v>417.12000000000018</v>
      </c>
      <c r="P46" s="51">
        <f t="shared" si="31"/>
        <v>1</v>
      </c>
      <c r="Q46" s="142">
        <f t="shared" si="32"/>
        <v>-82.879999999999825</v>
      </c>
      <c r="R46" s="143">
        <f t="shared" si="27"/>
        <v>0.83424000000000031</v>
      </c>
      <c r="S46" s="672"/>
      <c r="T46" s="144">
        <v>0.24652777777777773</v>
      </c>
      <c r="U46" s="144">
        <v>0.26388888888888884</v>
      </c>
      <c r="V46" s="145">
        <v>5</v>
      </c>
      <c r="W46" s="146">
        <f t="shared" si="33"/>
        <v>24.999999999999993</v>
      </c>
      <c r="X46" s="124"/>
      <c r="Y46" s="124"/>
      <c r="Z46" s="125"/>
      <c r="AA46" s="125"/>
      <c r="AB46" s="658"/>
      <c r="AC46" s="658"/>
      <c r="AD46" s="453"/>
      <c r="AE46" s="453"/>
      <c r="AF46" s="147">
        <f t="shared" si="28"/>
        <v>85.600000000000819</v>
      </c>
      <c r="AG46" s="461">
        <f t="shared" si="7"/>
        <v>1.0428000000000004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86</v>
      </c>
      <c r="E47" s="151"/>
      <c r="F47" s="368">
        <v>31.43</v>
      </c>
      <c r="G47" s="140">
        <v>1962</v>
      </c>
      <c r="H47" s="45">
        <f t="shared" si="34"/>
        <v>61665.659999999996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1384.9411764705881</v>
      </c>
      <c r="O47" s="141">
        <f t="shared" si="30"/>
        <v>197.8487394957983</v>
      </c>
      <c r="P47" s="51">
        <f t="shared" si="31"/>
        <v>0</v>
      </c>
      <c r="Q47" s="142">
        <f t="shared" si="32"/>
        <v>-16.436974789915979</v>
      </c>
      <c r="R47" s="143">
        <f t="shared" si="27"/>
        <v>0.92329411764705871</v>
      </c>
      <c r="S47" s="672"/>
      <c r="T47" s="144">
        <v>0.28124999999999994</v>
      </c>
      <c r="U47" s="144">
        <v>0.34027777777777773</v>
      </c>
      <c r="V47" s="140">
        <v>25</v>
      </c>
      <c r="W47" s="146">
        <f t="shared" si="33"/>
        <v>85.000000000000014</v>
      </c>
      <c r="X47" s="124">
        <v>0.2673611111111111</v>
      </c>
      <c r="Y47" s="124">
        <v>0.27847222222222223</v>
      </c>
      <c r="Z47" s="125"/>
      <c r="AA47" s="125"/>
      <c r="AB47" s="658"/>
      <c r="AC47" s="658"/>
      <c r="AD47" s="453"/>
      <c r="AE47" s="453"/>
      <c r="AF47" s="147">
        <f t="shared" si="28"/>
        <v>-115.05882352941194</v>
      </c>
      <c r="AG47" s="461">
        <f t="shared" si="7"/>
        <v>0.92329411764705871</v>
      </c>
      <c r="AH47" s="694"/>
    </row>
    <row r="48" spans="1:34" s="148" customFormat="1" ht="19.2" customHeight="1">
      <c r="A48" s="692"/>
      <c r="B48" s="97" t="s">
        <v>183</v>
      </c>
      <c r="C48" s="136"/>
      <c r="D48" s="153" t="s">
        <v>471</v>
      </c>
      <c r="E48" s="151"/>
      <c r="F48" s="368">
        <v>11.26</v>
      </c>
      <c r="G48" s="140">
        <v>8272</v>
      </c>
      <c r="H48" s="45">
        <f t="shared" si="34"/>
        <v>93142.720000000001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1468.4023668639054</v>
      </c>
      <c r="O48" s="141">
        <f t="shared" si="30"/>
        <v>244.73372781065089</v>
      </c>
      <c r="P48" s="51">
        <f t="shared" si="31"/>
        <v>0</v>
      </c>
      <c r="Q48" s="142">
        <f t="shared" si="32"/>
        <v>-5.2662721893491096</v>
      </c>
      <c r="R48" s="143">
        <f t="shared" si="27"/>
        <v>0.97893491124260357</v>
      </c>
      <c r="S48" s="672"/>
      <c r="T48" s="154">
        <v>0.36111111111111105</v>
      </c>
      <c r="U48" s="154">
        <v>0.59583333333333321</v>
      </c>
      <c r="V48" s="137">
        <v>30</v>
      </c>
      <c r="W48" s="146">
        <f t="shared" si="33"/>
        <v>337.99999999999994</v>
      </c>
      <c r="X48" s="124">
        <v>0.34375</v>
      </c>
      <c r="Y48" s="124">
        <v>0.35833333333333334</v>
      </c>
      <c r="Z48" s="125"/>
      <c r="AA48" s="125"/>
      <c r="AB48" s="658"/>
      <c r="AC48" s="658"/>
      <c r="AD48" s="453"/>
      <c r="AE48" s="453"/>
      <c r="AF48" s="147">
        <f t="shared" si="28"/>
        <v>-31.597633136094601</v>
      </c>
      <c r="AG48" s="461">
        <f t="shared" si="7"/>
        <v>0.97893491124260357</v>
      </c>
      <c r="AH48" s="694"/>
    </row>
    <row r="49" spans="1:34" s="148" customFormat="1" ht="19.2" customHeight="1">
      <c r="A49" s="692"/>
      <c r="B49" s="97" t="s">
        <v>185</v>
      </c>
      <c r="C49" s="136"/>
      <c r="D49" s="153" t="s">
        <v>85</v>
      </c>
      <c r="E49" s="151"/>
      <c r="F49" s="368">
        <v>10.09</v>
      </c>
      <c r="G49" s="137">
        <v>3860.19</v>
      </c>
      <c r="H49" s="45">
        <f t="shared" si="34"/>
        <v>38949.3171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1447.5712500000009</v>
      </c>
      <c r="O49" s="141">
        <f t="shared" si="30"/>
        <v>241.26187500000015</v>
      </c>
      <c r="P49" s="51">
        <f t="shared" si="31"/>
        <v>0</v>
      </c>
      <c r="Q49" s="142">
        <f t="shared" si="32"/>
        <v>-8.7381249999998545</v>
      </c>
      <c r="R49" s="143">
        <f t="shared" si="27"/>
        <v>0.96504750000000061</v>
      </c>
      <c r="S49" s="672"/>
      <c r="T49" s="154">
        <v>0.61666666666666659</v>
      </c>
      <c r="U49" s="154">
        <v>0.72777777777777763</v>
      </c>
      <c r="V49" s="137">
        <v>30</v>
      </c>
      <c r="W49" s="146">
        <f t="shared" si="33"/>
        <v>159.99999999999991</v>
      </c>
      <c r="X49" s="155">
        <v>0.59930555555555554</v>
      </c>
      <c r="Y49" s="155">
        <v>0.61388888888888882</v>
      </c>
      <c r="Z49" s="156"/>
      <c r="AA49" s="125"/>
      <c r="AB49" s="658"/>
      <c r="AC49" s="658"/>
      <c r="AD49" s="453"/>
      <c r="AE49" s="453"/>
      <c r="AF49" s="147">
        <f t="shared" si="28"/>
        <v>-52.428749999999127</v>
      </c>
      <c r="AG49" s="461">
        <f t="shared" si="7"/>
        <v>0.96504750000000061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453"/>
      <c r="AE50" s="453"/>
      <c r="AF50" s="147">
        <f t="shared" si="28"/>
        <v>0</v>
      </c>
      <c r="AG50" s="461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453"/>
      <c r="AE51" s="453"/>
      <c r="AF51" s="147">
        <f t="shared" si="28"/>
        <v>0</v>
      </c>
      <c r="AG51" s="461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54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453"/>
      <c r="AE52" s="453"/>
      <c r="AF52" s="147">
        <f t="shared" si="28"/>
        <v>0</v>
      </c>
      <c r="AG52" s="461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54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453"/>
      <c r="AE53" s="453"/>
      <c r="AF53" s="147">
        <f t="shared" si="28"/>
        <v>0</v>
      </c>
      <c r="AG53" s="461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54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453"/>
      <c r="AE54" s="453"/>
      <c r="AF54" s="147">
        <f t="shared" si="28"/>
        <v>0</v>
      </c>
      <c r="AG54" s="461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54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453"/>
      <c r="AE55" s="453"/>
      <c r="AF55" s="147"/>
      <c r="AG55" s="461"/>
      <c r="AH55" s="694"/>
    </row>
    <row r="56" spans="1:34" ht="19.2" customHeight="1">
      <c r="A56" s="693"/>
      <c r="B56" s="160">
        <v>0</v>
      </c>
      <c r="C56" s="100" t="s">
        <v>18</v>
      </c>
      <c r="D56" s="687" t="s">
        <v>245</v>
      </c>
      <c r="E56" s="687"/>
      <c r="F56" s="365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1772.2554958587796</v>
      </c>
      <c r="O56" s="104">
        <f t="shared" si="35"/>
        <v>325.06132977834767</v>
      </c>
      <c r="P56" s="161">
        <f>M56-J56</f>
        <v>0.5</v>
      </c>
      <c r="Q56" s="118">
        <f>N56-K56</f>
        <v>22.255495858779568</v>
      </c>
      <c r="R56" s="162">
        <f t="shared" ref="R56:R61" si="36">O56/L56</f>
        <v>0.88081134520584536</v>
      </c>
      <c r="S56" s="672"/>
      <c r="T56" s="163"/>
      <c r="U56" s="163"/>
      <c r="V56" s="46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0</v>
      </c>
      <c r="AE56" s="107">
        <f>SUM(AE44:AE55)</f>
        <v>0</v>
      </c>
      <c r="AF56" s="165">
        <f>N56-K56</f>
        <v>22.255495858779568</v>
      </c>
      <c r="AG56" s="454">
        <f>N56/K56</f>
        <v>1.0127174262050169</v>
      </c>
      <c r="AH56" s="694"/>
    </row>
    <row r="57" spans="1:34" ht="19.2" customHeight="1">
      <c r="A57" s="697" t="s">
        <v>273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1633</v>
      </c>
      <c r="H57" s="84">
        <f t="shared" ref="H57:H66" si="37">F57*G57</f>
        <v>46148.58</v>
      </c>
      <c r="I57" s="453"/>
      <c r="J57" s="87">
        <v>7</v>
      </c>
      <c r="K57" s="57">
        <v>1500</v>
      </c>
      <c r="L57" s="86">
        <v>214.28571428571428</v>
      </c>
      <c r="M57" s="464">
        <v>7</v>
      </c>
      <c r="N57" s="57">
        <f t="shared" ref="N57:N61" si="38">G57/W57*60</f>
        <v>1484.5454545454545</v>
      </c>
      <c r="O57" s="86">
        <f t="shared" ref="O57:O61" si="39">N57/M57</f>
        <v>212.07792207792207</v>
      </c>
      <c r="P57" s="168">
        <f t="shared" ref="P57:P61" si="40">M57-J57</f>
        <v>0</v>
      </c>
      <c r="Q57" s="49">
        <f t="shared" ref="Q57:Q61" si="41">O57-L57</f>
        <v>-2.2077922077922096</v>
      </c>
      <c r="R57" s="457">
        <f t="shared" si="36"/>
        <v>0.98969696969696974</v>
      </c>
      <c r="S57" s="672">
        <f>R69</f>
        <v>0.9804566509345457</v>
      </c>
      <c r="T57" s="144">
        <v>0.16666666666666666</v>
      </c>
      <c r="U57" s="144">
        <v>0.21249999999999999</v>
      </c>
      <c r="V57" s="455">
        <v>5</v>
      </c>
      <c r="W57" s="466">
        <f>(U57-T57)*24*60</f>
        <v>66</v>
      </c>
      <c r="X57" s="53"/>
      <c r="Y57" s="53"/>
      <c r="Z57" s="54"/>
      <c r="AA57" s="54"/>
      <c r="AB57" s="658"/>
      <c r="AC57" s="658"/>
      <c r="AD57" s="453"/>
      <c r="AE57" s="453"/>
      <c r="AF57" s="48">
        <f t="shared" si="6"/>
        <v>-15.454545454545496</v>
      </c>
      <c r="AG57" s="456">
        <f t="shared" si="7"/>
        <v>0.98969696969696963</v>
      </c>
      <c r="AH57" s="686">
        <f>AG69</f>
        <v>0.9812603572369315</v>
      </c>
    </row>
    <row r="58" spans="1:34" ht="19.2" customHeight="1">
      <c r="A58" s="654"/>
      <c r="B58" s="97" t="s">
        <v>183</v>
      </c>
      <c r="C58" s="462"/>
      <c r="D58" s="42" t="s">
        <v>88</v>
      </c>
      <c r="E58" s="43"/>
      <c r="F58" s="361">
        <v>27.88</v>
      </c>
      <c r="G58" s="137">
        <v>2252</v>
      </c>
      <c r="H58" s="45">
        <f t="shared" si="37"/>
        <v>62785.759999999995</v>
      </c>
      <c r="I58" s="455"/>
      <c r="J58" s="46">
        <v>7</v>
      </c>
      <c r="K58" s="44">
        <v>1500</v>
      </c>
      <c r="L58" s="86">
        <v>214.28571428571428</v>
      </c>
      <c r="M58" s="467">
        <v>7</v>
      </c>
      <c r="N58" s="44">
        <f t="shared" si="38"/>
        <v>1468.6956521739137</v>
      </c>
      <c r="O58" s="47">
        <f t="shared" si="39"/>
        <v>209.81366459627338</v>
      </c>
      <c r="P58" s="168">
        <f t="shared" si="40"/>
        <v>0</v>
      </c>
      <c r="Q58" s="49">
        <f t="shared" si="41"/>
        <v>-4.4720496894408939</v>
      </c>
      <c r="R58" s="457">
        <f t="shared" si="36"/>
        <v>0.97913043478260919</v>
      </c>
      <c r="S58" s="672"/>
      <c r="T58" s="169">
        <v>0.2298611111111111</v>
      </c>
      <c r="U58" s="169">
        <v>0.29374999999999996</v>
      </c>
      <c r="V58" s="455">
        <v>25</v>
      </c>
      <c r="W58" s="466">
        <f>(U58-T58)*24*60</f>
        <v>91.999999999999957</v>
      </c>
      <c r="X58" s="53">
        <v>0.21597222222222223</v>
      </c>
      <c r="Y58" s="53">
        <v>0.22708333333333333</v>
      </c>
      <c r="Z58" s="54"/>
      <c r="AA58" s="54"/>
      <c r="AB58" s="695"/>
      <c r="AC58" s="696"/>
      <c r="AD58" s="453"/>
      <c r="AE58" s="453"/>
      <c r="AF58" s="48">
        <f t="shared" si="6"/>
        <v>-31.304347826086314</v>
      </c>
      <c r="AG58" s="457">
        <f t="shared" si="7"/>
        <v>0.97913043478260908</v>
      </c>
      <c r="AH58" s="672"/>
    </row>
    <row r="59" spans="1:34" ht="19.2" customHeight="1">
      <c r="A59" s="654"/>
      <c r="B59" s="97" t="s">
        <v>183</v>
      </c>
      <c r="C59" s="462"/>
      <c r="D59" s="42" t="s">
        <v>89</v>
      </c>
      <c r="E59" s="43"/>
      <c r="F59" s="361">
        <v>28</v>
      </c>
      <c r="G59" s="137">
        <v>2977</v>
      </c>
      <c r="H59" s="45">
        <f t="shared" si="37"/>
        <v>83356</v>
      </c>
      <c r="I59" s="455"/>
      <c r="J59" s="46">
        <v>7</v>
      </c>
      <c r="K59" s="44">
        <v>1500</v>
      </c>
      <c r="L59" s="86">
        <v>214.28571428571428</v>
      </c>
      <c r="M59" s="467">
        <v>7</v>
      </c>
      <c r="N59" s="44">
        <f t="shared" si="38"/>
        <v>1501.008403361345</v>
      </c>
      <c r="O59" s="47">
        <f t="shared" si="39"/>
        <v>214.42977190876357</v>
      </c>
      <c r="P59" s="168">
        <f t="shared" si="40"/>
        <v>0</v>
      </c>
      <c r="Q59" s="49">
        <f t="shared" si="41"/>
        <v>0.14405762304929226</v>
      </c>
      <c r="R59" s="457">
        <f t="shared" si="36"/>
        <v>1.0006722689075633</v>
      </c>
      <c r="S59" s="672"/>
      <c r="T59" s="169">
        <v>0.31111111111111106</v>
      </c>
      <c r="U59" s="169">
        <v>0.39374999999999993</v>
      </c>
      <c r="V59" s="145">
        <v>25</v>
      </c>
      <c r="W59" s="466">
        <f t="shared" ref="W59:W69" si="42">(U59-T59)*24*60</f>
        <v>118.99999999999997</v>
      </c>
      <c r="X59" s="53">
        <v>0.29722222222222222</v>
      </c>
      <c r="Y59" s="53">
        <v>0.30833333333333335</v>
      </c>
      <c r="Z59" s="54"/>
      <c r="AA59" s="54"/>
      <c r="AB59" s="658"/>
      <c r="AC59" s="658"/>
      <c r="AD59" s="453"/>
      <c r="AE59" s="453">
        <v>1</v>
      </c>
      <c r="AF59" s="48">
        <f t="shared" si="6"/>
        <v>1.0084033613450174</v>
      </c>
      <c r="AG59" s="457">
        <f t="shared" si="7"/>
        <v>1.0006722689075633</v>
      </c>
      <c r="AH59" s="672"/>
    </row>
    <row r="60" spans="1:34" ht="19.2" customHeight="1">
      <c r="A60" s="654"/>
      <c r="B60" s="97" t="s">
        <v>185</v>
      </c>
      <c r="C60" s="462"/>
      <c r="D60" s="42" t="s">
        <v>85</v>
      </c>
      <c r="E60" s="43"/>
      <c r="F60" s="361">
        <v>10.09</v>
      </c>
      <c r="G60" s="137">
        <v>5003.95</v>
      </c>
      <c r="H60" s="45">
        <f t="shared" si="37"/>
        <v>50489.855499999998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1443.4471153846155</v>
      </c>
      <c r="O60" s="47">
        <f t="shared" si="39"/>
        <v>240.57451923076925</v>
      </c>
      <c r="P60" s="168">
        <f t="shared" si="40"/>
        <v>0</v>
      </c>
      <c r="Q60" s="49">
        <f t="shared" si="41"/>
        <v>-9.4254807692307452</v>
      </c>
      <c r="R60" s="457">
        <f t="shared" si="36"/>
        <v>0.96229807692307701</v>
      </c>
      <c r="S60" s="672"/>
      <c r="T60" s="169">
        <v>0.41458333333333325</v>
      </c>
      <c r="U60" s="169">
        <v>0.55902777777777768</v>
      </c>
      <c r="V60" s="145">
        <v>30</v>
      </c>
      <c r="W60" s="466">
        <f t="shared" si="42"/>
        <v>207.99999999999997</v>
      </c>
      <c r="X60" s="53">
        <v>0.3972222222222222</v>
      </c>
      <c r="Y60" s="53">
        <v>0.41180555555555554</v>
      </c>
      <c r="Z60" s="54"/>
      <c r="AA60" s="54"/>
      <c r="AB60" s="658"/>
      <c r="AC60" s="658"/>
      <c r="AD60" s="453"/>
      <c r="AE60" s="453"/>
      <c r="AF60" s="48">
        <f t="shared" si="6"/>
        <v>-56.552884615384528</v>
      </c>
      <c r="AG60" s="456">
        <f t="shared" si="7"/>
        <v>0.96229807692307701</v>
      </c>
      <c r="AH60" s="672"/>
    </row>
    <row r="61" spans="1:34" ht="19.2" customHeight="1">
      <c r="A61" s="654"/>
      <c r="B61" s="97" t="s">
        <v>185</v>
      </c>
      <c r="C61" s="462"/>
      <c r="D61" s="42" t="s">
        <v>85</v>
      </c>
      <c r="E61" s="43"/>
      <c r="F61" s="361">
        <v>10.09</v>
      </c>
      <c r="G61" s="137">
        <v>5432.86</v>
      </c>
      <c r="H61" s="45">
        <f t="shared" si="37"/>
        <v>54817.557399999998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1461.7560538116591</v>
      </c>
      <c r="O61" s="47">
        <f t="shared" si="39"/>
        <v>243.62600896860985</v>
      </c>
      <c r="P61" s="168">
        <f t="shared" si="40"/>
        <v>0</v>
      </c>
      <c r="Q61" s="49">
        <f t="shared" si="41"/>
        <v>-6.3739910313901476</v>
      </c>
      <c r="R61" s="457">
        <f t="shared" si="36"/>
        <v>0.97450403587443946</v>
      </c>
      <c r="S61" s="672"/>
      <c r="T61" s="169">
        <v>0.57986111111111105</v>
      </c>
      <c r="U61" s="169">
        <v>0.73472222222222217</v>
      </c>
      <c r="V61" s="145">
        <v>30</v>
      </c>
      <c r="W61" s="466">
        <f t="shared" si="42"/>
        <v>223</v>
      </c>
      <c r="X61" s="53">
        <v>0.5625</v>
      </c>
      <c r="Y61" s="53">
        <v>0.57708333333333328</v>
      </c>
      <c r="Z61" s="54"/>
      <c r="AA61" s="54"/>
      <c r="AB61" s="658"/>
      <c r="AC61" s="658"/>
      <c r="AD61" s="453"/>
      <c r="AE61" s="453"/>
      <c r="AF61" s="48">
        <f t="shared" si="6"/>
        <v>-38.243946188340942</v>
      </c>
      <c r="AG61" s="457">
        <f t="shared" si="7"/>
        <v>0.97450403587443934</v>
      </c>
      <c r="AH61" s="672"/>
    </row>
    <row r="62" spans="1:34" ht="19.2" customHeight="1">
      <c r="A62" s="654"/>
      <c r="B62" s="97">
        <v>0</v>
      </c>
      <c r="C62" s="462"/>
      <c r="D62" s="42"/>
      <c r="E62" s="43"/>
      <c r="F62" s="361" t="s">
        <v>186</v>
      </c>
      <c r="G62" s="137"/>
      <c r="H62" s="45">
        <f t="shared" si="37"/>
        <v>0</v>
      </c>
      <c r="I62" s="455"/>
      <c r="J62" s="170"/>
      <c r="K62" s="61"/>
      <c r="L62" s="86"/>
      <c r="M62" s="62"/>
      <c r="N62" s="44"/>
      <c r="O62" s="47"/>
      <c r="P62" s="168"/>
      <c r="Q62" s="49"/>
      <c r="R62" s="457"/>
      <c r="S62" s="672"/>
      <c r="T62" s="169"/>
      <c r="U62" s="169"/>
      <c r="V62" s="145"/>
      <c r="W62" s="466">
        <f t="shared" si="42"/>
        <v>0</v>
      </c>
      <c r="X62" s="53"/>
      <c r="Y62" s="53"/>
      <c r="Z62" s="54"/>
      <c r="AA62" s="54"/>
      <c r="AB62" s="658"/>
      <c r="AC62" s="658"/>
      <c r="AD62" s="453"/>
      <c r="AE62" s="453"/>
      <c r="AF62" s="48">
        <f t="shared" si="6"/>
        <v>0</v>
      </c>
      <c r="AG62" s="457" t="e">
        <f t="shared" si="7"/>
        <v>#DIV/0!</v>
      </c>
      <c r="AH62" s="672"/>
    </row>
    <row r="63" spans="1:34" ht="19.2" customHeight="1">
      <c r="A63" s="654"/>
      <c r="B63" s="97">
        <v>0</v>
      </c>
      <c r="C63" s="462"/>
      <c r="D63" s="42"/>
      <c r="E63" s="43"/>
      <c r="F63" s="361" t="s">
        <v>186</v>
      </c>
      <c r="G63" s="137"/>
      <c r="H63" s="45">
        <f t="shared" si="37"/>
        <v>0</v>
      </c>
      <c r="I63" s="455"/>
      <c r="J63" s="46"/>
      <c r="K63" s="44"/>
      <c r="L63" s="86"/>
      <c r="M63" s="62"/>
      <c r="N63" s="44"/>
      <c r="O63" s="47"/>
      <c r="P63" s="168"/>
      <c r="Q63" s="49"/>
      <c r="R63" s="457"/>
      <c r="S63" s="672"/>
      <c r="T63" s="169"/>
      <c r="U63" s="169"/>
      <c r="V63" s="145"/>
      <c r="W63" s="466">
        <f t="shared" si="42"/>
        <v>0</v>
      </c>
      <c r="X63" s="53"/>
      <c r="Y63" s="53"/>
      <c r="Z63" s="54"/>
      <c r="AA63" s="54"/>
      <c r="AB63" s="658"/>
      <c r="AC63" s="658"/>
      <c r="AD63" s="453"/>
      <c r="AE63" s="453"/>
      <c r="AF63" s="48">
        <f t="shared" si="6"/>
        <v>0</v>
      </c>
      <c r="AG63" s="456" t="e">
        <f t="shared" si="7"/>
        <v>#DIV/0!</v>
      </c>
      <c r="AH63" s="672"/>
    </row>
    <row r="64" spans="1:34" ht="19.2" customHeight="1">
      <c r="A64" s="654"/>
      <c r="B64" s="97">
        <v>0</v>
      </c>
      <c r="C64" s="462"/>
      <c r="D64" s="42"/>
      <c r="E64" s="43"/>
      <c r="F64" s="361" t="s">
        <v>186</v>
      </c>
      <c r="G64" s="137"/>
      <c r="H64" s="45">
        <f t="shared" si="37"/>
        <v>0</v>
      </c>
      <c r="I64" s="455"/>
      <c r="J64" s="170"/>
      <c r="K64" s="61"/>
      <c r="L64" s="86"/>
      <c r="M64" s="62"/>
      <c r="N64" s="44"/>
      <c r="O64" s="47"/>
      <c r="P64" s="168"/>
      <c r="Q64" s="49"/>
      <c r="R64" s="457"/>
      <c r="S64" s="672"/>
      <c r="T64" s="169"/>
      <c r="U64" s="169"/>
      <c r="V64" s="145"/>
      <c r="W64" s="466">
        <f t="shared" si="42"/>
        <v>0</v>
      </c>
      <c r="X64" s="455"/>
      <c r="Y64" s="455"/>
      <c r="Z64" s="54"/>
      <c r="AA64" s="54"/>
      <c r="AB64" s="658"/>
      <c r="AC64" s="658"/>
      <c r="AD64" s="453"/>
      <c r="AE64" s="453"/>
      <c r="AF64" s="48">
        <f t="shared" si="6"/>
        <v>0</v>
      </c>
      <c r="AG64" s="457" t="e">
        <f t="shared" si="7"/>
        <v>#DIV/0!</v>
      </c>
      <c r="AH64" s="672"/>
    </row>
    <row r="65" spans="1:34" ht="19.2" customHeight="1">
      <c r="A65" s="654"/>
      <c r="B65" s="97">
        <v>0</v>
      </c>
      <c r="C65" s="462"/>
      <c r="D65" s="42"/>
      <c r="E65" s="43"/>
      <c r="F65" s="361" t="s">
        <v>186</v>
      </c>
      <c r="G65" s="137"/>
      <c r="H65" s="45">
        <f t="shared" si="37"/>
        <v>0</v>
      </c>
      <c r="I65" s="455"/>
      <c r="J65" s="170"/>
      <c r="K65" s="61"/>
      <c r="L65" s="86"/>
      <c r="M65" s="62"/>
      <c r="N65" s="61"/>
      <c r="O65" s="77"/>
      <c r="P65" s="48"/>
      <c r="Q65" s="49"/>
      <c r="R65" s="457"/>
      <c r="S65" s="672"/>
      <c r="T65" s="169"/>
      <c r="U65" s="169"/>
      <c r="V65" s="145"/>
      <c r="W65" s="466">
        <f t="shared" si="42"/>
        <v>0</v>
      </c>
      <c r="X65" s="455"/>
      <c r="Y65" s="455"/>
      <c r="Z65" s="54"/>
      <c r="AA65" s="54"/>
      <c r="AB65" s="658"/>
      <c r="AC65" s="658"/>
      <c r="AD65" s="453"/>
      <c r="AE65" s="453"/>
      <c r="AF65" s="48">
        <f t="shared" si="6"/>
        <v>0</v>
      </c>
      <c r="AG65" s="457" t="e">
        <f t="shared" si="7"/>
        <v>#DIV/0!</v>
      </c>
      <c r="AH65" s="672"/>
    </row>
    <row r="66" spans="1:34" ht="19.2" customHeight="1">
      <c r="A66" s="654"/>
      <c r="B66" s="97">
        <v>0</v>
      </c>
      <c r="C66" s="462"/>
      <c r="D66" s="42"/>
      <c r="E66" s="43"/>
      <c r="F66" s="361" t="s">
        <v>186</v>
      </c>
      <c r="G66" s="137"/>
      <c r="H66" s="45">
        <f t="shared" si="37"/>
        <v>0</v>
      </c>
      <c r="I66" s="455"/>
      <c r="J66" s="170"/>
      <c r="K66" s="61"/>
      <c r="L66" s="86"/>
      <c r="M66" s="62"/>
      <c r="N66" s="61"/>
      <c r="O66" s="77"/>
      <c r="P66" s="48"/>
      <c r="Q66" s="49"/>
      <c r="R66" s="457"/>
      <c r="S66" s="672"/>
      <c r="T66" s="169"/>
      <c r="U66" s="169"/>
      <c r="V66" s="145"/>
      <c r="W66" s="466">
        <f t="shared" si="42"/>
        <v>0</v>
      </c>
      <c r="X66" s="455"/>
      <c r="Y66" s="455"/>
      <c r="Z66" s="54"/>
      <c r="AA66" s="54"/>
      <c r="AB66" s="658"/>
      <c r="AC66" s="658"/>
      <c r="AD66" s="453"/>
      <c r="AE66" s="453"/>
      <c r="AF66" s="48">
        <f t="shared" si="6"/>
        <v>0</v>
      </c>
      <c r="AG66" s="456" t="e">
        <f t="shared" si="7"/>
        <v>#DIV/0!</v>
      </c>
      <c r="AH66" s="672"/>
    </row>
    <row r="67" spans="1:34" ht="19.2" customHeight="1">
      <c r="A67" s="654"/>
      <c r="B67" s="97">
        <v>0</v>
      </c>
      <c r="C67" s="462"/>
      <c r="D67" s="42"/>
      <c r="E67" s="43"/>
      <c r="F67" s="361" t="s">
        <v>186</v>
      </c>
      <c r="G67" s="137"/>
      <c r="H67" s="45">
        <f>F67*G67</f>
        <v>0</v>
      </c>
      <c r="I67" s="455"/>
      <c r="J67" s="170"/>
      <c r="K67" s="61"/>
      <c r="L67" s="86"/>
      <c r="M67" s="62"/>
      <c r="N67" s="61"/>
      <c r="O67" s="77"/>
      <c r="P67" s="48"/>
      <c r="Q67" s="49"/>
      <c r="R67" s="457"/>
      <c r="S67" s="672"/>
      <c r="T67" s="169"/>
      <c r="U67" s="169"/>
      <c r="V67" s="145"/>
      <c r="W67" s="466">
        <f t="shared" si="42"/>
        <v>0</v>
      </c>
      <c r="X67" s="455"/>
      <c r="Y67" s="455"/>
      <c r="Z67" s="54"/>
      <c r="AA67" s="54"/>
      <c r="AB67" s="658"/>
      <c r="AC67" s="658"/>
      <c r="AD67" s="453"/>
      <c r="AE67" s="453"/>
      <c r="AF67" s="48">
        <f t="shared" si="6"/>
        <v>0</v>
      </c>
      <c r="AG67" s="457" t="e">
        <f t="shared" si="7"/>
        <v>#DIV/0!</v>
      </c>
      <c r="AH67" s="672"/>
    </row>
    <row r="68" spans="1:34" ht="19.2" customHeight="1">
      <c r="A68" s="654"/>
      <c r="B68" s="455">
        <v>0</v>
      </c>
      <c r="C68" s="462"/>
      <c r="D68" s="42"/>
      <c r="E68" s="43"/>
      <c r="F68" s="368" t="s">
        <v>186</v>
      </c>
      <c r="G68" s="137"/>
      <c r="H68" s="45">
        <f>F68*G68</f>
        <v>0</v>
      </c>
      <c r="I68" s="455"/>
      <c r="J68" s="170"/>
      <c r="K68" s="61"/>
      <c r="L68" s="86"/>
      <c r="M68" s="62"/>
      <c r="N68" s="61"/>
      <c r="O68" s="77"/>
      <c r="P68" s="48"/>
      <c r="Q68" s="49"/>
      <c r="R68" s="457"/>
      <c r="S68" s="672"/>
      <c r="T68" s="169"/>
      <c r="U68" s="169"/>
      <c r="V68" s="145"/>
      <c r="W68" s="466">
        <f t="shared" si="42"/>
        <v>0</v>
      </c>
      <c r="X68" s="455"/>
      <c r="Y68" s="455"/>
      <c r="Z68" s="54"/>
      <c r="AA68" s="54"/>
      <c r="AB68" s="658"/>
      <c r="AC68" s="658"/>
      <c r="AD68" s="453"/>
      <c r="AE68" s="453"/>
      <c r="AF68" s="48"/>
      <c r="AG68" s="457"/>
      <c r="AH68" s="672"/>
    </row>
    <row r="69" spans="1:34" ht="19.2" customHeight="1">
      <c r="A69" s="654"/>
      <c r="B69" s="171">
        <v>0</v>
      </c>
      <c r="C69" s="6" t="s">
        <v>247</v>
      </c>
      <c r="D69" s="687" t="s">
        <v>245</v>
      </c>
      <c r="E69" s="687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1471.8905358553973</v>
      </c>
      <c r="O69" s="73">
        <f t="shared" si="43"/>
        <v>224.10437735646761</v>
      </c>
      <c r="P69" s="48">
        <f>M69-J69</f>
        <v>0</v>
      </c>
      <c r="Q69" s="49">
        <f>N69-K69</f>
        <v>-28.109464144602725</v>
      </c>
      <c r="R69" s="175">
        <f t="shared" ref="R69:R75" si="44">O69/L69</f>
        <v>0.9804566509345457</v>
      </c>
      <c r="S69" s="672"/>
      <c r="T69" s="144"/>
      <c r="U69" s="144"/>
      <c r="V69" s="44"/>
      <c r="W69" s="46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1</v>
      </c>
      <c r="AF69" s="48">
        <f t="shared" si="6"/>
        <v>-28.109464144602725</v>
      </c>
      <c r="AG69" s="457">
        <f t="shared" si="7"/>
        <v>0.9812603572369315</v>
      </c>
      <c r="AH69" s="672"/>
    </row>
    <row r="70" spans="1:34" ht="19.2" customHeight="1">
      <c r="A70" s="656" t="s">
        <v>90</v>
      </c>
      <c r="B70" s="455" t="s">
        <v>182</v>
      </c>
      <c r="C70" s="97"/>
      <c r="D70" s="42" t="s">
        <v>91</v>
      </c>
      <c r="E70" s="43"/>
      <c r="F70" s="361">
        <v>62.13</v>
      </c>
      <c r="G70" s="44">
        <v>331</v>
      </c>
      <c r="H70" s="45">
        <f>F70*G70</f>
        <v>20565.030000000002</v>
      </c>
      <c r="I70" s="455"/>
      <c r="J70" s="46">
        <v>14</v>
      </c>
      <c r="K70" s="44">
        <v>1500</v>
      </c>
      <c r="L70" s="47">
        <v>107.14285714285714</v>
      </c>
      <c r="M70" s="467">
        <v>13</v>
      </c>
      <c r="N70" s="44">
        <f t="shared" ref="N70:N75" si="45">G70/W70*60</f>
        <v>1241.2499999999982</v>
      </c>
      <c r="O70" s="47">
        <f t="shared" ref="O70:O75" si="46">N70/M70</f>
        <v>95.480769230769084</v>
      </c>
      <c r="P70" s="48">
        <f t="shared" ref="P70:P75" si="47">M70-J70</f>
        <v>-1</v>
      </c>
      <c r="Q70" s="49">
        <f t="shared" ref="Q70:Q75" si="48">O70-L70</f>
        <v>-11.662087912088055</v>
      </c>
      <c r="R70" s="457">
        <f t="shared" si="44"/>
        <v>0.89115384615384485</v>
      </c>
      <c r="S70" s="672">
        <f>R82</f>
        <v>0.87989822699243414</v>
      </c>
      <c r="T70" s="50">
        <v>0.29166666666666669</v>
      </c>
      <c r="U70" s="50">
        <v>0.30277777777777781</v>
      </c>
      <c r="V70" s="455">
        <v>5</v>
      </c>
      <c r="W70" s="466">
        <f>(U70-T70)*24*60</f>
        <v>16.000000000000021</v>
      </c>
      <c r="X70" s="455"/>
      <c r="Y70" s="455"/>
      <c r="Z70" s="54"/>
      <c r="AA70" s="54"/>
      <c r="AB70" s="658"/>
      <c r="AC70" s="658"/>
      <c r="AD70" s="453"/>
      <c r="AE70" s="453"/>
      <c r="AF70" s="48">
        <f t="shared" si="6"/>
        <v>-258.75000000000182</v>
      </c>
      <c r="AG70" s="457">
        <f t="shared" si="7"/>
        <v>0.82749999999999879</v>
      </c>
      <c r="AH70" s="672">
        <f>AG82</f>
        <v>0.86716791101622337</v>
      </c>
    </row>
    <row r="71" spans="1:34" ht="19.2" customHeight="1">
      <c r="A71" s="656"/>
      <c r="B71" s="455" t="s">
        <v>181</v>
      </c>
      <c r="C71" s="41"/>
      <c r="D71" s="176" t="s">
        <v>92</v>
      </c>
      <c r="E71" s="43"/>
      <c r="F71" s="361">
        <v>47.65</v>
      </c>
      <c r="G71" s="44">
        <v>1790</v>
      </c>
      <c r="H71" s="45">
        <f>F71*G71</f>
        <v>85293.5</v>
      </c>
      <c r="I71" s="455"/>
      <c r="J71" s="46">
        <v>18</v>
      </c>
      <c r="K71" s="177">
        <v>1440</v>
      </c>
      <c r="L71" s="47">
        <v>80</v>
      </c>
      <c r="M71" s="464">
        <v>18</v>
      </c>
      <c r="N71" s="44">
        <f t="shared" si="45"/>
        <v>1359.4936708860753</v>
      </c>
      <c r="O71" s="47">
        <f t="shared" si="46"/>
        <v>75.527426160337512</v>
      </c>
      <c r="P71" s="48">
        <f t="shared" si="47"/>
        <v>0</v>
      </c>
      <c r="Q71" s="49">
        <f t="shared" si="48"/>
        <v>-4.4725738396624877</v>
      </c>
      <c r="R71" s="457">
        <f t="shared" si="44"/>
        <v>0.94409282700421893</v>
      </c>
      <c r="S71" s="672"/>
      <c r="T71" s="50">
        <v>0.30763888888888891</v>
      </c>
      <c r="U71" s="50">
        <v>0.36250000000000004</v>
      </c>
      <c r="V71" s="455">
        <v>7</v>
      </c>
      <c r="W71" s="466">
        <f t="shared" ref="W71:W81" si="49">(U71-T71)*24*60</f>
        <v>79.000000000000043</v>
      </c>
      <c r="X71" s="53"/>
      <c r="Y71" s="53"/>
      <c r="Z71" s="54"/>
      <c r="AA71" s="54"/>
      <c r="AB71" s="658"/>
      <c r="AC71" s="658"/>
      <c r="AD71" s="453"/>
      <c r="AE71" s="453"/>
      <c r="AF71" s="48">
        <f>N71-K71</f>
        <v>-80.506329113924721</v>
      </c>
      <c r="AG71" s="457">
        <f>N71/K71</f>
        <v>0.94409282700421893</v>
      </c>
      <c r="AH71" s="672"/>
    </row>
    <row r="72" spans="1:34" ht="19.2" customHeight="1">
      <c r="A72" s="656"/>
      <c r="B72" s="455" t="s">
        <v>185</v>
      </c>
      <c r="C72" s="66"/>
      <c r="D72" s="176" t="s">
        <v>200</v>
      </c>
      <c r="E72" s="43"/>
      <c r="F72" s="361">
        <v>56.85</v>
      </c>
      <c r="G72" s="57">
        <v>1989</v>
      </c>
      <c r="H72" s="45">
        <f t="shared" ref="H72:H80" si="50">F72*G72</f>
        <v>113074.65000000001</v>
      </c>
      <c r="I72" s="455"/>
      <c r="J72" s="87">
        <v>18</v>
      </c>
      <c r="K72" s="57">
        <v>1636</v>
      </c>
      <c r="L72" s="86">
        <v>90.888888888888886</v>
      </c>
      <c r="M72" s="467">
        <v>18</v>
      </c>
      <c r="N72" s="44">
        <f t="shared" si="45"/>
        <v>1193.3999999999994</v>
      </c>
      <c r="O72" s="47">
        <f t="shared" si="46"/>
        <v>66.299999999999969</v>
      </c>
      <c r="P72" s="48">
        <f t="shared" si="47"/>
        <v>0</v>
      </c>
      <c r="Q72" s="49">
        <f t="shared" si="48"/>
        <v>-24.588888888888917</v>
      </c>
      <c r="R72" s="457">
        <f t="shared" si="44"/>
        <v>0.72946210268948619</v>
      </c>
      <c r="S72" s="672"/>
      <c r="T72" s="50">
        <v>0.37777777777777782</v>
      </c>
      <c r="U72" s="50">
        <v>0.4472222222222223</v>
      </c>
      <c r="V72" s="455">
        <v>22</v>
      </c>
      <c r="W72" s="466">
        <f t="shared" si="49"/>
        <v>100.00000000000004</v>
      </c>
      <c r="X72" s="53">
        <v>0.3659722222222222</v>
      </c>
      <c r="Y72" s="53">
        <v>0.375</v>
      </c>
      <c r="Z72" s="54"/>
      <c r="AA72" s="54"/>
      <c r="AB72" s="658"/>
      <c r="AC72" s="658"/>
      <c r="AD72" s="453"/>
      <c r="AE72" s="453"/>
      <c r="AF72" s="48">
        <f>N72-K72</f>
        <v>-442.60000000000059</v>
      </c>
      <c r="AG72" s="457">
        <f>N72/K72</f>
        <v>0.72946210268948619</v>
      </c>
      <c r="AH72" s="672"/>
    </row>
    <row r="73" spans="1:34" ht="19.2" customHeight="1">
      <c r="A73" s="656"/>
      <c r="B73" s="455" t="s">
        <v>181</v>
      </c>
      <c r="C73" s="178"/>
      <c r="D73" s="179" t="s">
        <v>94</v>
      </c>
      <c r="E73" s="180"/>
      <c r="F73" s="361">
        <v>53.76</v>
      </c>
      <c r="G73" s="57">
        <v>2271</v>
      </c>
      <c r="H73" s="45">
        <f t="shared" si="50"/>
        <v>122088.95999999999</v>
      </c>
      <c r="I73" s="453"/>
      <c r="J73" s="181">
        <v>16</v>
      </c>
      <c r="K73" s="182">
        <v>1440</v>
      </c>
      <c r="L73" s="86">
        <v>90</v>
      </c>
      <c r="M73" s="464">
        <v>16</v>
      </c>
      <c r="N73" s="44">
        <f t="shared" si="45"/>
        <v>1335.882352941177</v>
      </c>
      <c r="O73" s="47">
        <f t="shared" si="46"/>
        <v>83.492647058823565</v>
      </c>
      <c r="P73" s="48">
        <f t="shared" si="47"/>
        <v>0</v>
      </c>
      <c r="Q73" s="49">
        <f t="shared" si="48"/>
        <v>-6.5073529411764355</v>
      </c>
      <c r="R73" s="457">
        <f t="shared" si="44"/>
        <v>0.92769607843137292</v>
      </c>
      <c r="S73" s="672"/>
      <c r="T73" s="50">
        <v>0.48750000000000004</v>
      </c>
      <c r="U73" s="50">
        <v>0.55833333333333335</v>
      </c>
      <c r="V73" s="455">
        <v>5</v>
      </c>
      <c r="W73" s="466">
        <f t="shared" si="49"/>
        <v>101.99999999999996</v>
      </c>
      <c r="X73" s="183"/>
      <c r="Y73" s="183"/>
      <c r="Z73" s="125"/>
      <c r="AA73" s="125"/>
      <c r="AB73" s="658"/>
      <c r="AC73" s="658"/>
      <c r="AD73" s="453"/>
      <c r="AE73" s="453"/>
      <c r="AF73" s="48">
        <f>N73-K73</f>
        <v>-104.11764705882297</v>
      </c>
      <c r="AG73" s="457">
        <f>N73/K73</f>
        <v>0.92769607843137292</v>
      </c>
      <c r="AH73" s="672"/>
    </row>
    <row r="74" spans="1:34" ht="19.2" customHeight="1">
      <c r="A74" s="656"/>
      <c r="B74" s="455" t="s">
        <v>181</v>
      </c>
      <c r="C74" s="178"/>
      <c r="D74" s="179" t="s">
        <v>95</v>
      </c>
      <c r="E74" s="180"/>
      <c r="F74" s="361">
        <v>47.51</v>
      </c>
      <c r="G74" s="177">
        <v>2121</v>
      </c>
      <c r="H74" s="45">
        <f t="shared" si="50"/>
        <v>100768.70999999999</v>
      </c>
      <c r="I74" s="455"/>
      <c r="J74" s="46">
        <v>17</v>
      </c>
      <c r="K74" s="177">
        <v>1440</v>
      </c>
      <c r="L74" s="47">
        <v>84.705882352941174</v>
      </c>
      <c r="M74" s="467">
        <v>17</v>
      </c>
      <c r="N74" s="44">
        <f t="shared" si="45"/>
        <v>1353.8297872340427</v>
      </c>
      <c r="O74" s="47">
        <f t="shared" si="46"/>
        <v>79.637046307884859</v>
      </c>
      <c r="P74" s="48">
        <f t="shared" si="47"/>
        <v>0</v>
      </c>
      <c r="Q74" s="49">
        <f t="shared" si="48"/>
        <v>-5.0688360450563152</v>
      </c>
      <c r="R74" s="457">
        <f t="shared" si="44"/>
        <v>0.94015957446808518</v>
      </c>
      <c r="S74" s="672"/>
      <c r="T74" s="50">
        <v>0.57430555555555562</v>
      </c>
      <c r="U74" s="50">
        <v>0.63958333333333339</v>
      </c>
      <c r="V74" s="455">
        <v>23</v>
      </c>
      <c r="W74" s="466">
        <f t="shared" si="49"/>
        <v>93.999999999999986</v>
      </c>
      <c r="X74" s="183">
        <v>0.56180555555555556</v>
      </c>
      <c r="Y74" s="183">
        <v>0.57152777777777775</v>
      </c>
      <c r="Z74" s="125"/>
      <c r="AA74" s="125"/>
      <c r="AB74" s="658"/>
      <c r="AC74" s="658"/>
      <c r="AD74" s="453"/>
      <c r="AE74" s="453"/>
      <c r="AF74" s="48">
        <f t="shared" ref="AF74:AF80" si="51">N74-K74</f>
        <v>-86.170212765957331</v>
      </c>
      <c r="AG74" s="457">
        <f t="shared" ref="AG74:AG80" si="52">N74/K74</f>
        <v>0.94015957446808518</v>
      </c>
      <c r="AH74" s="672"/>
    </row>
    <row r="75" spans="1:34" ht="19.2" customHeight="1">
      <c r="A75" s="656"/>
      <c r="B75" s="455" t="s">
        <v>185</v>
      </c>
      <c r="C75" s="66"/>
      <c r="D75" s="176" t="s">
        <v>270</v>
      </c>
      <c r="E75" s="43"/>
      <c r="F75" s="361">
        <v>54.09</v>
      </c>
      <c r="G75" s="57">
        <v>384.75</v>
      </c>
      <c r="H75" s="45">
        <f t="shared" si="50"/>
        <v>20811.127500000002</v>
      </c>
      <c r="I75" s="455"/>
      <c r="J75" s="181">
        <v>18</v>
      </c>
      <c r="K75" s="182">
        <v>1500</v>
      </c>
      <c r="L75" s="86">
        <v>83.333333333333329</v>
      </c>
      <c r="M75" s="467">
        <v>18</v>
      </c>
      <c r="N75" s="44">
        <f t="shared" si="45"/>
        <v>1282.5000000000045</v>
      </c>
      <c r="O75" s="47">
        <f t="shared" si="46"/>
        <v>71.250000000000256</v>
      </c>
      <c r="P75" s="48">
        <f t="shared" si="47"/>
        <v>0</v>
      </c>
      <c r="Q75" s="49">
        <f t="shared" si="48"/>
        <v>-12.083333333333073</v>
      </c>
      <c r="R75" s="457">
        <f t="shared" si="44"/>
        <v>0.85500000000000309</v>
      </c>
      <c r="S75" s="672"/>
      <c r="T75" s="50">
        <v>0.64513888888888893</v>
      </c>
      <c r="U75" s="50">
        <v>0.65763888888888888</v>
      </c>
      <c r="V75" s="455">
        <v>8</v>
      </c>
      <c r="W75" s="466">
        <f t="shared" si="49"/>
        <v>17.999999999999936</v>
      </c>
      <c r="X75" s="183"/>
      <c r="Y75" s="183"/>
      <c r="Z75" s="125"/>
      <c r="AA75" s="125"/>
      <c r="AB75" s="658"/>
      <c r="AC75" s="658"/>
      <c r="AD75" s="453"/>
      <c r="AE75" s="453"/>
      <c r="AF75" s="48">
        <f t="shared" si="51"/>
        <v>-217.49999999999545</v>
      </c>
      <c r="AG75" s="457">
        <f t="shared" si="52"/>
        <v>0.85500000000000298</v>
      </c>
      <c r="AH75" s="672"/>
    </row>
    <row r="76" spans="1:34" ht="19.2" customHeight="1">
      <c r="A76" s="656"/>
      <c r="B76" s="455">
        <v>0</v>
      </c>
      <c r="C76" s="178"/>
      <c r="D76" s="179"/>
      <c r="E76" s="180"/>
      <c r="F76" s="361" t="s">
        <v>186</v>
      </c>
      <c r="G76" s="177"/>
      <c r="H76" s="45">
        <f t="shared" si="50"/>
        <v>0</v>
      </c>
      <c r="I76" s="455"/>
      <c r="J76" s="181"/>
      <c r="K76" s="182"/>
      <c r="L76" s="86"/>
      <c r="M76" s="464"/>
      <c r="N76" s="44"/>
      <c r="O76" s="47"/>
      <c r="P76" s="48"/>
      <c r="Q76" s="49"/>
      <c r="R76" s="457"/>
      <c r="S76" s="672"/>
      <c r="T76" s="50"/>
      <c r="U76" s="50"/>
      <c r="V76" s="455"/>
      <c r="W76" s="466"/>
      <c r="X76" s="183"/>
      <c r="Y76" s="183"/>
      <c r="Z76" s="125"/>
      <c r="AA76" s="125"/>
      <c r="AB76" s="658"/>
      <c r="AC76" s="658"/>
      <c r="AD76" s="453"/>
      <c r="AE76" s="453"/>
      <c r="AF76" s="48">
        <f t="shared" si="51"/>
        <v>0</v>
      </c>
      <c r="AG76" s="457" t="e">
        <f t="shared" si="52"/>
        <v>#DIV/0!</v>
      </c>
      <c r="AH76" s="672"/>
    </row>
    <row r="77" spans="1:34" ht="19.2" customHeight="1">
      <c r="A77" s="656"/>
      <c r="B77" s="455">
        <v>0</v>
      </c>
      <c r="C77" s="462"/>
      <c r="D77" s="179"/>
      <c r="E77" s="43"/>
      <c r="F77" s="361" t="s">
        <v>186</v>
      </c>
      <c r="G77" s="177"/>
      <c r="H77" s="45">
        <f t="shared" si="50"/>
        <v>0</v>
      </c>
      <c r="I77" s="453"/>
      <c r="J77" s="181"/>
      <c r="K77" s="182"/>
      <c r="L77" s="86"/>
      <c r="M77" s="464" t="s">
        <v>30</v>
      </c>
      <c r="N77" s="44"/>
      <c r="O77" s="47"/>
      <c r="P77" s="48"/>
      <c r="Q77" s="49"/>
      <c r="R77" s="457"/>
      <c r="S77" s="672"/>
      <c r="T77" s="50"/>
      <c r="U77" s="50"/>
      <c r="V77" s="455"/>
      <c r="W77" s="466"/>
      <c r="X77" s="183"/>
      <c r="Y77" s="183"/>
      <c r="Z77" s="125"/>
      <c r="AA77" s="125"/>
      <c r="AB77" s="658"/>
      <c r="AC77" s="658"/>
      <c r="AD77" s="453"/>
      <c r="AE77" s="453"/>
      <c r="AF77" s="48">
        <f t="shared" si="51"/>
        <v>0</v>
      </c>
      <c r="AG77" s="457" t="e">
        <f t="shared" si="52"/>
        <v>#DIV/0!</v>
      </c>
      <c r="AH77" s="672"/>
    </row>
    <row r="78" spans="1:34" ht="19.2" customHeight="1">
      <c r="A78" s="656"/>
      <c r="B78" s="455">
        <v>0</v>
      </c>
      <c r="C78" s="462"/>
      <c r="D78" s="42"/>
      <c r="E78" s="43"/>
      <c r="F78" s="361" t="s">
        <v>186</v>
      </c>
      <c r="G78" s="57"/>
      <c r="H78" s="45">
        <f t="shared" si="50"/>
        <v>0</v>
      </c>
      <c r="I78" s="453"/>
      <c r="J78" s="87"/>
      <c r="K78" s="57"/>
      <c r="L78" s="86"/>
      <c r="M78" s="464"/>
      <c r="N78" s="44"/>
      <c r="O78" s="47"/>
      <c r="P78" s="48"/>
      <c r="Q78" s="49"/>
      <c r="R78" s="457"/>
      <c r="S78" s="672"/>
      <c r="T78" s="50"/>
      <c r="U78" s="50"/>
      <c r="V78" s="455"/>
      <c r="W78" s="466">
        <f t="shared" si="49"/>
        <v>0</v>
      </c>
      <c r="X78" s="183"/>
      <c r="Y78" s="183"/>
      <c r="Z78" s="125"/>
      <c r="AA78" s="125"/>
      <c r="AB78" s="658"/>
      <c r="AC78" s="658"/>
      <c r="AD78" s="453"/>
      <c r="AE78" s="453"/>
      <c r="AF78" s="48">
        <f t="shared" si="51"/>
        <v>0</v>
      </c>
      <c r="AG78" s="457" t="e">
        <f t="shared" si="52"/>
        <v>#DIV/0!</v>
      </c>
      <c r="AH78" s="672"/>
    </row>
    <row r="79" spans="1:34" ht="19.2" customHeight="1">
      <c r="A79" s="656"/>
      <c r="B79" s="455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453"/>
      <c r="J79" s="87"/>
      <c r="K79" s="57"/>
      <c r="L79" s="86"/>
      <c r="M79" s="464"/>
      <c r="N79" s="57"/>
      <c r="O79" s="184"/>
      <c r="P79" s="108"/>
      <c r="Q79" s="185"/>
      <c r="R79" s="109"/>
      <c r="S79" s="672"/>
      <c r="T79" s="50"/>
      <c r="U79" s="50"/>
      <c r="V79" s="455"/>
      <c r="W79" s="466">
        <f t="shared" si="49"/>
        <v>0</v>
      </c>
      <c r="X79" s="183"/>
      <c r="Y79" s="183"/>
      <c r="Z79" s="125"/>
      <c r="AA79" s="125"/>
      <c r="AB79" s="658"/>
      <c r="AC79" s="658"/>
      <c r="AD79" s="453"/>
      <c r="AE79" s="453"/>
      <c r="AF79" s="48">
        <f t="shared" si="51"/>
        <v>0</v>
      </c>
      <c r="AG79" s="457" t="e">
        <f t="shared" si="52"/>
        <v>#DIV/0!</v>
      </c>
      <c r="AH79" s="672"/>
    </row>
    <row r="80" spans="1:34" ht="19.2" customHeight="1">
      <c r="A80" s="656"/>
      <c r="B80" s="455">
        <v>0</v>
      </c>
      <c r="C80" s="462"/>
      <c r="D80" s="42"/>
      <c r="E80" s="43"/>
      <c r="F80" s="361"/>
      <c r="G80" s="57"/>
      <c r="H80" s="45">
        <f t="shared" si="50"/>
        <v>0</v>
      </c>
      <c r="I80" s="453"/>
      <c r="J80" s="87"/>
      <c r="K80" s="57"/>
      <c r="L80" s="86"/>
      <c r="M80" s="464"/>
      <c r="N80" s="57"/>
      <c r="O80" s="186"/>
      <c r="P80" s="54"/>
      <c r="Q80" s="88"/>
      <c r="R80" s="459"/>
      <c r="S80" s="672"/>
      <c r="T80" s="50"/>
      <c r="U80" s="50"/>
      <c r="V80" s="455"/>
      <c r="W80" s="466">
        <f t="shared" si="49"/>
        <v>0</v>
      </c>
      <c r="X80" s="183"/>
      <c r="Y80" s="183"/>
      <c r="Z80" s="125"/>
      <c r="AA80" s="125"/>
      <c r="AB80" s="658"/>
      <c r="AC80" s="658"/>
      <c r="AD80" s="453"/>
      <c r="AE80" s="453"/>
      <c r="AF80" s="48">
        <f t="shared" si="51"/>
        <v>0</v>
      </c>
      <c r="AG80" s="457" t="e">
        <f t="shared" si="52"/>
        <v>#DIV/0!</v>
      </c>
      <c r="AH80" s="672"/>
    </row>
    <row r="81" spans="1:34" ht="19.2" customHeight="1">
      <c r="A81" s="656"/>
      <c r="B81" s="455">
        <v>0</v>
      </c>
      <c r="C81" s="462"/>
      <c r="D81" s="42"/>
      <c r="E81" s="43"/>
      <c r="F81" s="368"/>
      <c r="G81" s="57"/>
      <c r="H81" s="84"/>
      <c r="I81" s="453"/>
      <c r="J81" s="87"/>
      <c r="K81" s="57"/>
      <c r="L81" s="86"/>
      <c r="M81" s="464"/>
      <c r="N81" s="57"/>
      <c r="O81" s="186"/>
      <c r="P81" s="54"/>
      <c r="Q81" s="88"/>
      <c r="R81" s="459"/>
      <c r="S81" s="672"/>
      <c r="T81" s="50"/>
      <c r="U81" s="50"/>
      <c r="V81" s="455"/>
      <c r="W81" s="466">
        <f t="shared" si="49"/>
        <v>0</v>
      </c>
      <c r="X81" s="183"/>
      <c r="Y81" s="183"/>
      <c r="Z81" s="125"/>
      <c r="AA81" s="125"/>
      <c r="AB81" s="658"/>
      <c r="AC81" s="658"/>
      <c r="AD81" s="453"/>
      <c r="AE81" s="453"/>
      <c r="AF81" s="48"/>
      <c r="AG81" s="126"/>
      <c r="AH81" s="672"/>
    </row>
    <row r="82" spans="1:34" ht="19.2" customHeight="1">
      <c r="A82" s="698"/>
      <c r="B82" s="171">
        <v>0</v>
      </c>
      <c r="C82" s="100" t="s">
        <v>19</v>
      </c>
      <c r="D82" s="687" t="s">
        <v>245</v>
      </c>
      <c r="E82" s="687"/>
      <c r="F82" s="371"/>
      <c r="G82" s="101"/>
      <c r="H82" s="102"/>
      <c r="I82" s="103"/>
      <c r="J82" s="101">
        <v>16.833333333333332</v>
      </c>
      <c r="K82" s="101">
        <v>1492.6666666666667</v>
      </c>
      <c r="L82" s="104">
        <v>89.34516028633675</v>
      </c>
      <c r="M82" s="101">
        <f t="shared" ref="M82:O82" si="53">AVERAGE(M70:M81)</f>
        <v>16.666666666666668</v>
      </c>
      <c r="N82" s="101">
        <f t="shared" si="53"/>
        <v>1294.3926351768828</v>
      </c>
      <c r="O82" s="187">
        <f t="shared" si="53"/>
        <v>78.614648126302541</v>
      </c>
      <c r="P82" s="117">
        <f>M82-J82</f>
        <v>-0.1666666666666643</v>
      </c>
      <c r="Q82" s="118">
        <f>N82-K82</f>
        <v>-198.27403148978397</v>
      </c>
      <c r="R82" s="175">
        <f>O82/L82</f>
        <v>0.87989822699243414</v>
      </c>
      <c r="S82" s="672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0</v>
      </c>
      <c r="AE82" s="107">
        <f>SUM(AE70:AE81)</f>
        <v>0</v>
      </c>
      <c r="AF82" s="48">
        <f>N82-K82</f>
        <v>-198.27403148978397</v>
      </c>
      <c r="AG82" s="457">
        <f>N82/K82</f>
        <v>0.86716791101622337</v>
      </c>
      <c r="AH82" s="672"/>
    </row>
    <row r="83" spans="1:34" ht="19.2" customHeight="1">
      <c r="A83" s="699" t="s">
        <v>248</v>
      </c>
      <c r="B83" s="110" t="s">
        <v>181</v>
      </c>
      <c r="C83" s="66"/>
      <c r="D83" s="377" t="s">
        <v>93</v>
      </c>
      <c r="E83" s="43"/>
      <c r="F83" s="368">
        <v>53.36</v>
      </c>
      <c r="G83" s="57">
        <v>2498.5099999999998</v>
      </c>
      <c r="H83" s="84">
        <f t="shared" ref="H83:H94" si="54">F83*G83</f>
        <v>133320.49359999999</v>
      </c>
      <c r="I83" s="453"/>
      <c r="J83" s="87">
        <v>19</v>
      </c>
      <c r="K83" s="57">
        <v>1440</v>
      </c>
      <c r="L83" s="86">
        <v>75.78947368421052</v>
      </c>
      <c r="M83" s="464">
        <v>19</v>
      </c>
      <c r="N83" s="57">
        <f t="shared" ref="N83:N88" si="55">G83/W83*60</f>
        <v>1315.0052631578947</v>
      </c>
      <c r="O83" s="186">
        <f t="shared" ref="O83:O88" si="56">N83/M83</f>
        <v>69.210803324099714</v>
      </c>
      <c r="P83" s="54">
        <f t="shared" ref="P83:P88" si="57">M83-J83</f>
        <v>0</v>
      </c>
      <c r="Q83" s="88">
        <f t="shared" ref="Q83:Q88" si="58">O83-L83</f>
        <v>-6.5786703601108059</v>
      </c>
      <c r="R83" s="188">
        <f t="shared" ref="R83:R88" si="59">O83/L83</f>
        <v>0.91319809941520469</v>
      </c>
      <c r="S83" s="672">
        <f>R95</f>
        <v>0.9202359839812182</v>
      </c>
      <c r="T83" s="50">
        <v>0.33333333333333331</v>
      </c>
      <c r="U83" s="50">
        <v>0.41249999999999998</v>
      </c>
      <c r="V83" s="455">
        <v>5</v>
      </c>
      <c r="W83" s="466">
        <f t="shared" ref="W83:W93" si="60">(U83-T83)*24*60</f>
        <v>114</v>
      </c>
      <c r="X83" s="53"/>
      <c r="Y83" s="53"/>
      <c r="Z83" s="54"/>
      <c r="AA83" s="54"/>
      <c r="AB83" s="658"/>
      <c r="AC83" s="658"/>
      <c r="AD83" s="453"/>
      <c r="AE83" s="453"/>
      <c r="AF83" s="48">
        <f t="shared" ref="AF83:AF173" si="61">N83-K83</f>
        <v>-124.99473684210534</v>
      </c>
      <c r="AG83" s="457">
        <f t="shared" ref="AG83:AG173" si="62">N83/K83</f>
        <v>0.91319809941520458</v>
      </c>
      <c r="AH83" s="672">
        <f>AG95</f>
        <v>0.91166605618643681</v>
      </c>
    </row>
    <row r="84" spans="1:34" ht="19.2" customHeight="1">
      <c r="A84" s="700"/>
      <c r="B84" s="110" t="s">
        <v>181</v>
      </c>
      <c r="C84" s="462"/>
      <c r="D84" s="189" t="s">
        <v>93</v>
      </c>
      <c r="E84" s="43"/>
      <c r="F84" s="368">
        <v>53.36</v>
      </c>
      <c r="G84" s="44">
        <v>1988.6100000000001</v>
      </c>
      <c r="H84" s="84">
        <f t="shared" si="54"/>
        <v>106112.22960000001</v>
      </c>
      <c r="I84" s="455"/>
      <c r="J84" s="87">
        <v>19</v>
      </c>
      <c r="K84" s="57">
        <v>1440</v>
      </c>
      <c r="L84" s="86">
        <v>75.78947368421052</v>
      </c>
      <c r="M84" s="464">
        <v>19</v>
      </c>
      <c r="N84" s="57">
        <f t="shared" si="55"/>
        <v>1311.1714285714286</v>
      </c>
      <c r="O84" s="186">
        <f t="shared" si="56"/>
        <v>69.009022556390974</v>
      </c>
      <c r="P84" s="54">
        <f t="shared" si="57"/>
        <v>0</v>
      </c>
      <c r="Q84" s="88">
        <f t="shared" si="58"/>
        <v>-6.7804511278195463</v>
      </c>
      <c r="R84" s="188">
        <f t="shared" si="59"/>
        <v>0.91053571428571434</v>
      </c>
      <c r="S84" s="672"/>
      <c r="T84" s="50">
        <v>0.42777777777777776</v>
      </c>
      <c r="U84" s="50">
        <v>0.4909722222222222</v>
      </c>
      <c r="V84" s="455">
        <v>22</v>
      </c>
      <c r="W84" s="466">
        <f t="shared" si="60"/>
        <v>91</v>
      </c>
      <c r="X84" s="53">
        <v>0.41597222222222219</v>
      </c>
      <c r="Y84" s="53">
        <v>0.42499999999999999</v>
      </c>
      <c r="Z84" s="54"/>
      <c r="AA84" s="54"/>
      <c r="AB84" s="658"/>
      <c r="AC84" s="658"/>
      <c r="AD84" s="453"/>
      <c r="AE84" s="453"/>
      <c r="AF84" s="48">
        <f t="shared" si="61"/>
        <v>-128.82857142857142</v>
      </c>
      <c r="AG84" s="457">
        <f t="shared" si="62"/>
        <v>0.91053571428571434</v>
      </c>
      <c r="AH84" s="672"/>
    </row>
    <row r="85" spans="1:34" ht="19.2" customHeight="1">
      <c r="A85" s="700"/>
      <c r="B85" s="110" t="s">
        <v>181</v>
      </c>
      <c r="C85" s="123"/>
      <c r="D85" s="189" t="s">
        <v>77</v>
      </c>
      <c r="E85" s="43"/>
      <c r="F85" s="368">
        <v>59.54</v>
      </c>
      <c r="G85" s="44">
        <v>1373</v>
      </c>
      <c r="H85" s="84">
        <f t="shared" si="54"/>
        <v>81748.42</v>
      </c>
      <c r="I85" s="455"/>
      <c r="J85" s="87">
        <v>18</v>
      </c>
      <c r="K85" s="57">
        <v>1385</v>
      </c>
      <c r="L85" s="86">
        <v>76.944444444444443</v>
      </c>
      <c r="M85" s="464">
        <v>18</v>
      </c>
      <c r="N85" s="57">
        <f t="shared" si="55"/>
        <v>1267.3846153846168</v>
      </c>
      <c r="O85" s="186">
        <f t="shared" si="56"/>
        <v>70.410256410256494</v>
      </c>
      <c r="P85" s="54">
        <f t="shared" si="57"/>
        <v>0</v>
      </c>
      <c r="Q85" s="88">
        <f t="shared" si="58"/>
        <v>-6.5341880341879488</v>
      </c>
      <c r="R85" s="188">
        <f t="shared" si="59"/>
        <v>0.91507914468203388</v>
      </c>
      <c r="S85" s="672"/>
      <c r="T85" s="50">
        <v>0.53124999999999989</v>
      </c>
      <c r="U85" s="50">
        <v>0.57638888888888873</v>
      </c>
      <c r="V85" s="455">
        <v>5</v>
      </c>
      <c r="W85" s="466">
        <f t="shared" si="60"/>
        <v>64.999999999999929</v>
      </c>
      <c r="X85" s="53"/>
      <c r="Y85" s="53"/>
      <c r="Z85" s="54"/>
      <c r="AA85" s="54"/>
      <c r="AB85" s="658"/>
      <c r="AC85" s="658"/>
      <c r="AD85" s="453"/>
      <c r="AE85" s="453">
        <v>1</v>
      </c>
      <c r="AF85" s="48">
        <f t="shared" si="61"/>
        <v>-117.61538461538316</v>
      </c>
      <c r="AG85" s="457">
        <f t="shared" si="62"/>
        <v>0.91507914468203377</v>
      </c>
      <c r="AH85" s="672"/>
    </row>
    <row r="86" spans="1:34" ht="19.2" customHeight="1">
      <c r="A86" s="700"/>
      <c r="B86" s="110" t="s">
        <v>181</v>
      </c>
      <c r="C86" s="97"/>
      <c r="D86" s="189" t="s">
        <v>360</v>
      </c>
      <c r="E86" s="43"/>
      <c r="F86" s="368">
        <v>73.94</v>
      </c>
      <c r="G86" s="44">
        <v>1753.08</v>
      </c>
      <c r="H86" s="84">
        <f t="shared" si="54"/>
        <v>129622.7352</v>
      </c>
      <c r="I86" s="455"/>
      <c r="J86" s="87">
        <v>19</v>
      </c>
      <c r="K86" s="57">
        <v>1440</v>
      </c>
      <c r="L86" s="86">
        <v>75.78947368421052</v>
      </c>
      <c r="M86" s="464">
        <v>18</v>
      </c>
      <c r="N86" s="57">
        <f t="shared" si="55"/>
        <v>1331.4531645569612</v>
      </c>
      <c r="O86" s="186">
        <f t="shared" si="56"/>
        <v>73.969620253164507</v>
      </c>
      <c r="P86" s="54">
        <f t="shared" si="57"/>
        <v>-1</v>
      </c>
      <c r="Q86" s="88">
        <f t="shared" si="58"/>
        <v>-1.8198534310460133</v>
      </c>
      <c r="R86" s="188">
        <f t="shared" si="59"/>
        <v>0.97598804500703173</v>
      </c>
      <c r="S86" s="672"/>
      <c r="T86" s="50">
        <v>0.59236111111111089</v>
      </c>
      <c r="U86" s="50">
        <v>0.64722222222222203</v>
      </c>
      <c r="V86" s="455">
        <v>23</v>
      </c>
      <c r="W86" s="466">
        <f t="shared" si="60"/>
        <v>79.000000000000043</v>
      </c>
      <c r="X86" s="53">
        <v>0.57986111111111105</v>
      </c>
      <c r="Y86" s="53">
        <v>0.58958333333333335</v>
      </c>
      <c r="Z86" s="54"/>
      <c r="AA86" s="54"/>
      <c r="AB86" s="658"/>
      <c r="AC86" s="658"/>
      <c r="AD86" s="453"/>
      <c r="AE86" s="453"/>
      <c r="AF86" s="48">
        <f t="shared" si="61"/>
        <v>-108.54683544303884</v>
      </c>
      <c r="AG86" s="457">
        <f t="shared" si="62"/>
        <v>0.92462025316455632</v>
      </c>
      <c r="AH86" s="672"/>
    </row>
    <row r="87" spans="1:34" ht="19.2" customHeight="1">
      <c r="A87" s="700"/>
      <c r="B87" s="110" t="s">
        <v>181</v>
      </c>
      <c r="C87" s="97"/>
      <c r="D87" s="189" t="s">
        <v>93</v>
      </c>
      <c r="E87" s="43"/>
      <c r="F87" s="368">
        <v>53.36</v>
      </c>
      <c r="G87" s="44">
        <v>611.88</v>
      </c>
      <c r="H87" s="84">
        <f t="shared" si="54"/>
        <v>32649.916799999999</v>
      </c>
      <c r="I87" s="455">
        <v>1</v>
      </c>
      <c r="J87" s="87">
        <v>19</v>
      </c>
      <c r="K87" s="57">
        <v>1440</v>
      </c>
      <c r="L87" s="86">
        <v>75.78947368421052</v>
      </c>
      <c r="M87" s="464">
        <v>19</v>
      </c>
      <c r="N87" s="57">
        <f t="shared" si="55"/>
        <v>1265.9586206896527</v>
      </c>
      <c r="O87" s="186">
        <f t="shared" si="56"/>
        <v>66.629401088929086</v>
      </c>
      <c r="P87" s="54">
        <f t="shared" si="57"/>
        <v>0</v>
      </c>
      <c r="Q87" s="88">
        <f t="shared" si="58"/>
        <v>-9.1600725952814344</v>
      </c>
      <c r="R87" s="188">
        <f t="shared" si="59"/>
        <v>0.87913793103448101</v>
      </c>
      <c r="S87" s="672"/>
      <c r="T87" s="50">
        <v>0.65208333333333313</v>
      </c>
      <c r="U87" s="50">
        <v>0.67222222222222205</v>
      </c>
      <c r="V87" s="455">
        <v>7</v>
      </c>
      <c r="W87" s="466">
        <f t="shared" si="60"/>
        <v>29.000000000000057</v>
      </c>
      <c r="X87" s="53"/>
      <c r="Y87" s="53"/>
      <c r="Z87" s="54"/>
      <c r="AA87" s="54"/>
      <c r="AB87" s="658"/>
      <c r="AC87" s="658"/>
      <c r="AD87" s="453"/>
      <c r="AE87" s="453"/>
      <c r="AF87" s="48">
        <f t="shared" si="61"/>
        <v>-174.04137931034734</v>
      </c>
      <c r="AG87" s="457">
        <f t="shared" si="62"/>
        <v>0.87913793103448101</v>
      </c>
      <c r="AH87" s="672"/>
    </row>
    <row r="88" spans="1:34" ht="19.2" customHeight="1">
      <c r="A88" s="700"/>
      <c r="B88" s="110" t="s">
        <v>181</v>
      </c>
      <c r="C88" s="462"/>
      <c r="D88" s="189" t="s">
        <v>360</v>
      </c>
      <c r="E88" s="43"/>
      <c r="F88" s="368">
        <v>73.94</v>
      </c>
      <c r="G88" s="57">
        <v>333.92</v>
      </c>
      <c r="H88" s="84">
        <f t="shared" si="54"/>
        <v>24690.0448</v>
      </c>
      <c r="I88" s="455">
        <v>1</v>
      </c>
      <c r="J88" s="87">
        <v>19</v>
      </c>
      <c r="K88" s="57">
        <v>1440</v>
      </c>
      <c r="L88" s="86">
        <v>75.78947368421052</v>
      </c>
      <c r="M88" s="464">
        <v>19</v>
      </c>
      <c r="N88" s="57">
        <f t="shared" si="55"/>
        <v>1335.6800000000048</v>
      </c>
      <c r="O88" s="186">
        <f t="shared" si="56"/>
        <v>70.29894736842131</v>
      </c>
      <c r="P88" s="54">
        <f t="shared" si="57"/>
        <v>0</v>
      </c>
      <c r="Q88" s="88">
        <f t="shared" si="58"/>
        <v>-5.4905263157892108</v>
      </c>
      <c r="R88" s="188">
        <f t="shared" si="59"/>
        <v>0.92755555555555902</v>
      </c>
      <c r="S88" s="672"/>
      <c r="T88" s="50">
        <v>0.67638888888888871</v>
      </c>
      <c r="U88" s="50">
        <v>0.68680555555555534</v>
      </c>
      <c r="V88" s="455">
        <v>6</v>
      </c>
      <c r="W88" s="466">
        <f t="shared" si="60"/>
        <v>14.999999999999947</v>
      </c>
      <c r="X88" s="53"/>
      <c r="Y88" s="53"/>
      <c r="Z88" s="54"/>
      <c r="AA88" s="54"/>
      <c r="AB88" s="658"/>
      <c r="AC88" s="658"/>
      <c r="AD88" s="453"/>
      <c r="AE88" s="453"/>
      <c r="AF88" s="48">
        <f t="shared" si="61"/>
        <v>-104.31999999999516</v>
      </c>
      <c r="AG88" s="457">
        <f t="shared" si="62"/>
        <v>0.92755555555555891</v>
      </c>
      <c r="AH88" s="672"/>
    </row>
    <row r="89" spans="1:34" ht="19.2" customHeight="1">
      <c r="A89" s="700"/>
      <c r="B89" s="110">
        <v>0</v>
      </c>
      <c r="C89" s="462"/>
      <c r="D89" s="42"/>
      <c r="E89" s="43"/>
      <c r="F89" s="368" t="s">
        <v>186</v>
      </c>
      <c r="G89" s="115"/>
      <c r="H89" s="84">
        <f t="shared" si="54"/>
        <v>0</v>
      </c>
      <c r="I89" s="455"/>
      <c r="J89" s="87"/>
      <c r="K89" s="57"/>
      <c r="L89" s="86"/>
      <c r="M89" s="464"/>
      <c r="N89" s="57"/>
      <c r="O89" s="186"/>
      <c r="P89" s="54"/>
      <c r="Q89" s="88"/>
      <c r="R89" s="188"/>
      <c r="S89" s="672"/>
      <c r="T89" s="50"/>
      <c r="U89" s="50"/>
      <c r="V89" s="455"/>
      <c r="W89" s="466"/>
      <c r="X89" s="53"/>
      <c r="Y89" s="53"/>
      <c r="Z89" s="54"/>
      <c r="AA89" s="54"/>
      <c r="AB89" s="658"/>
      <c r="AC89" s="658"/>
      <c r="AD89" s="453"/>
      <c r="AE89" s="453"/>
      <c r="AF89" s="48">
        <f t="shared" si="61"/>
        <v>0</v>
      </c>
      <c r="AG89" s="457" t="e">
        <f t="shared" si="62"/>
        <v>#DIV/0!</v>
      </c>
      <c r="AH89" s="672"/>
    </row>
    <row r="90" spans="1:34" ht="19.2" customHeight="1">
      <c r="A90" s="700"/>
      <c r="B90" s="110">
        <v>0</v>
      </c>
      <c r="C90" s="462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64"/>
      <c r="N90" s="57"/>
      <c r="O90" s="186"/>
      <c r="P90" s="54"/>
      <c r="Q90" s="88"/>
      <c r="R90" s="188"/>
      <c r="S90" s="672"/>
      <c r="T90" s="50"/>
      <c r="U90" s="50"/>
      <c r="V90" s="455"/>
      <c r="W90" s="466"/>
      <c r="X90" s="191"/>
      <c r="Y90" s="191"/>
      <c r="Z90" s="54"/>
      <c r="AA90" s="54"/>
      <c r="AB90" s="658"/>
      <c r="AC90" s="658"/>
      <c r="AD90" s="453"/>
      <c r="AE90" s="453"/>
      <c r="AF90" s="48">
        <f t="shared" si="61"/>
        <v>0</v>
      </c>
      <c r="AG90" s="457" t="e">
        <f t="shared" si="62"/>
        <v>#DIV/0!</v>
      </c>
      <c r="AH90" s="672"/>
    </row>
    <row r="91" spans="1:34" ht="19.2" customHeight="1">
      <c r="A91" s="700"/>
      <c r="B91" s="110">
        <v>0</v>
      </c>
      <c r="C91" s="462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64" t="s">
        <v>30</v>
      </c>
      <c r="N91" s="57"/>
      <c r="O91" s="186"/>
      <c r="P91" s="54"/>
      <c r="Q91" s="88"/>
      <c r="R91" s="188"/>
      <c r="S91" s="673"/>
      <c r="T91" s="50"/>
      <c r="U91" s="50"/>
      <c r="V91" s="455"/>
      <c r="W91" s="466">
        <f t="shared" si="60"/>
        <v>0</v>
      </c>
      <c r="X91" s="116"/>
      <c r="Y91" s="116"/>
      <c r="Z91" s="54"/>
      <c r="AA91" s="54"/>
      <c r="AB91" s="658"/>
      <c r="AC91" s="658"/>
      <c r="AD91" s="453"/>
      <c r="AE91" s="453"/>
      <c r="AF91" s="48">
        <f t="shared" si="61"/>
        <v>0</v>
      </c>
      <c r="AG91" s="457" t="e">
        <f t="shared" si="62"/>
        <v>#DIV/0!</v>
      </c>
      <c r="AH91" s="673"/>
    </row>
    <row r="92" spans="1:34" ht="19.2" customHeight="1">
      <c r="A92" s="700"/>
      <c r="B92" s="110">
        <v>0</v>
      </c>
      <c r="C92" s="462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60"/>
      <c r="S92" s="673"/>
      <c r="T92" s="50"/>
      <c r="U92" s="50"/>
      <c r="V92" s="455"/>
      <c r="W92" s="466"/>
      <c r="X92" s="183"/>
      <c r="Y92" s="183"/>
      <c r="Z92" s="125"/>
      <c r="AA92" s="125"/>
      <c r="AB92" s="658"/>
      <c r="AC92" s="658"/>
      <c r="AD92" s="453"/>
      <c r="AE92" s="453"/>
      <c r="AF92" s="48">
        <f t="shared" si="61"/>
        <v>0</v>
      </c>
      <c r="AG92" s="457" t="e">
        <f t="shared" si="62"/>
        <v>#DIV/0!</v>
      </c>
      <c r="AH92" s="673"/>
    </row>
    <row r="93" spans="1:34" ht="19.2" customHeight="1">
      <c r="A93" s="700"/>
      <c r="B93" s="468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64"/>
      <c r="N93" s="57"/>
      <c r="O93" s="86"/>
      <c r="P93" s="54"/>
      <c r="Q93" s="88"/>
      <c r="R93" s="454"/>
      <c r="S93" s="701"/>
      <c r="T93" s="63"/>
      <c r="U93" s="63"/>
      <c r="V93" s="468"/>
      <c r="W93" s="466">
        <f t="shared" si="60"/>
        <v>0</v>
      </c>
      <c r="X93" s="200"/>
      <c r="Y93" s="200"/>
      <c r="Z93" s="125"/>
      <c r="AA93" s="125"/>
      <c r="AB93" s="658"/>
      <c r="AC93" s="658"/>
      <c r="AD93" s="453"/>
      <c r="AE93" s="453"/>
      <c r="AF93" s="48">
        <f t="shared" si="61"/>
        <v>0</v>
      </c>
      <c r="AG93" s="457" t="e">
        <f t="shared" si="62"/>
        <v>#DIV/0!</v>
      </c>
      <c r="AH93" s="673"/>
    </row>
    <row r="94" spans="1:34" ht="19.2" customHeight="1">
      <c r="A94" s="700"/>
      <c r="B94" s="468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54"/>
      <c r="S94" s="701"/>
      <c r="T94" s="63"/>
      <c r="U94" s="63"/>
      <c r="V94" s="468"/>
      <c r="W94" s="466">
        <f>(U94-T94)*24*60</f>
        <v>0</v>
      </c>
      <c r="X94" s="200"/>
      <c r="Y94" s="200"/>
      <c r="Z94" s="125"/>
      <c r="AA94" s="125"/>
      <c r="AB94" s="658"/>
      <c r="AC94" s="658"/>
      <c r="AD94" s="453"/>
      <c r="AE94" s="453"/>
      <c r="AF94" s="48">
        <f t="shared" si="61"/>
        <v>0</v>
      </c>
      <c r="AG94" s="457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20</v>
      </c>
      <c r="D95" s="687" t="s">
        <v>245</v>
      </c>
      <c r="E95" s="687"/>
      <c r="F95" s="362"/>
      <c r="G95" s="70"/>
      <c r="H95" s="204"/>
      <c r="I95" s="103"/>
      <c r="J95" s="205">
        <v>18.833333333333332</v>
      </c>
      <c r="K95" s="205">
        <v>1430.8333333333333</v>
      </c>
      <c r="L95" s="206">
        <v>75.981968810916172</v>
      </c>
      <c r="M95" s="205">
        <f t="shared" ref="M95:O95" si="63">AVERAGE(M83:M94)</f>
        <v>18.666666666666668</v>
      </c>
      <c r="N95" s="205">
        <f t="shared" si="63"/>
        <v>1304.4421820600933</v>
      </c>
      <c r="O95" s="206">
        <f t="shared" si="63"/>
        <v>69.921341833543678</v>
      </c>
      <c r="P95" s="207">
        <f>M95-J95</f>
        <v>-0.1666666666666643</v>
      </c>
      <c r="Q95" s="208">
        <f t="shared" ref="Q95:Q100" si="64">O95-L95</f>
        <v>-6.0606269773724932</v>
      </c>
      <c r="R95" s="209">
        <f>O95/L95</f>
        <v>0.9202359839812182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1</v>
      </c>
      <c r="AF95" s="65">
        <f t="shared" si="61"/>
        <v>-126.39115127323998</v>
      </c>
      <c r="AG95" s="458">
        <f t="shared" si="62"/>
        <v>0.91166605618643681</v>
      </c>
      <c r="AH95" s="673"/>
    </row>
    <row r="96" spans="1:34" ht="19.2" customHeight="1">
      <c r="A96" s="702" t="s">
        <v>249</v>
      </c>
      <c r="B96" s="455" t="s">
        <v>183</v>
      </c>
      <c r="C96" s="97"/>
      <c r="D96" s="42" t="s">
        <v>250</v>
      </c>
      <c r="E96" s="43"/>
      <c r="F96" s="361">
        <v>36.92</v>
      </c>
      <c r="G96" s="44">
        <v>2066</v>
      </c>
      <c r="H96" s="45">
        <f t="shared" ref="H96:H106" si="65">F96*G96</f>
        <v>76276.72</v>
      </c>
      <c r="I96" s="455"/>
      <c r="J96" s="46">
        <v>6</v>
      </c>
      <c r="K96" s="44">
        <v>1636</v>
      </c>
      <c r="L96" s="47">
        <v>272.66666666666669</v>
      </c>
      <c r="M96" s="467">
        <v>6</v>
      </c>
      <c r="N96" s="44">
        <f t="shared" ref="N96:N100" si="66">G96/W96*60</f>
        <v>1530.3703703703698</v>
      </c>
      <c r="O96" s="47">
        <f t="shared" ref="O96:O100" si="67">N96/M96</f>
        <v>255.06172839506164</v>
      </c>
      <c r="P96" s="48">
        <f t="shared" ref="P96:P100" si="68">M96-J96</f>
        <v>0</v>
      </c>
      <c r="Q96" s="49">
        <f t="shared" si="64"/>
        <v>-17.60493827160505</v>
      </c>
      <c r="R96" s="457">
        <f t="shared" ref="R96:R100" si="69">O96/L96</f>
        <v>0.93543421171782992</v>
      </c>
      <c r="S96" s="672">
        <f>R108</f>
        <v>0.91829807401519636</v>
      </c>
      <c r="T96" s="89">
        <v>0.33333333333333331</v>
      </c>
      <c r="U96" s="89">
        <v>0.38958333333333334</v>
      </c>
      <c r="V96" s="453">
        <v>5</v>
      </c>
      <c r="W96" s="90">
        <f t="shared" ref="W96:W122" si="70">(U96-T96)*24*60</f>
        <v>81.000000000000028</v>
      </c>
      <c r="X96" s="96"/>
      <c r="Y96" s="96"/>
      <c r="Z96" s="54"/>
      <c r="AA96" s="54"/>
      <c r="AB96" s="658"/>
      <c r="AC96" s="658"/>
      <c r="AD96" s="453"/>
      <c r="AE96" s="453"/>
      <c r="AF96" s="54">
        <f t="shared" si="61"/>
        <v>-105.62962962963024</v>
      </c>
      <c r="AG96" s="454">
        <f t="shared" si="62"/>
        <v>0.93543421171782992</v>
      </c>
      <c r="AH96" s="681">
        <f>AG108</f>
        <v>0.91143289942477967</v>
      </c>
    </row>
    <row r="97" spans="1:34" s="218" customFormat="1" ht="19.2" customHeight="1">
      <c r="A97" s="702"/>
      <c r="B97" s="455" t="s">
        <v>183</v>
      </c>
      <c r="C97" s="210"/>
      <c r="D97" s="211" t="s">
        <v>83</v>
      </c>
      <c r="E97" s="56"/>
      <c r="F97" s="372">
        <v>29.113149847094796</v>
      </c>
      <c r="G97" s="212">
        <v>2817</v>
      </c>
      <c r="H97" s="213">
        <f t="shared" si="65"/>
        <v>82011.743119266044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1408.5000000000002</v>
      </c>
      <c r="O97" s="47">
        <f t="shared" si="67"/>
        <v>70.425000000000011</v>
      </c>
      <c r="P97" s="48">
        <f t="shared" si="68"/>
        <v>0</v>
      </c>
      <c r="Q97" s="49">
        <f t="shared" si="64"/>
        <v>-4.5749999999999886</v>
      </c>
      <c r="R97" s="457">
        <f t="shared" si="69"/>
        <v>0.93900000000000017</v>
      </c>
      <c r="S97" s="672"/>
      <c r="T97" s="214">
        <v>0.40486111111111112</v>
      </c>
      <c r="U97" s="214">
        <v>0.48819444444444443</v>
      </c>
      <c r="V97" s="215">
        <v>22</v>
      </c>
      <c r="W97" s="90">
        <f t="shared" si="70"/>
        <v>119.99999999999997</v>
      </c>
      <c r="X97" s="53">
        <v>0.39305555555555555</v>
      </c>
      <c r="Y97" s="53">
        <v>0.40208333333333335</v>
      </c>
      <c r="Z97" s="54"/>
      <c r="AA97" s="54"/>
      <c r="AB97" s="658"/>
      <c r="AC97" s="658"/>
      <c r="AD97" s="215"/>
      <c r="AE97" s="215"/>
      <c r="AF97" s="216">
        <f t="shared" si="61"/>
        <v>-91.499999999999773</v>
      </c>
      <c r="AG97" s="217">
        <f t="shared" si="62"/>
        <v>0.93900000000000017</v>
      </c>
      <c r="AH97" s="681"/>
    </row>
    <row r="98" spans="1:34" s="221" customFormat="1" ht="19.2" customHeight="1">
      <c r="A98" s="702"/>
      <c r="B98" s="455" t="s">
        <v>181</v>
      </c>
      <c r="C98" s="55"/>
      <c r="D98" s="42" t="s">
        <v>76</v>
      </c>
      <c r="E98" s="83"/>
      <c r="F98" s="372">
        <v>77.34</v>
      </c>
      <c r="G98" s="57">
        <v>845</v>
      </c>
      <c r="H98" s="213">
        <f t="shared" si="65"/>
        <v>65352.3</v>
      </c>
      <c r="I98" s="453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1299.9999999999993</v>
      </c>
      <c r="O98" s="47">
        <f t="shared" si="67"/>
        <v>72.222222222222186</v>
      </c>
      <c r="P98" s="48">
        <f t="shared" si="68"/>
        <v>0</v>
      </c>
      <c r="Q98" s="49">
        <f t="shared" si="64"/>
        <v>-7.7777777777778141</v>
      </c>
      <c r="R98" s="457">
        <f t="shared" si="69"/>
        <v>0.90277777777777735</v>
      </c>
      <c r="S98" s="672"/>
      <c r="T98" s="89">
        <v>0.52847222222222212</v>
      </c>
      <c r="U98" s="89">
        <v>0.55555555555555547</v>
      </c>
      <c r="V98" s="453">
        <v>5</v>
      </c>
      <c r="W98" s="90">
        <f t="shared" si="70"/>
        <v>39.000000000000021</v>
      </c>
      <c r="X98" s="219"/>
      <c r="Y98" s="219"/>
      <c r="Z98" s="220"/>
      <c r="AA98" s="220"/>
      <c r="AB98" s="658"/>
      <c r="AC98" s="658"/>
      <c r="AD98" s="453"/>
      <c r="AE98" s="453"/>
      <c r="AF98" s="54">
        <f t="shared" si="61"/>
        <v>-140.00000000000068</v>
      </c>
      <c r="AG98" s="454">
        <f t="shared" si="62"/>
        <v>0.90277777777777735</v>
      </c>
      <c r="AH98" s="681"/>
    </row>
    <row r="99" spans="1:34" ht="19.2" customHeight="1">
      <c r="A99" s="702"/>
      <c r="B99" s="455" t="s">
        <v>181</v>
      </c>
      <c r="C99" s="81"/>
      <c r="D99" s="82" t="s">
        <v>74</v>
      </c>
      <c r="E99" s="83"/>
      <c r="F99" s="372">
        <v>59.34</v>
      </c>
      <c r="G99" s="57">
        <v>1050</v>
      </c>
      <c r="H99" s="213">
        <f t="shared" si="65"/>
        <v>62307</v>
      </c>
      <c r="I99" s="453"/>
      <c r="J99" s="46">
        <v>17</v>
      </c>
      <c r="K99" s="44">
        <v>1440</v>
      </c>
      <c r="L99" s="47">
        <v>84.705882352941174</v>
      </c>
      <c r="M99" s="467">
        <v>17</v>
      </c>
      <c r="N99" s="44">
        <f t="shared" si="66"/>
        <v>1285.714285714286</v>
      </c>
      <c r="O99" s="47">
        <f t="shared" si="67"/>
        <v>75.630252100840352</v>
      </c>
      <c r="P99" s="48">
        <f t="shared" si="68"/>
        <v>0</v>
      </c>
      <c r="Q99" s="49">
        <f t="shared" si="64"/>
        <v>-9.0756302521008223</v>
      </c>
      <c r="R99" s="457">
        <f t="shared" si="69"/>
        <v>0.89285714285714302</v>
      </c>
      <c r="S99" s="672"/>
      <c r="T99" s="89">
        <v>0.55972222222222212</v>
      </c>
      <c r="U99" s="89">
        <v>0.59374999999999989</v>
      </c>
      <c r="V99" s="453">
        <v>6</v>
      </c>
      <c r="W99" s="90">
        <f t="shared" si="70"/>
        <v>48.999999999999986</v>
      </c>
      <c r="X99" s="183"/>
      <c r="Y99" s="183"/>
      <c r="Z99" s="125"/>
      <c r="AA99" s="125"/>
      <c r="AB99" s="658"/>
      <c r="AC99" s="658"/>
      <c r="AD99" s="453"/>
      <c r="AE99" s="453"/>
      <c r="AF99" s="216">
        <f t="shared" si="61"/>
        <v>-154.28571428571399</v>
      </c>
      <c r="AG99" s="217">
        <f t="shared" si="62"/>
        <v>0.89285714285714302</v>
      </c>
      <c r="AH99" s="681"/>
    </row>
    <row r="100" spans="1:34" s="221" customFormat="1" ht="19.2" customHeight="1">
      <c r="A100" s="702"/>
      <c r="B100" s="455" t="s">
        <v>181</v>
      </c>
      <c r="C100" s="55"/>
      <c r="D100" s="42" t="s">
        <v>75</v>
      </c>
      <c r="E100" s="83"/>
      <c r="F100" s="372">
        <v>71.55</v>
      </c>
      <c r="G100" s="57">
        <v>875</v>
      </c>
      <c r="H100" s="213">
        <f t="shared" si="65"/>
        <v>62606.25</v>
      </c>
      <c r="I100" s="453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1220.9302325581393</v>
      </c>
      <c r="O100" s="47">
        <f t="shared" si="67"/>
        <v>67.829457364341067</v>
      </c>
      <c r="P100" s="48">
        <f t="shared" si="68"/>
        <v>0</v>
      </c>
      <c r="Q100" s="49">
        <f t="shared" si="64"/>
        <v>-9.1149870801033757</v>
      </c>
      <c r="R100" s="457">
        <f t="shared" si="69"/>
        <v>0.88153807404919804</v>
      </c>
      <c r="S100" s="672"/>
      <c r="T100" s="214">
        <v>0.59861111111111098</v>
      </c>
      <c r="U100" s="214">
        <v>0.6284722222222221</v>
      </c>
      <c r="V100" s="215">
        <v>7</v>
      </c>
      <c r="W100" s="90">
        <f t="shared" si="70"/>
        <v>43.000000000000007</v>
      </c>
      <c r="X100" s="222"/>
      <c r="Y100" s="222"/>
      <c r="Z100" s="220"/>
      <c r="AA100" s="220"/>
      <c r="AB100" s="658"/>
      <c r="AC100" s="658"/>
      <c r="AD100" s="453"/>
      <c r="AE100" s="453"/>
      <c r="AF100" s="54">
        <f t="shared" si="61"/>
        <v>-164.06976744186068</v>
      </c>
      <c r="AG100" s="454">
        <f t="shared" si="62"/>
        <v>0.88153807404919804</v>
      </c>
      <c r="AH100" s="681"/>
    </row>
    <row r="101" spans="1:34" s="221" customFormat="1" ht="19.2" customHeight="1">
      <c r="A101" s="702"/>
      <c r="B101" s="455">
        <v>0</v>
      </c>
      <c r="C101" s="55"/>
      <c r="D101" s="82"/>
      <c r="E101" s="83"/>
      <c r="F101" s="372" t="s">
        <v>186</v>
      </c>
      <c r="G101" s="57"/>
      <c r="H101" s="213">
        <f t="shared" si="65"/>
        <v>0</v>
      </c>
      <c r="I101" s="453"/>
      <c r="J101" s="46"/>
      <c r="K101" s="44"/>
      <c r="L101" s="47"/>
      <c r="M101" s="87"/>
      <c r="N101" s="44"/>
      <c r="O101" s="47"/>
      <c r="P101" s="48"/>
      <c r="Q101" s="49"/>
      <c r="R101" s="457"/>
      <c r="S101" s="672"/>
      <c r="T101" s="214"/>
      <c r="U101" s="89"/>
      <c r="V101" s="215"/>
      <c r="W101" s="90"/>
      <c r="X101" s="223"/>
      <c r="Y101" s="223"/>
      <c r="Z101" s="220"/>
      <c r="AA101" s="220"/>
      <c r="AB101" s="658"/>
      <c r="AC101" s="658"/>
      <c r="AD101" s="453"/>
      <c r="AE101" s="453"/>
      <c r="AF101" s="216">
        <f t="shared" si="61"/>
        <v>0</v>
      </c>
      <c r="AG101" s="217" t="e">
        <f t="shared" si="62"/>
        <v>#DIV/0!</v>
      </c>
      <c r="AH101" s="681"/>
    </row>
    <row r="102" spans="1:34" s="221" customFormat="1" ht="19.2" customHeight="1">
      <c r="A102" s="702"/>
      <c r="B102" s="455">
        <v>0</v>
      </c>
      <c r="C102" s="178"/>
      <c r="D102" s="179"/>
      <c r="E102" s="180"/>
      <c r="F102" s="372" t="s">
        <v>186</v>
      </c>
      <c r="G102" s="57"/>
      <c r="H102" s="213">
        <f t="shared" si="65"/>
        <v>0</v>
      </c>
      <c r="I102" s="455"/>
      <c r="J102" s="46"/>
      <c r="K102" s="44"/>
      <c r="L102" s="47"/>
      <c r="M102" s="87"/>
      <c r="N102" s="44"/>
      <c r="O102" s="47"/>
      <c r="P102" s="48"/>
      <c r="Q102" s="49"/>
      <c r="R102" s="457"/>
      <c r="S102" s="672"/>
      <c r="T102" s="214"/>
      <c r="U102" s="214"/>
      <c r="V102" s="215"/>
      <c r="W102" s="90"/>
      <c r="X102" s="223"/>
      <c r="Y102" s="223"/>
      <c r="Z102" s="220"/>
      <c r="AA102" s="220"/>
      <c r="AB102" s="658"/>
      <c r="AC102" s="658"/>
      <c r="AD102" s="453"/>
      <c r="AE102" s="453"/>
      <c r="AF102" s="54">
        <f t="shared" si="61"/>
        <v>0</v>
      </c>
      <c r="AG102" s="454" t="e">
        <f t="shared" si="62"/>
        <v>#DIV/0!</v>
      </c>
      <c r="AH102" s="681"/>
    </row>
    <row r="103" spans="1:34" s="221" customFormat="1" ht="19.2" customHeight="1">
      <c r="A103" s="702"/>
      <c r="B103" s="455">
        <v>0</v>
      </c>
      <c r="C103" s="224"/>
      <c r="D103" s="82"/>
      <c r="E103" s="83"/>
      <c r="F103" s="372" t="s">
        <v>186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57"/>
      <c r="S103" s="672"/>
      <c r="T103" s="214"/>
      <c r="U103" s="214"/>
      <c r="V103" s="215"/>
      <c r="W103" s="90"/>
      <c r="X103" s="223"/>
      <c r="Y103" s="223"/>
      <c r="Z103" s="220"/>
      <c r="AA103" s="220"/>
      <c r="AB103" s="658"/>
      <c r="AC103" s="658"/>
      <c r="AD103" s="453"/>
      <c r="AE103" s="453"/>
      <c r="AF103" s="216">
        <f t="shared" si="61"/>
        <v>0</v>
      </c>
      <c r="AG103" s="217" t="e">
        <f t="shared" si="62"/>
        <v>#DIV/0!</v>
      </c>
      <c r="AH103" s="681"/>
    </row>
    <row r="104" spans="1:34" s="221" customFormat="1" ht="19.2" customHeight="1">
      <c r="A104" s="702"/>
      <c r="B104" s="455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57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453"/>
      <c r="AE104" s="453"/>
      <c r="AF104" s="54">
        <f t="shared" si="61"/>
        <v>0</v>
      </c>
      <c r="AG104" s="454" t="e">
        <f t="shared" si="62"/>
        <v>#DIV/0!</v>
      </c>
      <c r="AH104" s="681"/>
    </row>
    <row r="105" spans="1:34" s="221" customFormat="1" ht="19.2" customHeight="1">
      <c r="A105" s="702"/>
      <c r="B105" s="455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57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453"/>
      <c r="AE105" s="453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55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54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453"/>
      <c r="AE106" s="453"/>
      <c r="AF106" s="220"/>
      <c r="AG106" s="454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54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453"/>
      <c r="AE107" s="453"/>
      <c r="AF107" s="220"/>
      <c r="AG107" s="454"/>
      <c r="AH107" s="681"/>
    </row>
    <row r="108" spans="1:34" ht="19.2" customHeight="1">
      <c r="A108" s="702"/>
      <c r="B108" s="110">
        <v>0</v>
      </c>
      <c r="C108" s="100" t="s">
        <v>21</v>
      </c>
      <c r="D108" s="687" t="s">
        <v>245</v>
      </c>
      <c r="E108" s="687"/>
      <c r="F108" s="373"/>
      <c r="G108" s="101"/>
      <c r="H108" s="102"/>
      <c r="I108" s="103"/>
      <c r="J108" s="101">
        <v>15.8</v>
      </c>
      <c r="K108" s="101">
        <v>1480.2</v>
      </c>
      <c r="L108" s="104">
        <v>117.86339869281046</v>
      </c>
      <c r="M108" s="101">
        <f t="shared" ref="M108:O108" si="71">AVERAGE(M96:M107)</f>
        <v>15.8</v>
      </c>
      <c r="N108" s="101">
        <f t="shared" si="71"/>
        <v>1349.1029777285589</v>
      </c>
      <c r="O108" s="104">
        <f t="shared" si="71"/>
        <v>108.23373201649306</v>
      </c>
      <c r="P108" s="54">
        <f t="shared" ref="P108:P116" si="72">M108-J108</f>
        <v>0</v>
      </c>
      <c r="Q108" s="88">
        <f t="shared" ref="Q108:Q116" si="73">O108-L108</f>
        <v>-9.6296666763173988</v>
      </c>
      <c r="R108" s="105">
        <f t="shared" ref="R108:R116" si="74">O108/L108</f>
        <v>0.91829807401519636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0</v>
      </c>
      <c r="AE108" s="107">
        <f>SUM(AE96:AE107)</f>
        <v>0</v>
      </c>
      <c r="AF108" s="54">
        <f t="shared" si="61"/>
        <v>-131.09702227144112</v>
      </c>
      <c r="AG108" s="454">
        <f t="shared" si="62"/>
        <v>0.91143289942477967</v>
      </c>
      <c r="AH108" s="681"/>
    </row>
    <row r="109" spans="1:34" ht="19.2" customHeight="1">
      <c r="A109" s="703" t="s">
        <v>251</v>
      </c>
      <c r="B109" s="455" t="s">
        <v>185</v>
      </c>
      <c r="C109" s="462"/>
      <c r="D109" s="179" t="s">
        <v>104</v>
      </c>
      <c r="E109" s="43"/>
      <c r="F109" s="361">
        <v>51.75</v>
      </c>
      <c r="G109" s="44">
        <v>917</v>
      </c>
      <c r="H109" s="45">
        <f t="shared" ref="H109:H119" si="75">F109*G109</f>
        <v>47454.75</v>
      </c>
      <c r="I109" s="455"/>
      <c r="J109" s="46">
        <v>21</v>
      </c>
      <c r="K109" s="44">
        <v>1500</v>
      </c>
      <c r="L109" s="47">
        <v>71.428571428571431</v>
      </c>
      <c r="M109" s="467">
        <v>21</v>
      </c>
      <c r="N109" s="44">
        <f t="shared" ref="N109:N116" si="76">G109/W109*60</f>
        <v>1309.9999999999995</v>
      </c>
      <c r="O109" s="47">
        <f t="shared" ref="O109:O116" si="77">N109/M109</f>
        <v>62.380952380952358</v>
      </c>
      <c r="P109" s="48">
        <f t="shared" si="72"/>
        <v>0</v>
      </c>
      <c r="Q109" s="49">
        <f t="shared" si="73"/>
        <v>-9.0476190476190723</v>
      </c>
      <c r="R109" s="457">
        <f t="shared" si="74"/>
        <v>0.87333333333333296</v>
      </c>
      <c r="S109" s="706">
        <f>R121</f>
        <v>0.85126546671759462</v>
      </c>
      <c r="T109" s="230">
        <v>0.5</v>
      </c>
      <c r="U109" s="230">
        <v>0.52916666666666667</v>
      </c>
      <c r="V109" s="231">
        <v>5</v>
      </c>
      <c r="W109" s="466">
        <f t="shared" si="70"/>
        <v>42.000000000000014</v>
      </c>
      <c r="X109" s="53"/>
      <c r="Y109" s="53"/>
      <c r="Z109" s="54"/>
      <c r="AA109" s="54"/>
      <c r="AB109" s="658"/>
      <c r="AC109" s="658"/>
      <c r="AD109" s="453"/>
      <c r="AE109" s="453"/>
      <c r="AF109" s="48">
        <f t="shared" si="61"/>
        <v>-190.00000000000045</v>
      </c>
      <c r="AG109" s="126">
        <f t="shared" si="62"/>
        <v>0.87333333333333307</v>
      </c>
      <c r="AH109" s="681">
        <f>AG121</f>
        <v>0.84059142257808184</v>
      </c>
    </row>
    <row r="110" spans="1:34" ht="19.2" customHeight="1">
      <c r="A110" s="704"/>
      <c r="B110" s="455" t="s">
        <v>185</v>
      </c>
      <c r="C110" s="178"/>
      <c r="D110" s="42" t="s">
        <v>103</v>
      </c>
      <c r="E110" s="180"/>
      <c r="F110" s="361">
        <v>56.43</v>
      </c>
      <c r="G110" s="177">
        <v>863</v>
      </c>
      <c r="H110" s="45">
        <f t="shared" si="75"/>
        <v>48699.09</v>
      </c>
      <c r="I110" s="455"/>
      <c r="J110" s="46">
        <v>18</v>
      </c>
      <c r="K110" s="44">
        <v>1500</v>
      </c>
      <c r="L110" s="47">
        <v>83.333333333333329</v>
      </c>
      <c r="M110" s="467">
        <v>18</v>
      </c>
      <c r="N110" s="44">
        <f t="shared" si="76"/>
        <v>1327.6923076923069</v>
      </c>
      <c r="O110" s="47">
        <f t="shared" si="77"/>
        <v>73.760683760683719</v>
      </c>
      <c r="P110" s="48">
        <f t="shared" si="72"/>
        <v>0</v>
      </c>
      <c r="Q110" s="49">
        <f t="shared" si="73"/>
        <v>-9.5726495726496097</v>
      </c>
      <c r="R110" s="457">
        <f t="shared" si="74"/>
        <v>0.88512820512820467</v>
      </c>
      <c r="S110" s="707"/>
      <c r="T110" s="230">
        <v>0.53402777777777777</v>
      </c>
      <c r="U110" s="230">
        <v>0.56111111111111112</v>
      </c>
      <c r="V110" s="231">
        <v>7</v>
      </c>
      <c r="W110" s="466">
        <f t="shared" si="70"/>
        <v>39.000000000000021</v>
      </c>
      <c r="X110" s="191"/>
      <c r="Y110" s="191"/>
      <c r="Z110" s="54"/>
      <c r="AA110" s="54"/>
      <c r="AB110" s="658"/>
      <c r="AC110" s="658"/>
      <c r="AD110" s="453"/>
      <c r="AE110" s="453"/>
      <c r="AF110" s="48">
        <f t="shared" si="61"/>
        <v>-172.30769230769306</v>
      </c>
      <c r="AG110" s="126">
        <f t="shared" si="62"/>
        <v>0.88512820512820467</v>
      </c>
      <c r="AH110" s="681"/>
    </row>
    <row r="111" spans="1:34" ht="19.2" customHeight="1">
      <c r="A111" s="704"/>
      <c r="B111" s="455" t="s">
        <v>183</v>
      </c>
      <c r="C111" s="178"/>
      <c r="D111" s="42" t="s">
        <v>83</v>
      </c>
      <c r="E111" s="180"/>
      <c r="F111" s="361">
        <v>29.113149847094796</v>
      </c>
      <c r="G111" s="57">
        <v>313</v>
      </c>
      <c r="H111" s="45">
        <f t="shared" si="75"/>
        <v>9112.4159021406704</v>
      </c>
      <c r="I111" s="455"/>
      <c r="J111" s="46">
        <v>20</v>
      </c>
      <c r="K111" s="44">
        <v>1500</v>
      </c>
      <c r="L111" s="47">
        <v>75</v>
      </c>
      <c r="M111" s="232">
        <v>20</v>
      </c>
      <c r="N111" s="44">
        <f t="shared" si="76"/>
        <v>1252.0000000000045</v>
      </c>
      <c r="O111" s="47">
        <f t="shared" si="77"/>
        <v>62.600000000000229</v>
      </c>
      <c r="P111" s="48">
        <f t="shared" si="72"/>
        <v>0</v>
      </c>
      <c r="Q111" s="49">
        <f t="shared" si="73"/>
        <v>-12.399999999999771</v>
      </c>
      <c r="R111" s="457">
        <f t="shared" si="74"/>
        <v>0.83466666666666967</v>
      </c>
      <c r="S111" s="707"/>
      <c r="T111" s="230">
        <v>0.56597222222222221</v>
      </c>
      <c r="U111" s="230">
        <v>0.57638888888888884</v>
      </c>
      <c r="V111" s="231">
        <v>7</v>
      </c>
      <c r="W111" s="466">
        <f t="shared" si="70"/>
        <v>14.999999999999947</v>
      </c>
      <c r="X111" s="53"/>
      <c r="Y111" s="53"/>
      <c r="Z111" s="54"/>
      <c r="AA111" s="54"/>
      <c r="AB111" s="658"/>
      <c r="AC111" s="658"/>
      <c r="AD111" s="453"/>
      <c r="AE111" s="453"/>
      <c r="AF111" s="48">
        <f t="shared" si="61"/>
        <v>-247.99999999999545</v>
      </c>
      <c r="AG111" s="126">
        <f t="shared" si="62"/>
        <v>0.83466666666666967</v>
      </c>
      <c r="AH111" s="681"/>
    </row>
    <row r="112" spans="1:34" ht="19.2" customHeight="1">
      <c r="A112" s="704"/>
      <c r="B112" s="455" t="s">
        <v>185</v>
      </c>
      <c r="C112" s="178"/>
      <c r="D112" s="179" t="s">
        <v>106</v>
      </c>
      <c r="E112" s="180"/>
      <c r="F112" s="361">
        <v>55.32</v>
      </c>
      <c r="G112" s="57">
        <v>585</v>
      </c>
      <c r="H112" s="45">
        <f t="shared" si="75"/>
        <v>32362.2</v>
      </c>
      <c r="I112" s="453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1096.8749999999984</v>
      </c>
      <c r="O112" s="47">
        <f t="shared" si="77"/>
        <v>73.124999999999901</v>
      </c>
      <c r="P112" s="48">
        <f t="shared" si="72"/>
        <v>1</v>
      </c>
      <c r="Q112" s="49">
        <f t="shared" si="73"/>
        <v>-29.732142857142961</v>
      </c>
      <c r="R112" s="457">
        <f t="shared" si="74"/>
        <v>0.710937499999999</v>
      </c>
      <c r="S112" s="707"/>
      <c r="T112" s="230">
        <v>0.70833333333333337</v>
      </c>
      <c r="U112" s="230">
        <v>0.73055555555555562</v>
      </c>
      <c r="V112" s="231">
        <v>5</v>
      </c>
      <c r="W112" s="466">
        <f t="shared" si="70"/>
        <v>32.000000000000043</v>
      </c>
      <c r="X112" s="53"/>
      <c r="Y112" s="53"/>
      <c r="Z112" s="54"/>
      <c r="AA112" s="54"/>
      <c r="AB112" s="658"/>
      <c r="AC112" s="658"/>
      <c r="AD112" s="453"/>
      <c r="AE112" s="453"/>
      <c r="AF112" s="48">
        <f t="shared" si="61"/>
        <v>-343.12500000000159</v>
      </c>
      <c r="AG112" s="126">
        <f t="shared" si="62"/>
        <v>0.76171874999999889</v>
      </c>
      <c r="AH112" s="681"/>
    </row>
    <row r="113" spans="1:34" s="221" customFormat="1" ht="19.2" customHeight="1">
      <c r="A113" s="704"/>
      <c r="B113" s="455" t="s">
        <v>185</v>
      </c>
      <c r="C113" s="178"/>
      <c r="D113" s="179" t="s">
        <v>107</v>
      </c>
      <c r="E113" s="180"/>
      <c r="F113" s="361">
        <v>55.56</v>
      </c>
      <c r="G113" s="57">
        <v>696</v>
      </c>
      <c r="H113" s="45">
        <f t="shared" si="75"/>
        <v>38669.760000000002</v>
      </c>
      <c r="I113" s="453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1265.4545454545439</v>
      </c>
      <c r="O113" s="47">
        <f t="shared" si="77"/>
        <v>79.090909090908994</v>
      </c>
      <c r="P113" s="48">
        <f t="shared" si="72"/>
        <v>0</v>
      </c>
      <c r="Q113" s="49">
        <f t="shared" si="73"/>
        <v>-10.909090909091006</v>
      </c>
      <c r="R113" s="457">
        <f t="shared" si="74"/>
        <v>0.87878787878787767</v>
      </c>
      <c r="S113" s="707"/>
      <c r="T113" s="230">
        <v>0.73541666666666672</v>
      </c>
      <c r="U113" s="230">
        <v>0.75833333333333341</v>
      </c>
      <c r="V113" s="231">
        <v>7</v>
      </c>
      <c r="W113" s="466">
        <f t="shared" si="70"/>
        <v>33.000000000000043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-174.5454545454561</v>
      </c>
      <c r="AG113" s="126">
        <f t="shared" si="62"/>
        <v>0.87878787878787767</v>
      </c>
      <c r="AH113" s="681"/>
    </row>
    <row r="114" spans="1:34" s="221" customFormat="1" ht="19.2" customHeight="1">
      <c r="A114" s="704"/>
      <c r="B114" s="455" t="s">
        <v>185</v>
      </c>
      <c r="C114" s="178"/>
      <c r="D114" s="179" t="s">
        <v>105</v>
      </c>
      <c r="E114" s="180"/>
      <c r="F114" s="361">
        <v>54.29</v>
      </c>
      <c r="G114" s="57">
        <v>658</v>
      </c>
      <c r="H114" s="45">
        <f t="shared" si="75"/>
        <v>35722.82</v>
      </c>
      <c r="I114" s="453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1233.7499999999982</v>
      </c>
      <c r="O114" s="47">
        <f t="shared" si="77"/>
        <v>82.249999999999872</v>
      </c>
      <c r="P114" s="48">
        <f t="shared" si="72"/>
        <v>0</v>
      </c>
      <c r="Q114" s="49">
        <f t="shared" si="73"/>
        <v>-13.750000000000128</v>
      </c>
      <c r="R114" s="457">
        <f t="shared" si="74"/>
        <v>0.85677083333333204</v>
      </c>
      <c r="S114" s="707"/>
      <c r="T114" s="230">
        <v>0.76250000000000007</v>
      </c>
      <c r="U114" s="230">
        <v>0.78472222222222232</v>
      </c>
      <c r="V114" s="231">
        <v>6</v>
      </c>
      <c r="W114" s="466">
        <f t="shared" si="70"/>
        <v>32.000000000000043</v>
      </c>
      <c r="X114" s="219"/>
      <c r="Y114" s="219"/>
      <c r="Z114" s="220"/>
      <c r="AA114" s="220"/>
      <c r="AB114" s="658"/>
      <c r="AC114" s="658"/>
      <c r="AD114" s="224"/>
      <c r="AE114" s="224"/>
      <c r="AF114" s="48">
        <f t="shared" si="61"/>
        <v>-206.25000000000182</v>
      </c>
      <c r="AG114" s="126">
        <f t="shared" si="62"/>
        <v>0.85677083333333204</v>
      </c>
      <c r="AH114" s="681"/>
    </row>
    <row r="115" spans="1:34" s="221" customFormat="1" ht="19.2" customHeight="1">
      <c r="A115" s="704"/>
      <c r="B115" s="455" t="s">
        <v>184</v>
      </c>
      <c r="C115" s="178"/>
      <c r="D115" s="179" t="s">
        <v>259</v>
      </c>
      <c r="E115" s="180"/>
      <c r="F115" s="361">
        <v>20.170000000000002</v>
      </c>
      <c r="G115" s="177">
        <v>440</v>
      </c>
      <c r="H115" s="45">
        <f t="shared" si="75"/>
        <v>8874.8000000000011</v>
      </c>
      <c r="I115" s="453"/>
      <c r="J115" s="46">
        <v>12</v>
      </c>
      <c r="K115" s="44">
        <v>1500</v>
      </c>
      <c r="L115" s="47">
        <v>125</v>
      </c>
      <c r="M115" s="467">
        <v>10</v>
      </c>
      <c r="N115" s="44">
        <f t="shared" si="76"/>
        <v>1015.3846153846129</v>
      </c>
      <c r="O115" s="47">
        <f t="shared" si="77"/>
        <v>101.53846153846129</v>
      </c>
      <c r="P115" s="48">
        <f t="shared" si="72"/>
        <v>-2</v>
      </c>
      <c r="Q115" s="49">
        <f t="shared" si="73"/>
        <v>-23.461538461538709</v>
      </c>
      <c r="R115" s="457">
        <f t="shared" si="74"/>
        <v>0.81230769230769029</v>
      </c>
      <c r="S115" s="707"/>
      <c r="T115" s="230">
        <v>0.8</v>
      </c>
      <c r="U115" s="230">
        <v>0.81805555555555565</v>
      </c>
      <c r="V115" s="231">
        <v>22</v>
      </c>
      <c r="W115" s="466">
        <f t="shared" si="70"/>
        <v>26.000000000000068</v>
      </c>
      <c r="X115" s="219">
        <v>0.78749999999999998</v>
      </c>
      <c r="Y115" s="219">
        <v>0.79861111111111116</v>
      </c>
      <c r="Z115" s="220"/>
      <c r="AA115" s="220"/>
      <c r="AB115" s="658"/>
      <c r="AC115" s="658"/>
      <c r="AD115" s="224"/>
      <c r="AE115" s="224"/>
      <c r="AF115" s="48">
        <f t="shared" si="61"/>
        <v>-484.61538461538714</v>
      </c>
      <c r="AG115" s="126">
        <f t="shared" si="62"/>
        <v>0.67692307692307518</v>
      </c>
      <c r="AH115" s="681"/>
    </row>
    <row r="116" spans="1:34" s="221" customFormat="1" ht="19.2" customHeight="1">
      <c r="A116" s="704"/>
      <c r="B116" s="455" t="s">
        <v>184</v>
      </c>
      <c r="C116" s="55"/>
      <c r="D116" s="82" t="s">
        <v>309</v>
      </c>
      <c r="E116" s="83"/>
      <c r="F116" s="361">
        <v>19.41</v>
      </c>
      <c r="G116" s="57">
        <v>2941</v>
      </c>
      <c r="H116" s="45">
        <f t="shared" si="75"/>
        <v>57084.81</v>
      </c>
      <c r="I116" s="453"/>
      <c r="J116" s="46">
        <v>12</v>
      </c>
      <c r="K116" s="44">
        <v>1500</v>
      </c>
      <c r="L116" s="47">
        <v>125</v>
      </c>
      <c r="M116" s="464">
        <v>12</v>
      </c>
      <c r="N116" s="44">
        <f t="shared" si="76"/>
        <v>1434.6341463414631</v>
      </c>
      <c r="O116" s="47">
        <f t="shared" si="77"/>
        <v>119.55284552845525</v>
      </c>
      <c r="P116" s="48">
        <f t="shared" si="72"/>
        <v>0</v>
      </c>
      <c r="Q116" s="49">
        <f t="shared" si="73"/>
        <v>-5.4471544715447493</v>
      </c>
      <c r="R116" s="457">
        <f t="shared" si="74"/>
        <v>0.95642276422764205</v>
      </c>
      <c r="S116" s="707"/>
      <c r="T116" s="230">
        <v>0.82291666666666674</v>
      </c>
      <c r="U116" s="230">
        <v>0.90833333333333344</v>
      </c>
      <c r="V116" s="231">
        <v>7</v>
      </c>
      <c r="W116" s="466">
        <f t="shared" si="70"/>
        <v>123.00000000000004</v>
      </c>
      <c r="X116" s="219"/>
      <c r="Y116" s="219"/>
      <c r="Z116" s="220"/>
      <c r="AA116" s="220"/>
      <c r="AB116" s="658"/>
      <c r="AC116" s="658"/>
      <c r="AD116" s="224"/>
      <c r="AE116" s="224"/>
      <c r="AF116" s="48">
        <f t="shared" si="61"/>
        <v>-65.365853658536935</v>
      </c>
      <c r="AG116" s="126">
        <f t="shared" si="62"/>
        <v>0.95642276422764205</v>
      </c>
      <c r="AH116" s="681"/>
    </row>
    <row r="117" spans="1:34" s="221" customFormat="1" ht="19.2" customHeight="1">
      <c r="A117" s="704"/>
      <c r="B117" s="455">
        <v>0</v>
      </c>
      <c r="C117" s="55"/>
      <c r="D117" s="179"/>
      <c r="E117" s="83"/>
      <c r="F117" s="361" t="s">
        <v>186</v>
      </c>
      <c r="G117" s="57"/>
      <c r="H117" s="45">
        <f t="shared" si="75"/>
        <v>0</v>
      </c>
      <c r="I117" s="453"/>
      <c r="J117" s="46"/>
      <c r="K117" s="44"/>
      <c r="L117" s="47"/>
      <c r="M117" s="464"/>
      <c r="N117" s="44"/>
      <c r="O117" s="47"/>
      <c r="P117" s="48"/>
      <c r="Q117" s="49"/>
      <c r="R117" s="457"/>
      <c r="S117" s="707"/>
      <c r="T117" s="230"/>
      <c r="U117" s="230"/>
      <c r="V117" s="231"/>
      <c r="W117" s="466"/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0</v>
      </c>
      <c r="AG117" s="126" t="e">
        <f t="shared" si="62"/>
        <v>#DIV/0!</v>
      </c>
      <c r="AH117" s="681"/>
    </row>
    <row r="118" spans="1:34" s="221" customFormat="1" ht="19.2" customHeight="1">
      <c r="A118" s="704"/>
      <c r="B118" s="455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453"/>
      <c r="J118" s="46"/>
      <c r="K118" s="44"/>
      <c r="L118" s="47"/>
      <c r="M118" s="464"/>
      <c r="N118" s="44"/>
      <c r="O118" s="47"/>
      <c r="P118" s="48"/>
      <c r="Q118" s="49"/>
      <c r="R118" s="457"/>
      <c r="S118" s="707"/>
      <c r="T118" s="230"/>
      <c r="U118" s="230"/>
      <c r="V118" s="231"/>
      <c r="W118" s="466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453"/>
      <c r="J119" s="181"/>
      <c r="K119" s="235"/>
      <c r="L119" s="47"/>
      <c r="M119" s="464"/>
      <c r="N119" s="182"/>
      <c r="O119" s="228"/>
      <c r="P119" s="168"/>
      <c r="Q119" s="49"/>
      <c r="R119" s="457"/>
      <c r="S119" s="707"/>
      <c r="T119" s="230"/>
      <c r="U119" s="230"/>
      <c r="V119" s="231"/>
      <c r="W119" s="466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453"/>
      <c r="J120" s="181"/>
      <c r="K120" s="235"/>
      <c r="L120" s="47"/>
      <c r="M120" s="464"/>
      <c r="N120" s="182"/>
      <c r="O120" s="228"/>
      <c r="P120" s="168"/>
      <c r="Q120" s="49"/>
      <c r="R120" s="457"/>
      <c r="S120" s="707"/>
      <c r="T120" s="230"/>
      <c r="U120" s="230"/>
      <c r="V120" s="231"/>
      <c r="W120" s="466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22</v>
      </c>
      <c r="D121" s="236" t="s">
        <v>245</v>
      </c>
      <c r="E121" s="237"/>
      <c r="F121" s="370"/>
      <c r="G121" s="238"/>
      <c r="H121" s="239"/>
      <c r="I121" s="240"/>
      <c r="J121" s="205">
        <v>16</v>
      </c>
      <c r="K121" s="205">
        <v>1477.5</v>
      </c>
      <c r="L121" s="206">
        <v>96.077380952380949</v>
      </c>
      <c r="M121" s="205">
        <f t="shared" ref="M121:O121" si="78">AVERAGE(M109:M120)</f>
        <v>15.875</v>
      </c>
      <c r="N121" s="205">
        <f t="shared" si="78"/>
        <v>1241.9738268591159</v>
      </c>
      <c r="O121" s="206">
        <f t="shared" si="78"/>
        <v>81.7873565374327</v>
      </c>
      <c r="P121" s="48">
        <f t="shared" ref="P121:P129" si="79">M121-J121</f>
        <v>-0.125</v>
      </c>
      <c r="Q121" s="49">
        <f t="shared" ref="Q121:Q129" si="80">O121-L121</f>
        <v>-14.290024414948249</v>
      </c>
      <c r="R121" s="175">
        <f t="shared" ref="R121:R129" si="81">O121/L121</f>
        <v>0.85126546671759462</v>
      </c>
      <c r="S121" s="686"/>
      <c r="T121" s="50"/>
      <c r="U121" s="50"/>
      <c r="V121" s="44"/>
      <c r="W121" s="46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0</v>
      </c>
      <c r="AE121" s="107">
        <f>SUM(AE109:AE120)</f>
        <v>0</v>
      </c>
      <c r="AF121" s="48">
        <f>N121-K121</f>
        <v>-235.52617314088411</v>
      </c>
      <c r="AG121" s="126">
        <f>N121/K121</f>
        <v>0.84059142257808184</v>
      </c>
      <c r="AH121" s="681"/>
    </row>
    <row r="122" spans="1:34" ht="19.2" customHeight="1">
      <c r="A122" s="708" t="s">
        <v>252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1776</v>
      </c>
      <c r="H122" s="45">
        <f t="shared" ref="H122:H132" si="82">F122*G122</f>
        <v>104197.92</v>
      </c>
      <c r="I122" s="455"/>
      <c r="J122" s="46">
        <v>19</v>
      </c>
      <c r="K122" s="44">
        <v>1440</v>
      </c>
      <c r="L122" s="47">
        <v>75.78947368421052</v>
      </c>
      <c r="M122" s="467">
        <v>19</v>
      </c>
      <c r="N122" s="177">
        <f t="shared" ref="N122:N129" si="83">G122/W122*60</f>
        <v>1366.1538461538453</v>
      </c>
      <c r="O122" s="241">
        <f t="shared" ref="O122:O129" si="84">N122/M122</f>
        <v>71.902834008097116</v>
      </c>
      <c r="P122" s="108">
        <f t="shared" si="79"/>
        <v>0</v>
      </c>
      <c r="Q122" s="185">
        <f t="shared" si="80"/>
        <v>-3.8866396761134041</v>
      </c>
      <c r="R122" s="109">
        <f t="shared" si="81"/>
        <v>0.94871794871794812</v>
      </c>
      <c r="S122" s="672">
        <f>R134</f>
        <v>0.8986590774690898</v>
      </c>
      <c r="T122" s="50">
        <v>0.5</v>
      </c>
      <c r="U122" s="50">
        <v>0.5541666666666667</v>
      </c>
      <c r="V122" s="231">
        <v>5</v>
      </c>
      <c r="W122" s="466">
        <f t="shared" si="70"/>
        <v>78.000000000000043</v>
      </c>
      <c r="X122" s="53"/>
      <c r="Y122" s="53"/>
      <c r="Z122" s="54"/>
      <c r="AA122" s="54"/>
      <c r="AB122" s="658"/>
      <c r="AC122" s="658"/>
      <c r="AD122" s="453"/>
      <c r="AE122" s="453"/>
      <c r="AF122" s="48">
        <f t="shared" si="61"/>
        <v>-73.846153846154721</v>
      </c>
      <c r="AG122" s="457">
        <f t="shared" si="62"/>
        <v>0.94871794871794812</v>
      </c>
      <c r="AH122" s="686">
        <f>AG134</f>
        <v>0.91241029070907109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1962</v>
      </c>
      <c r="H123" s="45">
        <f t="shared" si="82"/>
        <v>116778.24000000001</v>
      </c>
      <c r="I123" s="453"/>
      <c r="J123" s="87">
        <v>21</v>
      </c>
      <c r="K123" s="57">
        <v>1385</v>
      </c>
      <c r="L123" s="86">
        <v>65.952380952380949</v>
      </c>
      <c r="M123" s="464">
        <v>21</v>
      </c>
      <c r="N123" s="57">
        <f t="shared" si="83"/>
        <v>1308</v>
      </c>
      <c r="O123" s="86">
        <f t="shared" si="84"/>
        <v>62.285714285714285</v>
      </c>
      <c r="P123" s="54">
        <f t="shared" si="79"/>
        <v>0</v>
      </c>
      <c r="Q123" s="88">
        <f t="shared" si="80"/>
        <v>-3.6666666666666643</v>
      </c>
      <c r="R123" s="454">
        <f t="shared" si="81"/>
        <v>0.94440433212996389</v>
      </c>
      <c r="S123" s="672"/>
      <c r="T123" s="50">
        <v>0.56944444444444442</v>
      </c>
      <c r="U123" s="50">
        <v>0.63194444444444442</v>
      </c>
      <c r="V123" s="231">
        <v>22</v>
      </c>
      <c r="W123" s="466">
        <f>(U123-T123)*24*60</f>
        <v>90</v>
      </c>
      <c r="X123" s="53">
        <v>0.55763888888888891</v>
      </c>
      <c r="Y123" s="53">
        <v>0.56666666666666665</v>
      </c>
      <c r="Z123" s="54"/>
      <c r="AA123" s="54"/>
      <c r="AB123" s="658"/>
      <c r="AC123" s="658"/>
      <c r="AD123" s="453"/>
      <c r="AE123" s="453"/>
      <c r="AF123" s="48">
        <f t="shared" si="61"/>
        <v>-77</v>
      </c>
      <c r="AG123" s="457">
        <f t="shared" si="62"/>
        <v>0.94440433212996389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1087</v>
      </c>
      <c r="H124" s="45">
        <f t="shared" si="82"/>
        <v>61730.729999999996</v>
      </c>
      <c r="I124" s="242"/>
      <c r="J124" s="87">
        <v>18</v>
      </c>
      <c r="K124" s="57">
        <v>1636</v>
      </c>
      <c r="L124" s="86">
        <v>90.888888888888886</v>
      </c>
      <c r="M124" s="467">
        <v>18</v>
      </c>
      <c r="N124" s="177">
        <f t="shared" si="83"/>
        <v>1552.8571428571424</v>
      </c>
      <c r="O124" s="241">
        <f t="shared" si="84"/>
        <v>86.269841269841251</v>
      </c>
      <c r="P124" s="108">
        <f t="shared" si="79"/>
        <v>0</v>
      </c>
      <c r="Q124" s="185">
        <f t="shared" si="80"/>
        <v>-4.6190476190476346</v>
      </c>
      <c r="R124" s="109">
        <f t="shared" si="81"/>
        <v>0.94917918267551504</v>
      </c>
      <c r="S124" s="709"/>
      <c r="T124" s="50">
        <v>0.70833333333333337</v>
      </c>
      <c r="U124" s="50">
        <v>0.73750000000000004</v>
      </c>
      <c r="V124" s="231">
        <v>5</v>
      </c>
      <c r="W124" s="243">
        <f>(U124-T124)*24*60</f>
        <v>42.000000000000014</v>
      </c>
      <c r="X124" s="191"/>
      <c r="Y124" s="191"/>
      <c r="Z124" s="54"/>
      <c r="AA124" s="54"/>
      <c r="AB124" s="658"/>
      <c r="AC124" s="658"/>
      <c r="AD124" s="453"/>
      <c r="AE124" s="453"/>
      <c r="AF124" s="108">
        <f t="shared" si="61"/>
        <v>-83.142857142857565</v>
      </c>
      <c r="AG124" s="109">
        <f t="shared" si="62"/>
        <v>0.94917918267551493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819</v>
      </c>
      <c r="H125" s="45">
        <f t="shared" si="82"/>
        <v>46576.53</v>
      </c>
      <c r="I125" s="455"/>
      <c r="J125" s="87">
        <v>18</v>
      </c>
      <c r="K125" s="57">
        <v>1636</v>
      </c>
      <c r="L125" s="86">
        <v>90.888888888888886</v>
      </c>
      <c r="M125" s="467">
        <v>18</v>
      </c>
      <c r="N125" s="57">
        <f t="shared" si="83"/>
        <v>1535.624999999998</v>
      </c>
      <c r="O125" s="86">
        <f t="shared" si="84"/>
        <v>85.312499999999886</v>
      </c>
      <c r="P125" s="54">
        <f t="shared" si="79"/>
        <v>0</v>
      </c>
      <c r="Q125" s="88">
        <f t="shared" si="80"/>
        <v>-5.5763888888889994</v>
      </c>
      <c r="R125" s="454">
        <f t="shared" si="81"/>
        <v>0.93864608801955873</v>
      </c>
      <c r="S125" s="709"/>
      <c r="T125" s="50">
        <v>0.7416666666666667</v>
      </c>
      <c r="U125" s="50">
        <v>0.76388888888888895</v>
      </c>
      <c r="V125" s="231">
        <v>6</v>
      </c>
      <c r="W125" s="243">
        <f t="shared" ref="W125:W133" si="85">(U125-T125)*24*60</f>
        <v>32.000000000000043</v>
      </c>
      <c r="X125" s="64"/>
      <c r="Y125" s="64"/>
      <c r="Z125" s="54"/>
      <c r="AA125" s="54"/>
      <c r="AB125" s="658"/>
      <c r="AC125" s="658"/>
      <c r="AD125" s="453"/>
      <c r="AE125" s="453"/>
      <c r="AF125" s="48">
        <f t="shared" si="61"/>
        <v>-100.37500000000205</v>
      </c>
      <c r="AG125" s="457">
        <f t="shared" si="62"/>
        <v>0.93864608801955862</v>
      </c>
      <c r="AH125" s="673"/>
    </row>
    <row r="126" spans="1:34" ht="19.2" customHeight="1">
      <c r="A126" s="708"/>
      <c r="B126" s="131" t="s">
        <v>185</v>
      </c>
      <c r="C126" s="453"/>
      <c r="D126" s="42" t="s">
        <v>113</v>
      </c>
      <c r="E126" s="180"/>
      <c r="F126" s="361">
        <v>54.09</v>
      </c>
      <c r="G126" s="57">
        <v>808</v>
      </c>
      <c r="H126" s="45">
        <f t="shared" si="82"/>
        <v>43704.72</v>
      </c>
      <c r="I126" s="453"/>
      <c r="J126" s="87">
        <v>17</v>
      </c>
      <c r="K126" s="57">
        <v>1565</v>
      </c>
      <c r="L126" s="86">
        <v>92.058823529411768</v>
      </c>
      <c r="M126" s="464">
        <v>18</v>
      </c>
      <c r="N126" s="57">
        <f t="shared" si="83"/>
        <v>1425.8823529411745</v>
      </c>
      <c r="O126" s="86">
        <f t="shared" si="84"/>
        <v>79.215686274509693</v>
      </c>
      <c r="P126" s="54">
        <f t="shared" si="79"/>
        <v>1</v>
      </c>
      <c r="Q126" s="88">
        <f t="shared" si="80"/>
        <v>-12.843137254902075</v>
      </c>
      <c r="R126" s="454">
        <f t="shared" si="81"/>
        <v>0.86048988285409889</v>
      </c>
      <c r="S126" s="709"/>
      <c r="T126" s="50">
        <v>0.76875000000000004</v>
      </c>
      <c r="U126" s="50">
        <v>0.79236111111111118</v>
      </c>
      <c r="V126" s="231">
        <v>7</v>
      </c>
      <c r="W126" s="243">
        <f t="shared" si="85"/>
        <v>34.000000000000043</v>
      </c>
      <c r="X126" s="64"/>
      <c r="Y126" s="64"/>
      <c r="Z126" s="54"/>
      <c r="AA126" s="54"/>
      <c r="AB126" s="658"/>
      <c r="AC126" s="658"/>
      <c r="AD126" s="453"/>
      <c r="AE126" s="453"/>
      <c r="AF126" s="108">
        <f t="shared" si="61"/>
        <v>-139.11764705882547</v>
      </c>
      <c r="AG126" s="109">
        <f t="shared" si="62"/>
        <v>0.91110693478669302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1076</v>
      </c>
      <c r="H127" s="45">
        <f t="shared" si="82"/>
        <v>51217.599999999999</v>
      </c>
      <c r="I127" s="224"/>
      <c r="J127" s="87">
        <v>19</v>
      </c>
      <c r="K127" s="57">
        <v>1440</v>
      </c>
      <c r="L127" s="86">
        <v>75.78947368421052</v>
      </c>
      <c r="M127" s="467">
        <v>19</v>
      </c>
      <c r="N127" s="177">
        <f t="shared" si="83"/>
        <v>1317.5510204081636</v>
      </c>
      <c r="O127" s="241">
        <f t="shared" si="84"/>
        <v>69.344790547798084</v>
      </c>
      <c r="P127" s="108">
        <f t="shared" si="79"/>
        <v>0</v>
      </c>
      <c r="Q127" s="185">
        <f t="shared" si="80"/>
        <v>-6.4446831364124364</v>
      </c>
      <c r="R127" s="109">
        <f t="shared" si="81"/>
        <v>0.91496598639455817</v>
      </c>
      <c r="S127" s="709"/>
      <c r="T127" s="50">
        <v>0.80763888888888891</v>
      </c>
      <c r="U127" s="50">
        <v>0.84166666666666667</v>
      </c>
      <c r="V127" s="455">
        <v>22</v>
      </c>
      <c r="W127" s="243">
        <f t="shared" si="85"/>
        <v>48.999999999999986</v>
      </c>
      <c r="X127" s="64">
        <v>0.79583333333333339</v>
      </c>
      <c r="Y127" s="64">
        <v>0.80486111111111114</v>
      </c>
      <c r="Z127" s="54"/>
      <c r="AA127" s="54"/>
      <c r="AB127" s="658"/>
      <c r="AC127" s="658"/>
      <c r="AD127" s="453"/>
      <c r="AE127" s="453"/>
      <c r="AF127" s="108">
        <f t="shared" si="61"/>
        <v>-122.44897959183641</v>
      </c>
      <c r="AG127" s="109">
        <f t="shared" si="62"/>
        <v>0.91496598639455806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231</v>
      </c>
      <c r="H128" s="45">
        <f t="shared" si="82"/>
        <v>11704.77</v>
      </c>
      <c r="I128" s="453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1260.0000000000045</v>
      </c>
      <c r="O128" s="86">
        <f t="shared" si="84"/>
        <v>60.000000000000213</v>
      </c>
      <c r="P128" s="54">
        <f t="shared" si="79"/>
        <v>0</v>
      </c>
      <c r="Q128" s="88">
        <f t="shared" si="80"/>
        <v>-17.904761904761685</v>
      </c>
      <c r="R128" s="454">
        <f t="shared" si="81"/>
        <v>0.77017114914425711</v>
      </c>
      <c r="S128" s="709"/>
      <c r="T128" s="50">
        <v>0.84652777777777777</v>
      </c>
      <c r="U128" s="50">
        <v>0.85416666666666663</v>
      </c>
      <c r="V128" s="455">
        <v>7</v>
      </c>
      <c r="W128" s="243">
        <f t="shared" si="85"/>
        <v>10.999999999999961</v>
      </c>
      <c r="X128" s="64"/>
      <c r="Y128" s="64"/>
      <c r="Z128" s="54"/>
      <c r="AA128" s="54"/>
      <c r="AB128" s="658"/>
      <c r="AC128" s="658"/>
      <c r="AD128" s="453"/>
      <c r="AE128" s="453"/>
      <c r="AF128" s="108">
        <f t="shared" si="61"/>
        <v>-375.99999999999545</v>
      </c>
      <c r="AG128" s="109">
        <f t="shared" si="62"/>
        <v>0.77017114914425711</v>
      </c>
      <c r="AH128" s="673"/>
    </row>
    <row r="129" spans="1:34" ht="19.2" customHeight="1">
      <c r="A129" s="708"/>
      <c r="B129" s="131" t="s">
        <v>185</v>
      </c>
      <c r="C129" s="160"/>
      <c r="D129" s="59" t="s">
        <v>121</v>
      </c>
      <c r="E129" s="60"/>
      <c r="F129" s="361">
        <v>50.49</v>
      </c>
      <c r="G129" s="57">
        <v>1278</v>
      </c>
      <c r="H129" s="45">
        <f t="shared" si="82"/>
        <v>64526.22</v>
      </c>
      <c r="I129" s="453">
        <v>1</v>
      </c>
      <c r="J129" s="87">
        <v>14</v>
      </c>
      <c r="K129" s="57">
        <v>1440</v>
      </c>
      <c r="L129" s="86">
        <v>102.85714285714286</v>
      </c>
      <c r="M129" s="464">
        <v>15</v>
      </c>
      <c r="N129" s="57">
        <f t="shared" si="83"/>
        <v>1345.2631578947378</v>
      </c>
      <c r="O129" s="86">
        <f t="shared" si="84"/>
        <v>89.684210526315852</v>
      </c>
      <c r="P129" s="54">
        <f t="shared" si="79"/>
        <v>1</v>
      </c>
      <c r="Q129" s="88">
        <f t="shared" si="80"/>
        <v>-13.17293233082701</v>
      </c>
      <c r="R129" s="454">
        <f t="shared" si="81"/>
        <v>0.87192982456140411</v>
      </c>
      <c r="S129" s="709"/>
      <c r="T129" s="50">
        <v>0.85833333333333328</v>
      </c>
      <c r="U129" s="50">
        <v>0.89791666666666659</v>
      </c>
      <c r="V129" s="455">
        <v>6</v>
      </c>
      <c r="W129" s="243">
        <f t="shared" si="85"/>
        <v>56.999999999999957</v>
      </c>
      <c r="X129" s="64"/>
      <c r="Y129" s="64"/>
      <c r="Z129" s="54"/>
      <c r="AA129" s="54"/>
      <c r="AB129" s="658"/>
      <c r="AC129" s="658"/>
      <c r="AD129" s="453"/>
      <c r="AE129" s="453"/>
      <c r="AF129" s="108"/>
      <c r="AG129" s="109"/>
      <c r="AH129" s="673"/>
    </row>
    <row r="130" spans="1:34" ht="19.2" customHeight="1">
      <c r="A130" s="708"/>
      <c r="B130" s="203">
        <v>0</v>
      </c>
      <c r="C130" s="160"/>
      <c r="D130" s="59"/>
      <c r="E130" s="60"/>
      <c r="F130" s="361" t="s">
        <v>186</v>
      </c>
      <c r="G130" s="57"/>
      <c r="H130" s="45">
        <f t="shared" si="82"/>
        <v>0</v>
      </c>
      <c r="I130" s="453"/>
      <c r="J130" s="87"/>
      <c r="K130" s="57"/>
      <c r="L130" s="86"/>
      <c r="M130" s="464"/>
      <c r="N130" s="177"/>
      <c r="O130" s="241"/>
      <c r="P130" s="108"/>
      <c r="Q130" s="185"/>
      <c r="R130" s="109"/>
      <c r="S130" s="709"/>
      <c r="T130" s="50"/>
      <c r="U130" s="50"/>
      <c r="V130" s="455"/>
      <c r="W130" s="243"/>
      <c r="X130" s="64"/>
      <c r="Y130" s="64"/>
      <c r="Z130" s="54"/>
      <c r="AA130" s="54"/>
      <c r="AB130" s="658"/>
      <c r="AC130" s="658"/>
      <c r="AD130" s="453"/>
      <c r="AE130" s="453"/>
      <c r="AF130" s="65"/>
      <c r="AG130" s="458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54"/>
      <c r="S131" s="709"/>
      <c r="T131" s="50"/>
      <c r="U131" s="50"/>
      <c r="V131" s="455"/>
      <c r="W131" s="243"/>
      <c r="X131" s="64"/>
      <c r="Y131" s="64"/>
      <c r="Z131" s="54"/>
      <c r="AA131" s="54"/>
      <c r="AB131" s="658"/>
      <c r="AC131" s="658"/>
      <c r="AD131" s="453"/>
      <c r="AE131" s="453"/>
      <c r="AF131" s="65"/>
      <c r="AG131" s="458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453"/>
      <c r="J132" s="87"/>
      <c r="K132" s="57"/>
      <c r="L132" s="86"/>
      <c r="M132" s="464"/>
      <c r="N132" s="57"/>
      <c r="O132" s="86"/>
      <c r="P132" s="54"/>
      <c r="Q132" s="88"/>
      <c r="R132" s="454"/>
      <c r="S132" s="709"/>
      <c r="T132" s="50"/>
      <c r="U132" s="50"/>
      <c r="V132" s="455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453"/>
      <c r="AE132" s="453"/>
      <c r="AF132" s="65"/>
      <c r="AG132" s="458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453"/>
      <c r="J133" s="87"/>
      <c r="K133" s="57"/>
      <c r="L133" s="86"/>
      <c r="M133" s="464"/>
      <c r="N133" s="57"/>
      <c r="O133" s="86"/>
      <c r="P133" s="54"/>
      <c r="Q133" s="88"/>
      <c r="R133" s="454"/>
      <c r="S133" s="709"/>
      <c r="T133" s="50"/>
      <c r="U133" s="50"/>
      <c r="V133" s="455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453"/>
      <c r="AE133" s="453"/>
      <c r="AF133" s="65"/>
      <c r="AG133" s="458"/>
      <c r="AH133" s="673"/>
    </row>
    <row r="134" spans="1:34" ht="19.2" customHeight="1">
      <c r="A134" s="708"/>
      <c r="B134" s="171">
        <v>0</v>
      </c>
      <c r="C134" s="100" t="s">
        <v>23</v>
      </c>
      <c r="D134" s="687" t="s">
        <v>245</v>
      </c>
      <c r="E134" s="687"/>
      <c r="F134" s="371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1388.9165650318835</v>
      </c>
      <c r="O134" s="247">
        <f t="shared" si="86"/>
        <v>75.50194711403455</v>
      </c>
      <c r="P134" s="51">
        <f t="shared" ref="P134:P142" si="87">M134-J134</f>
        <v>0.25</v>
      </c>
      <c r="Q134" s="142">
        <f t="shared" ref="Q134:Q142" si="88">O134-L134</f>
        <v>-8.5142821847024948</v>
      </c>
      <c r="R134" s="248">
        <f t="shared" ref="R134:R142" si="89">O134/L134</f>
        <v>0.8986590774690898</v>
      </c>
      <c r="S134" s="672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0</v>
      </c>
      <c r="AE134" s="107">
        <f>SUM(AE122:AE133)</f>
        <v>0</v>
      </c>
      <c r="AF134" s="48">
        <f t="shared" si="61"/>
        <v>-133.33343496811653</v>
      </c>
      <c r="AG134" s="457">
        <f t="shared" si="62"/>
        <v>0.91241029070907109</v>
      </c>
      <c r="AH134" s="673"/>
    </row>
    <row r="135" spans="1:34" ht="19.2" customHeight="1">
      <c r="A135" s="710" t="s">
        <v>253</v>
      </c>
      <c r="B135" s="455" t="s">
        <v>185</v>
      </c>
      <c r="C135" s="453"/>
      <c r="D135" s="82" t="s">
        <v>101</v>
      </c>
      <c r="E135" s="83"/>
      <c r="F135" s="361">
        <v>53.68</v>
      </c>
      <c r="G135" s="57">
        <v>793</v>
      </c>
      <c r="H135" s="249">
        <f t="shared" ref="H135:H146" si="90">F135*G135</f>
        <v>42568.24</v>
      </c>
      <c r="I135" s="453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1399.4117647058806</v>
      </c>
      <c r="O135" s="116">
        <f t="shared" ref="O135:O142" si="92">N135/M135</f>
        <v>87.463235294117538</v>
      </c>
      <c r="P135" s="54">
        <f t="shared" si="87"/>
        <v>0</v>
      </c>
      <c r="Q135" s="88">
        <f t="shared" si="88"/>
        <v>-6.2867647058824616</v>
      </c>
      <c r="R135" s="454">
        <f t="shared" si="89"/>
        <v>0.93294117647058705</v>
      </c>
      <c r="S135" s="707">
        <f>R147</f>
        <v>0.91869333910350748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69"/>
      <c r="Y135" s="469"/>
      <c r="Z135" s="54"/>
      <c r="AA135" s="54"/>
      <c r="AB135" s="658"/>
      <c r="AC135" s="658"/>
      <c r="AD135" s="453"/>
      <c r="AE135" s="453"/>
      <c r="AF135" s="117">
        <f t="shared" si="61"/>
        <v>-100.58823529411939</v>
      </c>
      <c r="AG135" s="121">
        <f t="shared" si="62"/>
        <v>0.93294117647058705</v>
      </c>
      <c r="AH135" s="681">
        <f>AG147</f>
        <v>0.91902238184594587</v>
      </c>
    </row>
    <row r="136" spans="1:34" ht="19.2" customHeight="1">
      <c r="A136" s="711"/>
      <c r="B136" s="455" t="s">
        <v>185</v>
      </c>
      <c r="C136" s="453"/>
      <c r="D136" s="82" t="s">
        <v>102</v>
      </c>
      <c r="E136" s="252"/>
      <c r="F136" s="361">
        <v>57.734999999999999</v>
      </c>
      <c r="G136" s="57">
        <v>1620</v>
      </c>
      <c r="H136" s="84">
        <f t="shared" si="90"/>
        <v>93530.7</v>
      </c>
      <c r="I136" s="453"/>
      <c r="J136" s="46">
        <v>16</v>
      </c>
      <c r="K136" s="57">
        <v>1565</v>
      </c>
      <c r="L136" s="86">
        <v>97.8125</v>
      </c>
      <c r="M136" s="464">
        <v>16</v>
      </c>
      <c r="N136" s="57">
        <f t="shared" si="91"/>
        <v>1388.5714285714273</v>
      </c>
      <c r="O136" s="86">
        <f t="shared" si="92"/>
        <v>86.785714285714207</v>
      </c>
      <c r="P136" s="54">
        <f t="shared" si="87"/>
        <v>0</v>
      </c>
      <c r="Q136" s="88">
        <f t="shared" si="88"/>
        <v>-11.026785714285793</v>
      </c>
      <c r="R136" s="454">
        <f t="shared" si="89"/>
        <v>0.88726608854404299</v>
      </c>
      <c r="S136" s="707"/>
      <c r="T136" s="250">
        <v>0.52847222222222223</v>
      </c>
      <c r="U136" s="50">
        <v>0.57708333333333339</v>
      </c>
      <c r="V136" s="145">
        <v>7</v>
      </c>
      <c r="W136" s="251">
        <f t="shared" si="93"/>
        <v>70.000000000000071</v>
      </c>
      <c r="X136" s="53"/>
      <c r="Y136" s="53"/>
      <c r="Z136" s="54"/>
      <c r="AA136" s="54"/>
      <c r="AB136" s="658"/>
      <c r="AC136" s="658"/>
      <c r="AD136" s="453"/>
      <c r="AE136" s="453"/>
      <c r="AF136" s="48">
        <f t="shared" si="61"/>
        <v>-176.4285714285727</v>
      </c>
      <c r="AG136" s="126">
        <f t="shared" si="62"/>
        <v>0.88726608854404299</v>
      </c>
      <c r="AH136" s="681"/>
    </row>
    <row r="137" spans="1:34" ht="19.2" customHeight="1">
      <c r="A137" s="711"/>
      <c r="B137" s="455" t="s">
        <v>185</v>
      </c>
      <c r="C137" s="453"/>
      <c r="D137" s="82" t="s">
        <v>116</v>
      </c>
      <c r="E137" s="83"/>
      <c r="F137" s="361">
        <v>50.67</v>
      </c>
      <c r="G137" s="212">
        <v>825</v>
      </c>
      <c r="H137" s="84">
        <f t="shared" si="90"/>
        <v>41802.75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1374.9999999999991</v>
      </c>
      <c r="O137" s="86">
        <f t="shared" si="92"/>
        <v>80.882352941176421</v>
      </c>
      <c r="P137" s="54">
        <f t="shared" si="87"/>
        <v>0</v>
      </c>
      <c r="Q137" s="88">
        <f t="shared" si="88"/>
        <v>-7.3529411764706367</v>
      </c>
      <c r="R137" s="454">
        <f t="shared" si="89"/>
        <v>0.91666666666666607</v>
      </c>
      <c r="S137" s="707"/>
      <c r="T137" s="50">
        <v>0.70833333333333337</v>
      </c>
      <c r="U137" s="50">
        <v>0.73333333333333339</v>
      </c>
      <c r="V137" s="253">
        <v>5</v>
      </c>
      <c r="W137" s="251">
        <f t="shared" si="93"/>
        <v>36.000000000000028</v>
      </c>
      <c r="X137" s="53"/>
      <c r="Y137" s="53"/>
      <c r="Z137" s="54"/>
      <c r="AA137" s="54"/>
      <c r="AB137" s="658"/>
      <c r="AC137" s="658"/>
      <c r="AD137" s="453"/>
      <c r="AE137" s="453"/>
      <c r="AF137" s="48">
        <f t="shared" si="61"/>
        <v>-125.00000000000091</v>
      </c>
      <c r="AG137" s="126">
        <f t="shared" si="62"/>
        <v>0.91666666666666607</v>
      </c>
      <c r="AH137" s="681"/>
    </row>
    <row r="138" spans="1:34" ht="19.2" customHeight="1">
      <c r="A138" s="711"/>
      <c r="B138" s="455" t="s">
        <v>185</v>
      </c>
      <c r="C138" s="226"/>
      <c r="D138" s="82" t="s">
        <v>117</v>
      </c>
      <c r="E138" s="83"/>
      <c r="F138" s="361">
        <v>50.98</v>
      </c>
      <c r="G138" s="57">
        <v>1387</v>
      </c>
      <c r="H138" s="84">
        <f t="shared" si="90"/>
        <v>70709.259999999995</v>
      </c>
      <c r="I138" s="453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1342.2580645161304</v>
      </c>
      <c r="O138" s="86">
        <f t="shared" si="92"/>
        <v>67.112903225806519</v>
      </c>
      <c r="P138" s="54">
        <f t="shared" si="87"/>
        <v>0</v>
      </c>
      <c r="Q138" s="88">
        <f t="shared" si="88"/>
        <v>-4.8870967741934805</v>
      </c>
      <c r="R138" s="459">
        <f t="shared" si="89"/>
        <v>0.93212365591397939</v>
      </c>
      <c r="S138" s="707"/>
      <c r="T138" s="50">
        <v>0.73819444444444449</v>
      </c>
      <c r="U138" s="50">
        <v>0.78125</v>
      </c>
      <c r="V138" s="253">
        <v>7</v>
      </c>
      <c r="W138" s="251">
        <f t="shared" si="93"/>
        <v>61.999999999999943</v>
      </c>
      <c r="X138" s="53"/>
      <c r="Y138" s="53"/>
      <c r="Z138" s="54"/>
      <c r="AA138" s="54"/>
      <c r="AB138" s="658"/>
      <c r="AC138" s="658"/>
      <c r="AD138" s="453"/>
      <c r="AE138" s="453"/>
      <c r="AF138" s="48">
        <f t="shared" si="61"/>
        <v>-97.741935483869611</v>
      </c>
      <c r="AG138" s="126">
        <f t="shared" si="62"/>
        <v>0.93212365591397939</v>
      </c>
      <c r="AH138" s="681"/>
    </row>
    <row r="139" spans="1:34" ht="19.2" customHeight="1">
      <c r="A139" s="711"/>
      <c r="B139" s="455" t="s">
        <v>185</v>
      </c>
      <c r="C139" s="462"/>
      <c r="D139" s="42" t="s">
        <v>118</v>
      </c>
      <c r="E139" s="43"/>
      <c r="F139" s="361">
        <v>54.09</v>
      </c>
      <c r="G139" s="57">
        <v>771</v>
      </c>
      <c r="H139" s="84">
        <f t="shared" si="90"/>
        <v>41703.39</v>
      </c>
      <c r="I139" s="453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1360.588235294116</v>
      </c>
      <c r="O139" s="86">
        <f t="shared" si="92"/>
        <v>71.609907120742946</v>
      </c>
      <c r="P139" s="54">
        <f t="shared" si="87"/>
        <v>0</v>
      </c>
      <c r="Q139" s="88">
        <f t="shared" si="88"/>
        <v>-7.337461300309684</v>
      </c>
      <c r="R139" s="454">
        <f t="shared" si="89"/>
        <v>0.9070588235294107</v>
      </c>
      <c r="S139" s="707"/>
      <c r="T139" s="50">
        <v>0.78541666666666665</v>
      </c>
      <c r="U139" s="50">
        <v>0.80902777777777779</v>
      </c>
      <c r="V139" s="254">
        <v>6</v>
      </c>
      <c r="W139" s="251">
        <f t="shared" si="93"/>
        <v>34.000000000000043</v>
      </c>
      <c r="X139" s="53"/>
      <c r="Y139" s="53"/>
      <c r="Z139" s="54"/>
      <c r="AA139" s="54"/>
      <c r="AB139" s="658"/>
      <c r="AC139" s="658"/>
      <c r="AD139" s="453"/>
      <c r="AE139" s="453"/>
      <c r="AF139" s="48">
        <f t="shared" si="61"/>
        <v>-139.41176470588402</v>
      </c>
      <c r="AG139" s="126">
        <f t="shared" si="62"/>
        <v>0.9070588235294107</v>
      </c>
      <c r="AH139" s="681"/>
    </row>
    <row r="140" spans="1:34" ht="19.2" customHeight="1">
      <c r="A140" s="712"/>
      <c r="B140" s="455" t="s">
        <v>185</v>
      </c>
      <c r="C140" s="462"/>
      <c r="D140" s="255" t="s">
        <v>119</v>
      </c>
      <c r="E140" s="83"/>
      <c r="F140" s="361">
        <v>50.92</v>
      </c>
      <c r="G140" s="57">
        <v>1662</v>
      </c>
      <c r="H140" s="84">
        <f t="shared" si="90"/>
        <v>84629.040000000008</v>
      </c>
      <c r="I140" s="453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1329.599999999999</v>
      </c>
      <c r="O140" s="86">
        <f t="shared" si="92"/>
        <v>69.978947368421004</v>
      </c>
      <c r="P140" s="54">
        <f t="shared" si="87"/>
        <v>0</v>
      </c>
      <c r="Q140" s="88">
        <f t="shared" si="88"/>
        <v>-5.8105263157895166</v>
      </c>
      <c r="R140" s="454">
        <f t="shared" si="89"/>
        <v>0.92333333333333278</v>
      </c>
      <c r="S140" s="714"/>
      <c r="T140" s="63">
        <v>0.82499999999999996</v>
      </c>
      <c r="U140" s="256">
        <v>0.87708333333333333</v>
      </c>
      <c r="V140" s="257">
        <v>23</v>
      </c>
      <c r="W140" s="251">
        <f t="shared" si="93"/>
        <v>75.000000000000057</v>
      </c>
      <c r="X140" s="53">
        <v>0.8125</v>
      </c>
      <c r="Y140" s="53">
        <v>0.8222222222222223</v>
      </c>
      <c r="Z140" s="54"/>
      <c r="AA140" s="54"/>
      <c r="AB140" s="658"/>
      <c r="AC140" s="658"/>
      <c r="AD140" s="453"/>
      <c r="AE140" s="453"/>
      <c r="AF140" s="48">
        <f t="shared" si="61"/>
        <v>-110.400000000001</v>
      </c>
      <c r="AG140" s="126">
        <f t="shared" si="62"/>
        <v>0.92333333333333267</v>
      </c>
      <c r="AH140" s="681"/>
    </row>
    <row r="141" spans="1:34" ht="19.2" customHeight="1">
      <c r="A141" s="712"/>
      <c r="B141" s="455" t="s">
        <v>185</v>
      </c>
      <c r="C141" s="462"/>
      <c r="D141" s="42" t="s">
        <v>120</v>
      </c>
      <c r="E141" s="258"/>
      <c r="F141" s="361">
        <v>50.67</v>
      </c>
      <c r="G141" s="57">
        <v>738</v>
      </c>
      <c r="H141" s="84">
        <f t="shared" si="90"/>
        <v>37394.46</v>
      </c>
      <c r="I141" s="453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1341.8181818181802</v>
      </c>
      <c r="O141" s="86">
        <f t="shared" si="92"/>
        <v>78.930481283422367</v>
      </c>
      <c r="P141" s="54">
        <f t="shared" si="87"/>
        <v>0</v>
      </c>
      <c r="Q141" s="88">
        <f t="shared" si="88"/>
        <v>-5.7754010695188072</v>
      </c>
      <c r="R141" s="454">
        <f t="shared" si="89"/>
        <v>0.93181818181818077</v>
      </c>
      <c r="S141" s="714"/>
      <c r="T141" s="63">
        <v>0.88194444444444442</v>
      </c>
      <c r="U141" s="256">
        <v>0.90486111111111112</v>
      </c>
      <c r="V141" s="55">
        <v>7</v>
      </c>
      <c r="W141" s="251">
        <f t="shared" si="93"/>
        <v>33.000000000000043</v>
      </c>
      <c r="X141" s="53"/>
      <c r="Y141" s="53"/>
      <c r="Z141" s="54"/>
      <c r="AA141" s="54"/>
      <c r="AB141" s="658"/>
      <c r="AC141" s="658"/>
      <c r="AD141" s="453"/>
      <c r="AE141" s="453"/>
      <c r="AF141" s="48">
        <f t="shared" si="61"/>
        <v>-98.181818181819835</v>
      </c>
      <c r="AG141" s="126">
        <f t="shared" si="62"/>
        <v>0.93181818181818066</v>
      </c>
      <c r="AH141" s="681"/>
    </row>
    <row r="142" spans="1:34" ht="19.2" customHeight="1">
      <c r="A142" s="712"/>
      <c r="B142" s="455" t="s">
        <v>185</v>
      </c>
      <c r="C142" s="462"/>
      <c r="D142" s="42" t="s">
        <v>123</v>
      </c>
      <c r="E142" s="258"/>
      <c r="F142" s="361">
        <v>57.3</v>
      </c>
      <c r="G142" s="57">
        <v>1039</v>
      </c>
      <c r="H142" s="84">
        <f t="shared" si="90"/>
        <v>59534.7</v>
      </c>
      <c r="I142" s="453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1385.3333333333333</v>
      </c>
      <c r="O142" s="86">
        <f t="shared" si="92"/>
        <v>76.962962962962962</v>
      </c>
      <c r="P142" s="54">
        <f t="shared" si="87"/>
        <v>0</v>
      </c>
      <c r="Q142" s="88">
        <f t="shared" si="88"/>
        <v>-6.3703703703703667</v>
      </c>
      <c r="R142" s="454">
        <f t="shared" si="89"/>
        <v>0.92355555555555557</v>
      </c>
      <c r="S142" s="714"/>
      <c r="T142" s="63">
        <v>0.91041666666666665</v>
      </c>
      <c r="U142" s="256">
        <v>0.94166666666666665</v>
      </c>
      <c r="V142" s="55">
        <v>8</v>
      </c>
      <c r="W142" s="251">
        <f t="shared" si="93"/>
        <v>45</v>
      </c>
      <c r="X142" s="53"/>
      <c r="Y142" s="53"/>
      <c r="Z142" s="54"/>
      <c r="AA142" s="54"/>
      <c r="AB142" s="658"/>
      <c r="AC142" s="658"/>
      <c r="AD142" s="453"/>
      <c r="AE142" s="453"/>
      <c r="AF142" s="48">
        <f t="shared" si="61"/>
        <v>-114.66666666666674</v>
      </c>
      <c r="AG142" s="126">
        <f t="shared" si="62"/>
        <v>0.92355555555555546</v>
      </c>
      <c r="AH142" s="681"/>
    </row>
    <row r="143" spans="1:34" ht="19.2" customHeight="1">
      <c r="A143" s="712"/>
      <c r="B143" s="455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453"/>
      <c r="J143" s="46"/>
      <c r="K143" s="44"/>
      <c r="L143" s="47"/>
      <c r="M143" s="232"/>
      <c r="N143" s="57"/>
      <c r="O143" s="86"/>
      <c r="P143" s="54"/>
      <c r="Q143" s="88"/>
      <c r="R143" s="454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453"/>
      <c r="AE143" s="453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55">
        <v>0</v>
      </c>
      <c r="C144" s="462"/>
      <c r="D144" s="42"/>
      <c r="E144" s="258"/>
      <c r="F144" s="361" t="s">
        <v>186</v>
      </c>
      <c r="G144" s="57"/>
      <c r="H144" s="84">
        <f t="shared" si="90"/>
        <v>0</v>
      </c>
      <c r="I144" s="453"/>
      <c r="J144" s="46"/>
      <c r="K144" s="57"/>
      <c r="L144" s="86"/>
      <c r="M144" s="464"/>
      <c r="N144" s="57"/>
      <c r="O144" s="86"/>
      <c r="P144" s="54"/>
      <c r="Q144" s="88"/>
      <c r="R144" s="459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453"/>
      <c r="AE144" s="453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55">
        <v>0</v>
      </c>
      <c r="C145" s="462"/>
      <c r="D145" s="42"/>
      <c r="E145" s="258"/>
      <c r="F145" s="361" t="s">
        <v>186</v>
      </c>
      <c r="G145" s="57"/>
      <c r="H145" s="84">
        <f t="shared" si="90"/>
        <v>0</v>
      </c>
      <c r="I145" s="453"/>
      <c r="J145" s="87"/>
      <c r="K145" s="57"/>
      <c r="L145" s="86"/>
      <c r="M145" s="464"/>
      <c r="N145" s="57"/>
      <c r="O145" s="86"/>
      <c r="P145" s="54"/>
      <c r="Q145" s="88"/>
      <c r="R145" s="454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453"/>
      <c r="AE145" s="453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69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453"/>
      <c r="J146" s="87"/>
      <c r="K146" s="57"/>
      <c r="L146" s="86"/>
      <c r="M146" s="464"/>
      <c r="N146" s="57"/>
      <c r="O146" s="86"/>
      <c r="P146" s="54"/>
      <c r="Q146" s="88"/>
      <c r="R146" s="454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453"/>
      <c r="AE146" s="453"/>
      <c r="AF146" s="54"/>
      <c r="AG146" s="454"/>
      <c r="AH146" s="681"/>
    </row>
    <row r="147" spans="1:34" ht="19.2" customHeight="1">
      <c r="A147" s="713"/>
      <c r="B147" s="261">
        <v>0</v>
      </c>
      <c r="C147" s="100" t="s">
        <v>24</v>
      </c>
      <c r="D147" s="687" t="s">
        <v>245</v>
      </c>
      <c r="E147" s="687"/>
      <c r="F147" s="375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1365.3226260298834</v>
      </c>
      <c r="O147" s="247">
        <f t="shared" si="94"/>
        <v>77.465813060295488</v>
      </c>
      <c r="P147" s="51">
        <f t="shared" ref="P147:P153" si="95">M147-J147</f>
        <v>0</v>
      </c>
      <c r="Q147" s="142">
        <f t="shared" ref="Q147:Q153" si="96">O147-L147</f>
        <v>-6.8559184283526093</v>
      </c>
      <c r="R147" s="262">
        <f t="shared" ref="R147:R153" si="97">O147/L147</f>
        <v>0.91869333910350748</v>
      </c>
      <c r="S147" s="715"/>
      <c r="T147" s="63"/>
      <c r="U147" s="63"/>
      <c r="V147" s="55"/>
      <c r="W147" s="466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0</v>
      </c>
      <c r="AE147" s="107">
        <f>SUM(AE135:AE146)</f>
        <v>0</v>
      </c>
      <c r="AF147" s="207">
        <f t="shared" si="61"/>
        <v>-120.30237397011661</v>
      </c>
      <c r="AG147" s="263">
        <f t="shared" si="62"/>
        <v>0.91902238184594587</v>
      </c>
      <c r="AH147" s="681"/>
    </row>
    <row r="148" spans="1:34" ht="19.2" customHeight="1">
      <c r="A148" s="717" t="s">
        <v>254</v>
      </c>
      <c r="B148" s="453" t="s">
        <v>185</v>
      </c>
      <c r="C148" s="122"/>
      <c r="D148" s="176" t="s">
        <v>201</v>
      </c>
      <c r="E148" s="43"/>
      <c r="F148" s="368">
        <v>44.98</v>
      </c>
      <c r="G148" s="57">
        <v>963.9</v>
      </c>
      <c r="H148" s="84">
        <f t="shared" ref="H148:H172" si="98">F148*G148</f>
        <v>43356.221999999994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1257.2608695652173</v>
      </c>
      <c r="O148" s="47">
        <f t="shared" ref="O148:O153" si="100">N148/M148</f>
        <v>66.171624713958806</v>
      </c>
      <c r="P148" s="48">
        <f t="shared" si="95"/>
        <v>0</v>
      </c>
      <c r="Q148" s="49">
        <f t="shared" si="96"/>
        <v>-12.775743707093824</v>
      </c>
      <c r="R148" s="457">
        <f t="shared" si="97"/>
        <v>0.83817391304347821</v>
      </c>
      <c r="S148" s="718">
        <f>R160</f>
        <v>0.84380387970910331</v>
      </c>
      <c r="T148" s="250">
        <v>0.70833333333333337</v>
      </c>
      <c r="U148" s="50">
        <v>0.74027777777777781</v>
      </c>
      <c r="V148" s="455">
        <v>5</v>
      </c>
      <c r="W148" s="466">
        <f>(U148-T148)*24*60</f>
        <v>46</v>
      </c>
      <c r="X148" s="53"/>
      <c r="Y148" s="53"/>
      <c r="Z148" s="54"/>
      <c r="AA148" s="54"/>
      <c r="AB148" s="658"/>
      <c r="AC148" s="658"/>
      <c r="AD148" s="453"/>
      <c r="AE148" s="453"/>
      <c r="AF148" s="48">
        <f t="shared" si="61"/>
        <v>-242.73913043478274</v>
      </c>
      <c r="AG148" s="126">
        <f t="shared" si="62"/>
        <v>0.83817391304347821</v>
      </c>
      <c r="AH148" s="681">
        <f>AG160</f>
        <v>0.85937381317810324</v>
      </c>
    </row>
    <row r="149" spans="1:34" ht="19.2" customHeight="1">
      <c r="A149" s="717"/>
      <c r="B149" s="453" t="s">
        <v>185</v>
      </c>
      <c r="C149" s="224"/>
      <c r="D149" s="255" t="s">
        <v>97</v>
      </c>
      <c r="E149" s="60"/>
      <c r="F149" s="368">
        <v>53.68</v>
      </c>
      <c r="G149" s="57">
        <v>884</v>
      </c>
      <c r="H149" s="84">
        <f t="shared" si="98"/>
        <v>47453.120000000003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1262.8571428571424</v>
      </c>
      <c r="O149" s="47">
        <f t="shared" si="100"/>
        <v>63.142857142857125</v>
      </c>
      <c r="P149" s="48">
        <f t="shared" si="95"/>
        <v>0</v>
      </c>
      <c r="Q149" s="49">
        <f t="shared" si="96"/>
        <v>-11.857142857142875</v>
      </c>
      <c r="R149" s="457">
        <f t="shared" si="97"/>
        <v>0.84190476190476171</v>
      </c>
      <c r="S149" s="719"/>
      <c r="T149" s="250">
        <v>0.74583333333333335</v>
      </c>
      <c r="U149" s="50">
        <v>0.77500000000000002</v>
      </c>
      <c r="V149" s="455">
        <v>8</v>
      </c>
      <c r="W149" s="466">
        <f t="shared" ref="W149:W159" si="101">(U149-T149)*24*60</f>
        <v>42.000000000000014</v>
      </c>
      <c r="X149" s="53"/>
      <c r="Y149" s="53"/>
      <c r="Z149" s="54"/>
      <c r="AA149" s="54"/>
      <c r="AB149" s="658"/>
      <c r="AC149" s="658"/>
      <c r="AD149" s="453"/>
      <c r="AE149" s="453"/>
      <c r="AF149" s="48">
        <f t="shared" si="61"/>
        <v>-237.14285714285757</v>
      </c>
      <c r="AG149" s="126">
        <f t="shared" si="62"/>
        <v>0.8419047619047616</v>
      </c>
      <c r="AH149" s="721"/>
    </row>
    <row r="150" spans="1:34" ht="19.2" customHeight="1">
      <c r="A150" s="717"/>
      <c r="B150" s="453" t="s">
        <v>185</v>
      </c>
      <c r="C150" s="224"/>
      <c r="D150" s="179" t="s">
        <v>96</v>
      </c>
      <c r="E150" s="60"/>
      <c r="F150" s="368">
        <v>58.17</v>
      </c>
      <c r="G150" s="57">
        <v>826</v>
      </c>
      <c r="H150" s="84">
        <f t="shared" si="98"/>
        <v>48048.42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1208.7804878048776</v>
      </c>
      <c r="O150" s="47">
        <f t="shared" si="100"/>
        <v>60.43902439024388</v>
      </c>
      <c r="P150" s="48">
        <f t="shared" si="95"/>
        <v>1</v>
      </c>
      <c r="Q150" s="49">
        <f t="shared" si="96"/>
        <v>-12.45571245186138</v>
      </c>
      <c r="R150" s="457">
        <f t="shared" si="97"/>
        <v>0.82912741040767779</v>
      </c>
      <c r="S150" s="719"/>
      <c r="T150" s="250">
        <v>0.77986111111111112</v>
      </c>
      <c r="U150" s="50">
        <v>0.80833333333333335</v>
      </c>
      <c r="V150" s="455">
        <v>7</v>
      </c>
      <c r="W150" s="466">
        <f t="shared" si="101"/>
        <v>41.000000000000014</v>
      </c>
      <c r="X150" s="219"/>
      <c r="Y150" s="219"/>
      <c r="Z150" s="220"/>
      <c r="AA150" s="220"/>
      <c r="AB150" s="658"/>
      <c r="AC150" s="658"/>
      <c r="AD150" s="453"/>
      <c r="AE150" s="453"/>
      <c r="AF150" s="48">
        <f t="shared" si="61"/>
        <v>-176.21951219512243</v>
      </c>
      <c r="AG150" s="126">
        <f t="shared" si="62"/>
        <v>0.87276569516597657</v>
      </c>
      <c r="AH150" s="721"/>
    </row>
    <row r="151" spans="1:34" s="221" customFormat="1" ht="19.2" customHeight="1">
      <c r="A151" s="717"/>
      <c r="B151" s="453" t="s">
        <v>185</v>
      </c>
      <c r="C151" s="224"/>
      <c r="D151" s="59" t="s">
        <v>108</v>
      </c>
      <c r="E151" s="60"/>
      <c r="F151" s="368">
        <v>57.73</v>
      </c>
      <c r="G151" s="57">
        <v>691</v>
      </c>
      <c r="H151" s="84">
        <f t="shared" si="98"/>
        <v>39891.43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1219.4117647058808</v>
      </c>
      <c r="O151" s="47">
        <f t="shared" si="100"/>
        <v>71.730103806228286</v>
      </c>
      <c r="P151" s="48">
        <f t="shared" si="95"/>
        <v>1</v>
      </c>
      <c r="Q151" s="49">
        <f t="shared" si="96"/>
        <v>-18.269896193771714</v>
      </c>
      <c r="R151" s="457">
        <f t="shared" si="97"/>
        <v>0.79700115340253652</v>
      </c>
      <c r="S151" s="719"/>
      <c r="T151" s="250">
        <v>0.81319444444444444</v>
      </c>
      <c r="U151" s="50">
        <v>0.83680555555555558</v>
      </c>
      <c r="V151" s="455">
        <v>7</v>
      </c>
      <c r="W151" s="466">
        <f t="shared" si="101"/>
        <v>34.000000000000043</v>
      </c>
      <c r="X151" s="219"/>
      <c r="Y151" s="219"/>
      <c r="Z151" s="220"/>
      <c r="AA151" s="220"/>
      <c r="AB151" s="658"/>
      <c r="AC151" s="658"/>
      <c r="AD151" s="224"/>
      <c r="AE151" s="224"/>
      <c r="AF151" s="48">
        <f t="shared" si="61"/>
        <v>-220.58823529411916</v>
      </c>
      <c r="AG151" s="126">
        <f t="shared" si="62"/>
        <v>0.84681372549019507</v>
      </c>
      <c r="AH151" s="721"/>
    </row>
    <row r="152" spans="1:34" s="221" customFormat="1" ht="19.2" customHeight="1">
      <c r="A152" s="717"/>
      <c r="B152" s="453" t="s">
        <v>185</v>
      </c>
      <c r="C152" s="224"/>
      <c r="D152" s="255" t="s">
        <v>197</v>
      </c>
      <c r="E152" s="60"/>
      <c r="F152" s="368">
        <v>50.67</v>
      </c>
      <c r="G152" s="57">
        <v>1024</v>
      </c>
      <c r="H152" s="84">
        <f t="shared" si="98"/>
        <v>51886.080000000002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1396.3636363636365</v>
      </c>
      <c r="O152" s="47">
        <f t="shared" si="100"/>
        <v>77.575757575757578</v>
      </c>
      <c r="P152" s="48">
        <f t="shared" si="95"/>
        <v>0</v>
      </c>
      <c r="Q152" s="49">
        <f t="shared" si="96"/>
        <v>-5.7575757575757507</v>
      </c>
      <c r="R152" s="457">
        <f t="shared" si="97"/>
        <v>0.93090909090909102</v>
      </c>
      <c r="S152" s="719"/>
      <c r="T152" s="265">
        <v>0.8520833333333333</v>
      </c>
      <c r="U152" s="63">
        <v>0.88263888888888886</v>
      </c>
      <c r="V152" s="468">
        <v>22</v>
      </c>
      <c r="W152" s="466">
        <f t="shared" si="101"/>
        <v>44</v>
      </c>
      <c r="X152" s="222">
        <v>0.84027777777777779</v>
      </c>
      <c r="Y152" s="222">
        <v>0.84930555555555554</v>
      </c>
      <c r="Z152" s="220"/>
      <c r="AA152" s="220"/>
      <c r="AB152" s="658"/>
      <c r="AC152" s="658"/>
      <c r="AD152" s="224"/>
      <c r="AE152" s="224"/>
      <c r="AF152" s="48">
        <f t="shared" si="61"/>
        <v>-103.63636363636351</v>
      </c>
      <c r="AG152" s="126">
        <f t="shared" si="62"/>
        <v>0.93090909090909102</v>
      </c>
      <c r="AH152" s="721"/>
    </row>
    <row r="153" spans="1:34" s="221" customFormat="1" ht="19.2" customHeight="1">
      <c r="A153" s="717"/>
      <c r="B153" s="453" t="s">
        <v>185</v>
      </c>
      <c r="C153" s="224"/>
      <c r="D153" s="255" t="s">
        <v>201</v>
      </c>
      <c r="E153" s="60"/>
      <c r="F153" s="368">
        <v>44.98</v>
      </c>
      <c r="G153" s="57">
        <v>413.09999999999997</v>
      </c>
      <c r="H153" s="84">
        <f t="shared" si="98"/>
        <v>18581.237999999998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1239.3000000000043</v>
      </c>
      <c r="O153" s="47">
        <f t="shared" si="100"/>
        <v>65.226315789473915</v>
      </c>
      <c r="P153" s="48">
        <f t="shared" si="95"/>
        <v>0</v>
      </c>
      <c r="Q153" s="49">
        <f t="shared" si="96"/>
        <v>-13.721052631578715</v>
      </c>
      <c r="R153" s="457">
        <f t="shared" si="97"/>
        <v>0.82620000000000293</v>
      </c>
      <c r="S153" s="719"/>
      <c r="T153" s="265">
        <v>0.88680555555555551</v>
      </c>
      <c r="U153" s="63">
        <v>0.90069444444444435</v>
      </c>
      <c r="V153" s="468">
        <v>6</v>
      </c>
      <c r="W153" s="466">
        <f t="shared" si="101"/>
        <v>19.999999999999929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-260.69999999999573</v>
      </c>
      <c r="AG153" s="126">
        <f t="shared" si="62"/>
        <v>0.82620000000000282</v>
      </c>
      <c r="AH153" s="721"/>
    </row>
    <row r="154" spans="1:34" s="221" customFormat="1" ht="19.2" customHeight="1">
      <c r="A154" s="717"/>
      <c r="B154" s="453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68"/>
      <c r="W154" s="466">
        <f t="shared" si="101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453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68"/>
      <c r="W155" s="466">
        <f t="shared" si="101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68"/>
      <c r="W156" s="269">
        <f t="shared" si="101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68"/>
      <c r="W157" s="269">
        <f t="shared" si="101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68"/>
      <c r="W158" s="269">
        <f t="shared" si="101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64"/>
      <c r="N159" s="182"/>
      <c r="O159" s="228"/>
      <c r="P159" s="267"/>
      <c r="Q159" s="74"/>
      <c r="R159" s="130"/>
      <c r="S159" s="719"/>
      <c r="T159" s="265"/>
      <c r="U159" s="63"/>
      <c r="V159" s="468"/>
      <c r="W159" s="270">
        <f t="shared" si="101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25</v>
      </c>
      <c r="D160" s="716" t="s">
        <v>245</v>
      </c>
      <c r="E160" s="678"/>
      <c r="F160" s="362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18.833333333333332</v>
      </c>
      <c r="N160" s="273">
        <f t="shared" si="102"/>
        <v>1263.9956502161267</v>
      </c>
      <c r="O160" s="274">
        <f t="shared" si="102"/>
        <v>67.380947236419928</v>
      </c>
      <c r="P160" s="65">
        <f t="shared" ref="P160:P165" si="103">M160-J160</f>
        <v>0.33333333333333215</v>
      </c>
      <c r="Q160" s="74">
        <f t="shared" ref="Q160:Q165" si="104">O160-L160</f>
        <v>-12.472853933170725</v>
      </c>
      <c r="R160" s="275">
        <f>O160/L160</f>
        <v>0.84380387970910331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0</v>
      </c>
      <c r="AF160" s="65">
        <f t="shared" si="61"/>
        <v>-206.83768311720655</v>
      </c>
      <c r="AG160" s="130">
        <f t="shared" si="62"/>
        <v>0.85937381317810324</v>
      </c>
      <c r="AH160" s="721"/>
    </row>
    <row r="161" spans="1:36" ht="19.2" customHeight="1">
      <c r="A161" s="680" t="s">
        <v>255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1997</v>
      </c>
      <c r="H161" s="84">
        <f t="shared" ref="H161:H170" si="105">F161*G161</f>
        <v>59841.090407177355</v>
      </c>
      <c r="I161" s="45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1222.6530612244896</v>
      </c>
      <c r="O161" s="86">
        <f t="shared" ref="O161:O165" si="107">N161/M161</f>
        <v>67.925170068027199</v>
      </c>
      <c r="P161" s="54">
        <f t="shared" si="103"/>
        <v>0</v>
      </c>
      <c r="Q161" s="88">
        <f t="shared" si="104"/>
        <v>1.2585034013605281</v>
      </c>
      <c r="R161" s="454">
        <f t="shared" ref="R161:R165" si="108">O161/L161</f>
        <v>1.018877551020408</v>
      </c>
      <c r="S161" s="681">
        <f>R173</f>
        <v>0.94279740588689875</v>
      </c>
      <c r="T161" s="89">
        <v>0.16666666666666666</v>
      </c>
      <c r="U161" s="89">
        <v>0.23472222222222222</v>
      </c>
      <c r="V161" s="453">
        <v>5</v>
      </c>
      <c r="W161" s="90">
        <f t="shared" ref="W161:W172" si="109">(U161-T161)*24*60</f>
        <v>98.000000000000014</v>
      </c>
      <c r="X161" s="96"/>
      <c r="Y161" s="96"/>
      <c r="Z161" s="54"/>
      <c r="AA161" s="54"/>
      <c r="AB161" s="658"/>
      <c r="AC161" s="658"/>
      <c r="AD161" s="453"/>
      <c r="AE161" s="453"/>
      <c r="AF161" s="54">
        <f t="shared" si="61"/>
        <v>22.653061224489647</v>
      </c>
      <c r="AG161" s="454">
        <f t="shared" si="62"/>
        <v>1.018877551020408</v>
      </c>
      <c r="AH161" s="681">
        <f>AG173</f>
        <v>0.94931398986167359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2714</v>
      </c>
      <c r="H162" s="84">
        <f t="shared" si="105"/>
        <v>92900.219999999987</v>
      </c>
      <c r="I162" s="45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2200.5405405405404</v>
      </c>
      <c r="O162" s="86">
        <f t="shared" si="107"/>
        <v>169.27234927234926</v>
      </c>
      <c r="P162" s="54">
        <f t="shared" si="103"/>
        <v>0</v>
      </c>
      <c r="Q162" s="88">
        <f t="shared" si="104"/>
        <v>-3.8045738045738062</v>
      </c>
      <c r="R162" s="454">
        <f t="shared" si="108"/>
        <v>0.97801801801801802</v>
      </c>
      <c r="S162" s="681"/>
      <c r="T162" s="89">
        <v>0.23958333333333334</v>
      </c>
      <c r="U162" s="89">
        <v>0.29097222222222224</v>
      </c>
      <c r="V162" s="453">
        <v>7</v>
      </c>
      <c r="W162" s="90">
        <f t="shared" si="109"/>
        <v>74.000000000000014</v>
      </c>
      <c r="X162" s="96"/>
      <c r="Y162" s="96"/>
      <c r="Z162" s="54"/>
      <c r="AA162" s="54"/>
      <c r="AB162" s="658"/>
      <c r="AC162" s="658"/>
      <c r="AD162" s="453"/>
      <c r="AE162" s="453"/>
      <c r="AF162" s="54">
        <f t="shared" si="61"/>
        <v>-49.459459459459595</v>
      </c>
      <c r="AG162" s="454">
        <f t="shared" si="62"/>
        <v>0.97801801801801791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3315</v>
      </c>
      <c r="H163" s="84">
        <f t="shared" si="105"/>
        <v>113472.44999999998</v>
      </c>
      <c r="I163" s="453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2138.7096774193551</v>
      </c>
      <c r="O163" s="86">
        <f t="shared" si="107"/>
        <v>164.51612903225808</v>
      </c>
      <c r="P163" s="54">
        <f t="shared" si="103"/>
        <v>0</v>
      </c>
      <c r="Q163" s="88">
        <f t="shared" si="104"/>
        <v>-8.5607940446649877</v>
      </c>
      <c r="R163" s="454">
        <f t="shared" si="108"/>
        <v>0.95053763440860228</v>
      </c>
      <c r="S163" s="681"/>
      <c r="T163" s="89">
        <v>0.30555555555555558</v>
      </c>
      <c r="U163" s="89">
        <v>0.37013888888888891</v>
      </c>
      <c r="V163" s="453">
        <v>21</v>
      </c>
      <c r="W163" s="90">
        <f t="shared" si="109"/>
        <v>92.999999999999986</v>
      </c>
      <c r="X163" s="96">
        <v>0.29444444444444445</v>
      </c>
      <c r="Y163" s="96">
        <v>0.30277777777777776</v>
      </c>
      <c r="Z163" s="54"/>
      <c r="AA163" s="54"/>
      <c r="AB163" s="658"/>
      <c r="AC163" s="658"/>
      <c r="AD163" s="453"/>
      <c r="AE163" s="453"/>
      <c r="AF163" s="54">
        <f t="shared" si="61"/>
        <v>-111.2903225806449</v>
      </c>
      <c r="AG163" s="454">
        <f t="shared" si="62"/>
        <v>0.95053763440860228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4286</v>
      </c>
      <c r="H164" s="84">
        <f t="shared" si="105"/>
        <v>153567.38</v>
      </c>
      <c r="I164" s="45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2197.9487179487182</v>
      </c>
      <c r="O164" s="86">
        <f t="shared" si="107"/>
        <v>199.81351981351983</v>
      </c>
      <c r="P164" s="54">
        <f t="shared" si="103"/>
        <v>0</v>
      </c>
      <c r="Q164" s="88">
        <f t="shared" si="104"/>
        <v>-4.7319347319347003</v>
      </c>
      <c r="R164" s="454">
        <f t="shared" si="108"/>
        <v>0.97686609686609704</v>
      </c>
      <c r="S164" s="681"/>
      <c r="T164" s="89">
        <v>0.41041666666666665</v>
      </c>
      <c r="U164" s="89">
        <v>0.49166666666666664</v>
      </c>
      <c r="V164" s="453">
        <v>5</v>
      </c>
      <c r="W164" s="90">
        <f t="shared" si="109"/>
        <v>116.99999999999999</v>
      </c>
      <c r="X164" s="96"/>
      <c r="Y164" s="96"/>
      <c r="Z164" s="54"/>
      <c r="AA164" s="54"/>
      <c r="AB164" s="658"/>
      <c r="AC164" s="658"/>
      <c r="AD164" s="453"/>
      <c r="AE164" s="453"/>
      <c r="AF164" s="54">
        <f t="shared" si="61"/>
        <v>-52.05128205128176</v>
      </c>
      <c r="AG164" s="454">
        <f t="shared" si="62"/>
        <v>0.97686609686609704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4147.2</v>
      </c>
      <c r="H165" s="84">
        <f t="shared" si="105"/>
        <v>150999.55199999997</v>
      </c>
      <c r="I165" s="45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2415.8446601941755</v>
      </c>
      <c r="O165" s="86">
        <f t="shared" si="107"/>
        <v>241.58446601941756</v>
      </c>
      <c r="P165" s="54">
        <f t="shared" si="103"/>
        <v>0</v>
      </c>
      <c r="Q165" s="88">
        <f t="shared" si="104"/>
        <v>-35.315533980582416</v>
      </c>
      <c r="R165" s="454">
        <f t="shared" si="108"/>
        <v>0.87246105460244705</v>
      </c>
      <c r="S165" s="681"/>
      <c r="T165" s="89">
        <v>0.50694444444444442</v>
      </c>
      <c r="U165" s="89">
        <v>0.57847222222222217</v>
      </c>
      <c r="V165" s="453">
        <v>22</v>
      </c>
      <c r="W165" s="90">
        <f t="shared" si="109"/>
        <v>102.99999999999996</v>
      </c>
      <c r="X165" s="96">
        <v>0.49513888888888885</v>
      </c>
      <c r="Y165" s="96">
        <v>0.50416666666666665</v>
      </c>
      <c r="Z165" s="54"/>
      <c r="AA165" s="54"/>
      <c r="AB165" s="658"/>
      <c r="AC165" s="658"/>
      <c r="AD165" s="453"/>
      <c r="AE165" s="453"/>
      <c r="AF165" s="54">
        <f t="shared" si="61"/>
        <v>-353.1553398058245</v>
      </c>
      <c r="AG165" s="454">
        <f t="shared" si="62"/>
        <v>0.87246105460244694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5"/>
        <v>0</v>
      </c>
      <c r="I166" s="453"/>
      <c r="J166" s="87"/>
      <c r="K166" s="57"/>
      <c r="L166" s="86"/>
      <c r="M166" s="87"/>
      <c r="N166" s="57"/>
      <c r="O166" s="86"/>
      <c r="P166" s="54"/>
      <c r="Q166" s="88"/>
      <c r="R166" s="454"/>
      <c r="S166" s="681"/>
      <c r="T166" s="89"/>
      <c r="U166" s="89"/>
      <c r="V166" s="453"/>
      <c r="W166" s="90">
        <f t="shared" si="109"/>
        <v>0</v>
      </c>
      <c r="X166" s="96"/>
      <c r="Y166" s="96"/>
      <c r="Z166" s="54"/>
      <c r="AA166" s="54"/>
      <c r="AB166" s="658"/>
      <c r="AC166" s="658"/>
      <c r="AD166" s="453"/>
      <c r="AE166" s="453"/>
      <c r="AF166" s="54">
        <f t="shared" si="61"/>
        <v>0</v>
      </c>
      <c r="AG166" s="454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5"/>
        <v>0</v>
      </c>
      <c r="I167" s="453"/>
      <c r="J167" s="87"/>
      <c r="K167" s="57"/>
      <c r="L167" s="86"/>
      <c r="M167" s="87"/>
      <c r="N167" s="57"/>
      <c r="O167" s="86"/>
      <c r="P167" s="54"/>
      <c r="Q167" s="88"/>
      <c r="R167" s="454"/>
      <c r="S167" s="681"/>
      <c r="T167" s="89"/>
      <c r="U167" s="89"/>
      <c r="V167" s="453"/>
      <c r="W167" s="90">
        <f t="shared" si="109"/>
        <v>0</v>
      </c>
      <c r="X167" s="96"/>
      <c r="Y167" s="96"/>
      <c r="Z167" s="54"/>
      <c r="AA167" s="54"/>
      <c r="AB167" s="658"/>
      <c r="AC167" s="658"/>
      <c r="AD167" s="453"/>
      <c r="AE167" s="453"/>
      <c r="AF167" s="54">
        <f t="shared" si="61"/>
        <v>0</v>
      </c>
      <c r="AG167" s="454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5"/>
        <v>0</v>
      </c>
      <c r="I168" s="453"/>
      <c r="J168" s="87"/>
      <c r="K168" s="57"/>
      <c r="L168" s="86"/>
      <c r="M168" s="87"/>
      <c r="N168" s="57"/>
      <c r="O168" s="86"/>
      <c r="P168" s="54"/>
      <c r="Q168" s="88"/>
      <c r="R168" s="454"/>
      <c r="S168" s="681"/>
      <c r="T168" s="89"/>
      <c r="U168" s="89"/>
      <c r="V168" s="453"/>
      <c r="W168" s="90">
        <f t="shared" si="109"/>
        <v>0</v>
      </c>
      <c r="X168" s="96"/>
      <c r="Y168" s="96"/>
      <c r="Z168" s="54"/>
      <c r="AA168" s="54"/>
      <c r="AB168" s="658"/>
      <c r="AC168" s="658"/>
      <c r="AD168" s="453"/>
      <c r="AE168" s="453"/>
      <c r="AF168" s="54">
        <f t="shared" si="61"/>
        <v>0</v>
      </c>
      <c r="AG168" s="454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5"/>
        <v>0</v>
      </c>
      <c r="I169" s="453"/>
      <c r="J169" s="87"/>
      <c r="K169" s="57"/>
      <c r="L169" s="86"/>
      <c r="M169" s="87"/>
      <c r="N169" s="57"/>
      <c r="O169" s="86"/>
      <c r="P169" s="54"/>
      <c r="Q169" s="88"/>
      <c r="R169" s="454"/>
      <c r="S169" s="681"/>
      <c r="T169" s="89"/>
      <c r="U169" s="89"/>
      <c r="V169" s="453" t="s">
        <v>30</v>
      </c>
      <c r="W169" s="90">
        <f t="shared" si="109"/>
        <v>0</v>
      </c>
      <c r="X169" s="96"/>
      <c r="Y169" s="96"/>
      <c r="Z169" s="54"/>
      <c r="AA169" s="54"/>
      <c r="AB169" s="658"/>
      <c r="AC169" s="658"/>
      <c r="AD169" s="453"/>
      <c r="AE169" s="453"/>
      <c r="AF169" s="54">
        <f t="shared" si="61"/>
        <v>0</v>
      </c>
      <c r="AG169" s="454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5"/>
        <v>0</v>
      </c>
      <c r="I170" s="453"/>
      <c r="J170" s="87"/>
      <c r="K170" s="57"/>
      <c r="L170" s="86"/>
      <c r="M170" s="87"/>
      <c r="N170" s="57"/>
      <c r="O170" s="86"/>
      <c r="P170" s="54"/>
      <c r="Q170" s="88"/>
      <c r="R170" s="454"/>
      <c r="S170" s="681"/>
      <c r="T170" s="89"/>
      <c r="U170" s="89"/>
      <c r="V170" s="453"/>
      <c r="W170" s="90">
        <f t="shared" si="109"/>
        <v>0</v>
      </c>
      <c r="X170" s="96"/>
      <c r="Y170" s="96"/>
      <c r="Z170" s="54"/>
      <c r="AA170" s="54"/>
      <c r="AB170" s="658"/>
      <c r="AC170" s="658"/>
      <c r="AD170" s="453"/>
      <c r="AE170" s="453"/>
      <c r="AF170" s="54">
        <f t="shared" si="61"/>
        <v>0</v>
      </c>
      <c r="AG170" s="454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453"/>
      <c r="J171" s="87"/>
      <c r="K171" s="57"/>
      <c r="L171" s="86"/>
      <c r="M171" s="87"/>
      <c r="N171" s="57"/>
      <c r="O171" s="86"/>
      <c r="P171" s="54"/>
      <c r="Q171" s="88"/>
      <c r="R171" s="454"/>
      <c r="S171" s="681"/>
      <c r="T171" s="89"/>
      <c r="U171" s="89"/>
      <c r="V171" s="453"/>
      <c r="W171" s="90">
        <f t="shared" si="109"/>
        <v>0</v>
      </c>
      <c r="X171" s="96"/>
      <c r="Y171" s="96"/>
      <c r="Z171" s="54"/>
      <c r="AA171" s="54"/>
      <c r="AB171" s="658"/>
      <c r="AC171" s="658"/>
      <c r="AD171" s="453"/>
      <c r="AE171" s="453"/>
      <c r="AF171" s="54"/>
      <c r="AG171" s="454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453"/>
      <c r="J172" s="87"/>
      <c r="K172" s="57"/>
      <c r="L172" s="86"/>
      <c r="M172" s="87"/>
      <c r="N172" s="57"/>
      <c r="O172" s="86"/>
      <c r="P172" s="54"/>
      <c r="Q172" s="88"/>
      <c r="R172" s="454"/>
      <c r="S172" s="681"/>
      <c r="T172" s="89"/>
      <c r="U172" s="89"/>
      <c r="V172" s="453"/>
      <c r="W172" s="90">
        <f t="shared" si="109"/>
        <v>0</v>
      </c>
      <c r="X172" s="96"/>
      <c r="Y172" s="96"/>
      <c r="Z172" s="54"/>
      <c r="AA172" s="54"/>
      <c r="AB172" s="658"/>
      <c r="AC172" s="658"/>
      <c r="AD172" s="453"/>
      <c r="AE172" s="453"/>
      <c r="AF172" s="54"/>
      <c r="AG172" s="454"/>
      <c r="AH172" s="681"/>
    </row>
    <row r="173" spans="1:36" ht="19.2" customHeight="1">
      <c r="A173" s="680"/>
      <c r="B173" s="122">
        <v>0</v>
      </c>
      <c r="C173" s="100" t="s">
        <v>26</v>
      </c>
      <c r="D173" s="687" t="s">
        <v>245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2035.1393314654561</v>
      </c>
      <c r="O173" s="104">
        <f t="shared" si="110"/>
        <v>168.62232684111441</v>
      </c>
      <c r="P173" s="54">
        <f>M173-J173</f>
        <v>0</v>
      </c>
      <c r="Q173" s="88">
        <f>O173-L173</f>
        <v>-10.230866632079056</v>
      </c>
      <c r="R173" s="105">
        <f>O173/L173</f>
        <v>0.94279740588689875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0</v>
      </c>
      <c r="AE173" s="107">
        <f>SUM(AE161:AE172)</f>
        <v>0</v>
      </c>
      <c r="AF173" s="54">
        <f t="shared" si="61"/>
        <v>-108.66066853454413</v>
      </c>
      <c r="AG173" s="454">
        <f t="shared" si="62"/>
        <v>0.94931398986167359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256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257</v>
      </c>
    </row>
    <row r="186" spans="23:36">
      <c r="W186" s="33"/>
      <c r="AJ186" s="279" t="s">
        <v>275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16295" priority="3256" operator="lessThan">
      <formula>0</formula>
    </cfRule>
  </conditionalFormatting>
  <conditionalFormatting sqref="AH57 AH70 S43 S123 S95 AH95 S5:S9 AH5:AH9 S134 AH17:AH18 S17:S18 S32 S82 AH82 S57:S70">
    <cfRule type="cellIs" dxfId="16294" priority="3255" operator="lessThan">
      <formula>0.8</formula>
    </cfRule>
  </conditionalFormatting>
  <conditionalFormatting sqref="R147 R173 R30 R121 R95 R43 R134 R82 R154:R159 R17:R18 R109:R117 R57:R70">
    <cfRule type="cellIs" dxfId="16293" priority="3253" operator="lessThan">
      <formula>0.8</formula>
    </cfRule>
    <cfRule type="cellIs" dxfId="16292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16291" priority="3251" operator="greaterThan">
      <formula>1</formula>
    </cfRule>
    <cfRule type="cellIs" dxfId="16290" priority="3252" operator="lessThan">
      <formula>0.8</formula>
    </cfRule>
  </conditionalFormatting>
  <conditionalFormatting sqref="P147 P30 P121 P95 P43 P134 P82 P154:P159 P17:P18 P109:P117 P57:P70">
    <cfRule type="cellIs" dxfId="16289" priority="3250" operator="greaterThan">
      <formula>0</formula>
    </cfRule>
  </conditionalFormatting>
  <conditionalFormatting sqref="S161">
    <cfRule type="cellIs" dxfId="16288" priority="3249" operator="lessThan">
      <formula>0.8</formula>
    </cfRule>
  </conditionalFormatting>
  <conditionalFormatting sqref="Q161:Q166">
    <cfRule type="cellIs" dxfId="16287" priority="3248" operator="lessThan">
      <formula>0</formula>
    </cfRule>
  </conditionalFormatting>
  <conditionalFormatting sqref="R161:R166">
    <cfRule type="cellIs" dxfId="16286" priority="3246" operator="lessThan">
      <formula>0.8</formula>
    </cfRule>
    <cfRule type="cellIs" dxfId="16285" priority="3247" operator="greaterThan">
      <formula>1</formula>
    </cfRule>
  </conditionalFormatting>
  <conditionalFormatting sqref="R161:R166">
    <cfRule type="cellIs" dxfId="16284" priority="3244" operator="greaterThan">
      <formula>1</formula>
    </cfRule>
    <cfRule type="cellIs" dxfId="16283" priority="3245" operator="lessThan">
      <formula>0.8</formula>
    </cfRule>
  </conditionalFormatting>
  <conditionalFormatting sqref="P161:P166">
    <cfRule type="cellIs" dxfId="16282" priority="3243" operator="greaterThan">
      <formula>0</formula>
    </cfRule>
  </conditionalFormatting>
  <conditionalFormatting sqref="Q169:Q172 AF161:AF172">
    <cfRule type="cellIs" dxfId="16281" priority="3242" operator="lessThan">
      <formula>0</formula>
    </cfRule>
  </conditionalFormatting>
  <conditionalFormatting sqref="R169:R172">
    <cfRule type="cellIs" dxfId="16280" priority="3240" operator="lessThan">
      <formula>0.8</formula>
    </cfRule>
    <cfRule type="cellIs" dxfId="16279" priority="3241" operator="greaterThan">
      <formula>1</formula>
    </cfRule>
  </conditionalFormatting>
  <conditionalFormatting sqref="R169:R172 AG161:AG172">
    <cfRule type="cellIs" dxfId="16278" priority="3238" operator="greaterThan">
      <formula>1</formula>
    </cfRule>
    <cfRule type="cellIs" dxfId="16277" priority="3239" operator="lessThan">
      <formula>0.8</formula>
    </cfRule>
  </conditionalFormatting>
  <conditionalFormatting sqref="P169:P172">
    <cfRule type="cellIs" dxfId="16276" priority="3237" operator="greaterThan">
      <formula>0</formula>
    </cfRule>
  </conditionalFormatting>
  <conditionalFormatting sqref="AF145">
    <cfRule type="cellIs" dxfId="16275" priority="3236" operator="lessThan">
      <formula>0</formula>
    </cfRule>
  </conditionalFormatting>
  <conditionalFormatting sqref="AG145">
    <cfRule type="cellIs" dxfId="16274" priority="3234" operator="greaterThan">
      <formula>1</formula>
    </cfRule>
    <cfRule type="cellIs" dxfId="16273" priority="3235" operator="lessThan">
      <formula>0.8</formula>
    </cfRule>
  </conditionalFormatting>
  <conditionalFormatting sqref="AF44:AF54">
    <cfRule type="cellIs" dxfId="16272" priority="3233" operator="lessThan">
      <formula>0</formula>
    </cfRule>
  </conditionalFormatting>
  <conditionalFormatting sqref="AG44:AG54">
    <cfRule type="cellIs" dxfId="16271" priority="3231" operator="greaterThan">
      <formula>1</formula>
    </cfRule>
    <cfRule type="cellIs" dxfId="16270" priority="3232" operator="lessThan">
      <formula>0.8</formula>
    </cfRule>
  </conditionalFormatting>
  <conditionalFormatting sqref="AF83:AF94">
    <cfRule type="cellIs" dxfId="16269" priority="3230" operator="lessThan">
      <formula>0</formula>
    </cfRule>
  </conditionalFormatting>
  <conditionalFormatting sqref="AH83">
    <cfRule type="cellIs" dxfId="16268" priority="3229" operator="lessThan">
      <formula>0.8</formula>
    </cfRule>
  </conditionalFormatting>
  <conditionalFormatting sqref="AG83:AG94">
    <cfRule type="cellIs" dxfId="16267" priority="3227" operator="greaterThan">
      <formula>1</formula>
    </cfRule>
    <cfRule type="cellIs" dxfId="16266" priority="3228" operator="lessThan">
      <formula>0.8</formula>
    </cfRule>
  </conditionalFormatting>
  <conditionalFormatting sqref="S83">
    <cfRule type="cellIs" dxfId="16265" priority="3226" operator="lessThan">
      <formula>0.8</formula>
    </cfRule>
  </conditionalFormatting>
  <conditionalFormatting sqref="AH84">
    <cfRule type="cellIs" dxfId="16264" priority="3225" operator="lessThan">
      <formula>0.8</formula>
    </cfRule>
  </conditionalFormatting>
  <conditionalFormatting sqref="S84">
    <cfRule type="cellIs" dxfId="16263" priority="3224" operator="lessThan">
      <formula>0.8</formula>
    </cfRule>
  </conditionalFormatting>
  <conditionalFormatting sqref="S90">
    <cfRule type="cellIs" dxfId="16262" priority="3223" operator="lessThan">
      <formula>0.8</formula>
    </cfRule>
  </conditionalFormatting>
  <conditionalFormatting sqref="AH90">
    <cfRule type="cellIs" dxfId="16261" priority="3222" operator="lessThan">
      <formula>0.8</formula>
    </cfRule>
  </conditionalFormatting>
  <conditionalFormatting sqref="AF122">
    <cfRule type="cellIs" dxfId="16260" priority="3221" operator="lessThan">
      <formula>0</formula>
    </cfRule>
  </conditionalFormatting>
  <conditionalFormatting sqref="S122">
    <cfRule type="cellIs" dxfId="16259" priority="3220" operator="lessThan">
      <formula>0.8</formula>
    </cfRule>
  </conditionalFormatting>
  <conditionalFormatting sqref="AG122">
    <cfRule type="cellIs" dxfId="16258" priority="3218" operator="greaterThan">
      <formula>1</formula>
    </cfRule>
    <cfRule type="cellIs" dxfId="16257" priority="3219" operator="lessThan">
      <formula>0.8</formula>
    </cfRule>
  </conditionalFormatting>
  <conditionalFormatting sqref="P162:P168">
    <cfRule type="cellIs" dxfId="16256" priority="3212" operator="greaterThan">
      <formula>0</formula>
    </cfRule>
  </conditionalFormatting>
  <conditionalFormatting sqref="R162:R168">
    <cfRule type="cellIs" dxfId="16255" priority="3215" operator="lessThan">
      <formula>0.8</formula>
    </cfRule>
    <cfRule type="cellIs" dxfId="16254" priority="3216" operator="greaterThan">
      <formula>1</formula>
    </cfRule>
  </conditionalFormatting>
  <conditionalFormatting sqref="R162:R168">
    <cfRule type="cellIs" dxfId="16253" priority="3213" operator="greaterThan">
      <formula>1</formula>
    </cfRule>
    <cfRule type="cellIs" dxfId="16252" priority="3214" operator="lessThan">
      <formula>0.8</formula>
    </cfRule>
  </conditionalFormatting>
  <conditionalFormatting sqref="Q162:Q168">
    <cfRule type="cellIs" dxfId="16251" priority="3217" operator="lessThan">
      <formula>0</formula>
    </cfRule>
  </conditionalFormatting>
  <conditionalFormatting sqref="P132:P133">
    <cfRule type="cellIs" dxfId="16250" priority="3205" operator="greaterThan">
      <formula>0</formula>
    </cfRule>
  </conditionalFormatting>
  <conditionalFormatting sqref="AF124 Q132:Q133 AF126:AF133">
    <cfRule type="cellIs" dxfId="16249" priority="3211" operator="lessThan">
      <formula>0</formula>
    </cfRule>
  </conditionalFormatting>
  <conditionalFormatting sqref="S124:S133">
    <cfRule type="cellIs" dxfId="16248" priority="3210" operator="lessThan">
      <formula>0.8</formula>
    </cfRule>
  </conditionalFormatting>
  <conditionalFormatting sqref="R132:R133">
    <cfRule type="cellIs" dxfId="16247" priority="3208" operator="lessThan">
      <formula>0.8</formula>
    </cfRule>
    <cfRule type="cellIs" dxfId="16246" priority="3209" operator="greaterThan">
      <formula>1</formula>
    </cfRule>
  </conditionalFormatting>
  <conditionalFormatting sqref="AG124 R132:R133 AG126:AG133">
    <cfRule type="cellIs" dxfId="16245" priority="3206" operator="greaterThan">
      <formula>1</formula>
    </cfRule>
    <cfRule type="cellIs" dxfId="16244" priority="3207" operator="lessThan">
      <formula>0.8</formula>
    </cfRule>
  </conditionalFormatting>
  <conditionalFormatting sqref="AH109">
    <cfRule type="cellIs" dxfId="16243" priority="3204" operator="lessThan">
      <formula>0.8</formula>
    </cfRule>
  </conditionalFormatting>
  <conditionalFormatting sqref="R160 AG160">
    <cfRule type="cellIs" dxfId="16242" priority="3199" operator="greaterThan">
      <formula>1</formula>
    </cfRule>
    <cfRule type="cellIs" dxfId="16241" priority="3200" operator="lessThan">
      <formula>0.8</formula>
    </cfRule>
  </conditionalFormatting>
  <conditionalFormatting sqref="R160">
    <cfRule type="cellIs" dxfId="16240" priority="3201" operator="lessThan">
      <formula>0.8</formula>
    </cfRule>
    <cfRule type="cellIs" dxfId="16239" priority="3202" operator="greaterThan">
      <formula>1</formula>
    </cfRule>
  </conditionalFormatting>
  <conditionalFormatting sqref="P160">
    <cfRule type="cellIs" dxfId="16238" priority="3198" operator="greaterThan">
      <formula>0</formula>
    </cfRule>
  </conditionalFormatting>
  <conditionalFormatting sqref="AH148">
    <cfRule type="cellIs" dxfId="16237" priority="3197" operator="lessThan">
      <formula>0.8</formula>
    </cfRule>
  </conditionalFormatting>
  <conditionalFormatting sqref="Q160 AF160">
    <cfRule type="cellIs" dxfId="16236" priority="3203" operator="lessThan">
      <formula>0</formula>
    </cfRule>
  </conditionalFormatting>
  <conditionalFormatting sqref="AF148:AF154">
    <cfRule type="cellIs" dxfId="16235" priority="3196" operator="lessThan">
      <formula>0</formula>
    </cfRule>
  </conditionalFormatting>
  <conditionalFormatting sqref="S148">
    <cfRule type="cellIs" dxfId="16234" priority="3195" operator="lessThan">
      <formula>0.8</formula>
    </cfRule>
  </conditionalFormatting>
  <conditionalFormatting sqref="AG148:AG154">
    <cfRule type="cellIs" dxfId="16233" priority="3193" operator="greaterThan">
      <formula>1</formula>
    </cfRule>
    <cfRule type="cellIs" dxfId="16232" priority="3194" operator="lessThan">
      <formula>0.8</formula>
    </cfRule>
  </conditionalFormatting>
  <conditionalFormatting sqref="S86">
    <cfRule type="cellIs" dxfId="16231" priority="3192" operator="lessThan">
      <formula>0.8</formula>
    </cfRule>
  </conditionalFormatting>
  <conditionalFormatting sqref="S88 AH88">
    <cfRule type="cellIs" dxfId="16230" priority="3187" operator="lessThan">
      <formula>0.8</formula>
    </cfRule>
  </conditionalFormatting>
  <conditionalFormatting sqref="AH86">
    <cfRule type="cellIs" dxfId="16229" priority="3191" operator="lessThan">
      <formula>0.8</formula>
    </cfRule>
  </conditionalFormatting>
  <conditionalFormatting sqref="S87">
    <cfRule type="cellIs" dxfId="16228" priority="3190" operator="lessThan">
      <formula>0.8</formula>
    </cfRule>
  </conditionalFormatting>
  <conditionalFormatting sqref="AH87">
    <cfRule type="cellIs" dxfId="16227" priority="3189" operator="lessThan">
      <formula>0.8</formula>
    </cfRule>
  </conditionalFormatting>
  <conditionalFormatting sqref="S89 AH89">
    <cfRule type="cellIs" dxfId="16226" priority="3188" operator="lessThan">
      <formula>0.8</formula>
    </cfRule>
  </conditionalFormatting>
  <conditionalFormatting sqref="AF31 AF35 AF39">
    <cfRule type="cellIs" dxfId="16225" priority="3186" operator="lessThan">
      <formula>0</formula>
    </cfRule>
  </conditionalFormatting>
  <conditionalFormatting sqref="AH31 S31">
    <cfRule type="cellIs" dxfId="16224" priority="3185" operator="lessThan">
      <formula>0.8</formula>
    </cfRule>
  </conditionalFormatting>
  <conditionalFormatting sqref="AG31 AG35 AG39">
    <cfRule type="cellIs" dxfId="16223" priority="3183" operator="greaterThan">
      <formula>1</formula>
    </cfRule>
    <cfRule type="cellIs" dxfId="16222" priority="3184" operator="lessThan">
      <formula>0.8</formula>
    </cfRule>
  </conditionalFormatting>
  <conditionalFormatting sqref="AF135">
    <cfRule type="cellIs" dxfId="16221" priority="3182" operator="lessThan">
      <formula>0</formula>
    </cfRule>
  </conditionalFormatting>
  <conditionalFormatting sqref="AH135 S135">
    <cfRule type="cellIs" dxfId="16220" priority="3181" operator="lessThan">
      <formula>0.8</formula>
    </cfRule>
  </conditionalFormatting>
  <conditionalFormatting sqref="AG135">
    <cfRule type="cellIs" dxfId="16219" priority="3179" operator="greaterThan">
      <formula>1</formula>
    </cfRule>
    <cfRule type="cellIs" dxfId="16218" priority="3180" operator="lessThan">
      <formula>0.8</formula>
    </cfRule>
  </conditionalFormatting>
  <conditionalFormatting sqref="AF108 Q108">
    <cfRule type="cellIs" dxfId="16217" priority="3178" operator="lessThan">
      <formula>0</formula>
    </cfRule>
  </conditionalFormatting>
  <conditionalFormatting sqref="R108">
    <cfRule type="cellIs" dxfId="16216" priority="3176" operator="lessThan">
      <formula>0.8</formula>
    </cfRule>
    <cfRule type="cellIs" dxfId="16215" priority="3177" operator="greaterThan">
      <formula>1</formula>
    </cfRule>
  </conditionalFormatting>
  <conditionalFormatting sqref="AG108 R108">
    <cfRule type="cellIs" dxfId="16214" priority="3174" operator="greaterThan">
      <formula>1</formula>
    </cfRule>
    <cfRule type="cellIs" dxfId="16213" priority="3175" operator="lessThan">
      <formula>0.8</formula>
    </cfRule>
  </conditionalFormatting>
  <conditionalFormatting sqref="P108">
    <cfRule type="cellIs" dxfId="16212" priority="3173" operator="greaterThan">
      <formula>0</formula>
    </cfRule>
  </conditionalFormatting>
  <conditionalFormatting sqref="AH97">
    <cfRule type="cellIs" dxfId="16211" priority="3168" operator="lessThan">
      <formula>0.8</formula>
    </cfRule>
  </conditionalFormatting>
  <conditionalFormatting sqref="AG96 AG98 AG100 AG102 AG104">
    <cfRule type="cellIs" dxfId="16210" priority="3170" operator="greaterThan">
      <formula>1</formula>
    </cfRule>
    <cfRule type="cellIs" dxfId="16209" priority="3171" operator="lessThan">
      <formula>0.8</formula>
    </cfRule>
  </conditionalFormatting>
  <conditionalFormatting sqref="AF96 AF98 AF100 AF102 AF104">
    <cfRule type="cellIs" dxfId="16208" priority="3172" operator="lessThan">
      <formula>0</formula>
    </cfRule>
  </conditionalFormatting>
  <conditionalFormatting sqref="AG97 AG99 AG101 AG103 AG105">
    <cfRule type="cellIs" dxfId="16207" priority="3166" operator="greaterThan">
      <formula>1</formula>
    </cfRule>
    <cfRule type="cellIs" dxfId="16206" priority="3167" operator="lessThan">
      <formula>0.8</formula>
    </cfRule>
  </conditionalFormatting>
  <conditionalFormatting sqref="AF97 AF99 AF101 AF103 AF105">
    <cfRule type="cellIs" dxfId="16205" priority="3169" operator="lessThan">
      <formula>0</formula>
    </cfRule>
  </conditionalFormatting>
  <conditionalFormatting sqref="AF71 AF73 AF75 AF79 AF77">
    <cfRule type="cellIs" dxfId="16204" priority="3163" operator="lessThan">
      <formula>0</formula>
    </cfRule>
  </conditionalFormatting>
  <conditionalFormatting sqref="S71 AH71">
    <cfRule type="cellIs" dxfId="16203" priority="3162" operator="lessThan">
      <formula>0.8</formula>
    </cfRule>
  </conditionalFormatting>
  <conditionalFormatting sqref="AG71 AG73 AG75 AG79 AG77">
    <cfRule type="cellIs" dxfId="16202" priority="3160" operator="greaterThan">
      <formula>1</formula>
    </cfRule>
    <cfRule type="cellIs" dxfId="16201" priority="3161" operator="lessThan">
      <formula>0.8</formula>
    </cfRule>
  </conditionalFormatting>
  <conditionalFormatting sqref="AF72 AF76 AF80">
    <cfRule type="cellIs" dxfId="16200" priority="3159" operator="lessThan">
      <formula>0</formula>
    </cfRule>
  </conditionalFormatting>
  <conditionalFormatting sqref="S72 AH72">
    <cfRule type="cellIs" dxfId="16199" priority="3158" operator="lessThan">
      <formula>0.8</formula>
    </cfRule>
  </conditionalFormatting>
  <conditionalFormatting sqref="S11">
    <cfRule type="cellIs" dxfId="16198" priority="3165" operator="lessThan">
      <formula>0.8</formula>
    </cfRule>
  </conditionalFormatting>
  <conditionalFormatting sqref="S10">
    <cfRule type="cellIs" dxfId="16197" priority="3164" operator="lessThan">
      <formula>0.8</formula>
    </cfRule>
  </conditionalFormatting>
  <conditionalFormatting sqref="AG72 AG76 AG80">
    <cfRule type="cellIs" dxfId="16196" priority="3156" operator="greaterThan">
      <formula>1</formula>
    </cfRule>
    <cfRule type="cellIs" dxfId="16195" priority="3157" operator="lessThan">
      <formula>0.8</formula>
    </cfRule>
  </conditionalFormatting>
  <conditionalFormatting sqref="AF14:AF16 Q15:Q16">
    <cfRule type="cellIs" dxfId="16194" priority="3155" operator="lessThan">
      <formula>0</formula>
    </cfRule>
  </conditionalFormatting>
  <conditionalFormatting sqref="R15:R16">
    <cfRule type="cellIs" dxfId="16193" priority="3153" operator="lessThan">
      <formula>0.8</formula>
    </cfRule>
    <cfRule type="cellIs" dxfId="16192" priority="3154" operator="greaterThan">
      <formula>1</formula>
    </cfRule>
  </conditionalFormatting>
  <conditionalFormatting sqref="AG14:AG16 R15:R16">
    <cfRule type="cellIs" dxfId="16191" priority="3151" operator="greaterThan">
      <formula>1</formula>
    </cfRule>
    <cfRule type="cellIs" dxfId="16190" priority="3152" operator="lessThan">
      <formula>0.8</formula>
    </cfRule>
  </conditionalFormatting>
  <conditionalFormatting sqref="P15:P16">
    <cfRule type="cellIs" dxfId="16189" priority="3150" operator="greaterThan">
      <formula>0</formula>
    </cfRule>
  </conditionalFormatting>
  <conditionalFormatting sqref="AH98">
    <cfRule type="cellIs" dxfId="16188" priority="3149" operator="lessThan">
      <formula>0.8</formula>
    </cfRule>
  </conditionalFormatting>
  <conditionalFormatting sqref="AF33 AF37">
    <cfRule type="cellIs" dxfId="16187" priority="3148" operator="lessThan">
      <formula>0</formula>
    </cfRule>
  </conditionalFormatting>
  <conditionalFormatting sqref="AG33 AG37">
    <cfRule type="cellIs" dxfId="16186" priority="3146" operator="greaterThan">
      <formula>1</formula>
    </cfRule>
    <cfRule type="cellIs" dxfId="16185" priority="3147" operator="lessThan">
      <formula>0.8</formula>
    </cfRule>
  </conditionalFormatting>
  <conditionalFormatting sqref="P41:P42">
    <cfRule type="cellIs" dxfId="16184" priority="3140" operator="greaterThan">
      <formula>0</formula>
    </cfRule>
  </conditionalFormatting>
  <conditionalFormatting sqref="Q41:Q42 AF34 AF41:AF42 AF38">
    <cfRule type="cellIs" dxfId="16183" priority="3145" operator="lessThan">
      <formula>0</formula>
    </cfRule>
  </conditionalFormatting>
  <conditionalFormatting sqref="R41:R42">
    <cfRule type="cellIs" dxfId="16182" priority="3143" operator="lessThan">
      <formula>0.8</formula>
    </cfRule>
    <cfRule type="cellIs" dxfId="16181" priority="3144" operator="greaterThan">
      <formula>1</formula>
    </cfRule>
  </conditionalFormatting>
  <conditionalFormatting sqref="R41:R42 AG34 AG41:AG42 AG38">
    <cfRule type="cellIs" dxfId="16180" priority="3141" operator="greaterThan">
      <formula>1</formula>
    </cfRule>
    <cfRule type="cellIs" dxfId="16179" priority="3142" operator="lessThan">
      <formula>0.8</formula>
    </cfRule>
  </conditionalFormatting>
  <conditionalFormatting sqref="AF137:AF144">
    <cfRule type="cellIs" dxfId="16178" priority="3139" operator="lessThan">
      <formula>0</formula>
    </cfRule>
  </conditionalFormatting>
  <conditionalFormatting sqref="AH137 S137">
    <cfRule type="cellIs" dxfId="16177" priority="3138" operator="lessThan">
      <formula>0.8</formula>
    </cfRule>
  </conditionalFormatting>
  <conditionalFormatting sqref="AG137:AG144">
    <cfRule type="cellIs" dxfId="16176" priority="3136" operator="greaterThan">
      <formula>1</formula>
    </cfRule>
    <cfRule type="cellIs" dxfId="16175" priority="3137" operator="lessThan">
      <formula>0.8</formula>
    </cfRule>
  </conditionalFormatting>
  <conditionalFormatting sqref="AF55">
    <cfRule type="cellIs" dxfId="16174" priority="3135" operator="lessThan">
      <formula>0</formula>
    </cfRule>
  </conditionalFormatting>
  <conditionalFormatting sqref="AG55">
    <cfRule type="cellIs" dxfId="16173" priority="3133" operator="greaterThan">
      <formula>1</formula>
    </cfRule>
    <cfRule type="cellIs" dxfId="16172" priority="3134" operator="lessThan">
      <formula>0.8</formula>
    </cfRule>
  </conditionalFormatting>
  <conditionalFormatting sqref="AF56 Q56">
    <cfRule type="cellIs" dxfId="16171" priority="3132" operator="lessThan">
      <formula>0</formula>
    </cfRule>
  </conditionalFormatting>
  <conditionalFormatting sqref="R56">
    <cfRule type="cellIs" dxfId="16170" priority="3130" operator="lessThan">
      <formula>0.8</formula>
    </cfRule>
    <cfRule type="cellIs" dxfId="16169" priority="3131" operator="greaterThan">
      <formula>1</formula>
    </cfRule>
  </conditionalFormatting>
  <conditionalFormatting sqref="AG56 R56">
    <cfRule type="cellIs" dxfId="16168" priority="3128" operator="greaterThan">
      <formula>1</formula>
    </cfRule>
    <cfRule type="cellIs" dxfId="16167" priority="3129" operator="lessThan">
      <formula>0.8</formula>
    </cfRule>
  </conditionalFormatting>
  <conditionalFormatting sqref="P56">
    <cfRule type="cellIs" dxfId="16166" priority="3127" operator="greaterThan">
      <formula>0</formula>
    </cfRule>
  </conditionalFormatting>
  <conditionalFormatting sqref="P52:P55">
    <cfRule type="cellIs" dxfId="16165" priority="3121" operator="greaterThan">
      <formula>0</formula>
    </cfRule>
  </conditionalFormatting>
  <conditionalFormatting sqref="Q52:Q55">
    <cfRule type="cellIs" dxfId="16164" priority="3126" operator="lessThan">
      <formula>0</formula>
    </cfRule>
  </conditionalFormatting>
  <conditionalFormatting sqref="R52:R55">
    <cfRule type="cellIs" dxfId="16163" priority="3124" operator="lessThan">
      <formula>0.8</formula>
    </cfRule>
    <cfRule type="cellIs" dxfId="16162" priority="3125" operator="greaterThan">
      <formula>1</formula>
    </cfRule>
  </conditionalFormatting>
  <conditionalFormatting sqref="R52:R55">
    <cfRule type="cellIs" dxfId="16161" priority="3122" operator="greaterThan">
      <formula>1</formula>
    </cfRule>
    <cfRule type="cellIs" dxfId="16160" priority="3123" operator="lessThan">
      <formula>0.8</formula>
    </cfRule>
  </conditionalFormatting>
  <conditionalFormatting sqref="P80:P81">
    <cfRule type="cellIs" dxfId="16159" priority="3115" operator="greaterThan">
      <formula>0</formula>
    </cfRule>
  </conditionalFormatting>
  <conditionalFormatting sqref="AF81 Q80:Q81">
    <cfRule type="cellIs" dxfId="16158" priority="3120" operator="lessThan">
      <formula>0</formula>
    </cfRule>
  </conditionalFormatting>
  <conditionalFormatting sqref="R80:R81">
    <cfRule type="cellIs" dxfId="16157" priority="3118" operator="lessThan">
      <formula>0.8</formula>
    </cfRule>
    <cfRule type="cellIs" dxfId="16156" priority="3119" operator="greaterThan">
      <formula>1</formula>
    </cfRule>
  </conditionalFormatting>
  <conditionalFormatting sqref="AG81 R80:R81">
    <cfRule type="cellIs" dxfId="16155" priority="3116" operator="greaterThan">
      <formula>1</formula>
    </cfRule>
    <cfRule type="cellIs" dxfId="16154" priority="3117" operator="lessThan">
      <formula>0.8</formula>
    </cfRule>
  </conditionalFormatting>
  <conditionalFormatting sqref="AH85">
    <cfRule type="cellIs" dxfId="16153" priority="3114" operator="lessThan">
      <formula>0.8</formula>
    </cfRule>
  </conditionalFormatting>
  <conditionalFormatting sqref="S85">
    <cfRule type="cellIs" dxfId="16152" priority="3113" operator="lessThan">
      <formula>0.8</formula>
    </cfRule>
  </conditionalFormatting>
  <conditionalFormatting sqref="AF106:AF107">
    <cfRule type="cellIs" dxfId="16151" priority="3112" operator="lessThan">
      <formula>0</formula>
    </cfRule>
  </conditionalFormatting>
  <conditionalFormatting sqref="AH100:AH107">
    <cfRule type="cellIs" dxfId="16150" priority="3111" operator="lessThan">
      <formula>0.8</formula>
    </cfRule>
  </conditionalFormatting>
  <conditionalFormatting sqref="AG106:AG107">
    <cfRule type="cellIs" dxfId="16149" priority="3109" operator="greaterThan">
      <formula>1</formula>
    </cfRule>
    <cfRule type="cellIs" dxfId="16148" priority="3110" operator="lessThan">
      <formula>0.8</formula>
    </cfRule>
  </conditionalFormatting>
  <conditionalFormatting sqref="P106:P107">
    <cfRule type="cellIs" dxfId="16147" priority="3103" operator="greaterThan">
      <formula>0</formula>
    </cfRule>
  </conditionalFormatting>
  <conditionalFormatting sqref="Q106:Q107">
    <cfRule type="cellIs" dxfId="16146" priority="3108" operator="lessThan">
      <formula>0</formula>
    </cfRule>
  </conditionalFormatting>
  <conditionalFormatting sqref="R106:R107">
    <cfRule type="cellIs" dxfId="16145" priority="3106" operator="lessThan">
      <formula>0.8</formula>
    </cfRule>
    <cfRule type="cellIs" dxfId="16144" priority="3107" operator="greaterThan">
      <formula>1</formula>
    </cfRule>
  </conditionalFormatting>
  <conditionalFormatting sqref="R106:R107">
    <cfRule type="cellIs" dxfId="16143" priority="3104" operator="greaterThan">
      <formula>1</formula>
    </cfRule>
    <cfRule type="cellIs" dxfId="16142" priority="3105" operator="lessThan">
      <formula>0.8</formula>
    </cfRule>
  </conditionalFormatting>
  <conditionalFormatting sqref="AF109:AF120">
    <cfRule type="cellIs" dxfId="16141" priority="3102" operator="lessThan">
      <formula>0</formula>
    </cfRule>
  </conditionalFormatting>
  <conditionalFormatting sqref="S109">
    <cfRule type="cellIs" dxfId="16140" priority="3101" operator="lessThan">
      <formula>0.8</formula>
    </cfRule>
  </conditionalFormatting>
  <conditionalFormatting sqref="AG109:AG120">
    <cfRule type="cellIs" dxfId="16139" priority="3099" operator="greaterThan">
      <formula>1</formula>
    </cfRule>
    <cfRule type="cellIs" dxfId="16138" priority="3100" operator="lessThan">
      <formula>0.8</formula>
    </cfRule>
  </conditionalFormatting>
  <conditionalFormatting sqref="S150">
    <cfRule type="cellIs" dxfId="16137" priority="3098" operator="lessThan">
      <formula>0.8</formula>
    </cfRule>
  </conditionalFormatting>
  <conditionalFormatting sqref="AH150">
    <cfRule type="cellIs" dxfId="16136" priority="3097" operator="lessThan">
      <formula>0.8</formula>
    </cfRule>
  </conditionalFormatting>
  <conditionalFormatting sqref="S149">
    <cfRule type="cellIs" dxfId="16135" priority="3096" operator="lessThan">
      <formula>0.8</formula>
    </cfRule>
  </conditionalFormatting>
  <conditionalFormatting sqref="Q26:Q29">
    <cfRule type="cellIs" dxfId="16134" priority="3095" operator="lessThan">
      <formula>0</formula>
    </cfRule>
  </conditionalFormatting>
  <conditionalFormatting sqref="S21:S29 AH21:AH29">
    <cfRule type="cellIs" dxfId="16133" priority="3094" operator="lessThan">
      <formula>0.8</formula>
    </cfRule>
  </conditionalFormatting>
  <conditionalFormatting sqref="R26:R29">
    <cfRule type="cellIs" dxfId="16132" priority="3092" operator="lessThan">
      <formula>0.8</formula>
    </cfRule>
    <cfRule type="cellIs" dxfId="16131" priority="3093" operator="greaterThan">
      <formula>1</formula>
    </cfRule>
  </conditionalFormatting>
  <conditionalFormatting sqref="R26:R29">
    <cfRule type="cellIs" dxfId="16130" priority="3090" operator="greaterThan">
      <formula>1</formula>
    </cfRule>
    <cfRule type="cellIs" dxfId="16129" priority="3091" operator="lessThan">
      <formula>0.8</formula>
    </cfRule>
  </conditionalFormatting>
  <conditionalFormatting sqref="P26:P29">
    <cfRule type="cellIs" dxfId="16128" priority="3089" operator="greaterThan">
      <formula>0</formula>
    </cfRule>
  </conditionalFormatting>
  <conditionalFormatting sqref="AH91 S91">
    <cfRule type="cellIs" dxfId="16127" priority="3088" operator="lessThan">
      <formula>0.8</formula>
    </cfRule>
  </conditionalFormatting>
  <conditionalFormatting sqref="P92:P94">
    <cfRule type="cellIs" dxfId="16126" priority="3082" operator="greaterThan">
      <formula>0</formula>
    </cfRule>
  </conditionalFormatting>
  <conditionalFormatting sqref="Q92:Q94">
    <cfRule type="cellIs" dxfId="16125" priority="3087" operator="lessThan">
      <formula>0</formula>
    </cfRule>
  </conditionalFormatting>
  <conditionalFormatting sqref="R92:R94">
    <cfRule type="cellIs" dxfId="16124" priority="3085" operator="lessThan">
      <formula>0.8</formula>
    </cfRule>
    <cfRule type="cellIs" dxfId="16123" priority="3086" operator="greaterThan">
      <formula>1</formula>
    </cfRule>
  </conditionalFormatting>
  <conditionalFormatting sqref="R92:R94">
    <cfRule type="cellIs" dxfId="16122" priority="3083" operator="greaterThan">
      <formula>1</formula>
    </cfRule>
    <cfRule type="cellIs" dxfId="16121" priority="3084" operator="lessThan">
      <formula>0.8</formula>
    </cfRule>
  </conditionalFormatting>
  <conditionalFormatting sqref="AF146 Q145:Q146">
    <cfRule type="cellIs" dxfId="16120" priority="3081" operator="lessThan">
      <formula>0</formula>
    </cfRule>
  </conditionalFormatting>
  <conditionalFormatting sqref="AH139:AH146 S139:S146">
    <cfRule type="cellIs" dxfId="16119" priority="3080" operator="lessThan">
      <formula>0.8</formula>
    </cfRule>
  </conditionalFormatting>
  <conditionalFormatting sqref="R145:R146">
    <cfRule type="cellIs" dxfId="16118" priority="3078" operator="lessThan">
      <formula>0.8</formula>
    </cfRule>
    <cfRule type="cellIs" dxfId="16117" priority="3079" operator="greaterThan">
      <formula>1</formula>
    </cfRule>
  </conditionalFormatting>
  <conditionalFormatting sqref="AG146 R145:R146">
    <cfRule type="cellIs" dxfId="16116" priority="3076" operator="greaterThan">
      <formula>1</formula>
    </cfRule>
    <cfRule type="cellIs" dxfId="16115" priority="3077" operator="lessThan">
      <formula>0.8</formula>
    </cfRule>
  </conditionalFormatting>
  <conditionalFormatting sqref="P145:P146">
    <cfRule type="cellIs" dxfId="16114" priority="3075" operator="greaterThan">
      <formula>0</formula>
    </cfRule>
  </conditionalFormatting>
  <conditionalFormatting sqref="Q119:Q120">
    <cfRule type="cellIs" dxfId="16113" priority="3074" operator="lessThan">
      <formula>0</formula>
    </cfRule>
  </conditionalFormatting>
  <conditionalFormatting sqref="R119:R120">
    <cfRule type="cellIs" dxfId="16112" priority="3072" operator="lessThan">
      <formula>0.8</formula>
    </cfRule>
    <cfRule type="cellIs" dxfId="16111" priority="3073" operator="greaterThan">
      <formula>1</formula>
    </cfRule>
  </conditionalFormatting>
  <conditionalFormatting sqref="R119:R120">
    <cfRule type="cellIs" dxfId="16110" priority="3070" operator="greaterThan">
      <formula>1</formula>
    </cfRule>
    <cfRule type="cellIs" dxfId="16109" priority="3071" operator="lessThan">
      <formula>0.8</formula>
    </cfRule>
  </conditionalFormatting>
  <conditionalFormatting sqref="P119:P120">
    <cfRule type="cellIs" dxfId="16108" priority="3069" operator="greaterThan">
      <formula>0</formula>
    </cfRule>
  </conditionalFormatting>
  <conditionalFormatting sqref="S44:S56">
    <cfRule type="cellIs" dxfId="16107" priority="3068" operator="lessThan">
      <formula>0.8</formula>
    </cfRule>
  </conditionalFormatting>
  <conditionalFormatting sqref="S108">
    <cfRule type="cellIs" dxfId="16106" priority="3067" operator="lessThan">
      <formula>0.8</formula>
    </cfRule>
  </conditionalFormatting>
  <conditionalFormatting sqref="S96">
    <cfRule type="cellIs" dxfId="16105" priority="3066" operator="lessThan">
      <formula>0.8</formula>
    </cfRule>
  </conditionalFormatting>
  <conditionalFormatting sqref="S97">
    <cfRule type="cellIs" dxfId="16104" priority="3065" operator="lessThan">
      <formula>0.8</formula>
    </cfRule>
  </conditionalFormatting>
  <conditionalFormatting sqref="S103">
    <cfRule type="cellIs" dxfId="16103" priority="3064" operator="lessThan">
      <formula>0.8</formula>
    </cfRule>
  </conditionalFormatting>
  <conditionalFormatting sqref="S99">
    <cfRule type="cellIs" dxfId="16102" priority="3063" operator="lessThan">
      <formula>0.8</formula>
    </cfRule>
  </conditionalFormatting>
  <conditionalFormatting sqref="S101">
    <cfRule type="cellIs" dxfId="16101" priority="3060" operator="lessThan">
      <formula>0.8</formula>
    </cfRule>
  </conditionalFormatting>
  <conditionalFormatting sqref="S100">
    <cfRule type="cellIs" dxfId="16100" priority="3062" operator="lessThan">
      <formula>0.8</formula>
    </cfRule>
  </conditionalFormatting>
  <conditionalFormatting sqref="S102">
    <cfRule type="cellIs" dxfId="16099" priority="3061" operator="lessThan">
      <formula>0.8</formula>
    </cfRule>
  </conditionalFormatting>
  <conditionalFormatting sqref="S98">
    <cfRule type="cellIs" dxfId="16098" priority="3059" operator="lessThan">
      <formula>0.8</formula>
    </cfRule>
  </conditionalFormatting>
  <conditionalFormatting sqref="S104">
    <cfRule type="cellIs" dxfId="16097" priority="3058" operator="lessThan">
      <formula>0.8</formula>
    </cfRule>
  </conditionalFormatting>
  <conditionalFormatting sqref="P118">
    <cfRule type="cellIs" dxfId="16096" priority="3052" operator="greaterThan">
      <formula>0</formula>
    </cfRule>
  </conditionalFormatting>
  <conditionalFormatting sqref="Q118">
    <cfRule type="cellIs" dxfId="16095" priority="3057" operator="lessThan">
      <formula>0</formula>
    </cfRule>
  </conditionalFormatting>
  <conditionalFormatting sqref="R118">
    <cfRule type="cellIs" dxfId="16094" priority="3055" operator="lessThan">
      <formula>0.8</formula>
    </cfRule>
    <cfRule type="cellIs" dxfId="16093" priority="3056" operator="greaterThan">
      <formula>1</formula>
    </cfRule>
  </conditionalFormatting>
  <conditionalFormatting sqref="R118">
    <cfRule type="cellIs" dxfId="16092" priority="3053" operator="greaterThan">
      <formula>1</formula>
    </cfRule>
    <cfRule type="cellIs" dxfId="16091" priority="3054" operator="lessThan">
      <formula>0.8</formula>
    </cfRule>
  </conditionalFormatting>
  <conditionalFormatting sqref="Q162:Q166">
    <cfRule type="cellIs" dxfId="16090" priority="3051" operator="lessThan">
      <formula>0</formula>
    </cfRule>
  </conditionalFormatting>
  <conditionalFormatting sqref="R162:R166">
    <cfRule type="cellIs" dxfId="16089" priority="3049" operator="lessThan">
      <formula>0.8</formula>
    </cfRule>
    <cfRule type="cellIs" dxfId="16088" priority="3050" operator="greaterThan">
      <formula>1</formula>
    </cfRule>
  </conditionalFormatting>
  <conditionalFormatting sqref="R162:R166">
    <cfRule type="cellIs" dxfId="16087" priority="3047" operator="greaterThan">
      <formula>1</formula>
    </cfRule>
    <cfRule type="cellIs" dxfId="16086" priority="3048" operator="lessThan">
      <formula>0.8</formula>
    </cfRule>
  </conditionalFormatting>
  <conditionalFormatting sqref="P162:P166">
    <cfRule type="cellIs" dxfId="16085" priority="3046" operator="greaterThan">
      <formula>0</formula>
    </cfRule>
  </conditionalFormatting>
  <conditionalFormatting sqref="P167:P168">
    <cfRule type="cellIs" dxfId="16084" priority="3040" operator="greaterThan">
      <formula>0</formula>
    </cfRule>
  </conditionalFormatting>
  <conditionalFormatting sqref="R167:R168">
    <cfRule type="cellIs" dxfId="16083" priority="3043" operator="lessThan">
      <formula>0.8</formula>
    </cfRule>
    <cfRule type="cellIs" dxfId="16082" priority="3044" operator="greaterThan">
      <formula>1</formula>
    </cfRule>
  </conditionalFormatting>
  <conditionalFormatting sqref="R167:R168">
    <cfRule type="cellIs" dxfId="16081" priority="3041" operator="greaterThan">
      <formula>1</formula>
    </cfRule>
    <cfRule type="cellIs" dxfId="16080" priority="3042" operator="lessThan">
      <formula>0.8</formula>
    </cfRule>
  </conditionalFormatting>
  <conditionalFormatting sqref="Q167:Q168">
    <cfRule type="cellIs" dxfId="16079" priority="3045" operator="lessThan">
      <formula>0</formula>
    </cfRule>
  </conditionalFormatting>
  <conditionalFormatting sqref="Q83">
    <cfRule type="cellIs" dxfId="16078" priority="3039" operator="lessThan">
      <formula>0</formula>
    </cfRule>
  </conditionalFormatting>
  <conditionalFormatting sqref="R83">
    <cfRule type="cellIs" dxfId="16077" priority="3037" operator="lessThan">
      <formula>0.8</formula>
    </cfRule>
    <cfRule type="cellIs" dxfId="16076" priority="3038" operator="greaterThan">
      <formula>1</formula>
    </cfRule>
  </conditionalFormatting>
  <conditionalFormatting sqref="R83">
    <cfRule type="cellIs" dxfId="16075" priority="3035" operator="greaterThan">
      <formula>1</formula>
    </cfRule>
    <cfRule type="cellIs" dxfId="16074" priority="3036" operator="lessThan">
      <formula>0.8</formula>
    </cfRule>
  </conditionalFormatting>
  <conditionalFormatting sqref="P83">
    <cfRule type="cellIs" dxfId="16073" priority="3034" operator="greaterThan">
      <formula>0</formula>
    </cfRule>
  </conditionalFormatting>
  <conditionalFormatting sqref="Q83">
    <cfRule type="cellIs" dxfId="16072" priority="3033" operator="lessThan">
      <formula>0</formula>
    </cfRule>
  </conditionalFormatting>
  <conditionalFormatting sqref="R83">
    <cfRule type="cellIs" dxfId="16071" priority="3031" operator="lessThan">
      <formula>0.8</formula>
    </cfRule>
    <cfRule type="cellIs" dxfId="16070" priority="3032" operator="greaterThan">
      <formula>1</formula>
    </cfRule>
  </conditionalFormatting>
  <conditionalFormatting sqref="R83">
    <cfRule type="cellIs" dxfId="16069" priority="3029" operator="greaterThan">
      <formula>1</formula>
    </cfRule>
    <cfRule type="cellIs" dxfId="16068" priority="3030" operator="lessThan">
      <formula>0.8</formula>
    </cfRule>
  </conditionalFormatting>
  <conditionalFormatting sqref="P83">
    <cfRule type="cellIs" dxfId="16067" priority="3028" operator="greaterThan">
      <formula>0</formula>
    </cfRule>
  </conditionalFormatting>
  <conditionalFormatting sqref="Q83">
    <cfRule type="cellIs" dxfId="16066" priority="3027" operator="lessThan">
      <formula>0</formula>
    </cfRule>
  </conditionalFormatting>
  <conditionalFormatting sqref="R83">
    <cfRule type="cellIs" dxfId="16065" priority="3025" operator="lessThan">
      <formula>0.8</formula>
    </cfRule>
    <cfRule type="cellIs" dxfId="16064" priority="3026" operator="greaterThan">
      <formula>1</formula>
    </cfRule>
  </conditionalFormatting>
  <conditionalFormatting sqref="R83">
    <cfRule type="cellIs" dxfId="16063" priority="3023" operator="greaterThan">
      <formula>1</formula>
    </cfRule>
    <cfRule type="cellIs" dxfId="16062" priority="3024" operator="lessThan">
      <formula>0.8</formula>
    </cfRule>
  </conditionalFormatting>
  <conditionalFormatting sqref="P83">
    <cfRule type="cellIs" dxfId="16061" priority="3022" operator="greaterThan">
      <formula>0</formula>
    </cfRule>
  </conditionalFormatting>
  <conditionalFormatting sqref="Q83">
    <cfRule type="cellIs" dxfId="16060" priority="3021" operator="lessThan">
      <formula>0</formula>
    </cfRule>
  </conditionalFormatting>
  <conditionalFormatting sqref="R83">
    <cfRule type="cellIs" dxfId="16059" priority="3019" operator="lessThan">
      <formula>0.8</formula>
    </cfRule>
    <cfRule type="cellIs" dxfId="16058" priority="3020" operator="greaterThan">
      <formula>1</formula>
    </cfRule>
  </conditionalFormatting>
  <conditionalFormatting sqref="R83">
    <cfRule type="cellIs" dxfId="16057" priority="3017" operator="greaterThan">
      <formula>1</formula>
    </cfRule>
    <cfRule type="cellIs" dxfId="16056" priority="3018" operator="lessThan">
      <formula>0.8</formula>
    </cfRule>
  </conditionalFormatting>
  <conditionalFormatting sqref="P83">
    <cfRule type="cellIs" dxfId="16055" priority="3016" operator="greaterThan">
      <formula>0</formula>
    </cfRule>
  </conditionalFormatting>
  <conditionalFormatting sqref="P83">
    <cfRule type="cellIs" dxfId="16054" priority="3010" operator="greaterThan">
      <formula>0</formula>
    </cfRule>
  </conditionalFormatting>
  <conditionalFormatting sqref="Q83">
    <cfRule type="cellIs" dxfId="16053" priority="3015" operator="lessThan">
      <formula>0</formula>
    </cfRule>
  </conditionalFormatting>
  <conditionalFormatting sqref="R83">
    <cfRule type="cellIs" dxfId="16052" priority="3013" operator="lessThan">
      <formula>0.8</formula>
    </cfRule>
    <cfRule type="cellIs" dxfId="16051" priority="3014" operator="greaterThan">
      <formula>1</formula>
    </cfRule>
  </conditionalFormatting>
  <conditionalFormatting sqref="R83">
    <cfRule type="cellIs" dxfId="16050" priority="3011" operator="greaterThan">
      <formula>1</formula>
    </cfRule>
    <cfRule type="cellIs" dxfId="16049" priority="3012" operator="lessThan">
      <formula>0.8</formula>
    </cfRule>
  </conditionalFormatting>
  <conditionalFormatting sqref="P83">
    <cfRule type="cellIs" dxfId="16048" priority="3004" operator="greaterThan">
      <formula>0</formula>
    </cfRule>
  </conditionalFormatting>
  <conditionalFormatting sqref="Q83">
    <cfRule type="cellIs" dxfId="16047" priority="3009" operator="lessThan">
      <formula>0</formula>
    </cfRule>
  </conditionalFormatting>
  <conditionalFormatting sqref="R83">
    <cfRule type="cellIs" dxfId="16046" priority="3007" operator="lessThan">
      <formula>0.8</formula>
    </cfRule>
    <cfRule type="cellIs" dxfId="16045" priority="3008" operator="greaterThan">
      <formula>1</formula>
    </cfRule>
  </conditionalFormatting>
  <conditionalFormatting sqref="R83">
    <cfRule type="cellIs" dxfId="16044" priority="3005" operator="greaterThan">
      <formula>1</formula>
    </cfRule>
    <cfRule type="cellIs" dxfId="16043" priority="3006" operator="lessThan">
      <formula>0.8</formula>
    </cfRule>
  </conditionalFormatting>
  <conditionalFormatting sqref="R83">
    <cfRule type="cellIs" dxfId="16042" priority="3001" operator="lessThan">
      <formula>0.8</formula>
    </cfRule>
    <cfRule type="cellIs" dxfId="16041" priority="3002" operator="greaterThan">
      <formula>1</formula>
    </cfRule>
  </conditionalFormatting>
  <conditionalFormatting sqref="R83">
    <cfRule type="cellIs" dxfId="16040" priority="2999" operator="greaterThan">
      <formula>1</formula>
    </cfRule>
    <cfRule type="cellIs" dxfId="16039" priority="3000" operator="lessThan">
      <formula>0.8</formula>
    </cfRule>
  </conditionalFormatting>
  <conditionalFormatting sqref="P83">
    <cfRule type="cellIs" dxfId="16038" priority="2998" operator="greaterThan">
      <formula>0</formula>
    </cfRule>
  </conditionalFormatting>
  <conditionalFormatting sqref="Q83">
    <cfRule type="cellIs" dxfId="16037" priority="3003" operator="lessThan">
      <formula>0</formula>
    </cfRule>
  </conditionalFormatting>
  <conditionalFormatting sqref="Q83">
    <cfRule type="cellIs" dxfId="16036" priority="2997" operator="lessThan">
      <formula>0</formula>
    </cfRule>
  </conditionalFormatting>
  <conditionalFormatting sqref="R83">
    <cfRule type="cellIs" dxfId="16035" priority="2995" operator="lessThan">
      <formula>0.8</formula>
    </cfRule>
    <cfRule type="cellIs" dxfId="16034" priority="2996" operator="greaterThan">
      <formula>1</formula>
    </cfRule>
  </conditionalFormatting>
  <conditionalFormatting sqref="R83">
    <cfRule type="cellIs" dxfId="16033" priority="2993" operator="greaterThan">
      <formula>1</formula>
    </cfRule>
    <cfRule type="cellIs" dxfId="16032" priority="2994" operator="lessThan">
      <formula>0.8</formula>
    </cfRule>
  </conditionalFormatting>
  <conditionalFormatting sqref="P83">
    <cfRule type="cellIs" dxfId="16031" priority="2992" operator="greaterThan">
      <formula>0</formula>
    </cfRule>
  </conditionalFormatting>
  <conditionalFormatting sqref="P83">
    <cfRule type="cellIs" dxfId="16030" priority="2986" operator="greaterThan">
      <formula>0</formula>
    </cfRule>
  </conditionalFormatting>
  <conditionalFormatting sqref="Q83">
    <cfRule type="cellIs" dxfId="16029" priority="2991" operator="lessThan">
      <formula>0</formula>
    </cfRule>
  </conditionalFormatting>
  <conditionalFormatting sqref="R83">
    <cfRule type="cellIs" dxfId="16028" priority="2989" operator="lessThan">
      <formula>0.8</formula>
    </cfRule>
    <cfRule type="cellIs" dxfId="16027" priority="2990" operator="greaterThan">
      <formula>1</formula>
    </cfRule>
  </conditionalFormatting>
  <conditionalFormatting sqref="R83">
    <cfRule type="cellIs" dxfId="16026" priority="2987" operator="greaterThan">
      <formula>1</formula>
    </cfRule>
    <cfRule type="cellIs" dxfId="16025" priority="2988" operator="lessThan">
      <formula>0.8</formula>
    </cfRule>
  </conditionalFormatting>
  <conditionalFormatting sqref="P83">
    <cfRule type="cellIs" dxfId="16024" priority="2980" operator="greaterThan">
      <formula>0</formula>
    </cfRule>
  </conditionalFormatting>
  <conditionalFormatting sqref="Q83">
    <cfRule type="cellIs" dxfId="16023" priority="2985" operator="lessThan">
      <formula>0</formula>
    </cfRule>
  </conditionalFormatting>
  <conditionalFormatting sqref="R83">
    <cfRule type="cellIs" dxfId="16022" priority="2983" operator="lessThan">
      <formula>0.8</formula>
    </cfRule>
    <cfRule type="cellIs" dxfId="16021" priority="2984" operator="greaterThan">
      <formula>1</formula>
    </cfRule>
  </conditionalFormatting>
  <conditionalFormatting sqref="R83">
    <cfRule type="cellIs" dxfId="16020" priority="2981" operator="greaterThan">
      <formula>1</formula>
    </cfRule>
    <cfRule type="cellIs" dxfId="16019" priority="2982" operator="lessThan">
      <formula>0.8</formula>
    </cfRule>
  </conditionalFormatting>
  <conditionalFormatting sqref="R83">
    <cfRule type="cellIs" dxfId="16018" priority="2977" operator="lessThan">
      <formula>0.8</formula>
    </cfRule>
    <cfRule type="cellIs" dxfId="16017" priority="2978" operator="greaterThan">
      <formula>1</formula>
    </cfRule>
  </conditionalFormatting>
  <conditionalFormatting sqref="R83">
    <cfRule type="cellIs" dxfId="16016" priority="2975" operator="greaterThan">
      <formula>1</formula>
    </cfRule>
    <cfRule type="cellIs" dxfId="16015" priority="2976" operator="lessThan">
      <formula>0.8</formula>
    </cfRule>
  </conditionalFormatting>
  <conditionalFormatting sqref="P83">
    <cfRule type="cellIs" dxfId="16014" priority="2974" operator="greaterThan">
      <formula>0</formula>
    </cfRule>
  </conditionalFormatting>
  <conditionalFormatting sqref="Q83">
    <cfRule type="cellIs" dxfId="16013" priority="2979" operator="lessThan">
      <formula>0</formula>
    </cfRule>
  </conditionalFormatting>
  <conditionalFormatting sqref="P83">
    <cfRule type="cellIs" dxfId="16012" priority="2968" operator="greaterThan">
      <formula>0</formula>
    </cfRule>
  </conditionalFormatting>
  <conditionalFormatting sqref="Q83">
    <cfRule type="cellIs" dxfId="16011" priority="2973" operator="lessThan">
      <formula>0</formula>
    </cfRule>
  </conditionalFormatting>
  <conditionalFormatting sqref="R83">
    <cfRule type="cellIs" dxfId="16010" priority="2971" operator="lessThan">
      <formula>0.8</formula>
    </cfRule>
    <cfRule type="cellIs" dxfId="16009" priority="2972" operator="greaterThan">
      <formula>1</formula>
    </cfRule>
  </conditionalFormatting>
  <conditionalFormatting sqref="R83">
    <cfRule type="cellIs" dxfId="16008" priority="2969" operator="greaterThan">
      <formula>1</formula>
    </cfRule>
    <cfRule type="cellIs" dxfId="16007" priority="2970" operator="lessThan">
      <formula>0.8</formula>
    </cfRule>
  </conditionalFormatting>
  <conditionalFormatting sqref="R83">
    <cfRule type="cellIs" dxfId="16006" priority="2965" operator="lessThan">
      <formula>0.8</formula>
    </cfRule>
    <cfRule type="cellIs" dxfId="16005" priority="2966" operator="greaterThan">
      <formula>1</formula>
    </cfRule>
  </conditionalFormatting>
  <conditionalFormatting sqref="R83">
    <cfRule type="cellIs" dxfId="16004" priority="2963" operator="greaterThan">
      <formula>1</formula>
    </cfRule>
    <cfRule type="cellIs" dxfId="16003" priority="2964" operator="lessThan">
      <formula>0.8</formula>
    </cfRule>
  </conditionalFormatting>
  <conditionalFormatting sqref="P83">
    <cfRule type="cellIs" dxfId="16002" priority="2962" operator="greaterThan">
      <formula>0</formula>
    </cfRule>
  </conditionalFormatting>
  <conditionalFormatting sqref="Q83">
    <cfRule type="cellIs" dxfId="16001" priority="2967" operator="lessThan">
      <formula>0</formula>
    </cfRule>
  </conditionalFormatting>
  <conditionalFormatting sqref="R83">
    <cfRule type="cellIs" dxfId="16000" priority="2959" operator="lessThan">
      <formula>0.8</formula>
    </cfRule>
    <cfRule type="cellIs" dxfId="15999" priority="2960" operator="greaterThan">
      <formula>1</formula>
    </cfRule>
  </conditionalFormatting>
  <conditionalFormatting sqref="R83">
    <cfRule type="cellIs" dxfId="15998" priority="2957" operator="greaterThan">
      <formula>1</formula>
    </cfRule>
    <cfRule type="cellIs" dxfId="15997" priority="2958" operator="lessThan">
      <formula>0.8</formula>
    </cfRule>
  </conditionalFormatting>
  <conditionalFormatting sqref="P83">
    <cfRule type="cellIs" dxfId="15996" priority="2956" operator="greaterThan">
      <formula>0</formula>
    </cfRule>
  </conditionalFormatting>
  <conditionalFormatting sqref="Q83">
    <cfRule type="cellIs" dxfId="15995" priority="2961" operator="lessThan">
      <formula>0</formula>
    </cfRule>
  </conditionalFormatting>
  <conditionalFormatting sqref="Q83">
    <cfRule type="cellIs" dxfId="15994" priority="2955" operator="lessThan">
      <formula>0</formula>
    </cfRule>
  </conditionalFormatting>
  <conditionalFormatting sqref="R83">
    <cfRule type="cellIs" dxfId="15993" priority="2953" operator="lessThan">
      <formula>0.8</formula>
    </cfRule>
    <cfRule type="cellIs" dxfId="15992" priority="2954" operator="greaterThan">
      <formula>1</formula>
    </cfRule>
  </conditionalFormatting>
  <conditionalFormatting sqref="R83">
    <cfRule type="cellIs" dxfId="15991" priority="2951" operator="greaterThan">
      <formula>1</formula>
    </cfRule>
    <cfRule type="cellIs" dxfId="15990" priority="2952" operator="lessThan">
      <formula>0.8</formula>
    </cfRule>
  </conditionalFormatting>
  <conditionalFormatting sqref="P83">
    <cfRule type="cellIs" dxfId="15989" priority="2950" operator="greaterThan">
      <formula>0</formula>
    </cfRule>
  </conditionalFormatting>
  <conditionalFormatting sqref="Q83">
    <cfRule type="cellIs" dxfId="15988" priority="2944" operator="lessThan">
      <formula>0</formula>
    </cfRule>
  </conditionalFormatting>
  <conditionalFormatting sqref="R83">
    <cfRule type="cellIs" dxfId="15987" priority="2948" operator="lessThan">
      <formula>0.8</formula>
    </cfRule>
    <cfRule type="cellIs" dxfId="15986" priority="2949" operator="greaterThan">
      <formula>1</formula>
    </cfRule>
  </conditionalFormatting>
  <conditionalFormatting sqref="R83">
    <cfRule type="cellIs" dxfId="15985" priority="2946" operator="greaterThan">
      <formula>1</formula>
    </cfRule>
    <cfRule type="cellIs" dxfId="15984" priority="2947" operator="lessThan">
      <formula>0.8</formula>
    </cfRule>
  </conditionalFormatting>
  <conditionalFormatting sqref="P83">
    <cfRule type="cellIs" dxfId="15983" priority="2945" operator="greaterThan">
      <formula>0</formula>
    </cfRule>
  </conditionalFormatting>
  <conditionalFormatting sqref="Q83">
    <cfRule type="cellIs" dxfId="15982" priority="2943" operator="lessThan">
      <formula>0</formula>
    </cfRule>
  </conditionalFormatting>
  <conditionalFormatting sqref="R83">
    <cfRule type="cellIs" dxfId="15981" priority="2941" operator="lessThan">
      <formula>0.8</formula>
    </cfRule>
    <cfRule type="cellIs" dxfId="15980" priority="2942" operator="greaterThan">
      <formula>1</formula>
    </cfRule>
  </conditionalFormatting>
  <conditionalFormatting sqref="R83">
    <cfRule type="cellIs" dxfId="15979" priority="2939" operator="greaterThan">
      <formula>1</formula>
    </cfRule>
    <cfRule type="cellIs" dxfId="15978" priority="2940" operator="lessThan">
      <formula>0.8</formula>
    </cfRule>
  </conditionalFormatting>
  <conditionalFormatting sqref="P83">
    <cfRule type="cellIs" dxfId="15977" priority="2938" operator="greaterThan">
      <formula>0</formula>
    </cfRule>
  </conditionalFormatting>
  <conditionalFormatting sqref="Q83">
    <cfRule type="cellIs" dxfId="15976" priority="2937" operator="lessThan">
      <formula>0</formula>
    </cfRule>
  </conditionalFormatting>
  <conditionalFormatting sqref="R83">
    <cfRule type="cellIs" dxfId="15975" priority="2935" operator="lessThan">
      <formula>0.8</formula>
    </cfRule>
    <cfRule type="cellIs" dxfId="15974" priority="2936" operator="greaterThan">
      <formula>1</formula>
    </cfRule>
  </conditionalFormatting>
  <conditionalFormatting sqref="R83">
    <cfRule type="cellIs" dxfId="15973" priority="2933" operator="greaterThan">
      <formula>1</formula>
    </cfRule>
    <cfRule type="cellIs" dxfId="15972" priority="2934" operator="lessThan">
      <formula>0.8</formula>
    </cfRule>
  </conditionalFormatting>
  <conditionalFormatting sqref="P83">
    <cfRule type="cellIs" dxfId="15971" priority="2932" operator="greaterThan">
      <formula>0</formula>
    </cfRule>
  </conditionalFormatting>
  <conditionalFormatting sqref="Q83">
    <cfRule type="cellIs" dxfId="15970" priority="2931" operator="lessThan">
      <formula>0</formula>
    </cfRule>
  </conditionalFormatting>
  <conditionalFormatting sqref="R83">
    <cfRule type="cellIs" dxfId="15969" priority="2929" operator="lessThan">
      <formula>0.8</formula>
    </cfRule>
    <cfRule type="cellIs" dxfId="15968" priority="2930" operator="greaterThan">
      <formula>1</formula>
    </cfRule>
  </conditionalFormatting>
  <conditionalFormatting sqref="R83">
    <cfRule type="cellIs" dxfId="15967" priority="2927" operator="greaterThan">
      <formula>1</formula>
    </cfRule>
    <cfRule type="cellIs" dxfId="15966" priority="2928" operator="lessThan">
      <formula>0.8</formula>
    </cfRule>
  </conditionalFormatting>
  <conditionalFormatting sqref="P83">
    <cfRule type="cellIs" dxfId="15965" priority="2926" operator="greaterThan">
      <formula>0</formula>
    </cfRule>
  </conditionalFormatting>
  <conditionalFormatting sqref="Q83">
    <cfRule type="cellIs" dxfId="15964" priority="2925" operator="lessThan">
      <formula>0</formula>
    </cfRule>
  </conditionalFormatting>
  <conditionalFormatting sqref="R83">
    <cfRule type="cellIs" dxfId="15963" priority="2923" operator="lessThan">
      <formula>0.8</formula>
    </cfRule>
    <cfRule type="cellIs" dxfId="15962" priority="2924" operator="greaterThan">
      <formula>1</formula>
    </cfRule>
  </conditionalFormatting>
  <conditionalFormatting sqref="R83">
    <cfRule type="cellIs" dxfId="15961" priority="2921" operator="greaterThan">
      <formula>1</formula>
    </cfRule>
    <cfRule type="cellIs" dxfId="15960" priority="2922" operator="lessThan">
      <formula>0.8</formula>
    </cfRule>
  </conditionalFormatting>
  <conditionalFormatting sqref="P83">
    <cfRule type="cellIs" dxfId="15959" priority="2920" operator="greaterThan">
      <formula>0</formula>
    </cfRule>
  </conditionalFormatting>
  <conditionalFormatting sqref="Q83">
    <cfRule type="cellIs" dxfId="15958" priority="2919" operator="lessThan">
      <formula>0</formula>
    </cfRule>
  </conditionalFormatting>
  <conditionalFormatting sqref="R83">
    <cfRule type="cellIs" dxfId="15957" priority="2917" operator="lessThan">
      <formula>0.8</formula>
    </cfRule>
    <cfRule type="cellIs" dxfId="15956" priority="2918" operator="greaterThan">
      <formula>1</formula>
    </cfRule>
  </conditionalFormatting>
  <conditionalFormatting sqref="R83">
    <cfRule type="cellIs" dxfId="15955" priority="2915" operator="greaterThan">
      <formula>1</formula>
    </cfRule>
    <cfRule type="cellIs" dxfId="15954" priority="2916" operator="lessThan">
      <formula>0.8</formula>
    </cfRule>
  </conditionalFormatting>
  <conditionalFormatting sqref="P83">
    <cfRule type="cellIs" dxfId="15953" priority="2914" operator="greaterThan">
      <formula>0</formula>
    </cfRule>
  </conditionalFormatting>
  <conditionalFormatting sqref="P83">
    <cfRule type="cellIs" dxfId="15952" priority="2908" operator="greaterThan">
      <formula>0</formula>
    </cfRule>
  </conditionalFormatting>
  <conditionalFormatting sqref="Q83">
    <cfRule type="cellIs" dxfId="15951" priority="2913" operator="lessThan">
      <formula>0</formula>
    </cfRule>
  </conditionalFormatting>
  <conditionalFormatting sqref="R83">
    <cfRule type="cellIs" dxfId="15950" priority="2911" operator="lessThan">
      <formula>0.8</formula>
    </cfRule>
    <cfRule type="cellIs" dxfId="15949" priority="2912" operator="greaterThan">
      <formula>1</formula>
    </cfRule>
  </conditionalFormatting>
  <conditionalFormatting sqref="R83">
    <cfRule type="cellIs" dxfId="15948" priority="2909" operator="greaterThan">
      <formula>1</formula>
    </cfRule>
    <cfRule type="cellIs" dxfId="15947" priority="2910" operator="lessThan">
      <formula>0.8</formula>
    </cfRule>
  </conditionalFormatting>
  <conditionalFormatting sqref="P83">
    <cfRule type="cellIs" dxfId="15946" priority="2902" operator="greaterThan">
      <formula>0</formula>
    </cfRule>
  </conditionalFormatting>
  <conditionalFormatting sqref="Q83">
    <cfRule type="cellIs" dxfId="15945" priority="2907" operator="lessThan">
      <formula>0</formula>
    </cfRule>
  </conditionalFormatting>
  <conditionalFormatting sqref="R83">
    <cfRule type="cellIs" dxfId="15944" priority="2905" operator="lessThan">
      <formula>0.8</formula>
    </cfRule>
    <cfRule type="cellIs" dxfId="15943" priority="2906" operator="greaterThan">
      <formula>1</formula>
    </cfRule>
  </conditionalFormatting>
  <conditionalFormatting sqref="R83">
    <cfRule type="cellIs" dxfId="15942" priority="2903" operator="greaterThan">
      <formula>1</formula>
    </cfRule>
    <cfRule type="cellIs" dxfId="15941" priority="2904" operator="lessThan">
      <formula>0.8</formula>
    </cfRule>
  </conditionalFormatting>
  <conditionalFormatting sqref="R83">
    <cfRule type="cellIs" dxfId="15940" priority="2899" operator="lessThan">
      <formula>0.8</formula>
    </cfRule>
    <cfRule type="cellIs" dxfId="15939" priority="2900" operator="greaterThan">
      <formula>1</formula>
    </cfRule>
  </conditionalFormatting>
  <conditionalFormatting sqref="R83">
    <cfRule type="cellIs" dxfId="15938" priority="2897" operator="greaterThan">
      <formula>1</formula>
    </cfRule>
    <cfRule type="cellIs" dxfId="15937" priority="2898" operator="lessThan">
      <formula>0.8</formula>
    </cfRule>
  </conditionalFormatting>
  <conditionalFormatting sqref="P83">
    <cfRule type="cellIs" dxfId="15936" priority="2896" operator="greaterThan">
      <formula>0</formula>
    </cfRule>
  </conditionalFormatting>
  <conditionalFormatting sqref="Q83">
    <cfRule type="cellIs" dxfId="15935" priority="2901" operator="lessThan">
      <formula>0</formula>
    </cfRule>
  </conditionalFormatting>
  <conditionalFormatting sqref="Q83">
    <cfRule type="cellIs" dxfId="15934" priority="2895" operator="lessThan">
      <formula>0</formula>
    </cfRule>
  </conditionalFormatting>
  <conditionalFormatting sqref="R83">
    <cfRule type="cellIs" dxfId="15933" priority="2893" operator="lessThan">
      <formula>0.8</formula>
    </cfRule>
    <cfRule type="cellIs" dxfId="15932" priority="2894" operator="greaterThan">
      <formula>1</formula>
    </cfRule>
  </conditionalFormatting>
  <conditionalFormatting sqref="R83">
    <cfRule type="cellIs" dxfId="15931" priority="2891" operator="greaterThan">
      <formula>1</formula>
    </cfRule>
    <cfRule type="cellIs" dxfId="15930" priority="2892" operator="lessThan">
      <formula>0.8</formula>
    </cfRule>
  </conditionalFormatting>
  <conditionalFormatting sqref="P83">
    <cfRule type="cellIs" dxfId="15929" priority="2890" operator="greaterThan">
      <formula>0</formula>
    </cfRule>
  </conditionalFormatting>
  <conditionalFormatting sqref="Q83">
    <cfRule type="cellIs" dxfId="15928" priority="2889" operator="lessThan">
      <formula>0</formula>
    </cfRule>
  </conditionalFormatting>
  <conditionalFormatting sqref="R83">
    <cfRule type="cellIs" dxfId="15927" priority="2887" operator="lessThan">
      <formula>0.8</formula>
    </cfRule>
    <cfRule type="cellIs" dxfId="15926" priority="2888" operator="greaterThan">
      <formula>1</formula>
    </cfRule>
  </conditionalFormatting>
  <conditionalFormatting sqref="R83">
    <cfRule type="cellIs" dxfId="15925" priority="2885" operator="greaterThan">
      <formula>1</formula>
    </cfRule>
    <cfRule type="cellIs" dxfId="15924" priority="2886" operator="lessThan">
      <formula>0.8</formula>
    </cfRule>
  </conditionalFormatting>
  <conditionalFormatting sqref="P83">
    <cfRule type="cellIs" dxfId="15923" priority="2884" operator="greaterThan">
      <formula>0</formula>
    </cfRule>
  </conditionalFormatting>
  <conditionalFormatting sqref="Q83">
    <cfRule type="cellIs" dxfId="15922" priority="2883" operator="lessThan">
      <formula>0</formula>
    </cfRule>
  </conditionalFormatting>
  <conditionalFormatting sqref="R83">
    <cfRule type="cellIs" dxfId="15921" priority="2881" operator="lessThan">
      <formula>0.8</formula>
    </cfRule>
    <cfRule type="cellIs" dxfId="15920" priority="2882" operator="greaterThan">
      <formula>1</formula>
    </cfRule>
  </conditionalFormatting>
  <conditionalFormatting sqref="R83">
    <cfRule type="cellIs" dxfId="15919" priority="2879" operator="greaterThan">
      <formula>1</formula>
    </cfRule>
    <cfRule type="cellIs" dxfId="15918" priority="2880" operator="lessThan">
      <formula>0.8</formula>
    </cfRule>
  </conditionalFormatting>
  <conditionalFormatting sqref="P83">
    <cfRule type="cellIs" dxfId="15917" priority="2878" operator="greaterThan">
      <formula>0</formula>
    </cfRule>
  </conditionalFormatting>
  <conditionalFormatting sqref="Q83">
    <cfRule type="cellIs" dxfId="15916" priority="2877" operator="lessThan">
      <formula>0</formula>
    </cfRule>
  </conditionalFormatting>
  <conditionalFormatting sqref="R83">
    <cfRule type="cellIs" dxfId="15915" priority="2875" operator="lessThan">
      <formula>0.8</formula>
    </cfRule>
    <cfRule type="cellIs" dxfId="15914" priority="2876" operator="greaterThan">
      <formula>1</formula>
    </cfRule>
  </conditionalFormatting>
  <conditionalFormatting sqref="R83">
    <cfRule type="cellIs" dxfId="15913" priority="2873" operator="greaterThan">
      <formula>1</formula>
    </cfRule>
    <cfRule type="cellIs" dxfId="15912" priority="2874" operator="lessThan">
      <formula>0.8</formula>
    </cfRule>
  </conditionalFormatting>
  <conditionalFormatting sqref="P83">
    <cfRule type="cellIs" dxfId="15911" priority="2872" operator="greaterThan">
      <formula>0</formula>
    </cfRule>
  </conditionalFormatting>
  <conditionalFormatting sqref="P83">
    <cfRule type="cellIs" dxfId="15910" priority="2866" operator="greaterThan">
      <formula>0</formula>
    </cfRule>
  </conditionalFormatting>
  <conditionalFormatting sqref="Q83">
    <cfRule type="cellIs" dxfId="15909" priority="2871" operator="lessThan">
      <formula>0</formula>
    </cfRule>
  </conditionalFormatting>
  <conditionalFormatting sqref="R83">
    <cfRule type="cellIs" dxfId="15908" priority="2869" operator="lessThan">
      <formula>0.8</formula>
    </cfRule>
    <cfRule type="cellIs" dxfId="15907" priority="2870" operator="greaterThan">
      <formula>1</formula>
    </cfRule>
  </conditionalFormatting>
  <conditionalFormatting sqref="R83">
    <cfRule type="cellIs" dxfId="15906" priority="2867" operator="greaterThan">
      <formula>1</formula>
    </cfRule>
    <cfRule type="cellIs" dxfId="15905" priority="2868" operator="lessThan">
      <formula>0.8</formula>
    </cfRule>
  </conditionalFormatting>
  <conditionalFormatting sqref="P83">
    <cfRule type="cellIs" dxfId="15904" priority="2860" operator="greaterThan">
      <formula>0</formula>
    </cfRule>
  </conditionalFormatting>
  <conditionalFormatting sqref="Q83">
    <cfRule type="cellIs" dxfId="15903" priority="2865" operator="lessThan">
      <formula>0</formula>
    </cfRule>
  </conditionalFormatting>
  <conditionalFormatting sqref="R83">
    <cfRule type="cellIs" dxfId="15902" priority="2863" operator="lessThan">
      <formula>0.8</formula>
    </cfRule>
    <cfRule type="cellIs" dxfId="15901" priority="2864" operator="greaterThan">
      <formula>1</formula>
    </cfRule>
  </conditionalFormatting>
  <conditionalFormatting sqref="R83">
    <cfRule type="cellIs" dxfId="15900" priority="2861" operator="greaterThan">
      <formula>1</formula>
    </cfRule>
    <cfRule type="cellIs" dxfId="15899" priority="2862" operator="lessThan">
      <formula>0.8</formula>
    </cfRule>
  </conditionalFormatting>
  <conditionalFormatting sqref="R83">
    <cfRule type="cellIs" dxfId="15898" priority="2857" operator="lessThan">
      <formula>0.8</formula>
    </cfRule>
    <cfRule type="cellIs" dxfId="15897" priority="2858" operator="greaterThan">
      <formula>1</formula>
    </cfRule>
  </conditionalFormatting>
  <conditionalFormatting sqref="R83">
    <cfRule type="cellIs" dxfId="15896" priority="2855" operator="greaterThan">
      <formula>1</formula>
    </cfRule>
    <cfRule type="cellIs" dxfId="15895" priority="2856" operator="lessThan">
      <formula>0.8</formula>
    </cfRule>
  </conditionalFormatting>
  <conditionalFormatting sqref="P83">
    <cfRule type="cellIs" dxfId="15894" priority="2854" operator="greaterThan">
      <formula>0</formula>
    </cfRule>
  </conditionalFormatting>
  <conditionalFormatting sqref="Q83">
    <cfRule type="cellIs" dxfId="15893" priority="2859" operator="lessThan">
      <formula>0</formula>
    </cfRule>
  </conditionalFormatting>
  <conditionalFormatting sqref="Q83">
    <cfRule type="cellIs" dxfId="15892" priority="2853" operator="lessThan">
      <formula>0</formula>
    </cfRule>
  </conditionalFormatting>
  <conditionalFormatting sqref="R83">
    <cfRule type="cellIs" dxfId="15891" priority="2851" operator="lessThan">
      <formula>0.8</formula>
    </cfRule>
    <cfRule type="cellIs" dxfId="15890" priority="2852" operator="greaterThan">
      <formula>1</formula>
    </cfRule>
  </conditionalFormatting>
  <conditionalFormatting sqref="R83">
    <cfRule type="cellIs" dxfId="15889" priority="2849" operator="greaterThan">
      <formula>1</formula>
    </cfRule>
    <cfRule type="cellIs" dxfId="15888" priority="2850" operator="lessThan">
      <formula>0.8</formula>
    </cfRule>
  </conditionalFormatting>
  <conditionalFormatting sqref="P83">
    <cfRule type="cellIs" dxfId="15887" priority="2848" operator="greaterThan">
      <formula>0</formula>
    </cfRule>
  </conditionalFormatting>
  <conditionalFormatting sqref="P83">
    <cfRule type="cellIs" dxfId="15886" priority="2842" operator="greaterThan">
      <formula>0</formula>
    </cfRule>
  </conditionalFormatting>
  <conditionalFormatting sqref="Q83">
    <cfRule type="cellIs" dxfId="15885" priority="2847" operator="lessThan">
      <formula>0</formula>
    </cfRule>
  </conditionalFormatting>
  <conditionalFormatting sqref="R83">
    <cfRule type="cellIs" dxfId="15884" priority="2845" operator="lessThan">
      <formula>0.8</formula>
    </cfRule>
    <cfRule type="cellIs" dxfId="15883" priority="2846" operator="greaterThan">
      <formula>1</formula>
    </cfRule>
  </conditionalFormatting>
  <conditionalFormatting sqref="R83">
    <cfRule type="cellIs" dxfId="15882" priority="2843" operator="greaterThan">
      <formula>1</formula>
    </cfRule>
    <cfRule type="cellIs" dxfId="15881" priority="2844" operator="lessThan">
      <formula>0.8</formula>
    </cfRule>
  </conditionalFormatting>
  <conditionalFormatting sqref="P83">
    <cfRule type="cellIs" dxfId="15880" priority="2836" operator="greaterThan">
      <formula>0</formula>
    </cfRule>
  </conditionalFormatting>
  <conditionalFormatting sqref="Q83">
    <cfRule type="cellIs" dxfId="15879" priority="2841" operator="lessThan">
      <formula>0</formula>
    </cfRule>
  </conditionalFormatting>
  <conditionalFormatting sqref="R83">
    <cfRule type="cellIs" dxfId="15878" priority="2839" operator="lessThan">
      <formula>0.8</formula>
    </cfRule>
    <cfRule type="cellIs" dxfId="15877" priority="2840" operator="greaterThan">
      <formula>1</formula>
    </cfRule>
  </conditionalFormatting>
  <conditionalFormatting sqref="R83">
    <cfRule type="cellIs" dxfId="15876" priority="2837" operator="greaterThan">
      <formula>1</formula>
    </cfRule>
    <cfRule type="cellIs" dxfId="15875" priority="2838" operator="lessThan">
      <formula>0.8</formula>
    </cfRule>
  </conditionalFormatting>
  <conditionalFormatting sqref="R83">
    <cfRule type="cellIs" dxfId="15874" priority="2833" operator="lessThan">
      <formula>0.8</formula>
    </cfRule>
    <cfRule type="cellIs" dxfId="15873" priority="2834" operator="greaterThan">
      <formula>1</formula>
    </cfRule>
  </conditionalFormatting>
  <conditionalFormatting sqref="R83">
    <cfRule type="cellIs" dxfId="15872" priority="2831" operator="greaterThan">
      <formula>1</formula>
    </cfRule>
    <cfRule type="cellIs" dxfId="15871" priority="2832" operator="lessThan">
      <formula>0.8</formula>
    </cfRule>
  </conditionalFormatting>
  <conditionalFormatting sqref="P83">
    <cfRule type="cellIs" dxfId="15870" priority="2830" operator="greaterThan">
      <formula>0</formula>
    </cfRule>
  </conditionalFormatting>
  <conditionalFormatting sqref="Q83">
    <cfRule type="cellIs" dxfId="15869" priority="2835" operator="lessThan">
      <formula>0</formula>
    </cfRule>
  </conditionalFormatting>
  <conditionalFormatting sqref="P83">
    <cfRule type="cellIs" dxfId="15868" priority="2824" operator="greaterThan">
      <formula>0</formula>
    </cfRule>
  </conditionalFormatting>
  <conditionalFormatting sqref="Q83">
    <cfRule type="cellIs" dxfId="15867" priority="2829" operator="lessThan">
      <formula>0</formula>
    </cfRule>
  </conditionalFormatting>
  <conditionalFormatting sqref="R83">
    <cfRule type="cellIs" dxfId="15866" priority="2827" operator="lessThan">
      <formula>0.8</formula>
    </cfRule>
    <cfRule type="cellIs" dxfId="15865" priority="2828" operator="greaterThan">
      <formula>1</formula>
    </cfRule>
  </conditionalFormatting>
  <conditionalFormatting sqref="R83">
    <cfRule type="cellIs" dxfId="15864" priority="2825" operator="greaterThan">
      <formula>1</formula>
    </cfRule>
    <cfRule type="cellIs" dxfId="15863" priority="2826" operator="lessThan">
      <formula>0.8</formula>
    </cfRule>
  </conditionalFormatting>
  <conditionalFormatting sqref="R83">
    <cfRule type="cellIs" dxfId="15862" priority="2821" operator="lessThan">
      <formula>0.8</formula>
    </cfRule>
    <cfRule type="cellIs" dxfId="15861" priority="2822" operator="greaterThan">
      <formula>1</formula>
    </cfRule>
  </conditionalFormatting>
  <conditionalFormatting sqref="R83">
    <cfRule type="cellIs" dxfId="15860" priority="2819" operator="greaterThan">
      <formula>1</formula>
    </cfRule>
    <cfRule type="cellIs" dxfId="15859" priority="2820" operator="lessThan">
      <formula>0.8</formula>
    </cfRule>
  </conditionalFormatting>
  <conditionalFormatting sqref="P83">
    <cfRule type="cellIs" dxfId="15858" priority="2818" operator="greaterThan">
      <formula>0</formula>
    </cfRule>
  </conditionalFormatting>
  <conditionalFormatting sqref="Q83">
    <cfRule type="cellIs" dxfId="15857" priority="2823" operator="lessThan">
      <formula>0</formula>
    </cfRule>
  </conditionalFormatting>
  <conditionalFormatting sqref="R83">
    <cfRule type="cellIs" dxfId="15856" priority="2815" operator="lessThan">
      <formula>0.8</formula>
    </cfRule>
    <cfRule type="cellIs" dxfId="15855" priority="2816" operator="greaterThan">
      <formula>1</formula>
    </cfRule>
  </conditionalFormatting>
  <conditionalFormatting sqref="R83">
    <cfRule type="cellIs" dxfId="15854" priority="2813" operator="greaterThan">
      <formula>1</formula>
    </cfRule>
    <cfRule type="cellIs" dxfId="15853" priority="2814" operator="lessThan">
      <formula>0.8</formula>
    </cfRule>
  </conditionalFormatting>
  <conditionalFormatting sqref="P83">
    <cfRule type="cellIs" dxfId="15852" priority="2812" operator="greaterThan">
      <formula>0</formula>
    </cfRule>
  </conditionalFormatting>
  <conditionalFormatting sqref="Q83">
    <cfRule type="cellIs" dxfId="15851" priority="2817" operator="lessThan">
      <formula>0</formula>
    </cfRule>
  </conditionalFormatting>
  <conditionalFormatting sqref="Q83">
    <cfRule type="cellIs" dxfId="15850" priority="2811" operator="lessThan">
      <formula>0</formula>
    </cfRule>
  </conditionalFormatting>
  <conditionalFormatting sqref="R83">
    <cfRule type="cellIs" dxfId="15849" priority="2809" operator="lessThan">
      <formula>0.8</formula>
    </cfRule>
    <cfRule type="cellIs" dxfId="15848" priority="2810" operator="greaterThan">
      <formula>1</formula>
    </cfRule>
  </conditionalFormatting>
  <conditionalFormatting sqref="R83">
    <cfRule type="cellIs" dxfId="15847" priority="2807" operator="greaterThan">
      <formula>1</formula>
    </cfRule>
    <cfRule type="cellIs" dxfId="15846" priority="2808" operator="lessThan">
      <formula>0.8</formula>
    </cfRule>
  </conditionalFormatting>
  <conditionalFormatting sqref="P83">
    <cfRule type="cellIs" dxfId="15845" priority="2806" operator="greaterThan">
      <formula>0</formula>
    </cfRule>
  </conditionalFormatting>
  <conditionalFormatting sqref="Q83">
    <cfRule type="cellIs" dxfId="15844" priority="2800" operator="lessThan">
      <formula>0</formula>
    </cfRule>
  </conditionalFormatting>
  <conditionalFormatting sqref="R83">
    <cfRule type="cellIs" dxfId="15843" priority="2804" operator="lessThan">
      <formula>0.8</formula>
    </cfRule>
    <cfRule type="cellIs" dxfId="15842" priority="2805" operator="greaterThan">
      <formula>1</formula>
    </cfRule>
  </conditionalFormatting>
  <conditionalFormatting sqref="R83">
    <cfRule type="cellIs" dxfId="15841" priority="2802" operator="greaterThan">
      <formula>1</formula>
    </cfRule>
    <cfRule type="cellIs" dxfId="15840" priority="2803" operator="lessThan">
      <formula>0.8</formula>
    </cfRule>
  </conditionalFormatting>
  <conditionalFormatting sqref="P83">
    <cfRule type="cellIs" dxfId="15839" priority="2801" operator="greaterThan">
      <formula>0</formula>
    </cfRule>
  </conditionalFormatting>
  <conditionalFormatting sqref="Q83">
    <cfRule type="cellIs" dxfId="15838" priority="2799" operator="lessThan">
      <formula>0</formula>
    </cfRule>
  </conditionalFormatting>
  <conditionalFormatting sqref="R83">
    <cfRule type="cellIs" dxfId="15837" priority="2797" operator="lessThan">
      <formula>0.8</formula>
    </cfRule>
    <cfRule type="cellIs" dxfId="15836" priority="2798" operator="greaterThan">
      <formula>1</formula>
    </cfRule>
  </conditionalFormatting>
  <conditionalFormatting sqref="R83">
    <cfRule type="cellIs" dxfId="15835" priority="2795" operator="greaterThan">
      <formula>1</formula>
    </cfRule>
    <cfRule type="cellIs" dxfId="15834" priority="2796" operator="lessThan">
      <formula>0.8</formula>
    </cfRule>
  </conditionalFormatting>
  <conditionalFormatting sqref="P83">
    <cfRule type="cellIs" dxfId="15833" priority="2794" operator="greaterThan">
      <formula>0</formula>
    </cfRule>
  </conditionalFormatting>
  <conditionalFormatting sqref="Q83">
    <cfRule type="cellIs" dxfId="15832" priority="2793" operator="lessThan">
      <formula>0</formula>
    </cfRule>
  </conditionalFormatting>
  <conditionalFormatting sqref="R83">
    <cfRule type="cellIs" dxfId="15831" priority="2791" operator="lessThan">
      <formula>0.8</formula>
    </cfRule>
    <cfRule type="cellIs" dxfId="15830" priority="2792" operator="greaterThan">
      <formula>1</formula>
    </cfRule>
  </conditionalFormatting>
  <conditionalFormatting sqref="R83">
    <cfRule type="cellIs" dxfId="15829" priority="2789" operator="greaterThan">
      <formula>1</formula>
    </cfRule>
    <cfRule type="cellIs" dxfId="15828" priority="2790" operator="lessThan">
      <formula>0.8</formula>
    </cfRule>
  </conditionalFormatting>
  <conditionalFormatting sqref="P83">
    <cfRule type="cellIs" dxfId="15827" priority="2788" operator="greaterThan">
      <formula>0</formula>
    </cfRule>
  </conditionalFormatting>
  <conditionalFormatting sqref="Q83">
    <cfRule type="cellIs" dxfId="15826" priority="2787" operator="lessThan">
      <formula>0</formula>
    </cfRule>
  </conditionalFormatting>
  <conditionalFormatting sqref="R83">
    <cfRule type="cellIs" dxfId="15825" priority="2785" operator="lessThan">
      <formula>0.8</formula>
    </cfRule>
    <cfRule type="cellIs" dxfId="15824" priority="2786" operator="greaterThan">
      <formula>1</formula>
    </cfRule>
  </conditionalFormatting>
  <conditionalFormatting sqref="R83">
    <cfRule type="cellIs" dxfId="15823" priority="2783" operator="greaterThan">
      <formula>1</formula>
    </cfRule>
    <cfRule type="cellIs" dxfId="15822" priority="2784" operator="lessThan">
      <formula>0.8</formula>
    </cfRule>
  </conditionalFormatting>
  <conditionalFormatting sqref="P83">
    <cfRule type="cellIs" dxfId="15821" priority="2782" operator="greaterThan">
      <formula>0</formula>
    </cfRule>
  </conditionalFormatting>
  <conditionalFormatting sqref="Q83">
    <cfRule type="cellIs" dxfId="15820" priority="2781" operator="lessThan">
      <formula>0</formula>
    </cfRule>
  </conditionalFormatting>
  <conditionalFormatting sqref="R83">
    <cfRule type="cellIs" dxfId="15819" priority="2779" operator="lessThan">
      <formula>0.8</formula>
    </cfRule>
    <cfRule type="cellIs" dxfId="15818" priority="2780" operator="greaterThan">
      <formula>1</formula>
    </cfRule>
  </conditionalFormatting>
  <conditionalFormatting sqref="R83">
    <cfRule type="cellIs" dxfId="15817" priority="2777" operator="greaterThan">
      <formula>1</formula>
    </cfRule>
    <cfRule type="cellIs" dxfId="15816" priority="2778" operator="lessThan">
      <formula>0.8</formula>
    </cfRule>
  </conditionalFormatting>
  <conditionalFormatting sqref="P83">
    <cfRule type="cellIs" dxfId="15815" priority="2776" operator="greaterThan">
      <formula>0</formula>
    </cfRule>
  </conditionalFormatting>
  <conditionalFormatting sqref="Q83">
    <cfRule type="cellIs" dxfId="15814" priority="2775" operator="lessThan">
      <formula>0</formula>
    </cfRule>
  </conditionalFormatting>
  <conditionalFormatting sqref="R83">
    <cfRule type="cellIs" dxfId="15813" priority="2773" operator="lessThan">
      <formula>0.8</formula>
    </cfRule>
    <cfRule type="cellIs" dxfId="15812" priority="2774" operator="greaterThan">
      <formula>1</formula>
    </cfRule>
  </conditionalFormatting>
  <conditionalFormatting sqref="R83">
    <cfRule type="cellIs" dxfId="15811" priority="2771" operator="greaterThan">
      <formula>1</formula>
    </cfRule>
    <cfRule type="cellIs" dxfId="15810" priority="2772" operator="lessThan">
      <formula>0.8</formula>
    </cfRule>
  </conditionalFormatting>
  <conditionalFormatting sqref="P83">
    <cfRule type="cellIs" dxfId="15809" priority="2770" operator="greaterThan">
      <formula>0</formula>
    </cfRule>
  </conditionalFormatting>
  <conditionalFormatting sqref="P83">
    <cfRule type="cellIs" dxfId="15808" priority="2764" operator="greaterThan">
      <formula>0</formula>
    </cfRule>
  </conditionalFormatting>
  <conditionalFormatting sqref="Q83">
    <cfRule type="cellIs" dxfId="15807" priority="2769" operator="lessThan">
      <formula>0</formula>
    </cfRule>
  </conditionalFormatting>
  <conditionalFormatting sqref="R83">
    <cfRule type="cellIs" dxfId="15806" priority="2767" operator="lessThan">
      <formula>0.8</formula>
    </cfRule>
    <cfRule type="cellIs" dxfId="15805" priority="2768" operator="greaterThan">
      <formula>1</formula>
    </cfRule>
  </conditionalFormatting>
  <conditionalFormatting sqref="R83">
    <cfRule type="cellIs" dxfId="15804" priority="2765" operator="greaterThan">
      <formula>1</formula>
    </cfRule>
    <cfRule type="cellIs" dxfId="15803" priority="2766" operator="lessThan">
      <formula>0.8</formula>
    </cfRule>
  </conditionalFormatting>
  <conditionalFormatting sqref="P83">
    <cfRule type="cellIs" dxfId="15802" priority="2758" operator="greaterThan">
      <formula>0</formula>
    </cfRule>
  </conditionalFormatting>
  <conditionalFormatting sqref="Q83">
    <cfRule type="cellIs" dxfId="15801" priority="2763" operator="lessThan">
      <formula>0</formula>
    </cfRule>
  </conditionalFormatting>
  <conditionalFormatting sqref="R83">
    <cfRule type="cellIs" dxfId="15800" priority="2761" operator="lessThan">
      <formula>0.8</formula>
    </cfRule>
    <cfRule type="cellIs" dxfId="15799" priority="2762" operator="greaterThan">
      <formula>1</formula>
    </cfRule>
  </conditionalFormatting>
  <conditionalFormatting sqref="R83">
    <cfRule type="cellIs" dxfId="15798" priority="2759" operator="greaterThan">
      <formula>1</formula>
    </cfRule>
    <cfRule type="cellIs" dxfId="15797" priority="2760" operator="lessThan">
      <formula>0.8</formula>
    </cfRule>
  </conditionalFormatting>
  <conditionalFormatting sqref="R83">
    <cfRule type="cellIs" dxfId="15796" priority="2755" operator="lessThan">
      <formula>0.8</formula>
    </cfRule>
    <cfRule type="cellIs" dxfId="15795" priority="2756" operator="greaterThan">
      <formula>1</formula>
    </cfRule>
  </conditionalFormatting>
  <conditionalFormatting sqref="R83">
    <cfRule type="cellIs" dxfId="15794" priority="2753" operator="greaterThan">
      <formula>1</formula>
    </cfRule>
    <cfRule type="cellIs" dxfId="15793" priority="2754" operator="lessThan">
      <formula>0.8</formula>
    </cfRule>
  </conditionalFormatting>
  <conditionalFormatting sqref="P83">
    <cfRule type="cellIs" dxfId="15792" priority="2752" operator="greaterThan">
      <formula>0</formula>
    </cfRule>
  </conditionalFormatting>
  <conditionalFormatting sqref="Q83">
    <cfRule type="cellIs" dxfId="15791" priority="2757" operator="lessThan">
      <formula>0</formula>
    </cfRule>
  </conditionalFormatting>
  <conditionalFormatting sqref="Q83">
    <cfRule type="cellIs" dxfId="15790" priority="2746" operator="lessThan">
      <formula>0</formula>
    </cfRule>
  </conditionalFormatting>
  <conditionalFormatting sqref="P83">
    <cfRule type="cellIs" dxfId="15789" priority="2747" operator="greaterThan">
      <formula>0</formula>
    </cfRule>
  </conditionalFormatting>
  <conditionalFormatting sqref="R83">
    <cfRule type="cellIs" dxfId="15788" priority="2750" operator="lessThan">
      <formula>0.8</formula>
    </cfRule>
    <cfRule type="cellIs" dxfId="15787" priority="2751" operator="greaterThan">
      <formula>1</formula>
    </cfRule>
  </conditionalFormatting>
  <conditionalFormatting sqref="R83">
    <cfRule type="cellIs" dxfId="15786" priority="2748" operator="greaterThan">
      <formula>1</formula>
    </cfRule>
    <cfRule type="cellIs" dxfId="15785" priority="2749" operator="lessThan">
      <formula>0.8</formula>
    </cfRule>
  </conditionalFormatting>
  <conditionalFormatting sqref="Q83">
    <cfRule type="cellIs" dxfId="15784" priority="2740" operator="lessThan">
      <formula>0</formula>
    </cfRule>
  </conditionalFormatting>
  <conditionalFormatting sqref="R83">
    <cfRule type="cellIs" dxfId="15783" priority="2744" operator="lessThan">
      <formula>0.8</formula>
    </cfRule>
    <cfRule type="cellIs" dxfId="15782" priority="2745" operator="greaterThan">
      <formula>1</formula>
    </cfRule>
  </conditionalFormatting>
  <conditionalFormatting sqref="R83">
    <cfRule type="cellIs" dxfId="15781" priority="2742" operator="greaterThan">
      <formula>1</formula>
    </cfRule>
    <cfRule type="cellIs" dxfId="15780" priority="2743" operator="lessThan">
      <formula>0.8</formula>
    </cfRule>
  </conditionalFormatting>
  <conditionalFormatting sqref="P83">
    <cfRule type="cellIs" dxfId="15779" priority="2741" operator="greaterThan">
      <formula>0</formula>
    </cfRule>
  </conditionalFormatting>
  <conditionalFormatting sqref="Q83">
    <cfRule type="cellIs" dxfId="15778" priority="2739" operator="lessThan">
      <formula>0</formula>
    </cfRule>
  </conditionalFormatting>
  <conditionalFormatting sqref="R83">
    <cfRule type="cellIs" dxfId="15777" priority="2737" operator="lessThan">
      <formula>0.8</formula>
    </cfRule>
    <cfRule type="cellIs" dxfId="15776" priority="2738" operator="greaterThan">
      <formula>1</formula>
    </cfRule>
  </conditionalFormatting>
  <conditionalFormatting sqref="R83">
    <cfRule type="cellIs" dxfId="15775" priority="2735" operator="greaterThan">
      <formula>1</formula>
    </cfRule>
    <cfRule type="cellIs" dxfId="15774" priority="2736" operator="lessThan">
      <formula>0.8</formula>
    </cfRule>
  </conditionalFormatting>
  <conditionalFormatting sqref="P83">
    <cfRule type="cellIs" dxfId="15773" priority="2734" operator="greaterThan">
      <formula>0</formula>
    </cfRule>
  </conditionalFormatting>
  <conditionalFormatting sqref="Q83">
    <cfRule type="cellIs" dxfId="15772" priority="2733" operator="lessThan">
      <formula>0</formula>
    </cfRule>
  </conditionalFormatting>
  <conditionalFormatting sqref="R83">
    <cfRule type="cellIs" dxfId="15771" priority="2731" operator="lessThan">
      <formula>0.8</formula>
    </cfRule>
    <cfRule type="cellIs" dxfId="15770" priority="2732" operator="greaterThan">
      <formula>1</formula>
    </cfRule>
  </conditionalFormatting>
  <conditionalFormatting sqref="R83">
    <cfRule type="cellIs" dxfId="15769" priority="2729" operator="greaterThan">
      <formula>1</formula>
    </cfRule>
    <cfRule type="cellIs" dxfId="15768" priority="2730" operator="lessThan">
      <formula>0.8</formula>
    </cfRule>
  </conditionalFormatting>
  <conditionalFormatting sqref="P83">
    <cfRule type="cellIs" dxfId="15767" priority="2728" operator="greaterThan">
      <formula>0</formula>
    </cfRule>
  </conditionalFormatting>
  <conditionalFormatting sqref="Q83">
    <cfRule type="cellIs" dxfId="15766" priority="2727" operator="lessThan">
      <formula>0</formula>
    </cfRule>
  </conditionalFormatting>
  <conditionalFormatting sqref="R83">
    <cfRule type="cellIs" dxfId="15765" priority="2725" operator="lessThan">
      <formula>0.8</formula>
    </cfRule>
    <cfRule type="cellIs" dxfId="15764" priority="2726" operator="greaterThan">
      <formula>1</formula>
    </cfRule>
  </conditionalFormatting>
  <conditionalFormatting sqref="R83">
    <cfRule type="cellIs" dxfId="15763" priority="2723" operator="greaterThan">
      <formula>1</formula>
    </cfRule>
    <cfRule type="cellIs" dxfId="15762" priority="2724" operator="lessThan">
      <formula>0.8</formula>
    </cfRule>
  </conditionalFormatting>
  <conditionalFormatting sqref="P83">
    <cfRule type="cellIs" dxfId="15761" priority="2722" operator="greaterThan">
      <formula>0</formula>
    </cfRule>
  </conditionalFormatting>
  <conditionalFormatting sqref="Q83">
    <cfRule type="cellIs" dxfId="15760" priority="2721" operator="lessThan">
      <formula>0</formula>
    </cfRule>
  </conditionalFormatting>
  <conditionalFormatting sqref="R83">
    <cfRule type="cellIs" dxfId="15759" priority="2719" operator="lessThan">
      <formula>0.8</formula>
    </cfRule>
    <cfRule type="cellIs" dxfId="15758" priority="2720" operator="greaterThan">
      <formula>1</formula>
    </cfRule>
  </conditionalFormatting>
  <conditionalFormatting sqref="R83">
    <cfRule type="cellIs" dxfId="15757" priority="2717" operator="greaterThan">
      <formula>1</formula>
    </cfRule>
    <cfRule type="cellIs" dxfId="15756" priority="2718" operator="lessThan">
      <formula>0.8</formula>
    </cfRule>
  </conditionalFormatting>
  <conditionalFormatting sqref="P83">
    <cfRule type="cellIs" dxfId="15755" priority="2716" operator="greaterThan">
      <formula>0</formula>
    </cfRule>
  </conditionalFormatting>
  <conditionalFormatting sqref="Q83">
    <cfRule type="cellIs" dxfId="15754" priority="2715" operator="lessThan">
      <formula>0</formula>
    </cfRule>
  </conditionalFormatting>
  <conditionalFormatting sqref="R83">
    <cfRule type="cellIs" dxfId="15753" priority="2713" operator="lessThan">
      <formula>0.8</formula>
    </cfRule>
    <cfRule type="cellIs" dxfId="15752" priority="2714" operator="greaterThan">
      <formula>1</formula>
    </cfRule>
  </conditionalFormatting>
  <conditionalFormatting sqref="R83">
    <cfRule type="cellIs" dxfId="15751" priority="2711" operator="greaterThan">
      <formula>1</formula>
    </cfRule>
    <cfRule type="cellIs" dxfId="15750" priority="2712" operator="lessThan">
      <formula>0.8</formula>
    </cfRule>
  </conditionalFormatting>
  <conditionalFormatting sqref="P83">
    <cfRule type="cellIs" dxfId="15749" priority="2710" operator="greaterThan">
      <formula>0</formula>
    </cfRule>
  </conditionalFormatting>
  <conditionalFormatting sqref="Q83">
    <cfRule type="cellIs" dxfId="15748" priority="2709" operator="lessThan">
      <formula>0</formula>
    </cfRule>
  </conditionalFormatting>
  <conditionalFormatting sqref="R83">
    <cfRule type="cellIs" dxfId="15747" priority="2707" operator="lessThan">
      <formula>0.8</formula>
    </cfRule>
    <cfRule type="cellIs" dxfId="15746" priority="2708" operator="greaterThan">
      <formula>1</formula>
    </cfRule>
  </conditionalFormatting>
  <conditionalFormatting sqref="R83">
    <cfRule type="cellIs" dxfId="15745" priority="2705" operator="greaterThan">
      <formula>1</formula>
    </cfRule>
    <cfRule type="cellIs" dxfId="15744" priority="2706" operator="lessThan">
      <formula>0.8</formula>
    </cfRule>
  </conditionalFormatting>
  <conditionalFormatting sqref="P83">
    <cfRule type="cellIs" dxfId="15743" priority="2704" operator="greaterThan">
      <formula>0</formula>
    </cfRule>
  </conditionalFormatting>
  <conditionalFormatting sqref="Q83">
    <cfRule type="cellIs" dxfId="15742" priority="2703" operator="lessThan">
      <formula>0</formula>
    </cfRule>
  </conditionalFormatting>
  <conditionalFormatting sqref="R83">
    <cfRule type="cellIs" dxfId="15741" priority="2701" operator="lessThan">
      <formula>0.8</formula>
    </cfRule>
    <cfRule type="cellIs" dxfId="15740" priority="2702" operator="greaterThan">
      <formula>1</formula>
    </cfRule>
  </conditionalFormatting>
  <conditionalFormatting sqref="R83">
    <cfRule type="cellIs" dxfId="15739" priority="2699" operator="greaterThan">
      <formula>1</formula>
    </cfRule>
    <cfRule type="cellIs" dxfId="15738" priority="2700" operator="lessThan">
      <formula>0.8</formula>
    </cfRule>
  </conditionalFormatting>
  <conditionalFormatting sqref="P83">
    <cfRule type="cellIs" dxfId="15737" priority="2698" operator="greaterThan">
      <formula>0</formula>
    </cfRule>
  </conditionalFormatting>
  <conditionalFormatting sqref="P83">
    <cfRule type="cellIs" dxfId="15736" priority="2692" operator="greaterThan">
      <formula>0</formula>
    </cfRule>
  </conditionalFormatting>
  <conditionalFormatting sqref="Q83">
    <cfRule type="cellIs" dxfId="15735" priority="2697" operator="lessThan">
      <formula>0</formula>
    </cfRule>
  </conditionalFormatting>
  <conditionalFormatting sqref="R83">
    <cfRule type="cellIs" dxfId="15734" priority="2695" operator="lessThan">
      <formula>0.8</formula>
    </cfRule>
    <cfRule type="cellIs" dxfId="15733" priority="2696" operator="greaterThan">
      <formula>1</formula>
    </cfRule>
  </conditionalFormatting>
  <conditionalFormatting sqref="R83">
    <cfRule type="cellIs" dxfId="15732" priority="2693" operator="greaterThan">
      <formula>1</formula>
    </cfRule>
    <cfRule type="cellIs" dxfId="15731" priority="2694" operator="lessThan">
      <formula>0.8</formula>
    </cfRule>
  </conditionalFormatting>
  <conditionalFormatting sqref="P83">
    <cfRule type="cellIs" dxfId="15730" priority="2686" operator="greaterThan">
      <formula>0</formula>
    </cfRule>
  </conditionalFormatting>
  <conditionalFormatting sqref="Q83">
    <cfRule type="cellIs" dxfId="15729" priority="2691" operator="lessThan">
      <formula>0</formula>
    </cfRule>
  </conditionalFormatting>
  <conditionalFormatting sqref="R83">
    <cfRule type="cellIs" dxfId="15728" priority="2689" operator="lessThan">
      <formula>0.8</formula>
    </cfRule>
    <cfRule type="cellIs" dxfId="15727" priority="2690" operator="greaterThan">
      <formula>1</formula>
    </cfRule>
  </conditionalFormatting>
  <conditionalFormatting sqref="R83">
    <cfRule type="cellIs" dxfId="15726" priority="2687" operator="greaterThan">
      <formula>1</formula>
    </cfRule>
    <cfRule type="cellIs" dxfId="15725" priority="2688" operator="lessThan">
      <formula>0.8</formula>
    </cfRule>
  </conditionalFormatting>
  <conditionalFormatting sqref="R83">
    <cfRule type="cellIs" dxfId="15724" priority="2683" operator="lessThan">
      <formula>0.8</formula>
    </cfRule>
    <cfRule type="cellIs" dxfId="15723" priority="2684" operator="greaterThan">
      <formula>1</formula>
    </cfRule>
  </conditionalFormatting>
  <conditionalFormatting sqref="R83">
    <cfRule type="cellIs" dxfId="15722" priority="2681" operator="greaterThan">
      <formula>1</formula>
    </cfRule>
    <cfRule type="cellIs" dxfId="15721" priority="2682" operator="lessThan">
      <formula>0.8</formula>
    </cfRule>
  </conditionalFormatting>
  <conditionalFormatting sqref="P83">
    <cfRule type="cellIs" dxfId="15720" priority="2680" operator="greaterThan">
      <formula>0</formula>
    </cfRule>
  </conditionalFormatting>
  <conditionalFormatting sqref="Q83">
    <cfRule type="cellIs" dxfId="15719" priority="2685" operator="lessThan">
      <formula>0</formula>
    </cfRule>
  </conditionalFormatting>
  <conditionalFormatting sqref="Q83">
    <cfRule type="cellIs" dxfId="15718" priority="2679" operator="lessThan">
      <formula>0</formula>
    </cfRule>
  </conditionalFormatting>
  <conditionalFormatting sqref="R83">
    <cfRule type="cellIs" dxfId="15717" priority="2677" operator="lessThan">
      <formula>0.8</formula>
    </cfRule>
    <cfRule type="cellIs" dxfId="15716" priority="2678" operator="greaterThan">
      <formula>1</formula>
    </cfRule>
  </conditionalFormatting>
  <conditionalFormatting sqref="R83">
    <cfRule type="cellIs" dxfId="15715" priority="2675" operator="greaterThan">
      <formula>1</formula>
    </cfRule>
    <cfRule type="cellIs" dxfId="15714" priority="2676" operator="lessThan">
      <formula>0.8</formula>
    </cfRule>
  </conditionalFormatting>
  <conditionalFormatting sqref="P83">
    <cfRule type="cellIs" dxfId="15713" priority="2674" operator="greaterThan">
      <formula>0</formula>
    </cfRule>
  </conditionalFormatting>
  <conditionalFormatting sqref="P83">
    <cfRule type="cellIs" dxfId="15712" priority="2668" operator="greaterThan">
      <formula>0</formula>
    </cfRule>
  </conditionalFormatting>
  <conditionalFormatting sqref="Q83">
    <cfRule type="cellIs" dxfId="15711" priority="2673" operator="lessThan">
      <formula>0</formula>
    </cfRule>
  </conditionalFormatting>
  <conditionalFormatting sqref="R83">
    <cfRule type="cellIs" dxfId="15710" priority="2671" operator="lessThan">
      <formula>0.8</formula>
    </cfRule>
    <cfRule type="cellIs" dxfId="15709" priority="2672" operator="greaterThan">
      <formula>1</formula>
    </cfRule>
  </conditionalFormatting>
  <conditionalFormatting sqref="R83">
    <cfRule type="cellIs" dxfId="15708" priority="2669" operator="greaterThan">
      <formula>1</formula>
    </cfRule>
    <cfRule type="cellIs" dxfId="15707" priority="2670" operator="lessThan">
      <formula>0.8</formula>
    </cfRule>
  </conditionalFormatting>
  <conditionalFormatting sqref="P83">
    <cfRule type="cellIs" dxfId="15706" priority="2662" operator="greaterThan">
      <formula>0</formula>
    </cfRule>
  </conditionalFormatting>
  <conditionalFormatting sqref="Q83">
    <cfRule type="cellIs" dxfId="15705" priority="2667" operator="lessThan">
      <formula>0</formula>
    </cfRule>
  </conditionalFormatting>
  <conditionalFormatting sqref="R83">
    <cfRule type="cellIs" dxfId="15704" priority="2665" operator="lessThan">
      <formula>0.8</formula>
    </cfRule>
    <cfRule type="cellIs" dxfId="15703" priority="2666" operator="greaterThan">
      <formula>1</formula>
    </cfRule>
  </conditionalFormatting>
  <conditionalFormatting sqref="R83">
    <cfRule type="cellIs" dxfId="15702" priority="2663" operator="greaterThan">
      <formula>1</formula>
    </cfRule>
    <cfRule type="cellIs" dxfId="15701" priority="2664" operator="lessThan">
      <formula>0.8</formula>
    </cfRule>
  </conditionalFormatting>
  <conditionalFormatting sqref="R83">
    <cfRule type="cellIs" dxfId="15700" priority="2659" operator="lessThan">
      <formula>0.8</formula>
    </cfRule>
    <cfRule type="cellIs" dxfId="15699" priority="2660" operator="greaterThan">
      <formula>1</formula>
    </cfRule>
  </conditionalFormatting>
  <conditionalFormatting sqref="R83">
    <cfRule type="cellIs" dxfId="15698" priority="2657" operator="greaterThan">
      <formula>1</formula>
    </cfRule>
    <cfRule type="cellIs" dxfId="15697" priority="2658" operator="lessThan">
      <formula>0.8</formula>
    </cfRule>
  </conditionalFormatting>
  <conditionalFormatting sqref="P83">
    <cfRule type="cellIs" dxfId="15696" priority="2656" operator="greaterThan">
      <formula>0</formula>
    </cfRule>
  </conditionalFormatting>
  <conditionalFormatting sqref="Q83">
    <cfRule type="cellIs" dxfId="15695" priority="2661" operator="lessThan">
      <formula>0</formula>
    </cfRule>
  </conditionalFormatting>
  <conditionalFormatting sqref="P83">
    <cfRule type="cellIs" dxfId="15694" priority="2650" operator="greaterThan">
      <formula>0</formula>
    </cfRule>
  </conditionalFormatting>
  <conditionalFormatting sqref="Q83">
    <cfRule type="cellIs" dxfId="15693" priority="2655" operator="lessThan">
      <formula>0</formula>
    </cfRule>
  </conditionalFormatting>
  <conditionalFormatting sqref="R83">
    <cfRule type="cellIs" dxfId="15692" priority="2653" operator="lessThan">
      <formula>0.8</formula>
    </cfRule>
    <cfRule type="cellIs" dxfId="15691" priority="2654" operator="greaterThan">
      <formula>1</formula>
    </cfRule>
  </conditionalFormatting>
  <conditionalFormatting sqref="R83">
    <cfRule type="cellIs" dxfId="15690" priority="2651" operator="greaterThan">
      <formula>1</formula>
    </cfRule>
    <cfRule type="cellIs" dxfId="15689" priority="2652" operator="lessThan">
      <formula>0.8</formula>
    </cfRule>
  </conditionalFormatting>
  <conditionalFormatting sqref="R83">
    <cfRule type="cellIs" dxfId="15688" priority="2647" operator="lessThan">
      <formula>0.8</formula>
    </cfRule>
    <cfRule type="cellIs" dxfId="15687" priority="2648" operator="greaterThan">
      <formula>1</formula>
    </cfRule>
  </conditionalFormatting>
  <conditionalFormatting sqref="R83">
    <cfRule type="cellIs" dxfId="15686" priority="2645" operator="greaterThan">
      <formula>1</formula>
    </cfRule>
    <cfRule type="cellIs" dxfId="15685" priority="2646" operator="lessThan">
      <formula>0.8</formula>
    </cfRule>
  </conditionalFormatting>
  <conditionalFormatting sqref="P83">
    <cfRule type="cellIs" dxfId="15684" priority="2644" operator="greaterThan">
      <formula>0</formula>
    </cfRule>
  </conditionalFormatting>
  <conditionalFormatting sqref="Q83">
    <cfRule type="cellIs" dxfId="15683" priority="2649" operator="lessThan">
      <formula>0</formula>
    </cfRule>
  </conditionalFormatting>
  <conditionalFormatting sqref="R83">
    <cfRule type="cellIs" dxfId="15682" priority="2641" operator="lessThan">
      <formula>0.8</formula>
    </cfRule>
    <cfRule type="cellIs" dxfId="15681" priority="2642" operator="greaterThan">
      <formula>1</formula>
    </cfRule>
  </conditionalFormatting>
  <conditionalFormatting sqref="R83">
    <cfRule type="cellIs" dxfId="15680" priority="2639" operator="greaterThan">
      <formula>1</formula>
    </cfRule>
    <cfRule type="cellIs" dxfId="15679" priority="2640" operator="lessThan">
      <formula>0.8</formula>
    </cfRule>
  </conditionalFormatting>
  <conditionalFormatting sqref="P83">
    <cfRule type="cellIs" dxfId="15678" priority="2638" operator="greaterThan">
      <formula>0</formula>
    </cfRule>
  </conditionalFormatting>
  <conditionalFormatting sqref="Q83">
    <cfRule type="cellIs" dxfId="15677" priority="2643" operator="lessThan">
      <formula>0</formula>
    </cfRule>
  </conditionalFormatting>
  <conditionalFormatting sqref="Q83">
    <cfRule type="cellIs" dxfId="15676" priority="2637" operator="lessThan">
      <formula>0</formula>
    </cfRule>
  </conditionalFormatting>
  <conditionalFormatting sqref="R83">
    <cfRule type="cellIs" dxfId="15675" priority="2635" operator="lessThan">
      <formula>0.8</formula>
    </cfRule>
    <cfRule type="cellIs" dxfId="15674" priority="2636" operator="greaterThan">
      <formula>1</formula>
    </cfRule>
  </conditionalFormatting>
  <conditionalFormatting sqref="R83">
    <cfRule type="cellIs" dxfId="15673" priority="2633" operator="greaterThan">
      <formula>1</formula>
    </cfRule>
    <cfRule type="cellIs" dxfId="15672" priority="2634" operator="lessThan">
      <formula>0.8</formula>
    </cfRule>
  </conditionalFormatting>
  <conditionalFormatting sqref="P83">
    <cfRule type="cellIs" dxfId="15671" priority="2632" operator="greaterThan">
      <formula>0</formula>
    </cfRule>
  </conditionalFormatting>
  <conditionalFormatting sqref="Q83">
    <cfRule type="cellIs" dxfId="15670" priority="2626" operator="lessThan">
      <formula>0</formula>
    </cfRule>
  </conditionalFormatting>
  <conditionalFormatting sqref="R83">
    <cfRule type="cellIs" dxfId="15669" priority="2630" operator="lessThan">
      <formula>0.8</formula>
    </cfRule>
    <cfRule type="cellIs" dxfId="15668" priority="2631" operator="greaterThan">
      <formula>1</formula>
    </cfRule>
  </conditionalFormatting>
  <conditionalFormatting sqref="R83">
    <cfRule type="cellIs" dxfId="15667" priority="2628" operator="greaterThan">
      <formula>1</formula>
    </cfRule>
    <cfRule type="cellIs" dxfId="15666" priority="2629" operator="lessThan">
      <formula>0.8</formula>
    </cfRule>
  </conditionalFormatting>
  <conditionalFormatting sqref="P83">
    <cfRule type="cellIs" dxfId="15665" priority="2627" operator="greaterThan">
      <formula>0</formula>
    </cfRule>
  </conditionalFormatting>
  <conditionalFormatting sqref="Q83">
    <cfRule type="cellIs" dxfId="15664" priority="2625" operator="lessThan">
      <formula>0</formula>
    </cfRule>
  </conditionalFormatting>
  <conditionalFormatting sqref="R83">
    <cfRule type="cellIs" dxfId="15663" priority="2623" operator="lessThan">
      <formula>0.8</formula>
    </cfRule>
    <cfRule type="cellIs" dxfId="15662" priority="2624" operator="greaterThan">
      <formula>1</formula>
    </cfRule>
  </conditionalFormatting>
  <conditionalFormatting sqref="R83">
    <cfRule type="cellIs" dxfId="15661" priority="2621" operator="greaterThan">
      <formula>1</formula>
    </cfRule>
    <cfRule type="cellIs" dxfId="15660" priority="2622" operator="lessThan">
      <formula>0.8</formula>
    </cfRule>
  </conditionalFormatting>
  <conditionalFormatting sqref="P83">
    <cfRule type="cellIs" dxfId="15659" priority="2620" operator="greaterThan">
      <formula>0</formula>
    </cfRule>
  </conditionalFormatting>
  <conditionalFormatting sqref="Q83">
    <cfRule type="cellIs" dxfId="15658" priority="2619" operator="lessThan">
      <formula>0</formula>
    </cfRule>
  </conditionalFormatting>
  <conditionalFormatting sqref="R83">
    <cfRule type="cellIs" dxfId="15657" priority="2617" operator="lessThan">
      <formula>0.8</formula>
    </cfRule>
    <cfRule type="cellIs" dxfId="15656" priority="2618" operator="greaterThan">
      <formula>1</formula>
    </cfRule>
  </conditionalFormatting>
  <conditionalFormatting sqref="R83">
    <cfRule type="cellIs" dxfId="15655" priority="2615" operator="greaterThan">
      <formula>1</formula>
    </cfRule>
    <cfRule type="cellIs" dxfId="15654" priority="2616" operator="lessThan">
      <formula>0.8</formula>
    </cfRule>
  </conditionalFormatting>
  <conditionalFormatting sqref="P83">
    <cfRule type="cellIs" dxfId="15653" priority="2614" operator="greaterThan">
      <formula>0</formula>
    </cfRule>
  </conditionalFormatting>
  <conditionalFormatting sqref="Q83">
    <cfRule type="cellIs" dxfId="15652" priority="2613" operator="lessThan">
      <formula>0</formula>
    </cfRule>
  </conditionalFormatting>
  <conditionalFormatting sqref="R83">
    <cfRule type="cellIs" dxfId="15651" priority="2611" operator="lessThan">
      <formula>0.8</formula>
    </cfRule>
    <cfRule type="cellIs" dxfId="15650" priority="2612" operator="greaterThan">
      <formula>1</formula>
    </cfRule>
  </conditionalFormatting>
  <conditionalFormatting sqref="R83">
    <cfRule type="cellIs" dxfId="15649" priority="2609" operator="greaterThan">
      <formula>1</formula>
    </cfRule>
    <cfRule type="cellIs" dxfId="15648" priority="2610" operator="lessThan">
      <formula>0.8</formula>
    </cfRule>
  </conditionalFormatting>
  <conditionalFormatting sqref="P83">
    <cfRule type="cellIs" dxfId="15647" priority="2608" operator="greaterThan">
      <formula>0</formula>
    </cfRule>
  </conditionalFormatting>
  <conditionalFormatting sqref="Q83">
    <cfRule type="cellIs" dxfId="15646" priority="2607" operator="lessThan">
      <formula>0</formula>
    </cfRule>
  </conditionalFormatting>
  <conditionalFormatting sqref="R83">
    <cfRule type="cellIs" dxfId="15645" priority="2605" operator="lessThan">
      <formula>0.8</formula>
    </cfRule>
    <cfRule type="cellIs" dxfId="15644" priority="2606" operator="greaterThan">
      <formula>1</formula>
    </cfRule>
  </conditionalFormatting>
  <conditionalFormatting sqref="R83">
    <cfRule type="cellIs" dxfId="15643" priority="2603" operator="greaterThan">
      <formula>1</formula>
    </cfRule>
    <cfRule type="cellIs" dxfId="15642" priority="2604" operator="lessThan">
      <formula>0.8</formula>
    </cfRule>
  </conditionalFormatting>
  <conditionalFormatting sqref="P83">
    <cfRule type="cellIs" dxfId="15641" priority="2602" operator="greaterThan">
      <formula>0</formula>
    </cfRule>
  </conditionalFormatting>
  <conditionalFormatting sqref="Q83">
    <cfRule type="cellIs" dxfId="15640" priority="2601" operator="lessThan">
      <formula>0</formula>
    </cfRule>
  </conditionalFormatting>
  <conditionalFormatting sqref="R83">
    <cfRule type="cellIs" dxfId="15639" priority="2599" operator="lessThan">
      <formula>0.8</formula>
    </cfRule>
    <cfRule type="cellIs" dxfId="15638" priority="2600" operator="greaterThan">
      <formula>1</formula>
    </cfRule>
  </conditionalFormatting>
  <conditionalFormatting sqref="R83">
    <cfRule type="cellIs" dxfId="15637" priority="2597" operator="greaterThan">
      <formula>1</formula>
    </cfRule>
    <cfRule type="cellIs" dxfId="15636" priority="2598" operator="lessThan">
      <formula>0.8</formula>
    </cfRule>
  </conditionalFormatting>
  <conditionalFormatting sqref="P83">
    <cfRule type="cellIs" dxfId="15635" priority="2596" operator="greaterThan">
      <formula>0</formula>
    </cfRule>
  </conditionalFormatting>
  <conditionalFormatting sqref="P83">
    <cfRule type="cellIs" dxfId="15634" priority="2590" operator="greaterThan">
      <formula>0</formula>
    </cfRule>
  </conditionalFormatting>
  <conditionalFormatting sqref="Q83">
    <cfRule type="cellIs" dxfId="15633" priority="2595" operator="lessThan">
      <formula>0</formula>
    </cfRule>
  </conditionalFormatting>
  <conditionalFormatting sqref="R83">
    <cfRule type="cellIs" dxfId="15632" priority="2593" operator="lessThan">
      <formula>0.8</formula>
    </cfRule>
    <cfRule type="cellIs" dxfId="15631" priority="2594" operator="greaterThan">
      <formula>1</formula>
    </cfRule>
  </conditionalFormatting>
  <conditionalFormatting sqref="R83">
    <cfRule type="cellIs" dxfId="15630" priority="2591" operator="greaterThan">
      <formula>1</formula>
    </cfRule>
    <cfRule type="cellIs" dxfId="15629" priority="2592" operator="lessThan">
      <formula>0.8</formula>
    </cfRule>
  </conditionalFormatting>
  <conditionalFormatting sqref="P83">
    <cfRule type="cellIs" dxfId="15628" priority="2584" operator="greaterThan">
      <formula>0</formula>
    </cfRule>
  </conditionalFormatting>
  <conditionalFormatting sqref="Q83">
    <cfRule type="cellIs" dxfId="15627" priority="2589" operator="lessThan">
      <formula>0</formula>
    </cfRule>
  </conditionalFormatting>
  <conditionalFormatting sqref="R83">
    <cfRule type="cellIs" dxfId="15626" priority="2587" operator="lessThan">
      <formula>0.8</formula>
    </cfRule>
    <cfRule type="cellIs" dxfId="15625" priority="2588" operator="greaterThan">
      <formula>1</formula>
    </cfRule>
  </conditionalFormatting>
  <conditionalFormatting sqref="R83">
    <cfRule type="cellIs" dxfId="15624" priority="2585" operator="greaterThan">
      <formula>1</formula>
    </cfRule>
    <cfRule type="cellIs" dxfId="15623" priority="2586" operator="lessThan">
      <formula>0.8</formula>
    </cfRule>
  </conditionalFormatting>
  <conditionalFormatting sqref="R83">
    <cfRule type="cellIs" dxfId="15622" priority="2581" operator="lessThan">
      <formula>0.8</formula>
    </cfRule>
    <cfRule type="cellIs" dxfId="15621" priority="2582" operator="greaterThan">
      <formula>1</formula>
    </cfRule>
  </conditionalFormatting>
  <conditionalFormatting sqref="R83">
    <cfRule type="cellIs" dxfId="15620" priority="2579" operator="greaterThan">
      <formula>1</formula>
    </cfRule>
    <cfRule type="cellIs" dxfId="15619" priority="2580" operator="lessThan">
      <formula>0.8</formula>
    </cfRule>
  </conditionalFormatting>
  <conditionalFormatting sqref="P83">
    <cfRule type="cellIs" dxfId="15618" priority="2578" operator="greaterThan">
      <formula>0</formula>
    </cfRule>
  </conditionalFormatting>
  <conditionalFormatting sqref="Q83">
    <cfRule type="cellIs" dxfId="15617" priority="2583" operator="lessThan">
      <formula>0</formula>
    </cfRule>
  </conditionalFormatting>
  <conditionalFormatting sqref="P123 P125:P126 P131 P128:P129">
    <cfRule type="cellIs" dxfId="15616" priority="2572" operator="greaterThan">
      <formula>0</formula>
    </cfRule>
  </conditionalFormatting>
  <conditionalFormatting sqref="Q123 Q125:Q126 Q131 Q128:Q129">
    <cfRule type="cellIs" dxfId="15615" priority="2577" operator="lessThan">
      <formula>0</formula>
    </cfRule>
  </conditionalFormatting>
  <conditionalFormatting sqref="R123 R125:R126 R131 R128:R129">
    <cfRule type="cellIs" dxfId="15614" priority="2575" operator="lessThan">
      <formula>0.8</formula>
    </cfRule>
    <cfRule type="cellIs" dxfId="15613" priority="2576" operator="greaterThan">
      <formula>1</formula>
    </cfRule>
  </conditionalFormatting>
  <conditionalFormatting sqref="R123 R125:R126 R131 R128:R129">
    <cfRule type="cellIs" dxfId="15612" priority="2573" operator="greaterThan">
      <formula>1</formula>
    </cfRule>
    <cfRule type="cellIs" dxfId="15611" priority="2574" operator="lessThan">
      <formula>0.8</formula>
    </cfRule>
  </conditionalFormatting>
  <conditionalFormatting sqref="Q123 Q125:Q126 Q131 Q128:Q129">
    <cfRule type="cellIs" dxfId="15610" priority="2571" operator="lessThan">
      <formula>0</formula>
    </cfRule>
  </conditionalFormatting>
  <conditionalFormatting sqref="R123 R125:R126 R131 R128:R129">
    <cfRule type="cellIs" dxfId="15609" priority="2569" operator="lessThan">
      <formula>0.8</formula>
    </cfRule>
    <cfRule type="cellIs" dxfId="15608" priority="2570" operator="greaterThan">
      <formula>1</formula>
    </cfRule>
  </conditionalFormatting>
  <conditionalFormatting sqref="R123 R125:R126 R131 R128:R129">
    <cfRule type="cellIs" dxfId="15607" priority="2567" operator="greaterThan">
      <formula>1</formula>
    </cfRule>
    <cfRule type="cellIs" dxfId="15606" priority="2568" operator="lessThan">
      <formula>0.8</formula>
    </cfRule>
  </conditionalFormatting>
  <conditionalFormatting sqref="P123 P125:P126 P131 P128:P129">
    <cfRule type="cellIs" dxfId="15605" priority="2566" operator="greaterThan">
      <formula>0</formula>
    </cfRule>
  </conditionalFormatting>
  <conditionalFormatting sqref="Q31">
    <cfRule type="cellIs" dxfId="15604" priority="2565" operator="lessThan">
      <formula>0</formula>
    </cfRule>
  </conditionalFormatting>
  <conditionalFormatting sqref="R31">
    <cfRule type="cellIs" dxfId="15603" priority="2563" operator="lessThan">
      <formula>0.8</formula>
    </cfRule>
    <cfRule type="cellIs" dxfId="15602" priority="2564" operator="greaterThan">
      <formula>1</formula>
    </cfRule>
  </conditionalFormatting>
  <conditionalFormatting sqref="R31">
    <cfRule type="cellIs" dxfId="15601" priority="2561" operator="greaterThan">
      <formula>1</formula>
    </cfRule>
    <cfRule type="cellIs" dxfId="15600" priority="2562" operator="lessThan">
      <formula>0.8</formula>
    </cfRule>
  </conditionalFormatting>
  <conditionalFormatting sqref="P31">
    <cfRule type="cellIs" dxfId="15599" priority="2560" operator="greaterThan">
      <formula>0</formula>
    </cfRule>
  </conditionalFormatting>
  <conditionalFormatting sqref="Q31">
    <cfRule type="cellIs" dxfId="15598" priority="2559" operator="lessThan">
      <formula>0</formula>
    </cfRule>
  </conditionalFormatting>
  <conditionalFormatting sqref="R31">
    <cfRule type="cellIs" dxfId="15597" priority="2557" operator="lessThan">
      <formula>0.8</formula>
    </cfRule>
    <cfRule type="cellIs" dxfId="15596" priority="2558" operator="greaterThan">
      <formula>1</formula>
    </cfRule>
  </conditionalFormatting>
  <conditionalFormatting sqref="R31">
    <cfRule type="cellIs" dxfId="15595" priority="2555" operator="greaterThan">
      <formula>1</formula>
    </cfRule>
    <cfRule type="cellIs" dxfId="15594" priority="2556" operator="lessThan">
      <formula>0.8</formula>
    </cfRule>
  </conditionalFormatting>
  <conditionalFormatting sqref="P31">
    <cfRule type="cellIs" dxfId="15593" priority="2554" operator="greaterThan">
      <formula>0</formula>
    </cfRule>
  </conditionalFormatting>
  <conditionalFormatting sqref="Q31">
    <cfRule type="cellIs" dxfId="15592" priority="2553" operator="lessThan">
      <formula>0</formula>
    </cfRule>
  </conditionalFormatting>
  <conditionalFormatting sqref="R31">
    <cfRule type="cellIs" dxfId="15591" priority="2551" operator="lessThan">
      <formula>0.8</formula>
    </cfRule>
    <cfRule type="cellIs" dxfId="15590" priority="2552" operator="greaterThan">
      <formula>1</formula>
    </cfRule>
  </conditionalFormatting>
  <conditionalFormatting sqref="R31">
    <cfRule type="cellIs" dxfId="15589" priority="2549" operator="greaterThan">
      <formula>1</formula>
    </cfRule>
    <cfRule type="cellIs" dxfId="15588" priority="2550" operator="lessThan">
      <formula>0.8</formula>
    </cfRule>
  </conditionalFormatting>
  <conditionalFormatting sqref="P31">
    <cfRule type="cellIs" dxfId="15587" priority="2548" operator="greaterThan">
      <formula>0</formula>
    </cfRule>
  </conditionalFormatting>
  <conditionalFormatting sqref="Q31">
    <cfRule type="cellIs" dxfId="15586" priority="2547" operator="lessThan">
      <formula>0</formula>
    </cfRule>
  </conditionalFormatting>
  <conditionalFormatting sqref="R31">
    <cfRule type="cellIs" dxfId="15585" priority="2545" operator="lessThan">
      <formula>0.8</formula>
    </cfRule>
    <cfRule type="cellIs" dxfId="15584" priority="2546" operator="greaterThan">
      <formula>1</formula>
    </cfRule>
  </conditionalFormatting>
  <conditionalFormatting sqref="R31">
    <cfRule type="cellIs" dxfId="15583" priority="2543" operator="greaterThan">
      <formula>1</formula>
    </cfRule>
    <cfRule type="cellIs" dxfId="15582" priority="2544" operator="lessThan">
      <formula>0.8</formula>
    </cfRule>
  </conditionalFormatting>
  <conditionalFormatting sqref="P31">
    <cfRule type="cellIs" dxfId="15581" priority="2542" operator="greaterThan">
      <formula>0</formula>
    </cfRule>
  </conditionalFormatting>
  <conditionalFormatting sqref="P31">
    <cfRule type="cellIs" dxfId="15580" priority="2536" operator="greaterThan">
      <formula>0</formula>
    </cfRule>
  </conditionalFormatting>
  <conditionalFormatting sqref="Q31">
    <cfRule type="cellIs" dxfId="15579" priority="2541" operator="lessThan">
      <formula>0</formula>
    </cfRule>
  </conditionalFormatting>
  <conditionalFormatting sqref="R31">
    <cfRule type="cellIs" dxfId="15578" priority="2539" operator="lessThan">
      <formula>0.8</formula>
    </cfRule>
    <cfRule type="cellIs" dxfId="15577" priority="2540" operator="greaterThan">
      <formula>1</formula>
    </cfRule>
  </conditionalFormatting>
  <conditionalFormatting sqref="R31">
    <cfRule type="cellIs" dxfId="15576" priority="2537" operator="greaterThan">
      <formula>1</formula>
    </cfRule>
    <cfRule type="cellIs" dxfId="15575" priority="2538" operator="lessThan">
      <formula>0.8</formula>
    </cfRule>
  </conditionalFormatting>
  <conditionalFormatting sqref="P31">
    <cfRule type="cellIs" dxfId="15574" priority="2530" operator="greaterThan">
      <formula>0</formula>
    </cfRule>
  </conditionalFormatting>
  <conditionalFormatting sqref="Q31">
    <cfRule type="cellIs" dxfId="15573" priority="2535" operator="lessThan">
      <formula>0</formula>
    </cfRule>
  </conditionalFormatting>
  <conditionalFormatting sqref="R31">
    <cfRule type="cellIs" dxfId="15572" priority="2533" operator="lessThan">
      <formula>0.8</formula>
    </cfRule>
    <cfRule type="cellIs" dxfId="15571" priority="2534" operator="greaterThan">
      <formula>1</formula>
    </cfRule>
  </conditionalFormatting>
  <conditionalFormatting sqref="R31">
    <cfRule type="cellIs" dxfId="15570" priority="2531" operator="greaterThan">
      <formula>1</formula>
    </cfRule>
    <cfRule type="cellIs" dxfId="15569" priority="2532" operator="lessThan">
      <formula>0.8</formula>
    </cfRule>
  </conditionalFormatting>
  <conditionalFormatting sqref="R31">
    <cfRule type="cellIs" dxfId="15568" priority="2527" operator="lessThan">
      <formula>0.8</formula>
    </cfRule>
    <cfRule type="cellIs" dxfId="15567" priority="2528" operator="greaterThan">
      <formula>1</formula>
    </cfRule>
  </conditionalFormatting>
  <conditionalFormatting sqref="R31">
    <cfRule type="cellIs" dxfId="15566" priority="2525" operator="greaterThan">
      <formula>1</formula>
    </cfRule>
    <cfRule type="cellIs" dxfId="15565" priority="2526" operator="lessThan">
      <formula>0.8</formula>
    </cfRule>
  </conditionalFormatting>
  <conditionalFormatting sqref="P31">
    <cfRule type="cellIs" dxfId="15564" priority="2524" operator="greaterThan">
      <formula>0</formula>
    </cfRule>
  </conditionalFormatting>
  <conditionalFormatting sqref="Q31">
    <cfRule type="cellIs" dxfId="15563" priority="2529" operator="lessThan">
      <formula>0</formula>
    </cfRule>
  </conditionalFormatting>
  <conditionalFormatting sqref="Q31">
    <cfRule type="cellIs" dxfId="15562" priority="2523" operator="lessThan">
      <formula>0</formula>
    </cfRule>
  </conditionalFormatting>
  <conditionalFormatting sqref="R31">
    <cfRule type="cellIs" dxfId="15561" priority="2521" operator="lessThan">
      <formula>0.8</formula>
    </cfRule>
    <cfRule type="cellIs" dxfId="15560" priority="2522" operator="greaterThan">
      <formula>1</formula>
    </cfRule>
  </conditionalFormatting>
  <conditionalFormatting sqref="R31">
    <cfRule type="cellIs" dxfId="15559" priority="2519" operator="greaterThan">
      <formula>1</formula>
    </cfRule>
    <cfRule type="cellIs" dxfId="15558" priority="2520" operator="lessThan">
      <formula>0.8</formula>
    </cfRule>
  </conditionalFormatting>
  <conditionalFormatting sqref="P31">
    <cfRule type="cellIs" dxfId="15557" priority="2518" operator="greaterThan">
      <formula>0</formula>
    </cfRule>
  </conditionalFormatting>
  <conditionalFormatting sqref="P31">
    <cfRule type="cellIs" dxfId="15556" priority="2512" operator="greaterThan">
      <formula>0</formula>
    </cfRule>
  </conditionalFormatting>
  <conditionalFormatting sqref="Q31">
    <cfRule type="cellIs" dxfId="15555" priority="2517" operator="lessThan">
      <formula>0</formula>
    </cfRule>
  </conditionalFormatting>
  <conditionalFormatting sqref="R31">
    <cfRule type="cellIs" dxfId="15554" priority="2515" operator="lessThan">
      <formula>0.8</formula>
    </cfRule>
    <cfRule type="cellIs" dxfId="15553" priority="2516" operator="greaterThan">
      <formula>1</formula>
    </cfRule>
  </conditionalFormatting>
  <conditionalFormatting sqref="R31">
    <cfRule type="cellIs" dxfId="15552" priority="2513" operator="greaterThan">
      <formula>1</formula>
    </cfRule>
    <cfRule type="cellIs" dxfId="15551" priority="2514" operator="lessThan">
      <formula>0.8</formula>
    </cfRule>
  </conditionalFormatting>
  <conditionalFormatting sqref="P31">
    <cfRule type="cellIs" dxfId="15550" priority="2506" operator="greaterThan">
      <formula>0</formula>
    </cfRule>
  </conditionalFormatting>
  <conditionalFormatting sqref="Q31">
    <cfRule type="cellIs" dxfId="15549" priority="2511" operator="lessThan">
      <formula>0</formula>
    </cfRule>
  </conditionalFormatting>
  <conditionalFormatting sqref="R31">
    <cfRule type="cellIs" dxfId="15548" priority="2509" operator="lessThan">
      <formula>0.8</formula>
    </cfRule>
    <cfRule type="cellIs" dxfId="15547" priority="2510" operator="greaterThan">
      <formula>1</formula>
    </cfRule>
  </conditionalFormatting>
  <conditionalFormatting sqref="R31">
    <cfRule type="cellIs" dxfId="15546" priority="2507" operator="greaterThan">
      <formula>1</formula>
    </cfRule>
    <cfRule type="cellIs" dxfId="15545" priority="2508" operator="lessThan">
      <formula>0.8</formula>
    </cfRule>
  </conditionalFormatting>
  <conditionalFormatting sqref="R31">
    <cfRule type="cellIs" dxfId="15544" priority="2503" operator="lessThan">
      <formula>0.8</formula>
    </cfRule>
    <cfRule type="cellIs" dxfId="15543" priority="2504" operator="greaterThan">
      <formula>1</formula>
    </cfRule>
  </conditionalFormatting>
  <conditionalFormatting sqref="R31">
    <cfRule type="cellIs" dxfId="15542" priority="2501" operator="greaterThan">
      <formula>1</formula>
    </cfRule>
    <cfRule type="cellIs" dxfId="15541" priority="2502" operator="lessThan">
      <formula>0.8</formula>
    </cfRule>
  </conditionalFormatting>
  <conditionalFormatting sqref="P31">
    <cfRule type="cellIs" dxfId="15540" priority="2500" operator="greaterThan">
      <formula>0</formula>
    </cfRule>
  </conditionalFormatting>
  <conditionalFormatting sqref="Q31">
    <cfRule type="cellIs" dxfId="15539" priority="2505" operator="lessThan">
      <formula>0</formula>
    </cfRule>
  </conditionalFormatting>
  <conditionalFormatting sqref="P31">
    <cfRule type="cellIs" dxfId="15538" priority="2494" operator="greaterThan">
      <formula>0</formula>
    </cfRule>
  </conditionalFormatting>
  <conditionalFormatting sqref="Q31">
    <cfRule type="cellIs" dxfId="15537" priority="2499" operator="lessThan">
      <formula>0</formula>
    </cfRule>
  </conditionalFormatting>
  <conditionalFormatting sqref="R31">
    <cfRule type="cellIs" dxfId="15536" priority="2497" operator="lessThan">
      <formula>0.8</formula>
    </cfRule>
    <cfRule type="cellIs" dxfId="15535" priority="2498" operator="greaterThan">
      <formula>1</formula>
    </cfRule>
  </conditionalFormatting>
  <conditionalFormatting sqref="R31">
    <cfRule type="cellIs" dxfId="15534" priority="2495" operator="greaterThan">
      <formula>1</formula>
    </cfRule>
    <cfRule type="cellIs" dxfId="15533" priority="2496" operator="lessThan">
      <formula>0.8</formula>
    </cfRule>
  </conditionalFormatting>
  <conditionalFormatting sqref="R31">
    <cfRule type="cellIs" dxfId="15532" priority="2491" operator="lessThan">
      <formula>0.8</formula>
    </cfRule>
    <cfRule type="cellIs" dxfId="15531" priority="2492" operator="greaterThan">
      <formula>1</formula>
    </cfRule>
  </conditionalFormatting>
  <conditionalFormatting sqref="R31">
    <cfRule type="cellIs" dxfId="15530" priority="2489" operator="greaterThan">
      <formula>1</formula>
    </cfRule>
    <cfRule type="cellIs" dxfId="15529" priority="2490" operator="lessThan">
      <formula>0.8</formula>
    </cfRule>
  </conditionalFormatting>
  <conditionalFormatting sqref="P31">
    <cfRule type="cellIs" dxfId="15528" priority="2488" operator="greaterThan">
      <formula>0</formula>
    </cfRule>
  </conditionalFormatting>
  <conditionalFormatting sqref="Q31">
    <cfRule type="cellIs" dxfId="15527" priority="2493" operator="lessThan">
      <formula>0</formula>
    </cfRule>
  </conditionalFormatting>
  <conditionalFormatting sqref="R31">
    <cfRule type="cellIs" dxfId="15526" priority="2485" operator="lessThan">
      <formula>0.8</formula>
    </cfRule>
    <cfRule type="cellIs" dxfId="15525" priority="2486" operator="greaterThan">
      <formula>1</formula>
    </cfRule>
  </conditionalFormatting>
  <conditionalFormatting sqref="R31">
    <cfRule type="cellIs" dxfId="15524" priority="2483" operator="greaterThan">
      <formula>1</formula>
    </cfRule>
    <cfRule type="cellIs" dxfId="15523" priority="2484" operator="lessThan">
      <formula>0.8</formula>
    </cfRule>
  </conditionalFormatting>
  <conditionalFormatting sqref="P31">
    <cfRule type="cellIs" dxfId="15522" priority="2482" operator="greaterThan">
      <formula>0</formula>
    </cfRule>
  </conditionalFormatting>
  <conditionalFormatting sqref="Q31">
    <cfRule type="cellIs" dxfId="15521" priority="2487" operator="lessThan">
      <formula>0</formula>
    </cfRule>
  </conditionalFormatting>
  <conditionalFormatting sqref="Q31">
    <cfRule type="cellIs" dxfId="15520" priority="2481" operator="lessThan">
      <formula>0</formula>
    </cfRule>
  </conditionalFormatting>
  <conditionalFormatting sqref="R31">
    <cfRule type="cellIs" dxfId="15519" priority="2479" operator="lessThan">
      <formula>0.8</formula>
    </cfRule>
    <cfRule type="cellIs" dxfId="15518" priority="2480" operator="greaterThan">
      <formula>1</formula>
    </cfRule>
  </conditionalFormatting>
  <conditionalFormatting sqref="R31">
    <cfRule type="cellIs" dxfId="15517" priority="2477" operator="greaterThan">
      <formula>1</formula>
    </cfRule>
    <cfRule type="cellIs" dxfId="15516" priority="2478" operator="lessThan">
      <formula>0.8</formula>
    </cfRule>
  </conditionalFormatting>
  <conditionalFormatting sqref="P31">
    <cfRule type="cellIs" dxfId="15515" priority="2476" operator="greaterThan">
      <formula>0</formula>
    </cfRule>
  </conditionalFormatting>
  <conditionalFormatting sqref="Q31">
    <cfRule type="cellIs" dxfId="15514" priority="2470" operator="lessThan">
      <formula>0</formula>
    </cfRule>
  </conditionalFormatting>
  <conditionalFormatting sqref="R31">
    <cfRule type="cellIs" dxfId="15513" priority="2474" operator="lessThan">
      <formula>0.8</formula>
    </cfRule>
    <cfRule type="cellIs" dxfId="15512" priority="2475" operator="greaterThan">
      <formula>1</formula>
    </cfRule>
  </conditionalFormatting>
  <conditionalFormatting sqref="R31">
    <cfRule type="cellIs" dxfId="15511" priority="2472" operator="greaterThan">
      <formula>1</formula>
    </cfRule>
    <cfRule type="cellIs" dxfId="15510" priority="2473" operator="lessThan">
      <formula>0.8</formula>
    </cfRule>
  </conditionalFormatting>
  <conditionalFormatting sqref="P31">
    <cfRule type="cellIs" dxfId="15509" priority="2471" operator="greaterThan">
      <formula>0</formula>
    </cfRule>
  </conditionalFormatting>
  <conditionalFormatting sqref="Q31">
    <cfRule type="cellIs" dxfId="15508" priority="2469" operator="lessThan">
      <formula>0</formula>
    </cfRule>
  </conditionalFormatting>
  <conditionalFormatting sqref="R31">
    <cfRule type="cellIs" dxfId="15507" priority="2467" operator="lessThan">
      <formula>0.8</formula>
    </cfRule>
    <cfRule type="cellIs" dxfId="15506" priority="2468" operator="greaterThan">
      <formula>1</formula>
    </cfRule>
  </conditionalFormatting>
  <conditionalFormatting sqref="R31">
    <cfRule type="cellIs" dxfId="15505" priority="2465" operator="greaterThan">
      <formula>1</formula>
    </cfRule>
    <cfRule type="cellIs" dxfId="15504" priority="2466" operator="lessThan">
      <formula>0.8</formula>
    </cfRule>
  </conditionalFormatting>
  <conditionalFormatting sqref="P31">
    <cfRule type="cellIs" dxfId="15503" priority="2464" operator="greaterThan">
      <formula>0</formula>
    </cfRule>
  </conditionalFormatting>
  <conditionalFormatting sqref="Q31">
    <cfRule type="cellIs" dxfId="15502" priority="2463" operator="lessThan">
      <formula>0</formula>
    </cfRule>
  </conditionalFormatting>
  <conditionalFormatting sqref="R31">
    <cfRule type="cellIs" dxfId="15501" priority="2461" operator="lessThan">
      <formula>0.8</formula>
    </cfRule>
    <cfRule type="cellIs" dxfId="15500" priority="2462" operator="greaterThan">
      <formula>1</formula>
    </cfRule>
  </conditionalFormatting>
  <conditionalFormatting sqref="R31">
    <cfRule type="cellIs" dxfId="15499" priority="2459" operator="greaterThan">
      <formula>1</formula>
    </cfRule>
    <cfRule type="cellIs" dxfId="15498" priority="2460" operator="lessThan">
      <formula>0.8</formula>
    </cfRule>
  </conditionalFormatting>
  <conditionalFormatting sqref="P31">
    <cfRule type="cellIs" dxfId="15497" priority="2458" operator="greaterThan">
      <formula>0</formula>
    </cfRule>
  </conditionalFormatting>
  <conditionalFormatting sqref="Q31">
    <cfRule type="cellIs" dxfId="15496" priority="2457" operator="lessThan">
      <formula>0</formula>
    </cfRule>
  </conditionalFormatting>
  <conditionalFormatting sqref="R31">
    <cfRule type="cellIs" dxfId="15495" priority="2455" operator="lessThan">
      <formula>0.8</formula>
    </cfRule>
    <cfRule type="cellIs" dxfId="15494" priority="2456" operator="greaterThan">
      <formula>1</formula>
    </cfRule>
  </conditionalFormatting>
  <conditionalFormatting sqref="R31">
    <cfRule type="cellIs" dxfId="15493" priority="2453" operator="greaterThan">
      <formula>1</formula>
    </cfRule>
    <cfRule type="cellIs" dxfId="15492" priority="2454" operator="lessThan">
      <formula>0.8</formula>
    </cfRule>
  </conditionalFormatting>
  <conditionalFormatting sqref="P31">
    <cfRule type="cellIs" dxfId="15491" priority="2452" operator="greaterThan">
      <formula>0</formula>
    </cfRule>
  </conditionalFormatting>
  <conditionalFormatting sqref="Q31">
    <cfRule type="cellIs" dxfId="15490" priority="2451" operator="lessThan">
      <formula>0</formula>
    </cfRule>
  </conditionalFormatting>
  <conditionalFormatting sqref="R31">
    <cfRule type="cellIs" dxfId="15489" priority="2449" operator="lessThan">
      <formula>0.8</formula>
    </cfRule>
    <cfRule type="cellIs" dxfId="15488" priority="2450" operator="greaterThan">
      <formula>1</formula>
    </cfRule>
  </conditionalFormatting>
  <conditionalFormatting sqref="R31">
    <cfRule type="cellIs" dxfId="15487" priority="2447" operator="greaterThan">
      <formula>1</formula>
    </cfRule>
    <cfRule type="cellIs" dxfId="15486" priority="2448" operator="lessThan">
      <formula>0.8</formula>
    </cfRule>
  </conditionalFormatting>
  <conditionalFormatting sqref="P31">
    <cfRule type="cellIs" dxfId="15485" priority="2446" operator="greaterThan">
      <formula>0</formula>
    </cfRule>
  </conditionalFormatting>
  <conditionalFormatting sqref="Q31">
    <cfRule type="cellIs" dxfId="15484" priority="2445" operator="lessThan">
      <formula>0</formula>
    </cfRule>
  </conditionalFormatting>
  <conditionalFormatting sqref="R31">
    <cfRule type="cellIs" dxfId="15483" priority="2443" operator="lessThan">
      <formula>0.8</formula>
    </cfRule>
    <cfRule type="cellIs" dxfId="15482" priority="2444" operator="greaterThan">
      <formula>1</formula>
    </cfRule>
  </conditionalFormatting>
  <conditionalFormatting sqref="R31">
    <cfRule type="cellIs" dxfId="15481" priority="2441" operator="greaterThan">
      <formula>1</formula>
    </cfRule>
    <cfRule type="cellIs" dxfId="15480" priority="2442" operator="lessThan">
      <formula>0.8</formula>
    </cfRule>
  </conditionalFormatting>
  <conditionalFormatting sqref="P31">
    <cfRule type="cellIs" dxfId="15479" priority="2440" operator="greaterThan">
      <formula>0</formula>
    </cfRule>
  </conditionalFormatting>
  <conditionalFormatting sqref="P31">
    <cfRule type="cellIs" dxfId="15478" priority="2434" operator="greaterThan">
      <formula>0</formula>
    </cfRule>
  </conditionalFormatting>
  <conditionalFormatting sqref="Q31">
    <cfRule type="cellIs" dxfId="15477" priority="2439" operator="lessThan">
      <formula>0</formula>
    </cfRule>
  </conditionalFormatting>
  <conditionalFormatting sqref="R31">
    <cfRule type="cellIs" dxfId="15476" priority="2437" operator="lessThan">
      <formula>0.8</formula>
    </cfRule>
    <cfRule type="cellIs" dxfId="15475" priority="2438" operator="greaterThan">
      <formula>1</formula>
    </cfRule>
  </conditionalFormatting>
  <conditionalFormatting sqref="R31">
    <cfRule type="cellIs" dxfId="15474" priority="2435" operator="greaterThan">
      <formula>1</formula>
    </cfRule>
    <cfRule type="cellIs" dxfId="15473" priority="2436" operator="lessThan">
      <formula>0.8</formula>
    </cfRule>
  </conditionalFormatting>
  <conditionalFormatting sqref="P31">
    <cfRule type="cellIs" dxfId="15472" priority="2428" operator="greaterThan">
      <formula>0</formula>
    </cfRule>
  </conditionalFormatting>
  <conditionalFormatting sqref="Q31">
    <cfRule type="cellIs" dxfId="15471" priority="2433" operator="lessThan">
      <formula>0</formula>
    </cfRule>
  </conditionalFormatting>
  <conditionalFormatting sqref="R31">
    <cfRule type="cellIs" dxfId="15470" priority="2431" operator="lessThan">
      <formula>0.8</formula>
    </cfRule>
    <cfRule type="cellIs" dxfId="15469" priority="2432" operator="greaterThan">
      <formula>1</formula>
    </cfRule>
  </conditionalFormatting>
  <conditionalFormatting sqref="R31">
    <cfRule type="cellIs" dxfId="15468" priority="2429" operator="greaterThan">
      <formula>1</formula>
    </cfRule>
    <cfRule type="cellIs" dxfId="15467" priority="2430" operator="lessThan">
      <formula>0.8</formula>
    </cfRule>
  </conditionalFormatting>
  <conditionalFormatting sqref="R31">
    <cfRule type="cellIs" dxfId="15466" priority="2425" operator="lessThan">
      <formula>0.8</formula>
    </cfRule>
    <cfRule type="cellIs" dxfId="15465" priority="2426" operator="greaterThan">
      <formula>1</formula>
    </cfRule>
  </conditionalFormatting>
  <conditionalFormatting sqref="R31">
    <cfRule type="cellIs" dxfId="15464" priority="2423" operator="greaterThan">
      <formula>1</formula>
    </cfRule>
    <cfRule type="cellIs" dxfId="15463" priority="2424" operator="lessThan">
      <formula>0.8</formula>
    </cfRule>
  </conditionalFormatting>
  <conditionalFormatting sqref="P31">
    <cfRule type="cellIs" dxfId="15462" priority="2422" operator="greaterThan">
      <formula>0</formula>
    </cfRule>
  </conditionalFormatting>
  <conditionalFormatting sqref="Q31">
    <cfRule type="cellIs" dxfId="15461" priority="2427" operator="lessThan">
      <formula>0</formula>
    </cfRule>
  </conditionalFormatting>
  <conditionalFormatting sqref="Q31">
    <cfRule type="cellIs" dxfId="15460" priority="2421" operator="lessThan">
      <formula>0</formula>
    </cfRule>
  </conditionalFormatting>
  <conditionalFormatting sqref="R31">
    <cfRule type="cellIs" dxfId="15459" priority="2419" operator="lessThan">
      <formula>0.8</formula>
    </cfRule>
    <cfRule type="cellIs" dxfId="15458" priority="2420" operator="greaterThan">
      <formula>1</formula>
    </cfRule>
  </conditionalFormatting>
  <conditionalFormatting sqref="R31">
    <cfRule type="cellIs" dxfId="15457" priority="2417" operator="greaterThan">
      <formula>1</formula>
    </cfRule>
    <cfRule type="cellIs" dxfId="15456" priority="2418" operator="lessThan">
      <formula>0.8</formula>
    </cfRule>
  </conditionalFormatting>
  <conditionalFormatting sqref="P31">
    <cfRule type="cellIs" dxfId="15455" priority="2416" operator="greaterThan">
      <formula>0</formula>
    </cfRule>
  </conditionalFormatting>
  <conditionalFormatting sqref="Q31">
    <cfRule type="cellIs" dxfId="15454" priority="2415" operator="lessThan">
      <formula>0</formula>
    </cfRule>
  </conditionalFormatting>
  <conditionalFormatting sqref="R31">
    <cfRule type="cellIs" dxfId="15453" priority="2413" operator="lessThan">
      <formula>0.8</formula>
    </cfRule>
    <cfRule type="cellIs" dxfId="15452" priority="2414" operator="greaterThan">
      <formula>1</formula>
    </cfRule>
  </conditionalFormatting>
  <conditionalFormatting sqref="R31">
    <cfRule type="cellIs" dxfId="15451" priority="2411" operator="greaterThan">
      <formula>1</formula>
    </cfRule>
    <cfRule type="cellIs" dxfId="15450" priority="2412" operator="lessThan">
      <formula>0.8</formula>
    </cfRule>
  </conditionalFormatting>
  <conditionalFormatting sqref="P31">
    <cfRule type="cellIs" dxfId="15449" priority="2410" operator="greaterThan">
      <formula>0</formula>
    </cfRule>
  </conditionalFormatting>
  <conditionalFormatting sqref="Q31">
    <cfRule type="cellIs" dxfId="15448" priority="2409" operator="lessThan">
      <formula>0</formula>
    </cfRule>
  </conditionalFormatting>
  <conditionalFormatting sqref="R31">
    <cfRule type="cellIs" dxfId="15447" priority="2407" operator="lessThan">
      <formula>0.8</formula>
    </cfRule>
    <cfRule type="cellIs" dxfId="15446" priority="2408" operator="greaterThan">
      <formula>1</formula>
    </cfRule>
  </conditionalFormatting>
  <conditionalFormatting sqref="R31">
    <cfRule type="cellIs" dxfId="15445" priority="2405" operator="greaterThan">
      <formula>1</formula>
    </cfRule>
    <cfRule type="cellIs" dxfId="15444" priority="2406" operator="lessThan">
      <formula>0.8</formula>
    </cfRule>
  </conditionalFormatting>
  <conditionalFormatting sqref="P31">
    <cfRule type="cellIs" dxfId="15443" priority="2404" operator="greaterThan">
      <formula>0</formula>
    </cfRule>
  </conditionalFormatting>
  <conditionalFormatting sqref="Q31">
    <cfRule type="cellIs" dxfId="15442" priority="2403" operator="lessThan">
      <formula>0</formula>
    </cfRule>
  </conditionalFormatting>
  <conditionalFormatting sqref="R31">
    <cfRule type="cellIs" dxfId="15441" priority="2401" operator="lessThan">
      <formula>0.8</formula>
    </cfRule>
    <cfRule type="cellIs" dxfId="15440" priority="2402" operator="greaterThan">
      <formula>1</formula>
    </cfRule>
  </conditionalFormatting>
  <conditionalFormatting sqref="R31">
    <cfRule type="cellIs" dxfId="15439" priority="2399" operator="greaterThan">
      <formula>1</formula>
    </cfRule>
    <cfRule type="cellIs" dxfId="15438" priority="2400" operator="lessThan">
      <formula>0.8</formula>
    </cfRule>
  </conditionalFormatting>
  <conditionalFormatting sqref="P31">
    <cfRule type="cellIs" dxfId="15437" priority="2398" operator="greaterThan">
      <formula>0</formula>
    </cfRule>
  </conditionalFormatting>
  <conditionalFormatting sqref="P31">
    <cfRule type="cellIs" dxfId="15436" priority="2392" operator="greaterThan">
      <formula>0</formula>
    </cfRule>
  </conditionalFormatting>
  <conditionalFormatting sqref="Q31">
    <cfRule type="cellIs" dxfId="15435" priority="2397" operator="lessThan">
      <formula>0</formula>
    </cfRule>
  </conditionalFormatting>
  <conditionalFormatting sqref="R31">
    <cfRule type="cellIs" dxfId="15434" priority="2395" operator="lessThan">
      <formula>0.8</formula>
    </cfRule>
    <cfRule type="cellIs" dxfId="15433" priority="2396" operator="greaterThan">
      <formula>1</formula>
    </cfRule>
  </conditionalFormatting>
  <conditionalFormatting sqref="R31">
    <cfRule type="cellIs" dxfId="15432" priority="2393" operator="greaterThan">
      <formula>1</formula>
    </cfRule>
    <cfRule type="cellIs" dxfId="15431" priority="2394" operator="lessThan">
      <formula>0.8</formula>
    </cfRule>
  </conditionalFormatting>
  <conditionalFormatting sqref="P31">
    <cfRule type="cellIs" dxfId="15430" priority="2386" operator="greaterThan">
      <formula>0</formula>
    </cfRule>
  </conditionalFormatting>
  <conditionalFormatting sqref="Q31">
    <cfRule type="cellIs" dxfId="15429" priority="2391" operator="lessThan">
      <formula>0</formula>
    </cfRule>
  </conditionalFormatting>
  <conditionalFormatting sqref="R31">
    <cfRule type="cellIs" dxfId="15428" priority="2389" operator="lessThan">
      <formula>0.8</formula>
    </cfRule>
    <cfRule type="cellIs" dxfId="15427" priority="2390" operator="greaterThan">
      <formula>1</formula>
    </cfRule>
  </conditionalFormatting>
  <conditionalFormatting sqref="R31">
    <cfRule type="cellIs" dxfId="15426" priority="2387" operator="greaterThan">
      <formula>1</formula>
    </cfRule>
    <cfRule type="cellIs" dxfId="15425" priority="2388" operator="lessThan">
      <formula>0.8</formula>
    </cfRule>
  </conditionalFormatting>
  <conditionalFormatting sqref="R31">
    <cfRule type="cellIs" dxfId="15424" priority="2383" operator="lessThan">
      <formula>0.8</formula>
    </cfRule>
    <cfRule type="cellIs" dxfId="15423" priority="2384" operator="greaterThan">
      <formula>1</formula>
    </cfRule>
  </conditionalFormatting>
  <conditionalFormatting sqref="R31">
    <cfRule type="cellIs" dxfId="15422" priority="2381" operator="greaterThan">
      <formula>1</formula>
    </cfRule>
    <cfRule type="cellIs" dxfId="15421" priority="2382" operator="lessThan">
      <formula>0.8</formula>
    </cfRule>
  </conditionalFormatting>
  <conditionalFormatting sqref="P31">
    <cfRule type="cellIs" dxfId="15420" priority="2380" operator="greaterThan">
      <formula>0</formula>
    </cfRule>
  </conditionalFormatting>
  <conditionalFormatting sqref="Q31">
    <cfRule type="cellIs" dxfId="15419" priority="2385" operator="lessThan">
      <formula>0</formula>
    </cfRule>
  </conditionalFormatting>
  <conditionalFormatting sqref="Q31">
    <cfRule type="cellIs" dxfId="15418" priority="2379" operator="lessThan">
      <formula>0</formula>
    </cfRule>
  </conditionalFormatting>
  <conditionalFormatting sqref="R31">
    <cfRule type="cellIs" dxfId="15417" priority="2377" operator="lessThan">
      <formula>0.8</formula>
    </cfRule>
    <cfRule type="cellIs" dxfId="15416" priority="2378" operator="greaterThan">
      <formula>1</formula>
    </cfRule>
  </conditionalFormatting>
  <conditionalFormatting sqref="R31">
    <cfRule type="cellIs" dxfId="15415" priority="2375" operator="greaterThan">
      <formula>1</formula>
    </cfRule>
    <cfRule type="cellIs" dxfId="15414" priority="2376" operator="lessThan">
      <formula>0.8</formula>
    </cfRule>
  </conditionalFormatting>
  <conditionalFormatting sqref="P31">
    <cfRule type="cellIs" dxfId="15413" priority="2374" operator="greaterThan">
      <formula>0</formula>
    </cfRule>
  </conditionalFormatting>
  <conditionalFormatting sqref="P31">
    <cfRule type="cellIs" dxfId="15412" priority="2368" operator="greaterThan">
      <formula>0</formula>
    </cfRule>
  </conditionalFormatting>
  <conditionalFormatting sqref="Q31">
    <cfRule type="cellIs" dxfId="15411" priority="2373" operator="lessThan">
      <formula>0</formula>
    </cfRule>
  </conditionalFormatting>
  <conditionalFormatting sqref="R31">
    <cfRule type="cellIs" dxfId="15410" priority="2371" operator="lessThan">
      <formula>0.8</formula>
    </cfRule>
    <cfRule type="cellIs" dxfId="15409" priority="2372" operator="greaterThan">
      <formula>1</formula>
    </cfRule>
  </conditionalFormatting>
  <conditionalFormatting sqref="R31">
    <cfRule type="cellIs" dxfId="15408" priority="2369" operator="greaterThan">
      <formula>1</formula>
    </cfRule>
    <cfRule type="cellIs" dxfId="15407" priority="2370" operator="lessThan">
      <formula>0.8</formula>
    </cfRule>
  </conditionalFormatting>
  <conditionalFormatting sqref="P31">
    <cfRule type="cellIs" dxfId="15406" priority="2362" operator="greaterThan">
      <formula>0</formula>
    </cfRule>
  </conditionalFormatting>
  <conditionalFormatting sqref="Q31">
    <cfRule type="cellIs" dxfId="15405" priority="2367" operator="lessThan">
      <formula>0</formula>
    </cfRule>
  </conditionalFormatting>
  <conditionalFormatting sqref="R31">
    <cfRule type="cellIs" dxfId="15404" priority="2365" operator="lessThan">
      <formula>0.8</formula>
    </cfRule>
    <cfRule type="cellIs" dxfId="15403" priority="2366" operator="greaterThan">
      <formula>1</formula>
    </cfRule>
  </conditionalFormatting>
  <conditionalFormatting sqref="R31">
    <cfRule type="cellIs" dxfId="15402" priority="2363" operator="greaterThan">
      <formula>1</formula>
    </cfRule>
    <cfRule type="cellIs" dxfId="15401" priority="2364" operator="lessThan">
      <formula>0.8</formula>
    </cfRule>
  </conditionalFormatting>
  <conditionalFormatting sqref="R31">
    <cfRule type="cellIs" dxfId="15400" priority="2359" operator="lessThan">
      <formula>0.8</formula>
    </cfRule>
    <cfRule type="cellIs" dxfId="15399" priority="2360" operator="greaterThan">
      <formula>1</formula>
    </cfRule>
  </conditionalFormatting>
  <conditionalFormatting sqref="R31">
    <cfRule type="cellIs" dxfId="15398" priority="2357" operator="greaterThan">
      <formula>1</formula>
    </cfRule>
    <cfRule type="cellIs" dxfId="15397" priority="2358" operator="lessThan">
      <formula>0.8</formula>
    </cfRule>
  </conditionalFormatting>
  <conditionalFormatting sqref="P31">
    <cfRule type="cellIs" dxfId="15396" priority="2356" operator="greaterThan">
      <formula>0</formula>
    </cfRule>
  </conditionalFormatting>
  <conditionalFormatting sqref="Q31">
    <cfRule type="cellIs" dxfId="15395" priority="2361" operator="lessThan">
      <formula>0</formula>
    </cfRule>
  </conditionalFormatting>
  <conditionalFormatting sqref="P31">
    <cfRule type="cellIs" dxfId="15394" priority="2350" operator="greaterThan">
      <formula>0</formula>
    </cfRule>
  </conditionalFormatting>
  <conditionalFormatting sqref="Q31">
    <cfRule type="cellIs" dxfId="15393" priority="2355" operator="lessThan">
      <formula>0</formula>
    </cfRule>
  </conditionalFormatting>
  <conditionalFormatting sqref="R31">
    <cfRule type="cellIs" dxfId="15392" priority="2353" operator="lessThan">
      <formula>0.8</formula>
    </cfRule>
    <cfRule type="cellIs" dxfId="15391" priority="2354" operator="greaterThan">
      <formula>1</formula>
    </cfRule>
  </conditionalFormatting>
  <conditionalFormatting sqref="R31">
    <cfRule type="cellIs" dxfId="15390" priority="2351" operator="greaterThan">
      <formula>1</formula>
    </cfRule>
    <cfRule type="cellIs" dxfId="15389" priority="2352" operator="lessThan">
      <formula>0.8</formula>
    </cfRule>
  </conditionalFormatting>
  <conditionalFormatting sqref="R31">
    <cfRule type="cellIs" dxfId="15388" priority="2347" operator="lessThan">
      <formula>0.8</formula>
    </cfRule>
    <cfRule type="cellIs" dxfId="15387" priority="2348" operator="greaterThan">
      <formula>1</formula>
    </cfRule>
  </conditionalFormatting>
  <conditionalFormatting sqref="R31">
    <cfRule type="cellIs" dxfId="15386" priority="2345" operator="greaterThan">
      <formula>1</formula>
    </cfRule>
    <cfRule type="cellIs" dxfId="15385" priority="2346" operator="lessThan">
      <formula>0.8</formula>
    </cfRule>
  </conditionalFormatting>
  <conditionalFormatting sqref="P31">
    <cfRule type="cellIs" dxfId="15384" priority="2344" operator="greaterThan">
      <formula>0</formula>
    </cfRule>
  </conditionalFormatting>
  <conditionalFormatting sqref="Q31">
    <cfRule type="cellIs" dxfId="15383" priority="2349" operator="lessThan">
      <formula>0</formula>
    </cfRule>
  </conditionalFormatting>
  <conditionalFormatting sqref="R31">
    <cfRule type="cellIs" dxfId="15382" priority="2341" operator="lessThan">
      <formula>0.8</formula>
    </cfRule>
    <cfRule type="cellIs" dxfId="15381" priority="2342" operator="greaterThan">
      <formula>1</formula>
    </cfRule>
  </conditionalFormatting>
  <conditionalFormatting sqref="R31">
    <cfRule type="cellIs" dxfId="15380" priority="2339" operator="greaterThan">
      <formula>1</formula>
    </cfRule>
    <cfRule type="cellIs" dxfId="15379" priority="2340" operator="lessThan">
      <formula>0.8</formula>
    </cfRule>
  </conditionalFormatting>
  <conditionalFormatting sqref="P31">
    <cfRule type="cellIs" dxfId="15378" priority="2338" operator="greaterThan">
      <formula>0</formula>
    </cfRule>
  </conditionalFormatting>
  <conditionalFormatting sqref="Q31">
    <cfRule type="cellIs" dxfId="15377" priority="2343" operator="lessThan">
      <formula>0</formula>
    </cfRule>
  </conditionalFormatting>
  <conditionalFormatting sqref="Q31">
    <cfRule type="cellIs" dxfId="15376" priority="2337" operator="lessThan">
      <formula>0</formula>
    </cfRule>
  </conditionalFormatting>
  <conditionalFormatting sqref="R31">
    <cfRule type="cellIs" dxfId="15375" priority="2335" operator="lessThan">
      <formula>0.8</formula>
    </cfRule>
    <cfRule type="cellIs" dxfId="15374" priority="2336" operator="greaterThan">
      <formula>1</formula>
    </cfRule>
  </conditionalFormatting>
  <conditionalFormatting sqref="R31">
    <cfRule type="cellIs" dxfId="15373" priority="2333" operator="greaterThan">
      <formula>1</formula>
    </cfRule>
    <cfRule type="cellIs" dxfId="15372" priority="2334" operator="lessThan">
      <formula>0.8</formula>
    </cfRule>
  </conditionalFormatting>
  <conditionalFormatting sqref="P31">
    <cfRule type="cellIs" dxfId="15371" priority="2332" operator="greaterThan">
      <formula>0</formula>
    </cfRule>
  </conditionalFormatting>
  <conditionalFormatting sqref="Q31">
    <cfRule type="cellIs" dxfId="15370" priority="2326" operator="lessThan">
      <formula>0</formula>
    </cfRule>
  </conditionalFormatting>
  <conditionalFormatting sqref="R31">
    <cfRule type="cellIs" dxfId="15369" priority="2330" operator="lessThan">
      <formula>0.8</formula>
    </cfRule>
    <cfRule type="cellIs" dxfId="15368" priority="2331" operator="greaterThan">
      <formula>1</formula>
    </cfRule>
  </conditionalFormatting>
  <conditionalFormatting sqref="R31">
    <cfRule type="cellIs" dxfId="15367" priority="2328" operator="greaterThan">
      <formula>1</formula>
    </cfRule>
    <cfRule type="cellIs" dxfId="15366" priority="2329" operator="lessThan">
      <formula>0.8</formula>
    </cfRule>
  </conditionalFormatting>
  <conditionalFormatting sqref="P31">
    <cfRule type="cellIs" dxfId="15365" priority="2327" operator="greaterThan">
      <formula>0</formula>
    </cfRule>
  </conditionalFormatting>
  <conditionalFormatting sqref="Q31">
    <cfRule type="cellIs" dxfId="15364" priority="2325" operator="lessThan">
      <formula>0</formula>
    </cfRule>
  </conditionalFormatting>
  <conditionalFormatting sqref="R31">
    <cfRule type="cellIs" dxfId="15363" priority="2323" operator="lessThan">
      <formula>0.8</formula>
    </cfRule>
    <cfRule type="cellIs" dxfId="15362" priority="2324" operator="greaterThan">
      <formula>1</formula>
    </cfRule>
  </conditionalFormatting>
  <conditionalFormatting sqref="R31">
    <cfRule type="cellIs" dxfId="15361" priority="2321" operator="greaterThan">
      <formula>1</formula>
    </cfRule>
    <cfRule type="cellIs" dxfId="15360" priority="2322" operator="lessThan">
      <formula>0.8</formula>
    </cfRule>
  </conditionalFormatting>
  <conditionalFormatting sqref="P31">
    <cfRule type="cellIs" dxfId="15359" priority="2320" operator="greaterThan">
      <formula>0</formula>
    </cfRule>
  </conditionalFormatting>
  <conditionalFormatting sqref="Q31">
    <cfRule type="cellIs" dxfId="15358" priority="2319" operator="lessThan">
      <formula>0</formula>
    </cfRule>
  </conditionalFormatting>
  <conditionalFormatting sqref="R31">
    <cfRule type="cellIs" dxfId="15357" priority="2317" operator="lessThan">
      <formula>0.8</formula>
    </cfRule>
    <cfRule type="cellIs" dxfId="15356" priority="2318" operator="greaterThan">
      <formula>1</formula>
    </cfRule>
  </conditionalFormatting>
  <conditionalFormatting sqref="R31">
    <cfRule type="cellIs" dxfId="15355" priority="2315" operator="greaterThan">
      <formula>1</formula>
    </cfRule>
    <cfRule type="cellIs" dxfId="15354" priority="2316" operator="lessThan">
      <formula>0.8</formula>
    </cfRule>
  </conditionalFormatting>
  <conditionalFormatting sqref="P31">
    <cfRule type="cellIs" dxfId="15353" priority="2314" operator="greaterThan">
      <formula>0</formula>
    </cfRule>
  </conditionalFormatting>
  <conditionalFormatting sqref="Q31">
    <cfRule type="cellIs" dxfId="15352" priority="2313" operator="lessThan">
      <formula>0</formula>
    </cfRule>
  </conditionalFormatting>
  <conditionalFormatting sqref="R31">
    <cfRule type="cellIs" dxfId="15351" priority="2311" operator="lessThan">
      <formula>0.8</formula>
    </cfRule>
    <cfRule type="cellIs" dxfId="15350" priority="2312" operator="greaterThan">
      <formula>1</formula>
    </cfRule>
  </conditionalFormatting>
  <conditionalFormatting sqref="R31">
    <cfRule type="cellIs" dxfId="15349" priority="2309" operator="greaterThan">
      <formula>1</formula>
    </cfRule>
    <cfRule type="cellIs" dxfId="15348" priority="2310" operator="lessThan">
      <formula>0.8</formula>
    </cfRule>
  </conditionalFormatting>
  <conditionalFormatting sqref="P31">
    <cfRule type="cellIs" dxfId="15347" priority="2308" operator="greaterThan">
      <formula>0</formula>
    </cfRule>
  </conditionalFormatting>
  <conditionalFormatting sqref="Q31">
    <cfRule type="cellIs" dxfId="15346" priority="2307" operator="lessThan">
      <formula>0</formula>
    </cfRule>
  </conditionalFormatting>
  <conditionalFormatting sqref="R31">
    <cfRule type="cellIs" dxfId="15345" priority="2305" operator="lessThan">
      <formula>0.8</formula>
    </cfRule>
    <cfRule type="cellIs" dxfId="15344" priority="2306" operator="greaterThan">
      <formula>1</formula>
    </cfRule>
  </conditionalFormatting>
  <conditionalFormatting sqref="R31">
    <cfRule type="cellIs" dxfId="15343" priority="2303" operator="greaterThan">
      <formula>1</formula>
    </cfRule>
    <cfRule type="cellIs" dxfId="15342" priority="2304" operator="lessThan">
      <formula>0.8</formula>
    </cfRule>
  </conditionalFormatting>
  <conditionalFormatting sqref="P31">
    <cfRule type="cellIs" dxfId="15341" priority="2302" operator="greaterThan">
      <formula>0</formula>
    </cfRule>
  </conditionalFormatting>
  <conditionalFormatting sqref="Q31">
    <cfRule type="cellIs" dxfId="15340" priority="2301" operator="lessThan">
      <formula>0</formula>
    </cfRule>
  </conditionalFormatting>
  <conditionalFormatting sqref="R31">
    <cfRule type="cellIs" dxfId="15339" priority="2299" operator="lessThan">
      <formula>0.8</formula>
    </cfRule>
    <cfRule type="cellIs" dxfId="15338" priority="2300" operator="greaterThan">
      <formula>1</formula>
    </cfRule>
  </conditionalFormatting>
  <conditionalFormatting sqref="R31">
    <cfRule type="cellIs" dxfId="15337" priority="2297" operator="greaterThan">
      <formula>1</formula>
    </cfRule>
    <cfRule type="cellIs" dxfId="15336" priority="2298" operator="lessThan">
      <formula>0.8</formula>
    </cfRule>
  </conditionalFormatting>
  <conditionalFormatting sqref="P31">
    <cfRule type="cellIs" dxfId="15335" priority="2296" operator="greaterThan">
      <formula>0</formula>
    </cfRule>
  </conditionalFormatting>
  <conditionalFormatting sqref="P31">
    <cfRule type="cellIs" dxfId="15334" priority="2290" operator="greaterThan">
      <formula>0</formula>
    </cfRule>
  </conditionalFormatting>
  <conditionalFormatting sqref="Q31">
    <cfRule type="cellIs" dxfId="15333" priority="2295" operator="lessThan">
      <formula>0</formula>
    </cfRule>
  </conditionalFormatting>
  <conditionalFormatting sqref="R31">
    <cfRule type="cellIs" dxfId="15332" priority="2293" operator="lessThan">
      <formula>0.8</formula>
    </cfRule>
    <cfRule type="cellIs" dxfId="15331" priority="2294" operator="greaterThan">
      <formula>1</formula>
    </cfRule>
  </conditionalFormatting>
  <conditionalFormatting sqref="R31">
    <cfRule type="cellIs" dxfId="15330" priority="2291" operator="greaterThan">
      <formula>1</formula>
    </cfRule>
    <cfRule type="cellIs" dxfId="15329" priority="2292" operator="lessThan">
      <formula>0.8</formula>
    </cfRule>
  </conditionalFormatting>
  <conditionalFormatting sqref="P31">
    <cfRule type="cellIs" dxfId="15328" priority="2284" operator="greaterThan">
      <formula>0</formula>
    </cfRule>
  </conditionalFormatting>
  <conditionalFormatting sqref="Q31">
    <cfRule type="cellIs" dxfId="15327" priority="2289" operator="lessThan">
      <formula>0</formula>
    </cfRule>
  </conditionalFormatting>
  <conditionalFormatting sqref="R31">
    <cfRule type="cellIs" dxfId="15326" priority="2287" operator="lessThan">
      <formula>0.8</formula>
    </cfRule>
    <cfRule type="cellIs" dxfId="15325" priority="2288" operator="greaterThan">
      <formula>1</formula>
    </cfRule>
  </conditionalFormatting>
  <conditionalFormatting sqref="R31">
    <cfRule type="cellIs" dxfId="15324" priority="2285" operator="greaterThan">
      <formula>1</formula>
    </cfRule>
    <cfRule type="cellIs" dxfId="15323" priority="2286" operator="lessThan">
      <formula>0.8</formula>
    </cfRule>
  </conditionalFormatting>
  <conditionalFormatting sqref="R31">
    <cfRule type="cellIs" dxfId="15322" priority="2281" operator="lessThan">
      <formula>0.8</formula>
    </cfRule>
    <cfRule type="cellIs" dxfId="15321" priority="2282" operator="greaterThan">
      <formula>1</formula>
    </cfRule>
  </conditionalFormatting>
  <conditionalFormatting sqref="R31">
    <cfRule type="cellIs" dxfId="15320" priority="2279" operator="greaterThan">
      <formula>1</formula>
    </cfRule>
    <cfRule type="cellIs" dxfId="15319" priority="2280" operator="lessThan">
      <formula>0.8</formula>
    </cfRule>
  </conditionalFormatting>
  <conditionalFormatting sqref="P31">
    <cfRule type="cellIs" dxfId="15318" priority="2278" operator="greaterThan">
      <formula>0</formula>
    </cfRule>
  </conditionalFormatting>
  <conditionalFormatting sqref="Q31">
    <cfRule type="cellIs" dxfId="15317" priority="2283" operator="lessThan">
      <formula>0</formula>
    </cfRule>
  </conditionalFormatting>
  <conditionalFormatting sqref="P79">
    <cfRule type="cellIs" dxfId="15316" priority="2272" operator="greaterThan">
      <formula>0</formula>
    </cfRule>
  </conditionalFormatting>
  <conditionalFormatting sqref="Q79">
    <cfRule type="cellIs" dxfId="15315" priority="2277" operator="lessThan">
      <formula>0</formula>
    </cfRule>
  </conditionalFormatting>
  <conditionalFormatting sqref="R79">
    <cfRule type="cellIs" dxfId="15314" priority="2275" operator="lessThan">
      <formula>0.8</formula>
    </cfRule>
    <cfRule type="cellIs" dxfId="15313" priority="2276" operator="greaterThan">
      <formula>1</formula>
    </cfRule>
  </conditionalFormatting>
  <conditionalFormatting sqref="R79">
    <cfRule type="cellIs" dxfId="15312" priority="2273" operator="greaterThan">
      <formula>1</formula>
    </cfRule>
    <cfRule type="cellIs" dxfId="15311" priority="2274" operator="lessThan">
      <formula>0.8</formula>
    </cfRule>
  </conditionalFormatting>
  <conditionalFormatting sqref="Q79">
    <cfRule type="cellIs" dxfId="15310" priority="2271" operator="lessThan">
      <formula>0</formula>
    </cfRule>
  </conditionalFormatting>
  <conditionalFormatting sqref="R79">
    <cfRule type="cellIs" dxfId="15309" priority="2269" operator="lessThan">
      <formula>0.8</formula>
    </cfRule>
    <cfRule type="cellIs" dxfId="15308" priority="2270" operator="greaterThan">
      <formula>1</formula>
    </cfRule>
  </conditionalFormatting>
  <conditionalFormatting sqref="R79">
    <cfRule type="cellIs" dxfId="15307" priority="2267" operator="greaterThan">
      <formula>1</formula>
    </cfRule>
    <cfRule type="cellIs" dxfId="15306" priority="2268" operator="lessThan">
      <formula>0.8</formula>
    </cfRule>
  </conditionalFormatting>
  <conditionalFormatting sqref="P79">
    <cfRule type="cellIs" dxfId="15305" priority="2266" operator="greaterThan">
      <formula>0</formula>
    </cfRule>
  </conditionalFormatting>
  <conditionalFormatting sqref="P79">
    <cfRule type="cellIs" dxfId="15304" priority="2260" operator="greaterThan">
      <formula>0</formula>
    </cfRule>
  </conditionalFormatting>
  <conditionalFormatting sqref="Q79">
    <cfRule type="cellIs" dxfId="15303" priority="2265" operator="lessThan">
      <formula>0</formula>
    </cfRule>
  </conditionalFormatting>
  <conditionalFormatting sqref="R79">
    <cfRule type="cellIs" dxfId="15302" priority="2263" operator="lessThan">
      <formula>0.8</formula>
    </cfRule>
    <cfRule type="cellIs" dxfId="15301" priority="2264" operator="greaterThan">
      <formula>1</formula>
    </cfRule>
  </conditionalFormatting>
  <conditionalFormatting sqref="R79">
    <cfRule type="cellIs" dxfId="15300" priority="2261" operator="greaterThan">
      <formula>1</formula>
    </cfRule>
    <cfRule type="cellIs" dxfId="15299" priority="2262" operator="lessThan">
      <formula>0.8</formula>
    </cfRule>
  </conditionalFormatting>
  <conditionalFormatting sqref="Q79">
    <cfRule type="cellIs" dxfId="15298" priority="2254" operator="lessThan">
      <formula>0</formula>
    </cfRule>
  </conditionalFormatting>
  <conditionalFormatting sqref="P79">
    <cfRule type="cellIs" dxfId="15297" priority="2255" operator="greaterThan">
      <formula>0</formula>
    </cfRule>
  </conditionalFormatting>
  <conditionalFormatting sqref="R79">
    <cfRule type="cellIs" dxfId="15296" priority="2258" operator="lessThan">
      <formula>0.8</formula>
    </cfRule>
    <cfRule type="cellIs" dxfId="15295" priority="2259" operator="greaterThan">
      <formula>1</formula>
    </cfRule>
  </conditionalFormatting>
  <conditionalFormatting sqref="R79">
    <cfRule type="cellIs" dxfId="15294" priority="2256" operator="greaterThan">
      <formula>1</formula>
    </cfRule>
    <cfRule type="cellIs" dxfId="15293" priority="2257" operator="lessThan">
      <formula>0.8</formula>
    </cfRule>
  </conditionalFormatting>
  <conditionalFormatting sqref="Q79">
    <cfRule type="cellIs" dxfId="15292" priority="2248" operator="lessThan">
      <formula>0</formula>
    </cfRule>
  </conditionalFormatting>
  <conditionalFormatting sqref="R79">
    <cfRule type="cellIs" dxfId="15291" priority="2252" operator="lessThan">
      <formula>0.8</formula>
    </cfRule>
    <cfRule type="cellIs" dxfId="15290" priority="2253" operator="greaterThan">
      <formula>1</formula>
    </cfRule>
  </conditionalFormatting>
  <conditionalFormatting sqref="R79">
    <cfRule type="cellIs" dxfId="15289" priority="2250" operator="greaterThan">
      <formula>1</formula>
    </cfRule>
    <cfRule type="cellIs" dxfId="15288" priority="2251" operator="lessThan">
      <formula>0.8</formula>
    </cfRule>
  </conditionalFormatting>
  <conditionalFormatting sqref="P79">
    <cfRule type="cellIs" dxfId="15287" priority="2249" operator="greaterThan">
      <formula>0</formula>
    </cfRule>
  </conditionalFormatting>
  <conditionalFormatting sqref="Q79">
    <cfRule type="cellIs" dxfId="15286" priority="2247" operator="lessThan">
      <formula>0</formula>
    </cfRule>
  </conditionalFormatting>
  <conditionalFormatting sqref="R79">
    <cfRule type="cellIs" dxfId="15285" priority="2245" operator="lessThan">
      <formula>0.8</formula>
    </cfRule>
    <cfRule type="cellIs" dxfId="15284" priority="2246" operator="greaterThan">
      <formula>1</formula>
    </cfRule>
  </conditionalFormatting>
  <conditionalFormatting sqref="R79">
    <cfRule type="cellIs" dxfId="15283" priority="2243" operator="greaterThan">
      <formula>1</formula>
    </cfRule>
    <cfRule type="cellIs" dxfId="15282" priority="2244" operator="lessThan">
      <formula>0.8</formula>
    </cfRule>
  </conditionalFormatting>
  <conditionalFormatting sqref="P79">
    <cfRule type="cellIs" dxfId="15281" priority="2242" operator="greaterThan">
      <formula>0</formula>
    </cfRule>
  </conditionalFormatting>
  <conditionalFormatting sqref="Q79">
    <cfRule type="cellIs" dxfId="15280" priority="2241" operator="lessThan">
      <formula>0</formula>
    </cfRule>
  </conditionalFormatting>
  <conditionalFormatting sqref="R79">
    <cfRule type="cellIs" dxfId="15279" priority="2239" operator="lessThan">
      <formula>0.8</formula>
    </cfRule>
    <cfRule type="cellIs" dxfId="15278" priority="2240" operator="greaterThan">
      <formula>1</formula>
    </cfRule>
  </conditionalFormatting>
  <conditionalFormatting sqref="R79">
    <cfRule type="cellIs" dxfId="15277" priority="2237" operator="greaterThan">
      <formula>1</formula>
    </cfRule>
    <cfRule type="cellIs" dxfId="15276" priority="2238" operator="lessThan">
      <formula>0.8</formula>
    </cfRule>
  </conditionalFormatting>
  <conditionalFormatting sqref="P79">
    <cfRule type="cellIs" dxfId="15275" priority="2236" operator="greaterThan">
      <formula>0</formula>
    </cfRule>
  </conditionalFormatting>
  <conditionalFormatting sqref="P79">
    <cfRule type="cellIs" dxfId="15274" priority="2230" operator="greaterThan">
      <formula>0</formula>
    </cfRule>
  </conditionalFormatting>
  <conditionalFormatting sqref="Q79">
    <cfRule type="cellIs" dxfId="15273" priority="2235" operator="lessThan">
      <formula>0</formula>
    </cfRule>
  </conditionalFormatting>
  <conditionalFormatting sqref="R79">
    <cfRule type="cellIs" dxfId="15272" priority="2233" operator="lessThan">
      <formula>0.8</formula>
    </cfRule>
    <cfRule type="cellIs" dxfId="15271" priority="2234" operator="greaterThan">
      <formula>1</formula>
    </cfRule>
  </conditionalFormatting>
  <conditionalFormatting sqref="R79">
    <cfRule type="cellIs" dxfId="15270" priority="2231" operator="greaterThan">
      <formula>1</formula>
    </cfRule>
    <cfRule type="cellIs" dxfId="15269" priority="2232" operator="lessThan">
      <formula>0.8</formula>
    </cfRule>
  </conditionalFormatting>
  <conditionalFormatting sqref="P71:P78">
    <cfRule type="cellIs" dxfId="15268" priority="2224" operator="greaterThan">
      <formula>0</formula>
    </cfRule>
  </conditionalFormatting>
  <conditionalFormatting sqref="Q71:Q78">
    <cfRule type="cellIs" dxfId="15267" priority="2229" operator="lessThan">
      <formula>0</formula>
    </cfRule>
  </conditionalFormatting>
  <conditionalFormatting sqref="R71:R78">
    <cfRule type="cellIs" dxfId="15266" priority="2227" operator="lessThan">
      <formula>0.8</formula>
    </cfRule>
    <cfRule type="cellIs" dxfId="15265" priority="2228" operator="greaterThan">
      <formula>1</formula>
    </cfRule>
  </conditionalFormatting>
  <conditionalFormatting sqref="R71:R78">
    <cfRule type="cellIs" dxfId="15264" priority="2225" operator="greaterThan">
      <formula>1</formula>
    </cfRule>
    <cfRule type="cellIs" dxfId="15263" priority="2226" operator="lessThan">
      <formula>0.8</formula>
    </cfRule>
  </conditionalFormatting>
  <conditionalFormatting sqref="Q148:Q153">
    <cfRule type="cellIs" dxfId="15262" priority="2223" operator="lessThan">
      <formula>0</formula>
    </cfRule>
  </conditionalFormatting>
  <conditionalFormatting sqref="R148:R153">
    <cfRule type="cellIs" dxfId="15261" priority="2221" operator="lessThan">
      <formula>0.8</formula>
    </cfRule>
    <cfRule type="cellIs" dxfId="15260" priority="2222" operator="greaterThan">
      <formula>1</formula>
    </cfRule>
  </conditionalFormatting>
  <conditionalFormatting sqref="R148:R153">
    <cfRule type="cellIs" dxfId="15259" priority="2219" operator="greaterThan">
      <formula>1</formula>
    </cfRule>
    <cfRule type="cellIs" dxfId="15258" priority="2220" operator="lessThan">
      <formula>0.8</formula>
    </cfRule>
  </conditionalFormatting>
  <conditionalFormatting sqref="P148:P153">
    <cfRule type="cellIs" dxfId="15257" priority="2218" operator="greaterThan">
      <formula>0</formula>
    </cfRule>
  </conditionalFormatting>
  <conditionalFormatting sqref="Q148:Q153">
    <cfRule type="cellIs" dxfId="15256" priority="2217" operator="lessThan">
      <formula>0</formula>
    </cfRule>
  </conditionalFormatting>
  <conditionalFormatting sqref="R148:R153">
    <cfRule type="cellIs" dxfId="15255" priority="2215" operator="lessThan">
      <formula>0.8</formula>
    </cfRule>
    <cfRule type="cellIs" dxfId="15254" priority="2216" operator="greaterThan">
      <formula>1</formula>
    </cfRule>
  </conditionalFormatting>
  <conditionalFormatting sqref="R148:R153">
    <cfRule type="cellIs" dxfId="15253" priority="2213" operator="greaterThan">
      <formula>1</formula>
    </cfRule>
    <cfRule type="cellIs" dxfId="15252" priority="2214" operator="lessThan">
      <formula>0.8</formula>
    </cfRule>
  </conditionalFormatting>
  <conditionalFormatting sqref="P148:P153">
    <cfRule type="cellIs" dxfId="15251" priority="2212" operator="greaterThan">
      <formula>0</formula>
    </cfRule>
  </conditionalFormatting>
  <conditionalFormatting sqref="Q148:Q153">
    <cfRule type="cellIs" dxfId="15250" priority="2211" operator="lessThan">
      <formula>0</formula>
    </cfRule>
  </conditionalFormatting>
  <conditionalFormatting sqref="R148:R153">
    <cfRule type="cellIs" dxfId="15249" priority="2209" operator="lessThan">
      <formula>0.8</formula>
    </cfRule>
    <cfRule type="cellIs" dxfId="15248" priority="2210" operator="greaterThan">
      <formula>1</formula>
    </cfRule>
  </conditionalFormatting>
  <conditionalFormatting sqref="R148:R153">
    <cfRule type="cellIs" dxfId="15247" priority="2207" operator="greaterThan">
      <formula>1</formula>
    </cfRule>
    <cfRule type="cellIs" dxfId="15246" priority="2208" operator="lessThan">
      <formula>0.8</formula>
    </cfRule>
  </conditionalFormatting>
  <conditionalFormatting sqref="P148:P153">
    <cfRule type="cellIs" dxfId="15245" priority="2206" operator="greaterThan">
      <formula>0</formula>
    </cfRule>
  </conditionalFormatting>
  <conditionalFormatting sqref="Q148:Q153">
    <cfRule type="cellIs" dxfId="15244" priority="2205" operator="lessThan">
      <formula>0</formula>
    </cfRule>
  </conditionalFormatting>
  <conditionalFormatting sqref="R148:R153">
    <cfRule type="cellIs" dxfId="15243" priority="2203" operator="lessThan">
      <formula>0.8</formula>
    </cfRule>
    <cfRule type="cellIs" dxfId="15242" priority="2204" operator="greaterThan">
      <formula>1</formula>
    </cfRule>
  </conditionalFormatting>
  <conditionalFormatting sqref="R148:R153">
    <cfRule type="cellIs" dxfId="15241" priority="2201" operator="greaterThan">
      <formula>1</formula>
    </cfRule>
    <cfRule type="cellIs" dxfId="15240" priority="2202" operator="lessThan">
      <formula>0.8</formula>
    </cfRule>
  </conditionalFormatting>
  <conditionalFormatting sqref="P148:P153">
    <cfRule type="cellIs" dxfId="15239" priority="2200" operator="greaterThan">
      <formula>0</formula>
    </cfRule>
  </conditionalFormatting>
  <conditionalFormatting sqref="P148:P153">
    <cfRule type="cellIs" dxfId="15238" priority="2194" operator="greaterThan">
      <formula>0</formula>
    </cfRule>
  </conditionalFormatting>
  <conditionalFormatting sqref="Q148:Q153">
    <cfRule type="cellIs" dxfId="15237" priority="2199" operator="lessThan">
      <formula>0</formula>
    </cfRule>
  </conditionalFormatting>
  <conditionalFormatting sqref="R148:R153">
    <cfRule type="cellIs" dxfId="15236" priority="2197" operator="lessThan">
      <formula>0.8</formula>
    </cfRule>
    <cfRule type="cellIs" dxfId="15235" priority="2198" operator="greaterThan">
      <formula>1</formula>
    </cfRule>
  </conditionalFormatting>
  <conditionalFormatting sqref="R148:R153">
    <cfRule type="cellIs" dxfId="15234" priority="2195" operator="greaterThan">
      <formula>1</formula>
    </cfRule>
    <cfRule type="cellIs" dxfId="15233" priority="2196" operator="lessThan">
      <formula>0.8</formula>
    </cfRule>
  </conditionalFormatting>
  <conditionalFormatting sqref="P148:P153">
    <cfRule type="cellIs" dxfId="15232" priority="2188" operator="greaterThan">
      <formula>0</formula>
    </cfRule>
  </conditionalFormatting>
  <conditionalFormatting sqref="Q148:Q153">
    <cfRule type="cellIs" dxfId="15231" priority="2193" operator="lessThan">
      <formula>0</formula>
    </cfRule>
  </conditionalFormatting>
  <conditionalFormatting sqref="R148:R153">
    <cfRule type="cellIs" dxfId="15230" priority="2191" operator="lessThan">
      <formula>0.8</formula>
    </cfRule>
    <cfRule type="cellIs" dxfId="15229" priority="2192" operator="greaterThan">
      <formula>1</formula>
    </cfRule>
  </conditionalFormatting>
  <conditionalFormatting sqref="R148:R153">
    <cfRule type="cellIs" dxfId="15228" priority="2189" operator="greaterThan">
      <formula>1</formula>
    </cfRule>
    <cfRule type="cellIs" dxfId="15227" priority="2190" operator="lessThan">
      <formula>0.8</formula>
    </cfRule>
  </conditionalFormatting>
  <conditionalFormatting sqref="R148:R153">
    <cfRule type="cellIs" dxfId="15226" priority="2185" operator="lessThan">
      <formula>0.8</formula>
    </cfRule>
    <cfRule type="cellIs" dxfId="15225" priority="2186" operator="greaterThan">
      <formula>1</formula>
    </cfRule>
  </conditionalFormatting>
  <conditionalFormatting sqref="R148:R153">
    <cfRule type="cellIs" dxfId="15224" priority="2183" operator="greaterThan">
      <formula>1</formula>
    </cfRule>
    <cfRule type="cellIs" dxfId="15223" priority="2184" operator="lessThan">
      <formula>0.8</formula>
    </cfRule>
  </conditionalFormatting>
  <conditionalFormatting sqref="P148:P153">
    <cfRule type="cellIs" dxfId="15222" priority="2182" operator="greaterThan">
      <formula>0</formula>
    </cfRule>
  </conditionalFormatting>
  <conditionalFormatting sqref="Q148:Q153">
    <cfRule type="cellIs" dxfId="15221" priority="2187" operator="lessThan">
      <formula>0</formula>
    </cfRule>
  </conditionalFormatting>
  <conditionalFormatting sqref="Q148:Q153">
    <cfRule type="cellIs" dxfId="15220" priority="2181" operator="lessThan">
      <formula>0</formula>
    </cfRule>
  </conditionalFormatting>
  <conditionalFormatting sqref="R148:R153">
    <cfRule type="cellIs" dxfId="15219" priority="2179" operator="lessThan">
      <formula>0.8</formula>
    </cfRule>
    <cfRule type="cellIs" dxfId="15218" priority="2180" operator="greaterThan">
      <formula>1</formula>
    </cfRule>
  </conditionalFormatting>
  <conditionalFormatting sqref="R148:R153">
    <cfRule type="cellIs" dxfId="15217" priority="2177" operator="greaterThan">
      <formula>1</formula>
    </cfRule>
    <cfRule type="cellIs" dxfId="15216" priority="2178" operator="lessThan">
      <formula>0.8</formula>
    </cfRule>
  </conditionalFormatting>
  <conditionalFormatting sqref="P148:P153">
    <cfRule type="cellIs" dxfId="15215" priority="2176" operator="greaterThan">
      <formula>0</formula>
    </cfRule>
  </conditionalFormatting>
  <conditionalFormatting sqref="P148:P153">
    <cfRule type="cellIs" dxfId="15214" priority="2170" operator="greaterThan">
      <formula>0</formula>
    </cfRule>
  </conditionalFormatting>
  <conditionalFormatting sqref="Q148:Q153">
    <cfRule type="cellIs" dxfId="15213" priority="2175" operator="lessThan">
      <formula>0</formula>
    </cfRule>
  </conditionalFormatting>
  <conditionalFormatting sqref="R148:R153">
    <cfRule type="cellIs" dxfId="15212" priority="2173" operator="lessThan">
      <formula>0.8</formula>
    </cfRule>
    <cfRule type="cellIs" dxfId="15211" priority="2174" operator="greaterThan">
      <formula>1</formula>
    </cfRule>
  </conditionalFormatting>
  <conditionalFormatting sqref="R148:R153">
    <cfRule type="cellIs" dxfId="15210" priority="2171" operator="greaterThan">
      <formula>1</formula>
    </cfRule>
    <cfRule type="cellIs" dxfId="15209" priority="2172" operator="lessThan">
      <formula>0.8</formula>
    </cfRule>
  </conditionalFormatting>
  <conditionalFormatting sqref="P148:P153">
    <cfRule type="cellIs" dxfId="15208" priority="2164" operator="greaterThan">
      <formula>0</formula>
    </cfRule>
  </conditionalFormatting>
  <conditionalFormatting sqref="Q148:Q153">
    <cfRule type="cellIs" dxfId="15207" priority="2169" operator="lessThan">
      <formula>0</formula>
    </cfRule>
  </conditionalFormatting>
  <conditionalFormatting sqref="R148:R153">
    <cfRule type="cellIs" dxfId="15206" priority="2167" operator="lessThan">
      <formula>0.8</formula>
    </cfRule>
    <cfRule type="cellIs" dxfId="15205" priority="2168" operator="greaterThan">
      <formula>1</formula>
    </cfRule>
  </conditionalFormatting>
  <conditionalFormatting sqref="R148:R153">
    <cfRule type="cellIs" dxfId="15204" priority="2165" operator="greaterThan">
      <formula>1</formula>
    </cfRule>
    <cfRule type="cellIs" dxfId="15203" priority="2166" operator="lessThan">
      <formula>0.8</formula>
    </cfRule>
  </conditionalFormatting>
  <conditionalFormatting sqref="R148:R153">
    <cfRule type="cellIs" dxfId="15202" priority="2161" operator="lessThan">
      <formula>0.8</formula>
    </cfRule>
    <cfRule type="cellIs" dxfId="15201" priority="2162" operator="greaterThan">
      <formula>1</formula>
    </cfRule>
  </conditionalFormatting>
  <conditionalFormatting sqref="R148:R153">
    <cfRule type="cellIs" dxfId="15200" priority="2159" operator="greaterThan">
      <formula>1</formula>
    </cfRule>
    <cfRule type="cellIs" dxfId="15199" priority="2160" operator="lessThan">
      <formula>0.8</formula>
    </cfRule>
  </conditionalFormatting>
  <conditionalFormatting sqref="P148:P153">
    <cfRule type="cellIs" dxfId="15198" priority="2158" operator="greaterThan">
      <formula>0</formula>
    </cfRule>
  </conditionalFormatting>
  <conditionalFormatting sqref="Q148:Q153">
    <cfRule type="cellIs" dxfId="15197" priority="2163" operator="lessThan">
      <formula>0</formula>
    </cfRule>
  </conditionalFormatting>
  <conditionalFormatting sqref="P148:P153">
    <cfRule type="cellIs" dxfId="15196" priority="2152" operator="greaterThan">
      <formula>0</formula>
    </cfRule>
  </conditionalFormatting>
  <conditionalFormatting sqref="Q148:Q153">
    <cfRule type="cellIs" dxfId="15195" priority="2157" operator="lessThan">
      <formula>0</formula>
    </cfRule>
  </conditionalFormatting>
  <conditionalFormatting sqref="R148:R153">
    <cfRule type="cellIs" dxfId="15194" priority="2155" operator="lessThan">
      <formula>0.8</formula>
    </cfRule>
    <cfRule type="cellIs" dxfId="15193" priority="2156" operator="greaterThan">
      <formula>1</formula>
    </cfRule>
  </conditionalFormatting>
  <conditionalFormatting sqref="R148:R153">
    <cfRule type="cellIs" dxfId="15192" priority="2153" operator="greaterThan">
      <formula>1</formula>
    </cfRule>
    <cfRule type="cellIs" dxfId="15191" priority="2154" operator="lessThan">
      <formula>0.8</formula>
    </cfRule>
  </conditionalFormatting>
  <conditionalFormatting sqref="R148:R153">
    <cfRule type="cellIs" dxfId="15190" priority="2149" operator="lessThan">
      <formula>0.8</formula>
    </cfRule>
    <cfRule type="cellIs" dxfId="15189" priority="2150" operator="greaterThan">
      <formula>1</formula>
    </cfRule>
  </conditionalFormatting>
  <conditionalFormatting sqref="R148:R153">
    <cfRule type="cellIs" dxfId="15188" priority="2147" operator="greaterThan">
      <formula>1</formula>
    </cfRule>
    <cfRule type="cellIs" dxfId="15187" priority="2148" operator="lessThan">
      <formula>0.8</formula>
    </cfRule>
  </conditionalFormatting>
  <conditionalFormatting sqref="P148:P153">
    <cfRule type="cellIs" dxfId="15186" priority="2146" operator="greaterThan">
      <formula>0</formula>
    </cfRule>
  </conditionalFormatting>
  <conditionalFormatting sqref="Q148:Q153">
    <cfRule type="cellIs" dxfId="15185" priority="2151" operator="lessThan">
      <formula>0</formula>
    </cfRule>
  </conditionalFormatting>
  <conditionalFormatting sqref="R148:R153">
    <cfRule type="cellIs" dxfId="15184" priority="2143" operator="lessThan">
      <formula>0.8</formula>
    </cfRule>
    <cfRule type="cellIs" dxfId="15183" priority="2144" operator="greaterThan">
      <formula>1</formula>
    </cfRule>
  </conditionalFormatting>
  <conditionalFormatting sqref="R148:R153">
    <cfRule type="cellIs" dxfId="15182" priority="2141" operator="greaterThan">
      <formula>1</formula>
    </cfRule>
    <cfRule type="cellIs" dxfId="15181" priority="2142" operator="lessThan">
      <formula>0.8</formula>
    </cfRule>
  </conditionalFormatting>
  <conditionalFormatting sqref="P148:P153">
    <cfRule type="cellIs" dxfId="15180" priority="2140" operator="greaterThan">
      <formula>0</formula>
    </cfRule>
  </conditionalFormatting>
  <conditionalFormatting sqref="Q148:Q153">
    <cfRule type="cellIs" dxfId="15179" priority="2145" operator="lessThan">
      <formula>0</formula>
    </cfRule>
  </conditionalFormatting>
  <conditionalFormatting sqref="Q148:Q153">
    <cfRule type="cellIs" dxfId="15178" priority="2139" operator="lessThan">
      <formula>0</formula>
    </cfRule>
  </conditionalFormatting>
  <conditionalFormatting sqref="R148:R153">
    <cfRule type="cellIs" dxfId="15177" priority="2137" operator="lessThan">
      <formula>0.8</formula>
    </cfRule>
    <cfRule type="cellIs" dxfId="15176" priority="2138" operator="greaterThan">
      <formula>1</formula>
    </cfRule>
  </conditionalFormatting>
  <conditionalFormatting sqref="R148:R153">
    <cfRule type="cellIs" dxfId="15175" priority="2135" operator="greaterThan">
      <formula>1</formula>
    </cfRule>
    <cfRule type="cellIs" dxfId="15174" priority="2136" operator="lessThan">
      <formula>0.8</formula>
    </cfRule>
  </conditionalFormatting>
  <conditionalFormatting sqref="P148:P153">
    <cfRule type="cellIs" dxfId="15173" priority="2134" operator="greaterThan">
      <formula>0</formula>
    </cfRule>
  </conditionalFormatting>
  <conditionalFormatting sqref="Q148:Q153">
    <cfRule type="cellIs" dxfId="15172" priority="2128" operator="lessThan">
      <formula>0</formula>
    </cfRule>
  </conditionalFormatting>
  <conditionalFormatting sqref="R148:R153">
    <cfRule type="cellIs" dxfId="15171" priority="2132" operator="lessThan">
      <formula>0.8</formula>
    </cfRule>
    <cfRule type="cellIs" dxfId="15170" priority="2133" operator="greaterThan">
      <formula>1</formula>
    </cfRule>
  </conditionalFormatting>
  <conditionalFormatting sqref="R148:R153">
    <cfRule type="cellIs" dxfId="15169" priority="2130" operator="greaterThan">
      <formula>1</formula>
    </cfRule>
    <cfRule type="cellIs" dxfId="15168" priority="2131" operator="lessThan">
      <formula>0.8</formula>
    </cfRule>
  </conditionalFormatting>
  <conditionalFormatting sqref="P148:P153">
    <cfRule type="cellIs" dxfId="15167" priority="2129" operator="greaterThan">
      <formula>0</formula>
    </cfRule>
  </conditionalFormatting>
  <conditionalFormatting sqref="Q148:Q153">
    <cfRule type="cellIs" dxfId="15166" priority="2127" operator="lessThan">
      <formula>0</formula>
    </cfRule>
  </conditionalFormatting>
  <conditionalFormatting sqref="R148:R153">
    <cfRule type="cellIs" dxfId="15165" priority="2125" operator="lessThan">
      <formula>0.8</formula>
    </cfRule>
    <cfRule type="cellIs" dxfId="15164" priority="2126" operator="greaterThan">
      <formula>1</formula>
    </cfRule>
  </conditionalFormatting>
  <conditionalFormatting sqref="R148:R153">
    <cfRule type="cellIs" dxfId="15163" priority="2123" operator="greaterThan">
      <formula>1</formula>
    </cfRule>
    <cfRule type="cellIs" dxfId="15162" priority="2124" operator="lessThan">
      <formula>0.8</formula>
    </cfRule>
  </conditionalFormatting>
  <conditionalFormatting sqref="P148:P153">
    <cfRule type="cellIs" dxfId="15161" priority="2122" operator="greaterThan">
      <formula>0</formula>
    </cfRule>
  </conditionalFormatting>
  <conditionalFormatting sqref="Q148:Q153">
    <cfRule type="cellIs" dxfId="15160" priority="2121" operator="lessThan">
      <formula>0</formula>
    </cfRule>
  </conditionalFormatting>
  <conditionalFormatting sqref="R148:R153">
    <cfRule type="cellIs" dxfId="15159" priority="2119" operator="lessThan">
      <formula>0.8</formula>
    </cfRule>
    <cfRule type="cellIs" dxfId="15158" priority="2120" operator="greaterThan">
      <formula>1</formula>
    </cfRule>
  </conditionalFormatting>
  <conditionalFormatting sqref="R148:R153">
    <cfRule type="cellIs" dxfId="15157" priority="2117" operator="greaterThan">
      <formula>1</formula>
    </cfRule>
    <cfRule type="cellIs" dxfId="15156" priority="2118" operator="lessThan">
      <formula>0.8</formula>
    </cfRule>
  </conditionalFormatting>
  <conditionalFormatting sqref="P148:P153">
    <cfRule type="cellIs" dxfId="15155" priority="2116" operator="greaterThan">
      <formula>0</formula>
    </cfRule>
  </conditionalFormatting>
  <conditionalFormatting sqref="Q148:Q153">
    <cfRule type="cellIs" dxfId="15154" priority="2115" operator="lessThan">
      <formula>0</formula>
    </cfRule>
  </conditionalFormatting>
  <conditionalFormatting sqref="R148:R153">
    <cfRule type="cellIs" dxfId="15153" priority="2113" operator="lessThan">
      <formula>0.8</formula>
    </cfRule>
    <cfRule type="cellIs" dxfId="15152" priority="2114" operator="greaterThan">
      <formula>1</formula>
    </cfRule>
  </conditionalFormatting>
  <conditionalFormatting sqref="R148:R153">
    <cfRule type="cellIs" dxfId="15151" priority="2111" operator="greaterThan">
      <formula>1</formula>
    </cfRule>
    <cfRule type="cellIs" dxfId="15150" priority="2112" operator="lessThan">
      <formula>0.8</formula>
    </cfRule>
  </conditionalFormatting>
  <conditionalFormatting sqref="P148:P153">
    <cfRule type="cellIs" dxfId="15149" priority="2110" operator="greaterThan">
      <formula>0</formula>
    </cfRule>
  </conditionalFormatting>
  <conditionalFormatting sqref="Q148:Q153">
    <cfRule type="cellIs" dxfId="15148" priority="2109" operator="lessThan">
      <formula>0</formula>
    </cfRule>
  </conditionalFormatting>
  <conditionalFormatting sqref="R148:R153">
    <cfRule type="cellIs" dxfId="15147" priority="2107" operator="lessThan">
      <formula>0.8</formula>
    </cfRule>
    <cfRule type="cellIs" dxfId="15146" priority="2108" operator="greaterThan">
      <formula>1</formula>
    </cfRule>
  </conditionalFormatting>
  <conditionalFormatting sqref="R148:R153">
    <cfRule type="cellIs" dxfId="15145" priority="2105" operator="greaterThan">
      <formula>1</formula>
    </cfRule>
    <cfRule type="cellIs" dxfId="15144" priority="2106" operator="lessThan">
      <formula>0.8</formula>
    </cfRule>
  </conditionalFormatting>
  <conditionalFormatting sqref="P148:P153">
    <cfRule type="cellIs" dxfId="15143" priority="2104" operator="greaterThan">
      <formula>0</formula>
    </cfRule>
  </conditionalFormatting>
  <conditionalFormatting sqref="Q148:Q153">
    <cfRule type="cellIs" dxfId="15142" priority="2103" operator="lessThan">
      <formula>0</formula>
    </cfRule>
  </conditionalFormatting>
  <conditionalFormatting sqref="R148:R153">
    <cfRule type="cellIs" dxfId="15141" priority="2101" operator="lessThan">
      <formula>0.8</formula>
    </cfRule>
    <cfRule type="cellIs" dxfId="15140" priority="2102" operator="greaterThan">
      <formula>1</formula>
    </cfRule>
  </conditionalFormatting>
  <conditionalFormatting sqref="R148:R153">
    <cfRule type="cellIs" dxfId="15139" priority="2099" operator="greaterThan">
      <formula>1</formula>
    </cfRule>
    <cfRule type="cellIs" dxfId="15138" priority="2100" operator="lessThan">
      <formula>0.8</formula>
    </cfRule>
  </conditionalFormatting>
  <conditionalFormatting sqref="P148:P153">
    <cfRule type="cellIs" dxfId="15137" priority="2098" operator="greaterThan">
      <formula>0</formula>
    </cfRule>
  </conditionalFormatting>
  <conditionalFormatting sqref="P148:P153">
    <cfRule type="cellIs" dxfId="15136" priority="2092" operator="greaterThan">
      <formula>0</formula>
    </cfRule>
  </conditionalFormatting>
  <conditionalFormatting sqref="Q148:Q153">
    <cfRule type="cellIs" dxfId="15135" priority="2097" operator="lessThan">
      <formula>0</formula>
    </cfRule>
  </conditionalFormatting>
  <conditionalFormatting sqref="R148:R153">
    <cfRule type="cellIs" dxfId="15134" priority="2095" operator="lessThan">
      <formula>0.8</formula>
    </cfRule>
    <cfRule type="cellIs" dxfId="15133" priority="2096" operator="greaterThan">
      <formula>1</formula>
    </cfRule>
  </conditionalFormatting>
  <conditionalFormatting sqref="R148:R153">
    <cfRule type="cellIs" dxfId="15132" priority="2093" operator="greaterThan">
      <formula>1</formula>
    </cfRule>
    <cfRule type="cellIs" dxfId="15131" priority="2094" operator="lessThan">
      <formula>0.8</formula>
    </cfRule>
  </conditionalFormatting>
  <conditionalFormatting sqref="P148:P153">
    <cfRule type="cellIs" dxfId="15130" priority="2086" operator="greaterThan">
      <formula>0</formula>
    </cfRule>
  </conditionalFormatting>
  <conditionalFormatting sqref="Q148:Q153">
    <cfRule type="cellIs" dxfId="15129" priority="2091" operator="lessThan">
      <formula>0</formula>
    </cfRule>
  </conditionalFormatting>
  <conditionalFormatting sqref="R148:R153">
    <cfRule type="cellIs" dxfId="15128" priority="2089" operator="lessThan">
      <formula>0.8</formula>
    </cfRule>
    <cfRule type="cellIs" dxfId="15127" priority="2090" operator="greaterThan">
      <formula>1</formula>
    </cfRule>
  </conditionalFormatting>
  <conditionalFormatting sqref="R148:R153">
    <cfRule type="cellIs" dxfId="15126" priority="2087" operator="greaterThan">
      <formula>1</formula>
    </cfRule>
    <cfRule type="cellIs" dxfId="15125" priority="2088" operator="lessThan">
      <formula>0.8</formula>
    </cfRule>
  </conditionalFormatting>
  <conditionalFormatting sqref="R148:R153">
    <cfRule type="cellIs" dxfId="15124" priority="2083" operator="lessThan">
      <formula>0.8</formula>
    </cfRule>
    <cfRule type="cellIs" dxfId="15123" priority="2084" operator="greaterThan">
      <formula>1</formula>
    </cfRule>
  </conditionalFormatting>
  <conditionalFormatting sqref="R148:R153">
    <cfRule type="cellIs" dxfId="15122" priority="2081" operator="greaterThan">
      <formula>1</formula>
    </cfRule>
    <cfRule type="cellIs" dxfId="15121" priority="2082" operator="lessThan">
      <formula>0.8</formula>
    </cfRule>
  </conditionalFormatting>
  <conditionalFormatting sqref="P148:P153">
    <cfRule type="cellIs" dxfId="15120" priority="2080" operator="greaterThan">
      <formula>0</formula>
    </cfRule>
  </conditionalFormatting>
  <conditionalFormatting sqref="Q148:Q153">
    <cfRule type="cellIs" dxfId="15119" priority="2085" operator="lessThan">
      <formula>0</formula>
    </cfRule>
  </conditionalFormatting>
  <conditionalFormatting sqref="Q148:Q153">
    <cfRule type="cellIs" dxfId="15118" priority="2074" operator="lessThan">
      <formula>0</formula>
    </cfRule>
  </conditionalFormatting>
  <conditionalFormatting sqref="P148:P153">
    <cfRule type="cellIs" dxfId="15117" priority="2075" operator="greaterThan">
      <formula>0</formula>
    </cfRule>
  </conditionalFormatting>
  <conditionalFormatting sqref="R148:R153">
    <cfRule type="cellIs" dxfId="15116" priority="2078" operator="lessThan">
      <formula>0.8</formula>
    </cfRule>
    <cfRule type="cellIs" dxfId="15115" priority="2079" operator="greaterThan">
      <formula>1</formula>
    </cfRule>
  </conditionalFormatting>
  <conditionalFormatting sqref="R148:R153">
    <cfRule type="cellIs" dxfId="15114" priority="2076" operator="greaterThan">
      <formula>1</formula>
    </cfRule>
    <cfRule type="cellIs" dxfId="15113" priority="2077" operator="lessThan">
      <formula>0.8</formula>
    </cfRule>
  </conditionalFormatting>
  <conditionalFormatting sqref="Q148:Q153">
    <cfRule type="cellIs" dxfId="15112" priority="2068" operator="lessThan">
      <formula>0</formula>
    </cfRule>
  </conditionalFormatting>
  <conditionalFormatting sqref="R148:R153">
    <cfRule type="cellIs" dxfId="15111" priority="2072" operator="lessThan">
      <formula>0.8</formula>
    </cfRule>
    <cfRule type="cellIs" dxfId="15110" priority="2073" operator="greaterThan">
      <formula>1</formula>
    </cfRule>
  </conditionalFormatting>
  <conditionalFormatting sqref="R148:R153">
    <cfRule type="cellIs" dxfId="15109" priority="2070" operator="greaterThan">
      <formula>1</formula>
    </cfRule>
    <cfRule type="cellIs" dxfId="15108" priority="2071" operator="lessThan">
      <formula>0.8</formula>
    </cfRule>
  </conditionalFormatting>
  <conditionalFormatting sqref="P148:P153">
    <cfRule type="cellIs" dxfId="15107" priority="2069" operator="greaterThan">
      <formula>0</formula>
    </cfRule>
  </conditionalFormatting>
  <conditionalFormatting sqref="Q148:Q153">
    <cfRule type="cellIs" dxfId="15106" priority="2067" operator="lessThan">
      <formula>0</formula>
    </cfRule>
  </conditionalFormatting>
  <conditionalFormatting sqref="R148:R153">
    <cfRule type="cellIs" dxfId="15105" priority="2065" operator="lessThan">
      <formula>0.8</formula>
    </cfRule>
    <cfRule type="cellIs" dxfId="15104" priority="2066" operator="greaterThan">
      <formula>1</formula>
    </cfRule>
  </conditionalFormatting>
  <conditionalFormatting sqref="R148:R153">
    <cfRule type="cellIs" dxfId="15103" priority="2063" operator="greaterThan">
      <formula>1</formula>
    </cfRule>
    <cfRule type="cellIs" dxfId="15102" priority="2064" operator="lessThan">
      <formula>0.8</formula>
    </cfRule>
  </conditionalFormatting>
  <conditionalFormatting sqref="P148:P153">
    <cfRule type="cellIs" dxfId="15101" priority="2062" operator="greaterThan">
      <formula>0</formula>
    </cfRule>
  </conditionalFormatting>
  <conditionalFormatting sqref="Q148:Q153">
    <cfRule type="cellIs" dxfId="15100" priority="2061" operator="lessThan">
      <formula>0</formula>
    </cfRule>
  </conditionalFormatting>
  <conditionalFormatting sqref="R148:R153">
    <cfRule type="cellIs" dxfId="15099" priority="2059" operator="lessThan">
      <formula>0.8</formula>
    </cfRule>
    <cfRule type="cellIs" dxfId="15098" priority="2060" operator="greaterThan">
      <formula>1</formula>
    </cfRule>
  </conditionalFormatting>
  <conditionalFormatting sqref="R148:R153">
    <cfRule type="cellIs" dxfId="15097" priority="2057" operator="greaterThan">
      <formula>1</formula>
    </cfRule>
    <cfRule type="cellIs" dxfId="15096" priority="2058" operator="lessThan">
      <formula>0.8</formula>
    </cfRule>
  </conditionalFormatting>
  <conditionalFormatting sqref="P148:P153">
    <cfRule type="cellIs" dxfId="15095" priority="2056" operator="greaterThan">
      <formula>0</formula>
    </cfRule>
  </conditionalFormatting>
  <conditionalFormatting sqref="Q148:Q153">
    <cfRule type="cellIs" dxfId="15094" priority="2055" operator="lessThan">
      <formula>0</formula>
    </cfRule>
  </conditionalFormatting>
  <conditionalFormatting sqref="R148:R153">
    <cfRule type="cellIs" dxfId="15093" priority="2053" operator="lessThan">
      <formula>0.8</formula>
    </cfRule>
    <cfRule type="cellIs" dxfId="15092" priority="2054" operator="greaterThan">
      <formula>1</formula>
    </cfRule>
  </conditionalFormatting>
  <conditionalFormatting sqref="R148:R153">
    <cfRule type="cellIs" dxfId="15091" priority="2051" operator="greaterThan">
      <formula>1</formula>
    </cfRule>
    <cfRule type="cellIs" dxfId="15090" priority="2052" operator="lessThan">
      <formula>0.8</formula>
    </cfRule>
  </conditionalFormatting>
  <conditionalFormatting sqref="P148:P153">
    <cfRule type="cellIs" dxfId="15089" priority="2050" operator="greaterThan">
      <formula>0</formula>
    </cfRule>
  </conditionalFormatting>
  <conditionalFormatting sqref="Q148:Q153">
    <cfRule type="cellIs" dxfId="15088" priority="2049" operator="lessThan">
      <formula>0</formula>
    </cfRule>
  </conditionalFormatting>
  <conditionalFormatting sqref="R148:R153">
    <cfRule type="cellIs" dxfId="15087" priority="2047" operator="lessThan">
      <formula>0.8</formula>
    </cfRule>
    <cfRule type="cellIs" dxfId="15086" priority="2048" operator="greaterThan">
      <formula>1</formula>
    </cfRule>
  </conditionalFormatting>
  <conditionalFormatting sqref="R148:R153">
    <cfRule type="cellIs" dxfId="15085" priority="2045" operator="greaterThan">
      <formula>1</formula>
    </cfRule>
    <cfRule type="cellIs" dxfId="15084" priority="2046" operator="lessThan">
      <formula>0.8</formula>
    </cfRule>
  </conditionalFormatting>
  <conditionalFormatting sqref="P148:P153">
    <cfRule type="cellIs" dxfId="15083" priority="2044" operator="greaterThan">
      <formula>0</formula>
    </cfRule>
  </conditionalFormatting>
  <conditionalFormatting sqref="Q124 Q127 Q130">
    <cfRule type="cellIs" dxfId="15082" priority="2038" operator="lessThan">
      <formula>0</formula>
    </cfRule>
  </conditionalFormatting>
  <conditionalFormatting sqref="P124 P127 P130">
    <cfRule type="cellIs" dxfId="15081" priority="2039" operator="greaterThan">
      <formula>0</formula>
    </cfRule>
  </conditionalFormatting>
  <conditionalFormatting sqref="R124 R127 R130">
    <cfRule type="cellIs" dxfId="15080" priority="2042" operator="lessThan">
      <formula>0.8</formula>
    </cfRule>
    <cfRule type="cellIs" dxfId="15079" priority="2043" operator="greaterThan">
      <formula>1</formula>
    </cfRule>
  </conditionalFormatting>
  <conditionalFormatting sqref="R124 R127 R130">
    <cfRule type="cellIs" dxfId="15078" priority="2040" operator="greaterThan">
      <formula>1</formula>
    </cfRule>
    <cfRule type="cellIs" dxfId="15077" priority="2041" operator="lessThan">
      <formula>0.8</formula>
    </cfRule>
  </conditionalFormatting>
  <conditionalFormatting sqref="Q124 Q127 Q130">
    <cfRule type="cellIs" dxfId="15076" priority="2032" operator="lessThan">
      <formula>0</formula>
    </cfRule>
  </conditionalFormatting>
  <conditionalFormatting sqref="R124 R127 R130">
    <cfRule type="cellIs" dxfId="15075" priority="2036" operator="lessThan">
      <formula>0.8</formula>
    </cfRule>
    <cfRule type="cellIs" dxfId="15074" priority="2037" operator="greaterThan">
      <formula>1</formula>
    </cfRule>
  </conditionalFormatting>
  <conditionalFormatting sqref="R124 R127 R130">
    <cfRule type="cellIs" dxfId="15073" priority="2034" operator="greaterThan">
      <formula>1</formula>
    </cfRule>
    <cfRule type="cellIs" dxfId="15072" priority="2035" operator="lessThan">
      <formula>0.8</formula>
    </cfRule>
  </conditionalFormatting>
  <conditionalFormatting sqref="P124 P127 P130">
    <cfRule type="cellIs" dxfId="15071" priority="2033" operator="greaterThan">
      <formula>0</formula>
    </cfRule>
  </conditionalFormatting>
  <conditionalFormatting sqref="Q124 Q127 Q130">
    <cfRule type="cellIs" dxfId="15070" priority="2031" operator="lessThan">
      <formula>0</formula>
    </cfRule>
  </conditionalFormatting>
  <conditionalFormatting sqref="R124 R127 R130">
    <cfRule type="cellIs" dxfId="15069" priority="2029" operator="lessThan">
      <formula>0.8</formula>
    </cfRule>
    <cfRule type="cellIs" dxfId="15068" priority="2030" operator="greaterThan">
      <formula>1</formula>
    </cfRule>
  </conditionalFormatting>
  <conditionalFormatting sqref="R124 R127 R130">
    <cfRule type="cellIs" dxfId="15067" priority="2027" operator="greaterThan">
      <formula>1</formula>
    </cfRule>
    <cfRule type="cellIs" dxfId="15066" priority="2028" operator="lessThan">
      <formula>0.8</formula>
    </cfRule>
  </conditionalFormatting>
  <conditionalFormatting sqref="P124 P127 P130">
    <cfRule type="cellIs" dxfId="15065" priority="2026" operator="greaterThan">
      <formula>0</formula>
    </cfRule>
  </conditionalFormatting>
  <conditionalFormatting sqref="Q124 Q127 Q130">
    <cfRule type="cellIs" dxfId="15064" priority="2025" operator="lessThan">
      <formula>0</formula>
    </cfRule>
  </conditionalFormatting>
  <conditionalFormatting sqref="R124 R127 R130">
    <cfRule type="cellIs" dxfId="15063" priority="2023" operator="lessThan">
      <formula>0.8</formula>
    </cfRule>
    <cfRule type="cellIs" dxfId="15062" priority="2024" operator="greaterThan">
      <formula>1</formula>
    </cfRule>
  </conditionalFormatting>
  <conditionalFormatting sqref="R124 R127 R130">
    <cfRule type="cellIs" dxfId="15061" priority="2021" operator="greaterThan">
      <formula>1</formula>
    </cfRule>
    <cfRule type="cellIs" dxfId="15060" priority="2022" operator="lessThan">
      <formula>0.8</formula>
    </cfRule>
  </conditionalFormatting>
  <conditionalFormatting sqref="P124 P127 P130">
    <cfRule type="cellIs" dxfId="15059" priority="2020" operator="greaterThan">
      <formula>0</formula>
    </cfRule>
  </conditionalFormatting>
  <conditionalFormatting sqref="Q124 Q127 Q130">
    <cfRule type="cellIs" dxfId="15058" priority="2019" operator="lessThan">
      <formula>0</formula>
    </cfRule>
  </conditionalFormatting>
  <conditionalFormatting sqref="R124 R127 R130">
    <cfRule type="cellIs" dxfId="15057" priority="2017" operator="lessThan">
      <formula>0.8</formula>
    </cfRule>
    <cfRule type="cellIs" dxfId="15056" priority="2018" operator="greaterThan">
      <formula>1</formula>
    </cfRule>
  </conditionalFormatting>
  <conditionalFormatting sqref="R124 R127 R130">
    <cfRule type="cellIs" dxfId="15055" priority="2015" operator="greaterThan">
      <formula>1</formula>
    </cfRule>
    <cfRule type="cellIs" dxfId="15054" priority="2016" operator="lessThan">
      <formula>0.8</formula>
    </cfRule>
  </conditionalFormatting>
  <conditionalFormatting sqref="P124 P127 P130">
    <cfRule type="cellIs" dxfId="15053" priority="2014" operator="greaterThan">
      <formula>0</formula>
    </cfRule>
  </conditionalFormatting>
  <conditionalFormatting sqref="Q124 Q127 Q130">
    <cfRule type="cellIs" dxfId="15052" priority="2013" operator="lessThan">
      <formula>0</formula>
    </cfRule>
  </conditionalFormatting>
  <conditionalFormatting sqref="R124 R127 R130">
    <cfRule type="cellIs" dxfId="15051" priority="2011" operator="lessThan">
      <formula>0.8</formula>
    </cfRule>
    <cfRule type="cellIs" dxfId="15050" priority="2012" operator="greaterThan">
      <formula>1</formula>
    </cfRule>
  </conditionalFormatting>
  <conditionalFormatting sqref="R124 R127 R130">
    <cfRule type="cellIs" dxfId="15049" priority="2009" operator="greaterThan">
      <formula>1</formula>
    </cfRule>
    <cfRule type="cellIs" dxfId="15048" priority="2010" operator="lessThan">
      <formula>0.8</formula>
    </cfRule>
  </conditionalFormatting>
  <conditionalFormatting sqref="P124 P127 P130">
    <cfRule type="cellIs" dxfId="15047" priority="2008" operator="greaterThan">
      <formula>0</formula>
    </cfRule>
  </conditionalFormatting>
  <conditionalFormatting sqref="Q124 Q127 Q130">
    <cfRule type="cellIs" dxfId="15046" priority="2007" operator="lessThan">
      <formula>0</formula>
    </cfRule>
  </conditionalFormatting>
  <conditionalFormatting sqref="R124 R127 R130">
    <cfRule type="cellIs" dxfId="15045" priority="2005" operator="lessThan">
      <formula>0.8</formula>
    </cfRule>
    <cfRule type="cellIs" dxfId="15044" priority="2006" operator="greaterThan">
      <formula>1</formula>
    </cfRule>
  </conditionalFormatting>
  <conditionalFormatting sqref="R124 R127 R130">
    <cfRule type="cellIs" dxfId="15043" priority="2003" operator="greaterThan">
      <formula>1</formula>
    </cfRule>
    <cfRule type="cellIs" dxfId="15042" priority="2004" operator="lessThan">
      <formula>0.8</formula>
    </cfRule>
  </conditionalFormatting>
  <conditionalFormatting sqref="P124 P127 P130">
    <cfRule type="cellIs" dxfId="15041" priority="2002" operator="greaterThan">
      <formula>0</formula>
    </cfRule>
  </conditionalFormatting>
  <conditionalFormatting sqref="Q124 Q127 Q130">
    <cfRule type="cellIs" dxfId="15040" priority="2001" operator="lessThan">
      <formula>0</formula>
    </cfRule>
  </conditionalFormatting>
  <conditionalFormatting sqref="R124 R127 R130">
    <cfRule type="cellIs" dxfId="15039" priority="1999" operator="lessThan">
      <formula>0.8</formula>
    </cfRule>
    <cfRule type="cellIs" dxfId="15038" priority="2000" operator="greaterThan">
      <formula>1</formula>
    </cfRule>
  </conditionalFormatting>
  <conditionalFormatting sqref="R124 R127 R130">
    <cfRule type="cellIs" dxfId="15037" priority="1997" operator="greaterThan">
      <formula>1</formula>
    </cfRule>
    <cfRule type="cellIs" dxfId="15036" priority="1998" operator="lessThan">
      <formula>0.8</formula>
    </cfRule>
  </conditionalFormatting>
  <conditionalFormatting sqref="P124 P127 P130">
    <cfRule type="cellIs" dxfId="15035" priority="1996" operator="greaterThan">
      <formula>0</formula>
    </cfRule>
  </conditionalFormatting>
  <conditionalFormatting sqref="Q124 Q127 Q130">
    <cfRule type="cellIs" dxfId="15034" priority="1995" operator="lessThan">
      <formula>0</formula>
    </cfRule>
  </conditionalFormatting>
  <conditionalFormatting sqref="R124 R127 R130">
    <cfRule type="cellIs" dxfId="15033" priority="1993" operator="lessThan">
      <formula>0.8</formula>
    </cfRule>
    <cfRule type="cellIs" dxfId="15032" priority="1994" operator="greaterThan">
      <formula>1</formula>
    </cfRule>
  </conditionalFormatting>
  <conditionalFormatting sqref="R124 R127 R130">
    <cfRule type="cellIs" dxfId="15031" priority="1991" operator="greaterThan">
      <formula>1</formula>
    </cfRule>
    <cfRule type="cellIs" dxfId="15030" priority="1992" operator="lessThan">
      <formula>0.8</formula>
    </cfRule>
  </conditionalFormatting>
  <conditionalFormatting sqref="P124 P127 P130">
    <cfRule type="cellIs" dxfId="15029" priority="1990" operator="greaterThan">
      <formula>0</formula>
    </cfRule>
  </conditionalFormatting>
  <conditionalFormatting sqref="P124 P127 P130">
    <cfRule type="cellIs" dxfId="15028" priority="1984" operator="greaterThan">
      <formula>0</formula>
    </cfRule>
  </conditionalFormatting>
  <conditionalFormatting sqref="Q124 Q127 Q130">
    <cfRule type="cellIs" dxfId="15027" priority="1989" operator="lessThan">
      <formula>0</formula>
    </cfRule>
  </conditionalFormatting>
  <conditionalFormatting sqref="R124 R127 R130">
    <cfRule type="cellIs" dxfId="15026" priority="1987" operator="lessThan">
      <formula>0.8</formula>
    </cfRule>
    <cfRule type="cellIs" dxfId="15025" priority="1988" operator="greaterThan">
      <formula>1</formula>
    </cfRule>
  </conditionalFormatting>
  <conditionalFormatting sqref="R124 R127 R130">
    <cfRule type="cellIs" dxfId="15024" priority="1985" operator="greaterThan">
      <formula>1</formula>
    </cfRule>
    <cfRule type="cellIs" dxfId="15023" priority="1986" operator="lessThan">
      <formula>0.8</formula>
    </cfRule>
  </conditionalFormatting>
  <conditionalFormatting sqref="P124 P127 P130">
    <cfRule type="cellIs" dxfId="15022" priority="1978" operator="greaterThan">
      <formula>0</formula>
    </cfRule>
  </conditionalFormatting>
  <conditionalFormatting sqref="Q124 Q127 Q130">
    <cfRule type="cellIs" dxfId="15021" priority="1983" operator="lessThan">
      <formula>0</formula>
    </cfRule>
  </conditionalFormatting>
  <conditionalFormatting sqref="R124 R127 R130">
    <cfRule type="cellIs" dxfId="15020" priority="1981" operator="lessThan">
      <formula>0.8</formula>
    </cfRule>
    <cfRule type="cellIs" dxfId="15019" priority="1982" operator="greaterThan">
      <formula>1</formula>
    </cfRule>
  </conditionalFormatting>
  <conditionalFormatting sqref="R124 R127 R130">
    <cfRule type="cellIs" dxfId="15018" priority="1979" operator="greaterThan">
      <formula>1</formula>
    </cfRule>
    <cfRule type="cellIs" dxfId="15017" priority="1980" operator="lessThan">
      <formula>0.8</formula>
    </cfRule>
  </conditionalFormatting>
  <conditionalFormatting sqref="R124 R127 R130">
    <cfRule type="cellIs" dxfId="15016" priority="1975" operator="lessThan">
      <formula>0.8</formula>
    </cfRule>
    <cfRule type="cellIs" dxfId="15015" priority="1976" operator="greaterThan">
      <formula>1</formula>
    </cfRule>
  </conditionalFormatting>
  <conditionalFormatting sqref="R124 R127 R130">
    <cfRule type="cellIs" dxfId="15014" priority="1973" operator="greaterThan">
      <formula>1</formula>
    </cfRule>
    <cfRule type="cellIs" dxfId="15013" priority="1974" operator="lessThan">
      <formula>0.8</formula>
    </cfRule>
  </conditionalFormatting>
  <conditionalFormatting sqref="P124 P127 P130">
    <cfRule type="cellIs" dxfId="15012" priority="1972" operator="greaterThan">
      <formula>0</formula>
    </cfRule>
  </conditionalFormatting>
  <conditionalFormatting sqref="Q124 Q127 Q130">
    <cfRule type="cellIs" dxfId="15011" priority="1977" operator="lessThan">
      <formula>0</formula>
    </cfRule>
  </conditionalFormatting>
  <conditionalFormatting sqref="Q124 Q127 Q130">
    <cfRule type="cellIs" dxfId="15010" priority="1971" operator="lessThan">
      <formula>0</formula>
    </cfRule>
  </conditionalFormatting>
  <conditionalFormatting sqref="R124 R127 R130">
    <cfRule type="cellIs" dxfId="15009" priority="1969" operator="lessThan">
      <formula>0.8</formula>
    </cfRule>
    <cfRule type="cellIs" dxfId="15008" priority="1970" operator="greaterThan">
      <formula>1</formula>
    </cfRule>
  </conditionalFormatting>
  <conditionalFormatting sqref="R124 R127 R130">
    <cfRule type="cellIs" dxfId="15007" priority="1967" operator="greaterThan">
      <formula>1</formula>
    </cfRule>
    <cfRule type="cellIs" dxfId="15006" priority="1968" operator="lessThan">
      <formula>0.8</formula>
    </cfRule>
  </conditionalFormatting>
  <conditionalFormatting sqref="P124 P127 P130">
    <cfRule type="cellIs" dxfId="15005" priority="1966" operator="greaterThan">
      <formula>0</formula>
    </cfRule>
  </conditionalFormatting>
  <conditionalFormatting sqref="P124 P127 P130">
    <cfRule type="cellIs" dxfId="15004" priority="1960" operator="greaterThan">
      <formula>0</formula>
    </cfRule>
  </conditionalFormatting>
  <conditionalFormatting sqref="Q124 Q127 Q130">
    <cfRule type="cellIs" dxfId="15003" priority="1965" operator="lessThan">
      <formula>0</formula>
    </cfRule>
  </conditionalFormatting>
  <conditionalFormatting sqref="R124 R127 R130">
    <cfRule type="cellIs" dxfId="15002" priority="1963" operator="lessThan">
      <formula>0.8</formula>
    </cfRule>
    <cfRule type="cellIs" dxfId="15001" priority="1964" operator="greaterThan">
      <formula>1</formula>
    </cfRule>
  </conditionalFormatting>
  <conditionalFormatting sqref="R124 R127 R130">
    <cfRule type="cellIs" dxfId="15000" priority="1961" operator="greaterThan">
      <formula>1</formula>
    </cfRule>
    <cfRule type="cellIs" dxfId="14999" priority="1962" operator="lessThan">
      <formula>0.8</formula>
    </cfRule>
  </conditionalFormatting>
  <conditionalFormatting sqref="P124 P127 P130">
    <cfRule type="cellIs" dxfId="14998" priority="1954" operator="greaterThan">
      <formula>0</formula>
    </cfRule>
  </conditionalFormatting>
  <conditionalFormatting sqref="Q124 Q127 Q130">
    <cfRule type="cellIs" dxfId="14997" priority="1959" operator="lessThan">
      <formula>0</formula>
    </cfRule>
  </conditionalFormatting>
  <conditionalFormatting sqref="R124 R127 R130">
    <cfRule type="cellIs" dxfId="14996" priority="1957" operator="lessThan">
      <formula>0.8</formula>
    </cfRule>
    <cfRule type="cellIs" dxfId="14995" priority="1958" operator="greaterThan">
      <formula>1</formula>
    </cfRule>
  </conditionalFormatting>
  <conditionalFormatting sqref="R124 R127 R130">
    <cfRule type="cellIs" dxfId="14994" priority="1955" operator="greaterThan">
      <formula>1</formula>
    </cfRule>
    <cfRule type="cellIs" dxfId="14993" priority="1956" operator="lessThan">
      <formula>0.8</formula>
    </cfRule>
  </conditionalFormatting>
  <conditionalFormatting sqref="R124 R127 R130">
    <cfRule type="cellIs" dxfId="14992" priority="1951" operator="lessThan">
      <formula>0.8</formula>
    </cfRule>
    <cfRule type="cellIs" dxfId="14991" priority="1952" operator="greaterThan">
      <formula>1</formula>
    </cfRule>
  </conditionalFormatting>
  <conditionalFormatting sqref="R124 R127 R130">
    <cfRule type="cellIs" dxfId="14990" priority="1949" operator="greaterThan">
      <formula>1</formula>
    </cfRule>
    <cfRule type="cellIs" dxfId="14989" priority="1950" operator="lessThan">
      <formula>0.8</formula>
    </cfRule>
  </conditionalFormatting>
  <conditionalFormatting sqref="P124 P127 P130">
    <cfRule type="cellIs" dxfId="14988" priority="1948" operator="greaterThan">
      <formula>0</formula>
    </cfRule>
  </conditionalFormatting>
  <conditionalFormatting sqref="Q124 Q127 Q130">
    <cfRule type="cellIs" dxfId="14987" priority="1953" operator="lessThan">
      <formula>0</formula>
    </cfRule>
  </conditionalFormatting>
  <conditionalFormatting sqref="P124 P127 P130">
    <cfRule type="cellIs" dxfId="14986" priority="1942" operator="greaterThan">
      <formula>0</formula>
    </cfRule>
  </conditionalFormatting>
  <conditionalFormatting sqref="Q124 Q127 Q130">
    <cfRule type="cellIs" dxfId="14985" priority="1947" operator="lessThan">
      <formula>0</formula>
    </cfRule>
  </conditionalFormatting>
  <conditionalFormatting sqref="R124 R127 R130">
    <cfRule type="cellIs" dxfId="14984" priority="1945" operator="lessThan">
      <formula>0.8</formula>
    </cfRule>
    <cfRule type="cellIs" dxfId="14983" priority="1946" operator="greaterThan">
      <formula>1</formula>
    </cfRule>
  </conditionalFormatting>
  <conditionalFormatting sqref="R124 R127 R130">
    <cfRule type="cellIs" dxfId="14982" priority="1943" operator="greaterThan">
      <formula>1</formula>
    </cfRule>
    <cfRule type="cellIs" dxfId="14981" priority="1944" operator="lessThan">
      <formula>0.8</formula>
    </cfRule>
  </conditionalFormatting>
  <conditionalFormatting sqref="R124 R127 R130">
    <cfRule type="cellIs" dxfId="14980" priority="1939" operator="lessThan">
      <formula>0.8</formula>
    </cfRule>
    <cfRule type="cellIs" dxfId="14979" priority="1940" operator="greaterThan">
      <formula>1</formula>
    </cfRule>
  </conditionalFormatting>
  <conditionalFormatting sqref="R124 R127 R130">
    <cfRule type="cellIs" dxfId="14978" priority="1937" operator="greaterThan">
      <formula>1</formula>
    </cfRule>
    <cfRule type="cellIs" dxfId="14977" priority="1938" operator="lessThan">
      <formula>0.8</formula>
    </cfRule>
  </conditionalFormatting>
  <conditionalFormatting sqref="P124 P127 P130">
    <cfRule type="cellIs" dxfId="14976" priority="1936" operator="greaterThan">
      <formula>0</formula>
    </cfRule>
  </conditionalFormatting>
  <conditionalFormatting sqref="Q124 Q127 Q130">
    <cfRule type="cellIs" dxfId="14975" priority="1941" operator="lessThan">
      <formula>0</formula>
    </cfRule>
  </conditionalFormatting>
  <conditionalFormatting sqref="R124 R127 R130">
    <cfRule type="cellIs" dxfId="14974" priority="1933" operator="lessThan">
      <formula>0.8</formula>
    </cfRule>
    <cfRule type="cellIs" dxfId="14973" priority="1934" operator="greaterThan">
      <formula>1</formula>
    </cfRule>
  </conditionalFormatting>
  <conditionalFormatting sqref="R124 R127 R130">
    <cfRule type="cellIs" dxfId="14972" priority="1931" operator="greaterThan">
      <formula>1</formula>
    </cfRule>
    <cfRule type="cellIs" dxfId="14971" priority="1932" operator="lessThan">
      <formula>0.8</formula>
    </cfRule>
  </conditionalFormatting>
  <conditionalFormatting sqref="P124 P127 P130">
    <cfRule type="cellIs" dxfId="14970" priority="1930" operator="greaterThan">
      <formula>0</formula>
    </cfRule>
  </conditionalFormatting>
  <conditionalFormatting sqref="Q124 Q127 Q130">
    <cfRule type="cellIs" dxfId="14969" priority="1935" operator="lessThan">
      <formula>0</formula>
    </cfRule>
  </conditionalFormatting>
  <conditionalFormatting sqref="Q124 Q127 Q130">
    <cfRule type="cellIs" dxfId="14968" priority="1929" operator="lessThan">
      <formula>0</formula>
    </cfRule>
  </conditionalFormatting>
  <conditionalFormatting sqref="R124 R127 R130">
    <cfRule type="cellIs" dxfId="14967" priority="1927" operator="lessThan">
      <formula>0.8</formula>
    </cfRule>
    <cfRule type="cellIs" dxfId="14966" priority="1928" operator="greaterThan">
      <formula>1</formula>
    </cfRule>
  </conditionalFormatting>
  <conditionalFormatting sqref="R124 R127 R130">
    <cfRule type="cellIs" dxfId="14965" priority="1925" operator="greaterThan">
      <formula>1</formula>
    </cfRule>
    <cfRule type="cellIs" dxfId="14964" priority="1926" operator="lessThan">
      <formula>0.8</formula>
    </cfRule>
  </conditionalFormatting>
  <conditionalFormatting sqref="P124 P127 P130">
    <cfRule type="cellIs" dxfId="14963" priority="1924" operator="greaterThan">
      <formula>0</formula>
    </cfRule>
  </conditionalFormatting>
  <conditionalFormatting sqref="Q124 Q127 Q130">
    <cfRule type="cellIs" dxfId="14962" priority="1918" operator="lessThan">
      <formula>0</formula>
    </cfRule>
  </conditionalFormatting>
  <conditionalFormatting sqref="R124 R127 R130">
    <cfRule type="cellIs" dxfId="14961" priority="1922" operator="lessThan">
      <formula>0.8</formula>
    </cfRule>
    <cfRule type="cellIs" dxfId="14960" priority="1923" operator="greaterThan">
      <formula>1</formula>
    </cfRule>
  </conditionalFormatting>
  <conditionalFormatting sqref="R124 R127 R130">
    <cfRule type="cellIs" dxfId="14959" priority="1920" operator="greaterThan">
      <formula>1</formula>
    </cfRule>
    <cfRule type="cellIs" dxfId="14958" priority="1921" operator="lessThan">
      <formula>0.8</formula>
    </cfRule>
  </conditionalFormatting>
  <conditionalFormatting sqref="P124 P127 P130">
    <cfRule type="cellIs" dxfId="14957" priority="1919" operator="greaterThan">
      <formula>0</formula>
    </cfRule>
  </conditionalFormatting>
  <conditionalFormatting sqref="Q124 Q127 Q130">
    <cfRule type="cellIs" dxfId="14956" priority="1917" operator="lessThan">
      <formula>0</formula>
    </cfRule>
  </conditionalFormatting>
  <conditionalFormatting sqref="R124 R127 R130">
    <cfRule type="cellIs" dxfId="14955" priority="1915" operator="lessThan">
      <formula>0.8</formula>
    </cfRule>
    <cfRule type="cellIs" dxfId="14954" priority="1916" operator="greaterThan">
      <formula>1</formula>
    </cfRule>
  </conditionalFormatting>
  <conditionalFormatting sqref="R124 R127 R130">
    <cfRule type="cellIs" dxfId="14953" priority="1913" operator="greaterThan">
      <formula>1</formula>
    </cfRule>
    <cfRule type="cellIs" dxfId="14952" priority="1914" operator="lessThan">
      <formula>0.8</formula>
    </cfRule>
  </conditionalFormatting>
  <conditionalFormatting sqref="P124 P127 P130">
    <cfRule type="cellIs" dxfId="14951" priority="1912" operator="greaterThan">
      <formula>0</formula>
    </cfRule>
  </conditionalFormatting>
  <conditionalFormatting sqref="Q124 Q127 Q130">
    <cfRule type="cellIs" dxfId="14950" priority="1911" operator="lessThan">
      <formula>0</formula>
    </cfRule>
  </conditionalFormatting>
  <conditionalFormatting sqref="R124 R127 R130">
    <cfRule type="cellIs" dxfId="14949" priority="1909" operator="lessThan">
      <formula>0.8</formula>
    </cfRule>
    <cfRule type="cellIs" dxfId="14948" priority="1910" operator="greaterThan">
      <formula>1</formula>
    </cfRule>
  </conditionalFormatting>
  <conditionalFormatting sqref="R124 R127 R130">
    <cfRule type="cellIs" dxfId="14947" priority="1907" operator="greaterThan">
      <formula>1</formula>
    </cfRule>
    <cfRule type="cellIs" dxfId="14946" priority="1908" operator="lessThan">
      <formula>0.8</formula>
    </cfRule>
  </conditionalFormatting>
  <conditionalFormatting sqref="P124 P127 P130">
    <cfRule type="cellIs" dxfId="14945" priority="1906" operator="greaterThan">
      <formula>0</formula>
    </cfRule>
  </conditionalFormatting>
  <conditionalFormatting sqref="Q124 Q127 Q130">
    <cfRule type="cellIs" dxfId="14944" priority="1905" operator="lessThan">
      <formula>0</formula>
    </cfRule>
  </conditionalFormatting>
  <conditionalFormatting sqref="R124 R127 R130">
    <cfRule type="cellIs" dxfId="14943" priority="1903" operator="lessThan">
      <formula>0.8</formula>
    </cfRule>
    <cfRule type="cellIs" dxfId="14942" priority="1904" operator="greaterThan">
      <formula>1</formula>
    </cfRule>
  </conditionalFormatting>
  <conditionalFormatting sqref="R124 R127 R130">
    <cfRule type="cellIs" dxfId="14941" priority="1901" operator="greaterThan">
      <formula>1</formula>
    </cfRule>
    <cfRule type="cellIs" dxfId="14940" priority="1902" operator="lessThan">
      <formula>0.8</formula>
    </cfRule>
  </conditionalFormatting>
  <conditionalFormatting sqref="P124 P127 P130">
    <cfRule type="cellIs" dxfId="14939" priority="1900" operator="greaterThan">
      <formula>0</formula>
    </cfRule>
  </conditionalFormatting>
  <conditionalFormatting sqref="Q124 Q127 Q130">
    <cfRule type="cellIs" dxfId="14938" priority="1899" operator="lessThan">
      <formula>0</formula>
    </cfRule>
  </conditionalFormatting>
  <conditionalFormatting sqref="R124 R127 R130">
    <cfRule type="cellIs" dxfId="14937" priority="1897" operator="lessThan">
      <formula>0.8</formula>
    </cfRule>
    <cfRule type="cellIs" dxfId="14936" priority="1898" operator="greaterThan">
      <formula>1</formula>
    </cfRule>
  </conditionalFormatting>
  <conditionalFormatting sqref="R124 R127 R130">
    <cfRule type="cellIs" dxfId="14935" priority="1895" operator="greaterThan">
      <formula>1</formula>
    </cfRule>
    <cfRule type="cellIs" dxfId="14934" priority="1896" operator="lessThan">
      <formula>0.8</formula>
    </cfRule>
  </conditionalFormatting>
  <conditionalFormatting sqref="P124 P127 P130">
    <cfRule type="cellIs" dxfId="14933" priority="1894" operator="greaterThan">
      <formula>0</formula>
    </cfRule>
  </conditionalFormatting>
  <conditionalFormatting sqref="Q124 Q127 Q130">
    <cfRule type="cellIs" dxfId="14932" priority="1893" operator="lessThan">
      <formula>0</formula>
    </cfRule>
  </conditionalFormatting>
  <conditionalFormatting sqref="R124 R127 R130">
    <cfRule type="cellIs" dxfId="14931" priority="1891" operator="lessThan">
      <formula>0.8</formula>
    </cfRule>
    <cfRule type="cellIs" dxfId="14930" priority="1892" operator="greaterThan">
      <formula>1</formula>
    </cfRule>
  </conditionalFormatting>
  <conditionalFormatting sqref="R124 R127 R130">
    <cfRule type="cellIs" dxfId="14929" priority="1889" operator="greaterThan">
      <formula>1</formula>
    </cfRule>
    <cfRule type="cellIs" dxfId="14928" priority="1890" operator="lessThan">
      <formula>0.8</formula>
    </cfRule>
  </conditionalFormatting>
  <conditionalFormatting sqref="P124 P127 P130">
    <cfRule type="cellIs" dxfId="14927" priority="1888" operator="greaterThan">
      <formula>0</formula>
    </cfRule>
  </conditionalFormatting>
  <conditionalFormatting sqref="P124 P127 P130">
    <cfRule type="cellIs" dxfId="14926" priority="1882" operator="greaterThan">
      <formula>0</formula>
    </cfRule>
  </conditionalFormatting>
  <conditionalFormatting sqref="Q124 Q127 Q130">
    <cfRule type="cellIs" dxfId="14925" priority="1887" operator="lessThan">
      <formula>0</formula>
    </cfRule>
  </conditionalFormatting>
  <conditionalFormatting sqref="R124 R127 R130">
    <cfRule type="cellIs" dxfId="14924" priority="1885" operator="lessThan">
      <formula>0.8</formula>
    </cfRule>
    <cfRule type="cellIs" dxfId="14923" priority="1886" operator="greaterThan">
      <formula>1</formula>
    </cfRule>
  </conditionalFormatting>
  <conditionalFormatting sqref="R124 R127 R130">
    <cfRule type="cellIs" dxfId="14922" priority="1883" operator="greaterThan">
      <formula>1</formula>
    </cfRule>
    <cfRule type="cellIs" dxfId="14921" priority="1884" operator="lessThan">
      <formula>0.8</formula>
    </cfRule>
  </conditionalFormatting>
  <conditionalFormatting sqref="P124 P127 P130">
    <cfRule type="cellIs" dxfId="14920" priority="1876" operator="greaterThan">
      <formula>0</formula>
    </cfRule>
  </conditionalFormatting>
  <conditionalFormatting sqref="Q124 Q127 Q130">
    <cfRule type="cellIs" dxfId="14919" priority="1881" operator="lessThan">
      <formula>0</formula>
    </cfRule>
  </conditionalFormatting>
  <conditionalFormatting sqref="R124 R127 R130">
    <cfRule type="cellIs" dxfId="14918" priority="1879" operator="lessThan">
      <formula>0.8</formula>
    </cfRule>
    <cfRule type="cellIs" dxfId="14917" priority="1880" operator="greaterThan">
      <formula>1</formula>
    </cfRule>
  </conditionalFormatting>
  <conditionalFormatting sqref="R124 R127 R130">
    <cfRule type="cellIs" dxfId="14916" priority="1877" operator="greaterThan">
      <formula>1</formula>
    </cfRule>
    <cfRule type="cellIs" dxfId="14915" priority="1878" operator="lessThan">
      <formula>0.8</formula>
    </cfRule>
  </conditionalFormatting>
  <conditionalFormatting sqref="R124 R127 R130">
    <cfRule type="cellIs" dxfId="14914" priority="1873" operator="lessThan">
      <formula>0.8</formula>
    </cfRule>
    <cfRule type="cellIs" dxfId="14913" priority="1874" operator="greaterThan">
      <formula>1</formula>
    </cfRule>
  </conditionalFormatting>
  <conditionalFormatting sqref="R124 R127 R130">
    <cfRule type="cellIs" dxfId="14912" priority="1871" operator="greaterThan">
      <formula>1</formula>
    </cfRule>
    <cfRule type="cellIs" dxfId="14911" priority="1872" operator="lessThan">
      <formula>0.8</formula>
    </cfRule>
  </conditionalFormatting>
  <conditionalFormatting sqref="P124 P127 P130">
    <cfRule type="cellIs" dxfId="14910" priority="1870" operator="greaterThan">
      <formula>0</formula>
    </cfRule>
  </conditionalFormatting>
  <conditionalFormatting sqref="Q124 Q127 Q130">
    <cfRule type="cellIs" dxfId="14909" priority="1875" operator="lessThan">
      <formula>0</formula>
    </cfRule>
  </conditionalFormatting>
  <conditionalFormatting sqref="Q5:Q14">
    <cfRule type="cellIs" dxfId="14908" priority="1869" operator="lessThan">
      <formula>0</formula>
    </cfRule>
  </conditionalFormatting>
  <conditionalFormatting sqref="R5:R14">
    <cfRule type="cellIs" dxfId="14907" priority="1867" operator="lessThan">
      <formula>0.8</formula>
    </cfRule>
    <cfRule type="cellIs" dxfId="14906" priority="1868" operator="greaterThan">
      <formula>1</formula>
    </cfRule>
  </conditionalFormatting>
  <conditionalFormatting sqref="R5:R14">
    <cfRule type="cellIs" dxfId="14905" priority="1865" operator="greaterThan">
      <formula>1</formula>
    </cfRule>
    <cfRule type="cellIs" dxfId="14904" priority="1866" operator="lessThan">
      <formula>0.8</formula>
    </cfRule>
  </conditionalFormatting>
  <conditionalFormatting sqref="P5:P14">
    <cfRule type="cellIs" dxfId="14903" priority="1864" operator="greaterThan">
      <formula>0</formula>
    </cfRule>
  </conditionalFormatting>
  <conditionalFormatting sqref="Q83">
    <cfRule type="cellIs" dxfId="14902" priority="1863" operator="lessThan">
      <formula>0</formula>
    </cfRule>
  </conditionalFormatting>
  <conditionalFormatting sqref="R83">
    <cfRule type="cellIs" dxfId="14901" priority="1861" operator="lessThan">
      <formula>0.8</formula>
    </cfRule>
    <cfRule type="cellIs" dxfId="14900" priority="1862" operator="greaterThan">
      <formula>1</formula>
    </cfRule>
  </conditionalFormatting>
  <conditionalFormatting sqref="R83">
    <cfRule type="cellIs" dxfId="14899" priority="1859" operator="greaterThan">
      <formula>1</formula>
    </cfRule>
    <cfRule type="cellIs" dxfId="14898" priority="1860" operator="lessThan">
      <formula>0.8</formula>
    </cfRule>
  </conditionalFormatting>
  <conditionalFormatting sqref="P83">
    <cfRule type="cellIs" dxfId="14897" priority="1858" operator="greaterThan">
      <formula>0</formula>
    </cfRule>
  </conditionalFormatting>
  <conditionalFormatting sqref="Q83">
    <cfRule type="cellIs" dxfId="14896" priority="1857" operator="lessThan">
      <formula>0</formula>
    </cfRule>
  </conditionalFormatting>
  <conditionalFormatting sqref="R83">
    <cfRule type="cellIs" dxfId="14895" priority="1855" operator="lessThan">
      <formula>0.8</formula>
    </cfRule>
    <cfRule type="cellIs" dxfId="14894" priority="1856" operator="greaterThan">
      <formula>1</formula>
    </cfRule>
  </conditionalFormatting>
  <conditionalFormatting sqref="R83">
    <cfRule type="cellIs" dxfId="14893" priority="1853" operator="greaterThan">
      <formula>1</formula>
    </cfRule>
    <cfRule type="cellIs" dxfId="14892" priority="1854" operator="lessThan">
      <formula>0.8</formula>
    </cfRule>
  </conditionalFormatting>
  <conditionalFormatting sqref="P83">
    <cfRule type="cellIs" dxfId="14891" priority="1852" operator="greaterThan">
      <formula>0</formula>
    </cfRule>
  </conditionalFormatting>
  <conditionalFormatting sqref="Q83">
    <cfRule type="cellIs" dxfId="14890" priority="1851" operator="lessThan">
      <formula>0</formula>
    </cfRule>
  </conditionalFormatting>
  <conditionalFormatting sqref="R83">
    <cfRule type="cellIs" dxfId="14889" priority="1849" operator="lessThan">
      <formula>0.8</formula>
    </cfRule>
    <cfRule type="cellIs" dxfId="14888" priority="1850" operator="greaterThan">
      <formula>1</formula>
    </cfRule>
  </conditionalFormatting>
  <conditionalFormatting sqref="R83">
    <cfRule type="cellIs" dxfId="14887" priority="1847" operator="greaterThan">
      <formula>1</formula>
    </cfRule>
    <cfRule type="cellIs" dxfId="14886" priority="1848" operator="lessThan">
      <formula>0.8</formula>
    </cfRule>
  </conditionalFormatting>
  <conditionalFormatting sqref="P83">
    <cfRule type="cellIs" dxfId="14885" priority="1846" operator="greaterThan">
      <formula>0</formula>
    </cfRule>
  </conditionalFormatting>
  <conditionalFormatting sqref="Q83">
    <cfRule type="cellIs" dxfId="14884" priority="1845" operator="lessThan">
      <formula>0</formula>
    </cfRule>
  </conditionalFormatting>
  <conditionalFormatting sqref="R83">
    <cfRule type="cellIs" dxfId="14883" priority="1843" operator="lessThan">
      <formula>0.8</formula>
    </cfRule>
    <cfRule type="cellIs" dxfId="14882" priority="1844" operator="greaterThan">
      <formula>1</formula>
    </cfRule>
  </conditionalFormatting>
  <conditionalFormatting sqref="R83">
    <cfRule type="cellIs" dxfId="14881" priority="1841" operator="greaterThan">
      <formula>1</formula>
    </cfRule>
    <cfRule type="cellIs" dxfId="14880" priority="1842" operator="lessThan">
      <formula>0.8</formula>
    </cfRule>
  </conditionalFormatting>
  <conditionalFormatting sqref="P83">
    <cfRule type="cellIs" dxfId="14879" priority="1840" operator="greaterThan">
      <formula>0</formula>
    </cfRule>
  </conditionalFormatting>
  <conditionalFormatting sqref="P83">
    <cfRule type="cellIs" dxfId="14878" priority="1834" operator="greaterThan">
      <formula>0</formula>
    </cfRule>
  </conditionalFormatting>
  <conditionalFormatting sqref="Q83">
    <cfRule type="cellIs" dxfId="14877" priority="1839" operator="lessThan">
      <formula>0</formula>
    </cfRule>
  </conditionalFormatting>
  <conditionalFormatting sqref="R83">
    <cfRule type="cellIs" dxfId="14876" priority="1837" operator="lessThan">
      <formula>0.8</formula>
    </cfRule>
    <cfRule type="cellIs" dxfId="14875" priority="1838" operator="greaterThan">
      <formula>1</formula>
    </cfRule>
  </conditionalFormatting>
  <conditionalFormatting sqref="R83">
    <cfRule type="cellIs" dxfId="14874" priority="1835" operator="greaterThan">
      <formula>1</formula>
    </cfRule>
    <cfRule type="cellIs" dxfId="14873" priority="1836" operator="lessThan">
      <formula>0.8</formula>
    </cfRule>
  </conditionalFormatting>
  <conditionalFormatting sqref="P83">
    <cfRule type="cellIs" dxfId="14872" priority="1828" operator="greaterThan">
      <formula>0</formula>
    </cfRule>
  </conditionalFormatting>
  <conditionalFormatting sqref="Q83">
    <cfRule type="cellIs" dxfId="14871" priority="1833" operator="lessThan">
      <formula>0</formula>
    </cfRule>
  </conditionalFormatting>
  <conditionalFormatting sqref="R83">
    <cfRule type="cellIs" dxfId="14870" priority="1831" operator="lessThan">
      <formula>0.8</formula>
    </cfRule>
    <cfRule type="cellIs" dxfId="14869" priority="1832" operator="greaterThan">
      <formula>1</formula>
    </cfRule>
  </conditionalFormatting>
  <conditionalFormatting sqref="R83">
    <cfRule type="cellIs" dxfId="14868" priority="1829" operator="greaterThan">
      <formula>1</formula>
    </cfRule>
    <cfRule type="cellIs" dxfId="14867" priority="1830" operator="lessThan">
      <formula>0.8</formula>
    </cfRule>
  </conditionalFormatting>
  <conditionalFormatting sqref="R83">
    <cfRule type="cellIs" dxfId="14866" priority="1825" operator="lessThan">
      <formula>0.8</formula>
    </cfRule>
    <cfRule type="cellIs" dxfId="14865" priority="1826" operator="greaterThan">
      <formula>1</formula>
    </cfRule>
  </conditionalFormatting>
  <conditionalFormatting sqref="R83">
    <cfRule type="cellIs" dxfId="14864" priority="1823" operator="greaterThan">
      <formula>1</formula>
    </cfRule>
    <cfRule type="cellIs" dxfId="14863" priority="1824" operator="lessThan">
      <formula>0.8</formula>
    </cfRule>
  </conditionalFormatting>
  <conditionalFormatting sqref="P83">
    <cfRule type="cellIs" dxfId="14862" priority="1822" operator="greaterThan">
      <formula>0</formula>
    </cfRule>
  </conditionalFormatting>
  <conditionalFormatting sqref="Q83">
    <cfRule type="cellIs" dxfId="14861" priority="1827" operator="lessThan">
      <formula>0</formula>
    </cfRule>
  </conditionalFormatting>
  <conditionalFormatting sqref="Q83">
    <cfRule type="cellIs" dxfId="14860" priority="1821" operator="lessThan">
      <formula>0</formula>
    </cfRule>
  </conditionalFormatting>
  <conditionalFormatting sqref="R83">
    <cfRule type="cellIs" dxfId="14859" priority="1819" operator="lessThan">
      <formula>0.8</formula>
    </cfRule>
    <cfRule type="cellIs" dxfId="14858" priority="1820" operator="greaterThan">
      <formula>1</formula>
    </cfRule>
  </conditionalFormatting>
  <conditionalFormatting sqref="R83">
    <cfRule type="cellIs" dxfId="14857" priority="1817" operator="greaterThan">
      <formula>1</formula>
    </cfRule>
    <cfRule type="cellIs" dxfId="14856" priority="1818" operator="lessThan">
      <formula>0.8</formula>
    </cfRule>
  </conditionalFormatting>
  <conditionalFormatting sqref="P83">
    <cfRule type="cellIs" dxfId="14855" priority="1816" operator="greaterThan">
      <formula>0</formula>
    </cfRule>
  </conditionalFormatting>
  <conditionalFormatting sqref="P83">
    <cfRule type="cellIs" dxfId="14854" priority="1810" operator="greaterThan">
      <formula>0</formula>
    </cfRule>
  </conditionalFormatting>
  <conditionalFormatting sqref="Q83">
    <cfRule type="cellIs" dxfId="14853" priority="1815" operator="lessThan">
      <formula>0</formula>
    </cfRule>
  </conditionalFormatting>
  <conditionalFormatting sqref="R83">
    <cfRule type="cellIs" dxfId="14852" priority="1813" operator="lessThan">
      <formula>0.8</formula>
    </cfRule>
    <cfRule type="cellIs" dxfId="14851" priority="1814" operator="greaterThan">
      <formula>1</formula>
    </cfRule>
  </conditionalFormatting>
  <conditionalFormatting sqref="R83">
    <cfRule type="cellIs" dxfId="14850" priority="1811" operator="greaterThan">
      <formula>1</formula>
    </cfRule>
    <cfRule type="cellIs" dxfId="14849" priority="1812" operator="lessThan">
      <formula>0.8</formula>
    </cfRule>
  </conditionalFormatting>
  <conditionalFormatting sqref="P83">
    <cfRule type="cellIs" dxfId="14848" priority="1804" operator="greaterThan">
      <formula>0</formula>
    </cfRule>
  </conditionalFormatting>
  <conditionalFormatting sqref="Q83">
    <cfRule type="cellIs" dxfId="14847" priority="1809" operator="lessThan">
      <formula>0</formula>
    </cfRule>
  </conditionalFormatting>
  <conditionalFormatting sqref="R83">
    <cfRule type="cellIs" dxfId="14846" priority="1807" operator="lessThan">
      <formula>0.8</formula>
    </cfRule>
    <cfRule type="cellIs" dxfId="14845" priority="1808" operator="greaterThan">
      <formula>1</formula>
    </cfRule>
  </conditionalFormatting>
  <conditionalFormatting sqref="R83">
    <cfRule type="cellIs" dxfId="14844" priority="1805" operator="greaterThan">
      <formula>1</formula>
    </cfRule>
    <cfRule type="cellIs" dxfId="14843" priority="1806" operator="lessThan">
      <formula>0.8</formula>
    </cfRule>
  </conditionalFormatting>
  <conditionalFormatting sqref="R83">
    <cfRule type="cellIs" dxfId="14842" priority="1801" operator="lessThan">
      <formula>0.8</formula>
    </cfRule>
    <cfRule type="cellIs" dxfId="14841" priority="1802" operator="greaterThan">
      <formula>1</formula>
    </cfRule>
  </conditionalFormatting>
  <conditionalFormatting sqref="R83">
    <cfRule type="cellIs" dxfId="14840" priority="1799" operator="greaterThan">
      <formula>1</formula>
    </cfRule>
    <cfRule type="cellIs" dxfId="14839" priority="1800" operator="lessThan">
      <formula>0.8</formula>
    </cfRule>
  </conditionalFormatting>
  <conditionalFormatting sqref="P83">
    <cfRule type="cellIs" dxfId="14838" priority="1798" operator="greaterThan">
      <formula>0</formula>
    </cfRule>
  </conditionalFormatting>
  <conditionalFormatting sqref="Q83">
    <cfRule type="cellIs" dxfId="14837" priority="1803" operator="lessThan">
      <formula>0</formula>
    </cfRule>
  </conditionalFormatting>
  <conditionalFormatting sqref="P83">
    <cfRule type="cellIs" dxfId="14836" priority="1792" operator="greaterThan">
      <formula>0</formula>
    </cfRule>
  </conditionalFormatting>
  <conditionalFormatting sqref="Q83">
    <cfRule type="cellIs" dxfId="14835" priority="1797" operator="lessThan">
      <formula>0</formula>
    </cfRule>
  </conditionalFormatting>
  <conditionalFormatting sqref="R83">
    <cfRule type="cellIs" dxfId="14834" priority="1795" operator="lessThan">
      <formula>0.8</formula>
    </cfRule>
    <cfRule type="cellIs" dxfId="14833" priority="1796" operator="greaterThan">
      <formula>1</formula>
    </cfRule>
  </conditionalFormatting>
  <conditionalFormatting sqref="R83">
    <cfRule type="cellIs" dxfId="14832" priority="1793" operator="greaterThan">
      <formula>1</formula>
    </cfRule>
    <cfRule type="cellIs" dxfId="14831" priority="1794" operator="lessThan">
      <formula>0.8</formula>
    </cfRule>
  </conditionalFormatting>
  <conditionalFormatting sqref="R83">
    <cfRule type="cellIs" dxfId="14830" priority="1789" operator="lessThan">
      <formula>0.8</formula>
    </cfRule>
    <cfRule type="cellIs" dxfId="14829" priority="1790" operator="greaterThan">
      <formula>1</formula>
    </cfRule>
  </conditionalFormatting>
  <conditionalFormatting sqref="R83">
    <cfRule type="cellIs" dxfId="14828" priority="1787" operator="greaterThan">
      <formula>1</formula>
    </cfRule>
    <cfRule type="cellIs" dxfId="14827" priority="1788" operator="lessThan">
      <formula>0.8</formula>
    </cfRule>
  </conditionalFormatting>
  <conditionalFormatting sqref="P83">
    <cfRule type="cellIs" dxfId="14826" priority="1786" operator="greaterThan">
      <formula>0</formula>
    </cfRule>
  </conditionalFormatting>
  <conditionalFormatting sqref="Q83">
    <cfRule type="cellIs" dxfId="14825" priority="1791" operator="lessThan">
      <formula>0</formula>
    </cfRule>
  </conditionalFormatting>
  <conditionalFormatting sqref="R83">
    <cfRule type="cellIs" dxfId="14824" priority="1783" operator="lessThan">
      <formula>0.8</formula>
    </cfRule>
    <cfRule type="cellIs" dxfId="14823" priority="1784" operator="greaterThan">
      <formula>1</formula>
    </cfRule>
  </conditionalFormatting>
  <conditionalFormatting sqref="R83">
    <cfRule type="cellIs" dxfId="14822" priority="1781" operator="greaterThan">
      <formula>1</formula>
    </cfRule>
    <cfRule type="cellIs" dxfId="14821" priority="1782" operator="lessThan">
      <formula>0.8</formula>
    </cfRule>
  </conditionalFormatting>
  <conditionalFormatting sqref="P83">
    <cfRule type="cellIs" dxfId="14820" priority="1780" operator="greaterThan">
      <formula>0</formula>
    </cfRule>
  </conditionalFormatting>
  <conditionalFormatting sqref="Q83">
    <cfRule type="cellIs" dxfId="14819" priority="1785" operator="lessThan">
      <formula>0</formula>
    </cfRule>
  </conditionalFormatting>
  <conditionalFormatting sqref="Q83">
    <cfRule type="cellIs" dxfId="14818" priority="1779" operator="lessThan">
      <formula>0</formula>
    </cfRule>
  </conditionalFormatting>
  <conditionalFormatting sqref="R83">
    <cfRule type="cellIs" dxfId="14817" priority="1777" operator="lessThan">
      <formula>0.8</formula>
    </cfRule>
    <cfRule type="cellIs" dxfId="14816" priority="1778" operator="greaterThan">
      <formula>1</formula>
    </cfRule>
  </conditionalFormatting>
  <conditionalFormatting sqref="R83">
    <cfRule type="cellIs" dxfId="14815" priority="1775" operator="greaterThan">
      <formula>1</formula>
    </cfRule>
    <cfRule type="cellIs" dxfId="14814" priority="1776" operator="lessThan">
      <formula>0.8</formula>
    </cfRule>
  </conditionalFormatting>
  <conditionalFormatting sqref="P83">
    <cfRule type="cellIs" dxfId="14813" priority="1774" operator="greaterThan">
      <formula>0</formula>
    </cfRule>
  </conditionalFormatting>
  <conditionalFormatting sqref="Q83">
    <cfRule type="cellIs" dxfId="14812" priority="1768" operator="lessThan">
      <formula>0</formula>
    </cfRule>
  </conditionalFormatting>
  <conditionalFormatting sqref="R83">
    <cfRule type="cellIs" dxfId="14811" priority="1772" operator="lessThan">
      <formula>0.8</formula>
    </cfRule>
    <cfRule type="cellIs" dxfId="14810" priority="1773" operator="greaterThan">
      <formula>1</formula>
    </cfRule>
  </conditionalFormatting>
  <conditionalFormatting sqref="R83">
    <cfRule type="cellIs" dxfId="14809" priority="1770" operator="greaterThan">
      <formula>1</formula>
    </cfRule>
    <cfRule type="cellIs" dxfId="14808" priority="1771" operator="lessThan">
      <formula>0.8</formula>
    </cfRule>
  </conditionalFormatting>
  <conditionalFormatting sqref="P83">
    <cfRule type="cellIs" dxfId="14807" priority="1769" operator="greaterThan">
      <formula>0</formula>
    </cfRule>
  </conditionalFormatting>
  <conditionalFormatting sqref="Q83">
    <cfRule type="cellIs" dxfId="14806" priority="1767" operator="lessThan">
      <formula>0</formula>
    </cfRule>
  </conditionalFormatting>
  <conditionalFormatting sqref="R83">
    <cfRule type="cellIs" dxfId="14805" priority="1765" operator="lessThan">
      <formula>0.8</formula>
    </cfRule>
    <cfRule type="cellIs" dxfId="14804" priority="1766" operator="greaterThan">
      <formula>1</formula>
    </cfRule>
  </conditionalFormatting>
  <conditionalFormatting sqref="R83">
    <cfRule type="cellIs" dxfId="14803" priority="1763" operator="greaterThan">
      <formula>1</formula>
    </cfRule>
    <cfRule type="cellIs" dxfId="14802" priority="1764" operator="lessThan">
      <formula>0.8</formula>
    </cfRule>
  </conditionalFormatting>
  <conditionalFormatting sqref="P83">
    <cfRule type="cellIs" dxfId="14801" priority="1762" operator="greaterThan">
      <formula>0</formula>
    </cfRule>
  </conditionalFormatting>
  <conditionalFormatting sqref="Q83">
    <cfRule type="cellIs" dxfId="14800" priority="1761" operator="lessThan">
      <formula>0</formula>
    </cfRule>
  </conditionalFormatting>
  <conditionalFormatting sqref="R83">
    <cfRule type="cellIs" dxfId="14799" priority="1759" operator="lessThan">
      <formula>0.8</formula>
    </cfRule>
    <cfRule type="cellIs" dxfId="14798" priority="1760" operator="greaterThan">
      <formula>1</formula>
    </cfRule>
  </conditionalFormatting>
  <conditionalFormatting sqref="R83">
    <cfRule type="cellIs" dxfId="14797" priority="1757" operator="greaterThan">
      <formula>1</formula>
    </cfRule>
    <cfRule type="cellIs" dxfId="14796" priority="1758" operator="lessThan">
      <formula>0.8</formula>
    </cfRule>
  </conditionalFormatting>
  <conditionalFormatting sqref="P83">
    <cfRule type="cellIs" dxfId="14795" priority="1756" operator="greaterThan">
      <formula>0</formula>
    </cfRule>
  </conditionalFormatting>
  <conditionalFormatting sqref="Q83">
    <cfRule type="cellIs" dxfId="14794" priority="1755" operator="lessThan">
      <formula>0</formula>
    </cfRule>
  </conditionalFormatting>
  <conditionalFormatting sqref="R83">
    <cfRule type="cellIs" dxfId="14793" priority="1753" operator="lessThan">
      <formula>0.8</formula>
    </cfRule>
    <cfRule type="cellIs" dxfId="14792" priority="1754" operator="greaterThan">
      <formula>1</formula>
    </cfRule>
  </conditionalFormatting>
  <conditionalFormatting sqref="R83">
    <cfRule type="cellIs" dxfId="14791" priority="1751" operator="greaterThan">
      <formula>1</formula>
    </cfRule>
    <cfRule type="cellIs" dxfId="14790" priority="1752" operator="lessThan">
      <formula>0.8</formula>
    </cfRule>
  </conditionalFormatting>
  <conditionalFormatting sqref="P83">
    <cfRule type="cellIs" dxfId="14789" priority="1750" operator="greaterThan">
      <formula>0</formula>
    </cfRule>
  </conditionalFormatting>
  <conditionalFormatting sqref="Q83">
    <cfRule type="cellIs" dxfId="14788" priority="1749" operator="lessThan">
      <formula>0</formula>
    </cfRule>
  </conditionalFormatting>
  <conditionalFormatting sqref="R83">
    <cfRule type="cellIs" dxfId="14787" priority="1747" operator="lessThan">
      <formula>0.8</formula>
    </cfRule>
    <cfRule type="cellIs" dxfId="14786" priority="1748" operator="greaterThan">
      <formula>1</formula>
    </cfRule>
  </conditionalFormatting>
  <conditionalFormatting sqref="R83">
    <cfRule type="cellIs" dxfId="14785" priority="1745" operator="greaterThan">
      <formula>1</formula>
    </cfRule>
    <cfRule type="cellIs" dxfId="14784" priority="1746" operator="lessThan">
      <formula>0.8</formula>
    </cfRule>
  </conditionalFormatting>
  <conditionalFormatting sqref="P83">
    <cfRule type="cellIs" dxfId="14783" priority="1744" operator="greaterThan">
      <formula>0</formula>
    </cfRule>
  </conditionalFormatting>
  <conditionalFormatting sqref="Q83">
    <cfRule type="cellIs" dxfId="14782" priority="1743" operator="lessThan">
      <formula>0</formula>
    </cfRule>
  </conditionalFormatting>
  <conditionalFormatting sqref="R83">
    <cfRule type="cellIs" dxfId="14781" priority="1741" operator="lessThan">
      <formula>0.8</formula>
    </cfRule>
    <cfRule type="cellIs" dxfId="14780" priority="1742" operator="greaterThan">
      <formula>1</formula>
    </cfRule>
  </conditionalFormatting>
  <conditionalFormatting sqref="R83">
    <cfRule type="cellIs" dxfId="14779" priority="1739" operator="greaterThan">
      <formula>1</formula>
    </cfRule>
    <cfRule type="cellIs" dxfId="14778" priority="1740" operator="lessThan">
      <formula>0.8</formula>
    </cfRule>
  </conditionalFormatting>
  <conditionalFormatting sqref="P83">
    <cfRule type="cellIs" dxfId="14777" priority="1738" operator="greaterThan">
      <formula>0</formula>
    </cfRule>
  </conditionalFormatting>
  <conditionalFormatting sqref="P83">
    <cfRule type="cellIs" dxfId="14776" priority="1732" operator="greaterThan">
      <formula>0</formula>
    </cfRule>
  </conditionalFormatting>
  <conditionalFormatting sqref="Q83">
    <cfRule type="cellIs" dxfId="14775" priority="1737" operator="lessThan">
      <formula>0</formula>
    </cfRule>
  </conditionalFormatting>
  <conditionalFormatting sqref="R83">
    <cfRule type="cellIs" dxfId="14774" priority="1735" operator="lessThan">
      <formula>0.8</formula>
    </cfRule>
    <cfRule type="cellIs" dxfId="14773" priority="1736" operator="greaterThan">
      <formula>1</formula>
    </cfRule>
  </conditionalFormatting>
  <conditionalFormatting sqref="R83">
    <cfRule type="cellIs" dxfId="14772" priority="1733" operator="greaterThan">
      <formula>1</formula>
    </cfRule>
    <cfRule type="cellIs" dxfId="14771" priority="1734" operator="lessThan">
      <formula>0.8</formula>
    </cfRule>
  </conditionalFormatting>
  <conditionalFormatting sqref="P83">
    <cfRule type="cellIs" dxfId="14770" priority="1726" operator="greaterThan">
      <formula>0</formula>
    </cfRule>
  </conditionalFormatting>
  <conditionalFormatting sqref="Q83">
    <cfRule type="cellIs" dxfId="14769" priority="1731" operator="lessThan">
      <formula>0</formula>
    </cfRule>
  </conditionalFormatting>
  <conditionalFormatting sqref="R83">
    <cfRule type="cellIs" dxfId="14768" priority="1729" operator="lessThan">
      <formula>0.8</formula>
    </cfRule>
    <cfRule type="cellIs" dxfId="14767" priority="1730" operator="greaterThan">
      <formula>1</formula>
    </cfRule>
  </conditionalFormatting>
  <conditionalFormatting sqref="R83">
    <cfRule type="cellIs" dxfId="14766" priority="1727" operator="greaterThan">
      <formula>1</formula>
    </cfRule>
    <cfRule type="cellIs" dxfId="14765" priority="1728" operator="lessThan">
      <formula>0.8</formula>
    </cfRule>
  </conditionalFormatting>
  <conditionalFormatting sqref="R83">
    <cfRule type="cellIs" dxfId="14764" priority="1723" operator="lessThan">
      <formula>0.8</formula>
    </cfRule>
    <cfRule type="cellIs" dxfId="14763" priority="1724" operator="greaterThan">
      <formula>1</formula>
    </cfRule>
  </conditionalFormatting>
  <conditionalFormatting sqref="R83">
    <cfRule type="cellIs" dxfId="14762" priority="1721" operator="greaterThan">
      <formula>1</formula>
    </cfRule>
    <cfRule type="cellIs" dxfId="14761" priority="1722" operator="lessThan">
      <formula>0.8</formula>
    </cfRule>
  </conditionalFormatting>
  <conditionalFormatting sqref="P83">
    <cfRule type="cellIs" dxfId="14760" priority="1720" operator="greaterThan">
      <formula>0</formula>
    </cfRule>
  </conditionalFormatting>
  <conditionalFormatting sqref="Q83">
    <cfRule type="cellIs" dxfId="14759" priority="1725" operator="lessThan">
      <formula>0</formula>
    </cfRule>
  </conditionalFormatting>
  <conditionalFormatting sqref="Q83">
    <cfRule type="cellIs" dxfId="14758" priority="1714" operator="lessThan">
      <formula>0</formula>
    </cfRule>
  </conditionalFormatting>
  <conditionalFormatting sqref="P83">
    <cfRule type="cellIs" dxfId="14757" priority="1715" operator="greaterThan">
      <formula>0</formula>
    </cfRule>
  </conditionalFormatting>
  <conditionalFormatting sqref="R83">
    <cfRule type="cellIs" dxfId="14756" priority="1718" operator="lessThan">
      <formula>0.8</formula>
    </cfRule>
    <cfRule type="cellIs" dxfId="14755" priority="1719" operator="greaterThan">
      <formula>1</formula>
    </cfRule>
  </conditionalFormatting>
  <conditionalFormatting sqref="R83">
    <cfRule type="cellIs" dxfId="14754" priority="1716" operator="greaterThan">
      <formula>1</formula>
    </cfRule>
    <cfRule type="cellIs" dxfId="14753" priority="1717" operator="lessThan">
      <formula>0.8</formula>
    </cfRule>
  </conditionalFormatting>
  <conditionalFormatting sqref="Q83">
    <cfRule type="cellIs" dxfId="14752" priority="1708" operator="lessThan">
      <formula>0</formula>
    </cfRule>
  </conditionalFormatting>
  <conditionalFormatting sqref="R83">
    <cfRule type="cellIs" dxfId="14751" priority="1712" operator="lessThan">
      <formula>0.8</formula>
    </cfRule>
    <cfRule type="cellIs" dxfId="14750" priority="1713" operator="greaterThan">
      <formula>1</formula>
    </cfRule>
  </conditionalFormatting>
  <conditionalFormatting sqref="R83">
    <cfRule type="cellIs" dxfId="14749" priority="1710" operator="greaterThan">
      <formula>1</formula>
    </cfRule>
    <cfRule type="cellIs" dxfId="14748" priority="1711" operator="lessThan">
      <formula>0.8</formula>
    </cfRule>
  </conditionalFormatting>
  <conditionalFormatting sqref="P83">
    <cfRule type="cellIs" dxfId="14747" priority="1709" operator="greaterThan">
      <formula>0</formula>
    </cfRule>
  </conditionalFormatting>
  <conditionalFormatting sqref="Q83">
    <cfRule type="cellIs" dxfId="14746" priority="1707" operator="lessThan">
      <formula>0</formula>
    </cfRule>
  </conditionalFormatting>
  <conditionalFormatting sqref="R83">
    <cfRule type="cellIs" dxfId="14745" priority="1705" operator="lessThan">
      <formula>0.8</formula>
    </cfRule>
    <cfRule type="cellIs" dxfId="14744" priority="1706" operator="greaterThan">
      <formula>1</formula>
    </cfRule>
  </conditionalFormatting>
  <conditionalFormatting sqref="R83">
    <cfRule type="cellIs" dxfId="14743" priority="1703" operator="greaterThan">
      <formula>1</formula>
    </cfRule>
    <cfRule type="cellIs" dxfId="14742" priority="1704" operator="lessThan">
      <formula>0.8</formula>
    </cfRule>
  </conditionalFormatting>
  <conditionalFormatting sqref="P83">
    <cfRule type="cellIs" dxfId="14741" priority="1702" operator="greaterThan">
      <formula>0</formula>
    </cfRule>
  </conditionalFormatting>
  <conditionalFormatting sqref="Q83">
    <cfRule type="cellIs" dxfId="14740" priority="1701" operator="lessThan">
      <formula>0</formula>
    </cfRule>
  </conditionalFormatting>
  <conditionalFormatting sqref="R83">
    <cfRule type="cellIs" dxfId="14739" priority="1699" operator="lessThan">
      <formula>0.8</formula>
    </cfRule>
    <cfRule type="cellIs" dxfId="14738" priority="1700" operator="greaterThan">
      <formula>1</formula>
    </cfRule>
  </conditionalFormatting>
  <conditionalFormatting sqref="R83">
    <cfRule type="cellIs" dxfId="14737" priority="1697" operator="greaterThan">
      <formula>1</formula>
    </cfRule>
    <cfRule type="cellIs" dxfId="14736" priority="1698" operator="lessThan">
      <formula>0.8</formula>
    </cfRule>
  </conditionalFormatting>
  <conditionalFormatting sqref="P83">
    <cfRule type="cellIs" dxfId="14735" priority="1696" operator="greaterThan">
      <formula>0</formula>
    </cfRule>
  </conditionalFormatting>
  <conditionalFormatting sqref="Q83">
    <cfRule type="cellIs" dxfId="14734" priority="1695" operator="lessThan">
      <formula>0</formula>
    </cfRule>
  </conditionalFormatting>
  <conditionalFormatting sqref="R83">
    <cfRule type="cellIs" dxfId="14733" priority="1693" operator="lessThan">
      <formula>0.8</formula>
    </cfRule>
    <cfRule type="cellIs" dxfId="14732" priority="1694" operator="greaterThan">
      <formula>1</formula>
    </cfRule>
  </conditionalFormatting>
  <conditionalFormatting sqref="R83">
    <cfRule type="cellIs" dxfId="14731" priority="1691" operator="greaterThan">
      <formula>1</formula>
    </cfRule>
    <cfRule type="cellIs" dxfId="14730" priority="1692" operator="lessThan">
      <formula>0.8</formula>
    </cfRule>
  </conditionalFormatting>
  <conditionalFormatting sqref="P83">
    <cfRule type="cellIs" dxfId="14729" priority="1690" operator="greaterThan">
      <formula>0</formula>
    </cfRule>
  </conditionalFormatting>
  <conditionalFormatting sqref="Q32:Q39">
    <cfRule type="cellIs" dxfId="14728" priority="1684" operator="lessThan">
      <formula>0</formula>
    </cfRule>
  </conditionalFormatting>
  <conditionalFormatting sqref="P32:P39">
    <cfRule type="cellIs" dxfId="14727" priority="1685" operator="greaterThan">
      <formula>0</formula>
    </cfRule>
  </conditionalFormatting>
  <conditionalFormatting sqref="R32:R39">
    <cfRule type="cellIs" dxfId="14726" priority="1688" operator="lessThan">
      <formula>0.8</formula>
    </cfRule>
    <cfRule type="cellIs" dxfId="14725" priority="1689" operator="greaterThan">
      <formula>1</formula>
    </cfRule>
  </conditionalFormatting>
  <conditionalFormatting sqref="R32:R39">
    <cfRule type="cellIs" dxfId="14724" priority="1686" operator="greaterThan">
      <formula>1</formula>
    </cfRule>
    <cfRule type="cellIs" dxfId="14723" priority="1687" operator="lessThan">
      <formula>0.8</formula>
    </cfRule>
  </conditionalFormatting>
  <conditionalFormatting sqref="Q32:Q39">
    <cfRule type="cellIs" dxfId="14722" priority="1678" operator="lessThan">
      <formula>0</formula>
    </cfRule>
  </conditionalFormatting>
  <conditionalFormatting sqref="R32:R39">
    <cfRule type="cellIs" dxfId="14721" priority="1682" operator="lessThan">
      <formula>0.8</formula>
    </cfRule>
    <cfRule type="cellIs" dxfId="14720" priority="1683" operator="greaterThan">
      <formula>1</formula>
    </cfRule>
  </conditionalFormatting>
  <conditionalFormatting sqref="R32:R39">
    <cfRule type="cellIs" dxfId="14719" priority="1680" operator="greaterThan">
      <formula>1</formula>
    </cfRule>
    <cfRule type="cellIs" dxfId="14718" priority="1681" operator="lessThan">
      <formula>0.8</formula>
    </cfRule>
  </conditionalFormatting>
  <conditionalFormatting sqref="P32:P39">
    <cfRule type="cellIs" dxfId="14717" priority="1679" operator="greaterThan">
      <formula>0</formula>
    </cfRule>
  </conditionalFormatting>
  <conditionalFormatting sqref="Q32:Q39">
    <cfRule type="cellIs" dxfId="14716" priority="1677" operator="lessThan">
      <formula>0</formula>
    </cfRule>
  </conditionalFormatting>
  <conditionalFormatting sqref="R32:R39">
    <cfRule type="cellIs" dxfId="14715" priority="1675" operator="lessThan">
      <formula>0.8</formula>
    </cfRule>
    <cfRule type="cellIs" dxfId="14714" priority="1676" operator="greaterThan">
      <formula>1</formula>
    </cfRule>
  </conditionalFormatting>
  <conditionalFormatting sqref="R32:R39">
    <cfRule type="cellIs" dxfId="14713" priority="1673" operator="greaterThan">
      <formula>1</formula>
    </cfRule>
    <cfRule type="cellIs" dxfId="14712" priority="1674" operator="lessThan">
      <formula>0.8</formula>
    </cfRule>
  </conditionalFormatting>
  <conditionalFormatting sqref="P32:P39">
    <cfRule type="cellIs" dxfId="14711" priority="1672" operator="greaterThan">
      <formula>0</formula>
    </cfRule>
  </conditionalFormatting>
  <conditionalFormatting sqref="Q32:Q39">
    <cfRule type="cellIs" dxfId="14710" priority="1671" operator="lessThan">
      <formula>0</formula>
    </cfRule>
  </conditionalFormatting>
  <conditionalFormatting sqref="R32:R39">
    <cfRule type="cellIs" dxfId="14709" priority="1669" operator="lessThan">
      <formula>0.8</formula>
    </cfRule>
    <cfRule type="cellIs" dxfId="14708" priority="1670" operator="greaterThan">
      <formula>1</formula>
    </cfRule>
  </conditionalFormatting>
  <conditionalFormatting sqref="R32:R39">
    <cfRule type="cellIs" dxfId="14707" priority="1667" operator="greaterThan">
      <formula>1</formula>
    </cfRule>
    <cfRule type="cellIs" dxfId="14706" priority="1668" operator="lessThan">
      <formula>0.8</formula>
    </cfRule>
  </conditionalFormatting>
  <conditionalFormatting sqref="P32:P39">
    <cfRule type="cellIs" dxfId="14705" priority="1666" operator="greaterThan">
      <formula>0</formula>
    </cfRule>
  </conditionalFormatting>
  <conditionalFormatting sqref="Q32:Q39">
    <cfRule type="cellIs" dxfId="14704" priority="1660" operator="lessThan">
      <formula>0</formula>
    </cfRule>
  </conditionalFormatting>
  <conditionalFormatting sqref="R32:R39">
    <cfRule type="cellIs" dxfId="14703" priority="1664" operator="lessThan">
      <formula>0.8</formula>
    </cfRule>
    <cfRule type="cellIs" dxfId="14702" priority="1665" operator="greaterThan">
      <formula>1</formula>
    </cfRule>
  </conditionalFormatting>
  <conditionalFormatting sqref="R32:R39">
    <cfRule type="cellIs" dxfId="14701" priority="1662" operator="greaterThan">
      <formula>1</formula>
    </cfRule>
    <cfRule type="cellIs" dxfId="14700" priority="1663" operator="lessThan">
      <formula>0.8</formula>
    </cfRule>
  </conditionalFormatting>
  <conditionalFormatting sqref="P32:P39">
    <cfRule type="cellIs" dxfId="14699" priority="1661" operator="greaterThan">
      <formula>0</formula>
    </cfRule>
  </conditionalFormatting>
  <conditionalFormatting sqref="Q32:Q39">
    <cfRule type="cellIs" dxfId="14698" priority="1659" operator="lessThan">
      <formula>0</formula>
    </cfRule>
  </conditionalFormatting>
  <conditionalFormatting sqref="R32:R39">
    <cfRule type="cellIs" dxfId="14697" priority="1657" operator="lessThan">
      <formula>0.8</formula>
    </cfRule>
    <cfRule type="cellIs" dxfId="14696" priority="1658" operator="greaterThan">
      <formula>1</formula>
    </cfRule>
  </conditionalFormatting>
  <conditionalFormatting sqref="R32:R39">
    <cfRule type="cellIs" dxfId="14695" priority="1655" operator="greaterThan">
      <formula>1</formula>
    </cfRule>
    <cfRule type="cellIs" dxfId="14694" priority="1656" operator="lessThan">
      <formula>0.8</formula>
    </cfRule>
  </conditionalFormatting>
  <conditionalFormatting sqref="P32:P39">
    <cfRule type="cellIs" dxfId="14693" priority="1654" operator="greaterThan">
      <formula>0</formula>
    </cfRule>
  </conditionalFormatting>
  <conditionalFormatting sqref="Q32:Q39">
    <cfRule type="cellIs" dxfId="14692" priority="1653" operator="lessThan">
      <formula>0</formula>
    </cfRule>
  </conditionalFormatting>
  <conditionalFormatting sqref="R32:R39">
    <cfRule type="cellIs" dxfId="14691" priority="1651" operator="lessThan">
      <formula>0.8</formula>
    </cfRule>
    <cfRule type="cellIs" dxfId="14690" priority="1652" operator="greaterThan">
      <formula>1</formula>
    </cfRule>
  </conditionalFormatting>
  <conditionalFormatting sqref="R32:R39">
    <cfRule type="cellIs" dxfId="14689" priority="1649" operator="greaterThan">
      <formula>1</formula>
    </cfRule>
    <cfRule type="cellIs" dxfId="14688" priority="1650" operator="lessThan">
      <formula>0.8</formula>
    </cfRule>
  </conditionalFormatting>
  <conditionalFormatting sqref="P32:P39">
    <cfRule type="cellIs" dxfId="14687" priority="1648" operator="greaterThan">
      <formula>0</formula>
    </cfRule>
  </conditionalFormatting>
  <conditionalFormatting sqref="Q32:Q39">
    <cfRule type="cellIs" dxfId="14686" priority="1647" operator="lessThan">
      <formula>0</formula>
    </cfRule>
  </conditionalFormatting>
  <conditionalFormatting sqref="R32:R39">
    <cfRule type="cellIs" dxfId="14685" priority="1645" operator="lessThan">
      <formula>0.8</formula>
    </cfRule>
    <cfRule type="cellIs" dxfId="14684" priority="1646" operator="greaterThan">
      <formula>1</formula>
    </cfRule>
  </conditionalFormatting>
  <conditionalFormatting sqref="R32:R39">
    <cfRule type="cellIs" dxfId="14683" priority="1643" operator="greaterThan">
      <formula>1</formula>
    </cfRule>
    <cfRule type="cellIs" dxfId="14682" priority="1644" operator="lessThan">
      <formula>0.8</formula>
    </cfRule>
  </conditionalFormatting>
  <conditionalFormatting sqref="P32:P39">
    <cfRule type="cellIs" dxfId="14681" priority="1642" operator="greaterThan">
      <formula>0</formula>
    </cfRule>
  </conditionalFormatting>
  <conditionalFormatting sqref="Q32:Q39">
    <cfRule type="cellIs" dxfId="14680" priority="1641" operator="lessThan">
      <formula>0</formula>
    </cfRule>
  </conditionalFormatting>
  <conditionalFormatting sqref="R32:R39">
    <cfRule type="cellIs" dxfId="14679" priority="1639" operator="lessThan">
      <formula>0.8</formula>
    </cfRule>
    <cfRule type="cellIs" dxfId="14678" priority="1640" operator="greaterThan">
      <formula>1</formula>
    </cfRule>
  </conditionalFormatting>
  <conditionalFormatting sqref="R32:R39">
    <cfRule type="cellIs" dxfId="14677" priority="1637" operator="greaterThan">
      <formula>1</formula>
    </cfRule>
    <cfRule type="cellIs" dxfId="14676" priority="1638" operator="lessThan">
      <formula>0.8</formula>
    </cfRule>
  </conditionalFormatting>
  <conditionalFormatting sqref="P32:P39">
    <cfRule type="cellIs" dxfId="14675" priority="1636" operator="greaterThan">
      <formula>0</formula>
    </cfRule>
  </conditionalFormatting>
  <conditionalFormatting sqref="Q32:Q39">
    <cfRule type="cellIs" dxfId="14674" priority="1635" operator="lessThan">
      <formula>0</formula>
    </cfRule>
  </conditionalFormatting>
  <conditionalFormatting sqref="R32:R39">
    <cfRule type="cellIs" dxfId="14673" priority="1633" operator="lessThan">
      <formula>0.8</formula>
    </cfRule>
    <cfRule type="cellIs" dxfId="14672" priority="1634" operator="greaterThan">
      <formula>1</formula>
    </cfRule>
  </conditionalFormatting>
  <conditionalFormatting sqref="R32:R39">
    <cfRule type="cellIs" dxfId="14671" priority="1631" operator="greaterThan">
      <formula>1</formula>
    </cfRule>
    <cfRule type="cellIs" dxfId="14670" priority="1632" operator="lessThan">
      <formula>0.8</formula>
    </cfRule>
  </conditionalFormatting>
  <conditionalFormatting sqref="P32:P39">
    <cfRule type="cellIs" dxfId="14669" priority="1630" operator="greaterThan">
      <formula>0</formula>
    </cfRule>
  </conditionalFormatting>
  <conditionalFormatting sqref="P32:P39">
    <cfRule type="cellIs" dxfId="14668" priority="1624" operator="greaterThan">
      <formula>0</formula>
    </cfRule>
  </conditionalFormatting>
  <conditionalFormatting sqref="Q32:Q39">
    <cfRule type="cellIs" dxfId="14667" priority="1629" operator="lessThan">
      <formula>0</formula>
    </cfRule>
  </conditionalFormatting>
  <conditionalFormatting sqref="R32:R39">
    <cfRule type="cellIs" dxfId="14666" priority="1627" operator="lessThan">
      <formula>0.8</formula>
    </cfRule>
    <cfRule type="cellIs" dxfId="14665" priority="1628" operator="greaterThan">
      <formula>1</formula>
    </cfRule>
  </conditionalFormatting>
  <conditionalFormatting sqref="R32:R39">
    <cfRule type="cellIs" dxfId="14664" priority="1625" operator="greaterThan">
      <formula>1</formula>
    </cfRule>
    <cfRule type="cellIs" dxfId="14663" priority="1626" operator="lessThan">
      <formula>0.8</formula>
    </cfRule>
  </conditionalFormatting>
  <conditionalFormatting sqref="P32:P39">
    <cfRule type="cellIs" dxfId="14662" priority="1618" operator="greaterThan">
      <formula>0</formula>
    </cfRule>
  </conditionalFormatting>
  <conditionalFormatting sqref="Q32:Q39">
    <cfRule type="cellIs" dxfId="14661" priority="1623" operator="lessThan">
      <formula>0</formula>
    </cfRule>
  </conditionalFormatting>
  <conditionalFormatting sqref="R32:R39">
    <cfRule type="cellIs" dxfId="14660" priority="1621" operator="lessThan">
      <formula>0.8</formula>
    </cfRule>
    <cfRule type="cellIs" dxfId="14659" priority="1622" operator="greaterThan">
      <formula>1</formula>
    </cfRule>
  </conditionalFormatting>
  <conditionalFormatting sqref="R32:R39">
    <cfRule type="cellIs" dxfId="14658" priority="1619" operator="greaterThan">
      <formula>1</formula>
    </cfRule>
    <cfRule type="cellIs" dxfId="14657" priority="1620" operator="lessThan">
      <formula>0.8</formula>
    </cfRule>
  </conditionalFormatting>
  <conditionalFormatting sqref="R32:R39">
    <cfRule type="cellIs" dxfId="14656" priority="1615" operator="lessThan">
      <formula>0.8</formula>
    </cfRule>
    <cfRule type="cellIs" dxfId="14655" priority="1616" operator="greaterThan">
      <formula>1</formula>
    </cfRule>
  </conditionalFormatting>
  <conditionalFormatting sqref="R32:R39">
    <cfRule type="cellIs" dxfId="14654" priority="1613" operator="greaterThan">
      <formula>1</formula>
    </cfRule>
    <cfRule type="cellIs" dxfId="14653" priority="1614" operator="lessThan">
      <formula>0.8</formula>
    </cfRule>
  </conditionalFormatting>
  <conditionalFormatting sqref="P32:P39">
    <cfRule type="cellIs" dxfId="14652" priority="1612" operator="greaterThan">
      <formula>0</formula>
    </cfRule>
  </conditionalFormatting>
  <conditionalFormatting sqref="Q32:Q39">
    <cfRule type="cellIs" dxfId="14651" priority="1617" operator="lessThan">
      <formula>0</formula>
    </cfRule>
  </conditionalFormatting>
  <conditionalFormatting sqref="Q32:Q39">
    <cfRule type="cellIs" dxfId="14650" priority="1606" operator="lessThan">
      <formula>0</formula>
    </cfRule>
  </conditionalFormatting>
  <conditionalFormatting sqref="P32:P39">
    <cfRule type="cellIs" dxfId="14649" priority="1607" operator="greaterThan">
      <formula>0</formula>
    </cfRule>
  </conditionalFormatting>
  <conditionalFormatting sqref="R32:R39">
    <cfRule type="cellIs" dxfId="14648" priority="1610" operator="lessThan">
      <formula>0.8</formula>
    </cfRule>
    <cfRule type="cellIs" dxfId="14647" priority="1611" operator="greaterThan">
      <formula>1</formula>
    </cfRule>
  </conditionalFormatting>
  <conditionalFormatting sqref="R32:R39">
    <cfRule type="cellIs" dxfId="14646" priority="1608" operator="greaterThan">
      <formula>1</formula>
    </cfRule>
    <cfRule type="cellIs" dxfId="14645" priority="1609" operator="lessThan">
      <formula>0.8</formula>
    </cfRule>
  </conditionalFormatting>
  <conditionalFormatting sqref="Q32:Q39">
    <cfRule type="cellIs" dxfId="14644" priority="1600" operator="lessThan">
      <formula>0</formula>
    </cfRule>
  </conditionalFormatting>
  <conditionalFormatting sqref="R32:R39">
    <cfRule type="cellIs" dxfId="14643" priority="1604" operator="lessThan">
      <formula>0.8</formula>
    </cfRule>
    <cfRule type="cellIs" dxfId="14642" priority="1605" operator="greaterThan">
      <formula>1</formula>
    </cfRule>
  </conditionalFormatting>
  <conditionalFormatting sqref="R32:R39">
    <cfRule type="cellIs" dxfId="14641" priority="1602" operator="greaterThan">
      <formula>1</formula>
    </cfRule>
    <cfRule type="cellIs" dxfId="14640" priority="1603" operator="lessThan">
      <formula>0.8</formula>
    </cfRule>
  </conditionalFormatting>
  <conditionalFormatting sqref="P32:P39">
    <cfRule type="cellIs" dxfId="14639" priority="1601" operator="greaterThan">
      <formula>0</formula>
    </cfRule>
  </conditionalFormatting>
  <conditionalFormatting sqref="Q32:Q39">
    <cfRule type="cellIs" dxfId="14638" priority="1599" operator="lessThan">
      <formula>0</formula>
    </cfRule>
  </conditionalFormatting>
  <conditionalFormatting sqref="R32:R39">
    <cfRule type="cellIs" dxfId="14637" priority="1597" operator="lessThan">
      <formula>0.8</formula>
    </cfRule>
    <cfRule type="cellIs" dxfId="14636" priority="1598" operator="greaterThan">
      <formula>1</formula>
    </cfRule>
  </conditionalFormatting>
  <conditionalFormatting sqref="R32:R39">
    <cfRule type="cellIs" dxfId="14635" priority="1595" operator="greaterThan">
      <formula>1</formula>
    </cfRule>
    <cfRule type="cellIs" dxfId="14634" priority="1596" operator="lessThan">
      <formula>0.8</formula>
    </cfRule>
  </conditionalFormatting>
  <conditionalFormatting sqref="P32:P39">
    <cfRule type="cellIs" dxfId="14633" priority="1594" operator="greaterThan">
      <formula>0</formula>
    </cfRule>
  </conditionalFormatting>
  <conditionalFormatting sqref="Q32:Q39">
    <cfRule type="cellIs" dxfId="14632" priority="1593" operator="lessThan">
      <formula>0</formula>
    </cfRule>
  </conditionalFormatting>
  <conditionalFormatting sqref="R32:R39">
    <cfRule type="cellIs" dxfId="14631" priority="1591" operator="lessThan">
      <formula>0.8</formula>
    </cfRule>
    <cfRule type="cellIs" dxfId="14630" priority="1592" operator="greaterThan">
      <formula>1</formula>
    </cfRule>
  </conditionalFormatting>
  <conditionalFormatting sqref="R32:R39">
    <cfRule type="cellIs" dxfId="14629" priority="1589" operator="greaterThan">
      <formula>1</formula>
    </cfRule>
    <cfRule type="cellIs" dxfId="14628" priority="1590" operator="lessThan">
      <formula>0.8</formula>
    </cfRule>
  </conditionalFormatting>
  <conditionalFormatting sqref="P32:P39">
    <cfRule type="cellIs" dxfId="14627" priority="1588" operator="greaterThan">
      <formula>0</formula>
    </cfRule>
  </conditionalFormatting>
  <conditionalFormatting sqref="Q32:Q39">
    <cfRule type="cellIs" dxfId="14626" priority="1582" operator="lessThan">
      <formula>0</formula>
    </cfRule>
  </conditionalFormatting>
  <conditionalFormatting sqref="P32:P39">
    <cfRule type="cellIs" dxfId="14625" priority="1583" operator="greaterThan">
      <formula>0</formula>
    </cfRule>
  </conditionalFormatting>
  <conditionalFormatting sqref="R32:R39">
    <cfRule type="cellIs" dxfId="14624" priority="1586" operator="lessThan">
      <formula>0.8</formula>
    </cfRule>
    <cfRule type="cellIs" dxfId="14623" priority="1587" operator="greaterThan">
      <formula>1</formula>
    </cfRule>
  </conditionalFormatting>
  <conditionalFormatting sqref="R32:R39">
    <cfRule type="cellIs" dxfId="14622" priority="1584" operator="greaterThan">
      <formula>1</formula>
    </cfRule>
    <cfRule type="cellIs" dxfId="14621" priority="1585" operator="lessThan">
      <formula>0.8</formula>
    </cfRule>
  </conditionalFormatting>
  <conditionalFormatting sqref="Q32:Q39">
    <cfRule type="cellIs" dxfId="14620" priority="1576" operator="lessThan">
      <formula>0</formula>
    </cfRule>
  </conditionalFormatting>
  <conditionalFormatting sqref="R32:R39">
    <cfRule type="cellIs" dxfId="14619" priority="1580" operator="lessThan">
      <formula>0.8</formula>
    </cfRule>
    <cfRule type="cellIs" dxfId="14618" priority="1581" operator="greaterThan">
      <formula>1</formula>
    </cfRule>
  </conditionalFormatting>
  <conditionalFormatting sqref="R32:R39">
    <cfRule type="cellIs" dxfId="14617" priority="1578" operator="greaterThan">
      <formula>1</formula>
    </cfRule>
    <cfRule type="cellIs" dxfId="14616" priority="1579" operator="lessThan">
      <formula>0.8</formula>
    </cfRule>
  </conditionalFormatting>
  <conditionalFormatting sqref="P32:P39">
    <cfRule type="cellIs" dxfId="14615" priority="1577" operator="greaterThan">
      <formula>0</formula>
    </cfRule>
  </conditionalFormatting>
  <conditionalFormatting sqref="Q32:Q39">
    <cfRule type="cellIs" dxfId="14614" priority="1575" operator="lessThan">
      <formula>0</formula>
    </cfRule>
  </conditionalFormatting>
  <conditionalFormatting sqref="R32:R39">
    <cfRule type="cellIs" dxfId="14613" priority="1573" operator="lessThan">
      <formula>0.8</formula>
    </cfRule>
    <cfRule type="cellIs" dxfId="14612" priority="1574" operator="greaterThan">
      <formula>1</formula>
    </cfRule>
  </conditionalFormatting>
  <conditionalFormatting sqref="R32:R39">
    <cfRule type="cellIs" dxfId="14611" priority="1571" operator="greaterThan">
      <formula>1</formula>
    </cfRule>
    <cfRule type="cellIs" dxfId="14610" priority="1572" operator="lessThan">
      <formula>0.8</formula>
    </cfRule>
  </conditionalFormatting>
  <conditionalFormatting sqref="P32:P39">
    <cfRule type="cellIs" dxfId="14609" priority="1570" operator="greaterThan">
      <formula>0</formula>
    </cfRule>
  </conditionalFormatting>
  <conditionalFormatting sqref="Q32:Q39">
    <cfRule type="cellIs" dxfId="14608" priority="1569" operator="lessThan">
      <formula>0</formula>
    </cfRule>
  </conditionalFormatting>
  <conditionalFormatting sqref="R32:R39">
    <cfRule type="cellIs" dxfId="14607" priority="1567" operator="lessThan">
      <formula>0.8</formula>
    </cfRule>
    <cfRule type="cellIs" dxfId="14606" priority="1568" operator="greaterThan">
      <formula>1</formula>
    </cfRule>
  </conditionalFormatting>
  <conditionalFormatting sqref="R32:R39">
    <cfRule type="cellIs" dxfId="14605" priority="1565" operator="greaterThan">
      <formula>1</formula>
    </cfRule>
    <cfRule type="cellIs" dxfId="14604" priority="1566" operator="lessThan">
      <formula>0.8</formula>
    </cfRule>
  </conditionalFormatting>
  <conditionalFormatting sqref="P32:P39">
    <cfRule type="cellIs" dxfId="14603" priority="1564" operator="greaterThan">
      <formula>0</formula>
    </cfRule>
  </conditionalFormatting>
  <conditionalFormatting sqref="Q19:Q25">
    <cfRule type="cellIs" dxfId="14602" priority="1563" operator="lessThan">
      <formula>0</formula>
    </cfRule>
  </conditionalFormatting>
  <conditionalFormatting sqref="R19:R25">
    <cfRule type="cellIs" dxfId="14601" priority="1561" operator="lessThan">
      <formula>0.8</formula>
    </cfRule>
    <cfRule type="cellIs" dxfId="14600" priority="1562" operator="greaterThan">
      <formula>1</formula>
    </cfRule>
  </conditionalFormatting>
  <conditionalFormatting sqref="R19:R25">
    <cfRule type="cellIs" dxfId="14599" priority="1559" operator="greaterThan">
      <formula>1</formula>
    </cfRule>
    <cfRule type="cellIs" dxfId="14598" priority="1560" operator="lessThan">
      <formula>0.8</formula>
    </cfRule>
  </conditionalFormatting>
  <conditionalFormatting sqref="P19:P25">
    <cfRule type="cellIs" dxfId="14597" priority="1558" operator="greaterThan">
      <formula>0</formula>
    </cfRule>
  </conditionalFormatting>
  <conditionalFormatting sqref="R19:R25">
    <cfRule type="cellIs" dxfId="14596" priority="1555" operator="lessThan">
      <formula>0.8</formula>
    </cfRule>
    <cfRule type="cellIs" dxfId="14595" priority="1556" operator="greaterThan">
      <formula>1</formula>
    </cfRule>
  </conditionalFormatting>
  <conditionalFormatting sqref="R19:R25">
    <cfRule type="cellIs" dxfId="14594" priority="1553" operator="greaterThan">
      <formula>1</formula>
    </cfRule>
    <cfRule type="cellIs" dxfId="14593" priority="1554" operator="lessThan">
      <formula>0.8</formula>
    </cfRule>
  </conditionalFormatting>
  <conditionalFormatting sqref="P19:P25">
    <cfRule type="cellIs" dxfId="14592" priority="1552" operator="greaterThan">
      <formula>0</formula>
    </cfRule>
  </conditionalFormatting>
  <conditionalFormatting sqref="Q19:Q25">
    <cfRule type="cellIs" dxfId="14591" priority="1557" operator="lessThan">
      <formula>0</formula>
    </cfRule>
  </conditionalFormatting>
  <conditionalFormatting sqref="R19:R25">
    <cfRule type="cellIs" dxfId="14590" priority="1549" operator="lessThan">
      <formula>0.8</formula>
    </cfRule>
    <cfRule type="cellIs" dxfId="14589" priority="1550" operator="greaterThan">
      <formula>1</formula>
    </cfRule>
  </conditionalFormatting>
  <conditionalFormatting sqref="R19:R25">
    <cfRule type="cellIs" dxfId="14588" priority="1547" operator="greaterThan">
      <formula>1</formula>
    </cfRule>
    <cfRule type="cellIs" dxfId="14587" priority="1548" operator="lessThan">
      <formula>0.8</formula>
    </cfRule>
  </conditionalFormatting>
  <conditionalFormatting sqref="P19:P25">
    <cfRule type="cellIs" dxfId="14586" priority="1546" operator="greaterThan">
      <formula>0</formula>
    </cfRule>
  </conditionalFormatting>
  <conditionalFormatting sqref="Q19:Q25">
    <cfRule type="cellIs" dxfId="14585" priority="1551" operator="lessThan">
      <formula>0</formula>
    </cfRule>
  </conditionalFormatting>
  <conditionalFormatting sqref="Q19:Q25">
    <cfRule type="cellIs" dxfId="14584" priority="1545" operator="lessThan">
      <formula>0</formula>
    </cfRule>
  </conditionalFormatting>
  <conditionalFormatting sqref="R19:R25">
    <cfRule type="cellIs" dxfId="14583" priority="1543" operator="lessThan">
      <formula>0.8</formula>
    </cfRule>
    <cfRule type="cellIs" dxfId="14582" priority="1544" operator="greaterThan">
      <formula>1</formula>
    </cfRule>
  </conditionalFormatting>
  <conditionalFormatting sqref="R19:R25">
    <cfRule type="cellIs" dxfId="14581" priority="1541" operator="greaterThan">
      <formula>1</formula>
    </cfRule>
    <cfRule type="cellIs" dxfId="14580" priority="1542" operator="lessThan">
      <formula>0.8</formula>
    </cfRule>
  </conditionalFormatting>
  <conditionalFormatting sqref="P19:P25">
    <cfRule type="cellIs" dxfId="14579" priority="1540" operator="greaterThan">
      <formula>0</formula>
    </cfRule>
  </conditionalFormatting>
  <conditionalFormatting sqref="Q135:Q136">
    <cfRule type="cellIs" dxfId="14578" priority="1539" operator="lessThan">
      <formula>0</formula>
    </cfRule>
  </conditionalFormatting>
  <conditionalFormatting sqref="R135:R136 R139:R142">
    <cfRule type="cellIs" dxfId="14577" priority="1537" operator="lessThan">
      <formula>0.8</formula>
    </cfRule>
    <cfRule type="cellIs" dxfId="14576" priority="1538" operator="greaterThan">
      <formula>1</formula>
    </cfRule>
  </conditionalFormatting>
  <conditionalFormatting sqref="R135:R136 R139:R142">
    <cfRule type="cellIs" dxfId="14575" priority="1535" operator="greaterThan">
      <formula>1</formula>
    </cfRule>
    <cfRule type="cellIs" dxfId="14574" priority="1536" operator="lessThan">
      <formula>0.8</formula>
    </cfRule>
  </conditionalFormatting>
  <conditionalFormatting sqref="P135:P136 P139 P142">
    <cfRule type="cellIs" dxfId="14573" priority="1534" operator="greaterThan">
      <formula>0</formula>
    </cfRule>
  </conditionalFormatting>
  <conditionalFormatting sqref="P135:P136 P139 P142">
    <cfRule type="cellIs" dxfId="14572" priority="1528" operator="greaterThan">
      <formula>0</formula>
    </cfRule>
  </conditionalFormatting>
  <conditionalFormatting sqref="Q135:Q136">
    <cfRule type="cellIs" dxfId="14571" priority="1533" operator="lessThan">
      <formula>0</formula>
    </cfRule>
  </conditionalFormatting>
  <conditionalFormatting sqref="R135:R136 R139:R142">
    <cfRule type="cellIs" dxfId="14570" priority="1531" operator="lessThan">
      <formula>0.8</formula>
    </cfRule>
    <cfRule type="cellIs" dxfId="14569" priority="1532" operator="greaterThan">
      <formula>1</formula>
    </cfRule>
  </conditionalFormatting>
  <conditionalFormatting sqref="R135:R136 R139:R142">
    <cfRule type="cellIs" dxfId="14568" priority="1529" operator="greaterThan">
      <formula>1</formula>
    </cfRule>
    <cfRule type="cellIs" dxfId="14567" priority="1530" operator="lessThan">
      <formula>0.8</formula>
    </cfRule>
  </conditionalFormatting>
  <conditionalFormatting sqref="P19:P25">
    <cfRule type="cellIs" dxfId="14566" priority="1522" operator="greaterThan">
      <formula>0</formula>
    </cfRule>
  </conditionalFormatting>
  <conditionalFormatting sqref="Q19:Q25">
    <cfRule type="cellIs" dxfId="14565" priority="1527" operator="lessThan">
      <formula>0</formula>
    </cfRule>
  </conditionalFormatting>
  <conditionalFormatting sqref="R19:R25">
    <cfRule type="cellIs" dxfId="14564" priority="1525" operator="lessThan">
      <formula>0.8</formula>
    </cfRule>
    <cfRule type="cellIs" dxfId="14563" priority="1526" operator="greaterThan">
      <formula>1</formula>
    </cfRule>
  </conditionalFormatting>
  <conditionalFormatting sqref="R19:R25">
    <cfRule type="cellIs" dxfId="14562" priority="1523" operator="greaterThan">
      <formula>1</formula>
    </cfRule>
    <cfRule type="cellIs" dxfId="14561" priority="1524" operator="lessThan">
      <formula>0.8</formula>
    </cfRule>
  </conditionalFormatting>
  <conditionalFormatting sqref="Q19:Q25">
    <cfRule type="cellIs" dxfId="14560" priority="1521" operator="lessThan">
      <formula>0</formula>
    </cfRule>
  </conditionalFormatting>
  <conditionalFormatting sqref="R19:R25">
    <cfRule type="cellIs" dxfId="14559" priority="1519" operator="lessThan">
      <formula>0.8</formula>
    </cfRule>
    <cfRule type="cellIs" dxfId="14558" priority="1520" operator="greaterThan">
      <formula>1</formula>
    </cfRule>
  </conditionalFormatting>
  <conditionalFormatting sqref="R19:R25">
    <cfRule type="cellIs" dxfId="14557" priority="1517" operator="greaterThan">
      <formula>1</formula>
    </cfRule>
    <cfRule type="cellIs" dxfId="14556" priority="1518" operator="lessThan">
      <formula>0.8</formula>
    </cfRule>
  </conditionalFormatting>
  <conditionalFormatting sqref="P19:P25">
    <cfRule type="cellIs" dxfId="14555" priority="1516" operator="greaterThan">
      <formula>0</formula>
    </cfRule>
  </conditionalFormatting>
  <conditionalFormatting sqref="Q19:Q25">
    <cfRule type="cellIs" dxfId="14554" priority="1515" operator="lessThan">
      <formula>0</formula>
    </cfRule>
  </conditionalFormatting>
  <conditionalFormatting sqref="R19:R25">
    <cfRule type="cellIs" dxfId="14553" priority="1513" operator="lessThan">
      <formula>0.8</formula>
    </cfRule>
    <cfRule type="cellIs" dxfId="14552" priority="1514" operator="greaterThan">
      <formula>1</formula>
    </cfRule>
  </conditionalFormatting>
  <conditionalFormatting sqref="R19:R25">
    <cfRule type="cellIs" dxfId="14551" priority="1511" operator="greaterThan">
      <formula>1</formula>
    </cfRule>
    <cfRule type="cellIs" dxfId="14550" priority="1512" operator="lessThan">
      <formula>0.8</formula>
    </cfRule>
  </conditionalFormatting>
  <conditionalFormatting sqref="P19:P25">
    <cfRule type="cellIs" dxfId="14549" priority="1510" operator="greaterThan">
      <formula>0</formula>
    </cfRule>
  </conditionalFormatting>
  <conditionalFormatting sqref="Q19:Q25">
    <cfRule type="cellIs" dxfId="14548" priority="1509" operator="lessThan">
      <formula>0</formula>
    </cfRule>
  </conditionalFormatting>
  <conditionalFormatting sqref="R19:R25">
    <cfRule type="cellIs" dxfId="14547" priority="1507" operator="lessThan">
      <formula>0.8</formula>
    </cfRule>
    <cfRule type="cellIs" dxfId="14546" priority="1508" operator="greaterThan">
      <formula>1</formula>
    </cfRule>
  </conditionalFormatting>
  <conditionalFormatting sqref="R19:R25">
    <cfRule type="cellIs" dxfId="14545" priority="1505" operator="greaterThan">
      <formula>1</formula>
    </cfRule>
    <cfRule type="cellIs" dxfId="14544" priority="1506" operator="lessThan">
      <formula>0.8</formula>
    </cfRule>
  </conditionalFormatting>
  <conditionalFormatting sqref="P19:P25">
    <cfRule type="cellIs" dxfId="14543" priority="1504" operator="greaterThan">
      <formula>0</formula>
    </cfRule>
  </conditionalFormatting>
  <conditionalFormatting sqref="R19:R25">
    <cfRule type="cellIs" dxfId="14542" priority="1501" operator="lessThan">
      <formula>0.8</formula>
    </cfRule>
    <cfRule type="cellIs" dxfId="14541" priority="1502" operator="greaterThan">
      <formula>1</formula>
    </cfRule>
  </conditionalFormatting>
  <conditionalFormatting sqref="R19:R25">
    <cfRule type="cellIs" dxfId="14540" priority="1499" operator="greaterThan">
      <formula>1</formula>
    </cfRule>
    <cfRule type="cellIs" dxfId="14539" priority="1500" operator="lessThan">
      <formula>0.8</formula>
    </cfRule>
  </conditionalFormatting>
  <conditionalFormatting sqref="P19:P25">
    <cfRule type="cellIs" dxfId="14538" priority="1498" operator="greaterThan">
      <formula>0</formula>
    </cfRule>
  </conditionalFormatting>
  <conditionalFormatting sqref="Q19:Q25">
    <cfRule type="cellIs" dxfId="14537" priority="1503" operator="lessThan">
      <formula>0</formula>
    </cfRule>
  </conditionalFormatting>
  <conditionalFormatting sqref="Q19:Q25">
    <cfRule type="cellIs" dxfId="14536" priority="1497" operator="lessThan">
      <formula>0</formula>
    </cfRule>
  </conditionalFormatting>
  <conditionalFormatting sqref="R19:R25">
    <cfRule type="cellIs" dxfId="14535" priority="1495" operator="lessThan">
      <formula>0.8</formula>
    </cfRule>
    <cfRule type="cellIs" dxfId="14534" priority="1496" operator="greaterThan">
      <formula>1</formula>
    </cfRule>
  </conditionalFormatting>
  <conditionalFormatting sqref="R19:R25">
    <cfRule type="cellIs" dxfId="14533" priority="1493" operator="greaterThan">
      <formula>1</formula>
    </cfRule>
    <cfRule type="cellIs" dxfId="14532" priority="1494" operator="lessThan">
      <formula>0.8</formula>
    </cfRule>
  </conditionalFormatting>
  <conditionalFormatting sqref="P19:P25">
    <cfRule type="cellIs" dxfId="14531" priority="1492" operator="greaterThan">
      <formula>0</formula>
    </cfRule>
  </conditionalFormatting>
  <conditionalFormatting sqref="P19:P25">
    <cfRule type="cellIs" dxfId="14530" priority="1486" operator="greaterThan">
      <formula>0</formula>
    </cfRule>
  </conditionalFormatting>
  <conditionalFormatting sqref="Q19:Q25">
    <cfRule type="cellIs" dxfId="14529" priority="1491" operator="lessThan">
      <formula>0</formula>
    </cfRule>
  </conditionalFormatting>
  <conditionalFormatting sqref="R19:R25">
    <cfRule type="cellIs" dxfId="14528" priority="1489" operator="lessThan">
      <formula>0.8</formula>
    </cfRule>
    <cfRule type="cellIs" dxfId="14527" priority="1490" operator="greaterThan">
      <formula>1</formula>
    </cfRule>
  </conditionalFormatting>
  <conditionalFormatting sqref="R19:R25">
    <cfRule type="cellIs" dxfId="14526" priority="1487" operator="greaterThan">
      <formula>1</formula>
    </cfRule>
    <cfRule type="cellIs" dxfId="14525" priority="1488" operator="lessThan">
      <formula>0.8</formula>
    </cfRule>
  </conditionalFormatting>
  <conditionalFormatting sqref="P19:P25">
    <cfRule type="cellIs" dxfId="14524" priority="1480" operator="greaterThan">
      <formula>0</formula>
    </cfRule>
  </conditionalFormatting>
  <conditionalFormatting sqref="Q19:Q25">
    <cfRule type="cellIs" dxfId="14523" priority="1485" operator="lessThan">
      <formula>0</formula>
    </cfRule>
  </conditionalFormatting>
  <conditionalFormatting sqref="R19:R25">
    <cfRule type="cellIs" dxfId="14522" priority="1483" operator="lessThan">
      <formula>0.8</formula>
    </cfRule>
    <cfRule type="cellIs" dxfId="14521" priority="1484" operator="greaterThan">
      <formula>1</formula>
    </cfRule>
  </conditionalFormatting>
  <conditionalFormatting sqref="R19:R25">
    <cfRule type="cellIs" dxfId="14520" priority="1481" operator="greaterThan">
      <formula>1</formula>
    </cfRule>
    <cfRule type="cellIs" dxfId="14519" priority="1482" operator="lessThan">
      <formula>0.8</formula>
    </cfRule>
  </conditionalFormatting>
  <conditionalFormatting sqref="Q19:Q25">
    <cfRule type="cellIs" dxfId="14518" priority="1479" operator="lessThan">
      <formula>0</formula>
    </cfRule>
  </conditionalFormatting>
  <conditionalFormatting sqref="R19:R25">
    <cfRule type="cellIs" dxfId="14517" priority="1477" operator="lessThan">
      <formula>0.8</formula>
    </cfRule>
    <cfRule type="cellIs" dxfId="14516" priority="1478" operator="greaterThan">
      <formula>1</formula>
    </cfRule>
  </conditionalFormatting>
  <conditionalFormatting sqref="R19:R25">
    <cfRule type="cellIs" dxfId="14515" priority="1475" operator="greaterThan">
      <formula>1</formula>
    </cfRule>
    <cfRule type="cellIs" dxfId="14514" priority="1476" operator="lessThan">
      <formula>0.8</formula>
    </cfRule>
  </conditionalFormatting>
  <conditionalFormatting sqref="P19:P25">
    <cfRule type="cellIs" dxfId="14513" priority="1474" operator="greaterThan">
      <formula>0</formula>
    </cfRule>
  </conditionalFormatting>
  <conditionalFormatting sqref="Q19:Q25">
    <cfRule type="cellIs" dxfId="14512" priority="1473" operator="lessThan">
      <formula>0</formula>
    </cfRule>
  </conditionalFormatting>
  <conditionalFormatting sqref="R19:R25">
    <cfRule type="cellIs" dxfId="14511" priority="1471" operator="lessThan">
      <formula>0.8</formula>
    </cfRule>
    <cfRule type="cellIs" dxfId="14510" priority="1472" operator="greaterThan">
      <formula>1</formula>
    </cfRule>
  </conditionalFormatting>
  <conditionalFormatting sqref="R19:R25">
    <cfRule type="cellIs" dxfId="14509" priority="1469" operator="greaterThan">
      <formula>1</formula>
    </cfRule>
    <cfRule type="cellIs" dxfId="14508" priority="1470" operator="lessThan">
      <formula>0.8</formula>
    </cfRule>
  </conditionalFormatting>
  <conditionalFormatting sqref="P19:P25">
    <cfRule type="cellIs" dxfId="14507" priority="1468" operator="greaterThan">
      <formula>0</formula>
    </cfRule>
  </conditionalFormatting>
  <conditionalFormatting sqref="P19:P25">
    <cfRule type="cellIs" dxfId="14506" priority="1462" operator="greaterThan">
      <formula>0</formula>
    </cfRule>
  </conditionalFormatting>
  <conditionalFormatting sqref="Q19:Q25">
    <cfRule type="cellIs" dxfId="14505" priority="1467" operator="lessThan">
      <formula>0</formula>
    </cfRule>
  </conditionalFormatting>
  <conditionalFormatting sqref="R19:R25">
    <cfRule type="cellIs" dxfId="14504" priority="1465" operator="lessThan">
      <formula>0.8</formula>
    </cfRule>
    <cfRule type="cellIs" dxfId="14503" priority="1466" operator="greaterThan">
      <formula>1</formula>
    </cfRule>
  </conditionalFormatting>
  <conditionalFormatting sqref="R19:R25">
    <cfRule type="cellIs" dxfId="14502" priority="1463" operator="greaterThan">
      <formula>1</formula>
    </cfRule>
    <cfRule type="cellIs" dxfId="14501" priority="1464" operator="lessThan">
      <formula>0.8</formula>
    </cfRule>
  </conditionalFormatting>
  <conditionalFormatting sqref="Q19:Q25">
    <cfRule type="cellIs" dxfId="14500" priority="1461" operator="lessThan">
      <formula>0</formula>
    </cfRule>
  </conditionalFormatting>
  <conditionalFormatting sqref="R19:R25">
    <cfRule type="cellIs" dxfId="14499" priority="1459" operator="lessThan">
      <formula>0.8</formula>
    </cfRule>
    <cfRule type="cellIs" dxfId="14498" priority="1460" operator="greaterThan">
      <formula>1</formula>
    </cfRule>
  </conditionalFormatting>
  <conditionalFormatting sqref="R19:R25">
    <cfRule type="cellIs" dxfId="14497" priority="1457" operator="greaterThan">
      <formula>1</formula>
    </cfRule>
    <cfRule type="cellIs" dxfId="14496" priority="1458" operator="lessThan">
      <formula>0.8</formula>
    </cfRule>
  </conditionalFormatting>
  <conditionalFormatting sqref="P19:P25">
    <cfRule type="cellIs" dxfId="14495" priority="1456" operator="greaterThan">
      <formula>0</formula>
    </cfRule>
  </conditionalFormatting>
  <conditionalFormatting sqref="Q19:Q25">
    <cfRule type="cellIs" dxfId="14494" priority="1455" operator="lessThan">
      <formula>0</formula>
    </cfRule>
  </conditionalFormatting>
  <conditionalFormatting sqref="R19:R25">
    <cfRule type="cellIs" dxfId="14493" priority="1453" operator="lessThan">
      <formula>0.8</formula>
    </cfRule>
    <cfRule type="cellIs" dxfId="14492" priority="1454" operator="greaterThan">
      <formula>1</formula>
    </cfRule>
  </conditionalFormatting>
  <conditionalFormatting sqref="R19:R25">
    <cfRule type="cellIs" dxfId="14491" priority="1451" operator="greaterThan">
      <formula>1</formula>
    </cfRule>
    <cfRule type="cellIs" dxfId="14490" priority="1452" operator="lessThan">
      <formula>0.8</formula>
    </cfRule>
  </conditionalFormatting>
  <conditionalFormatting sqref="P19:P25">
    <cfRule type="cellIs" dxfId="14489" priority="1450" operator="greaterThan">
      <formula>0</formula>
    </cfRule>
  </conditionalFormatting>
  <conditionalFormatting sqref="Q19:Q25">
    <cfRule type="cellIs" dxfId="14488" priority="1449" operator="lessThan">
      <formula>0</formula>
    </cfRule>
  </conditionalFormatting>
  <conditionalFormatting sqref="R19:R25">
    <cfRule type="cellIs" dxfId="14487" priority="1447" operator="lessThan">
      <formula>0.8</formula>
    </cfRule>
    <cfRule type="cellIs" dxfId="14486" priority="1448" operator="greaterThan">
      <formula>1</formula>
    </cfRule>
  </conditionalFormatting>
  <conditionalFormatting sqref="R19:R25">
    <cfRule type="cellIs" dxfId="14485" priority="1445" operator="greaterThan">
      <formula>1</formula>
    </cfRule>
    <cfRule type="cellIs" dxfId="14484" priority="1446" operator="lessThan">
      <formula>0.8</formula>
    </cfRule>
  </conditionalFormatting>
  <conditionalFormatting sqref="P19:P25">
    <cfRule type="cellIs" dxfId="14483" priority="1444" operator="greaterThan">
      <formula>0</formula>
    </cfRule>
  </conditionalFormatting>
  <conditionalFormatting sqref="R19:R25">
    <cfRule type="cellIs" dxfId="14482" priority="1441" operator="lessThan">
      <formula>0.8</formula>
    </cfRule>
    <cfRule type="cellIs" dxfId="14481" priority="1442" operator="greaterThan">
      <formula>1</formula>
    </cfRule>
  </conditionalFormatting>
  <conditionalFormatting sqref="R19:R25">
    <cfRule type="cellIs" dxfId="14480" priority="1439" operator="greaterThan">
      <formula>1</formula>
    </cfRule>
    <cfRule type="cellIs" dxfId="14479" priority="1440" operator="lessThan">
      <formula>0.8</formula>
    </cfRule>
  </conditionalFormatting>
  <conditionalFormatting sqref="P19:P25">
    <cfRule type="cellIs" dxfId="14478" priority="1438" operator="greaterThan">
      <formula>0</formula>
    </cfRule>
  </conditionalFormatting>
  <conditionalFormatting sqref="Q19:Q25">
    <cfRule type="cellIs" dxfId="14477" priority="1443" operator="lessThan">
      <formula>0</formula>
    </cfRule>
  </conditionalFormatting>
  <conditionalFormatting sqref="Q40">
    <cfRule type="cellIs" dxfId="14476" priority="1437" operator="lessThan">
      <formula>0</formula>
    </cfRule>
  </conditionalFormatting>
  <conditionalFormatting sqref="R40">
    <cfRule type="cellIs" dxfId="14475" priority="1435" operator="lessThan">
      <formula>0.8</formula>
    </cfRule>
    <cfRule type="cellIs" dxfId="14474" priority="1436" operator="greaterThan">
      <formula>1</formula>
    </cfRule>
  </conditionalFormatting>
  <conditionalFormatting sqref="R40">
    <cfRule type="cellIs" dxfId="14473" priority="1433" operator="greaterThan">
      <formula>1</formula>
    </cfRule>
    <cfRule type="cellIs" dxfId="14472" priority="1434" operator="lessThan">
      <formula>0.8</formula>
    </cfRule>
  </conditionalFormatting>
  <conditionalFormatting sqref="P40">
    <cfRule type="cellIs" dxfId="14471" priority="1432" operator="greaterThan">
      <formula>0</formula>
    </cfRule>
  </conditionalFormatting>
  <conditionalFormatting sqref="P40">
    <cfRule type="cellIs" dxfId="14470" priority="1426" operator="greaterThan">
      <formula>0</formula>
    </cfRule>
  </conditionalFormatting>
  <conditionalFormatting sqref="Q40">
    <cfRule type="cellIs" dxfId="14469" priority="1431" operator="lessThan">
      <formula>0</formula>
    </cfRule>
  </conditionalFormatting>
  <conditionalFormatting sqref="R40">
    <cfRule type="cellIs" dxfId="14468" priority="1429" operator="lessThan">
      <formula>0.8</formula>
    </cfRule>
    <cfRule type="cellIs" dxfId="14467" priority="1430" operator="greaterThan">
      <formula>1</formula>
    </cfRule>
  </conditionalFormatting>
  <conditionalFormatting sqref="R40">
    <cfRule type="cellIs" dxfId="14466" priority="1427" operator="greaterThan">
      <formula>1</formula>
    </cfRule>
    <cfRule type="cellIs" dxfId="14465" priority="1428" operator="lessThan">
      <formula>0.8</formula>
    </cfRule>
  </conditionalFormatting>
  <conditionalFormatting sqref="P40">
    <cfRule type="cellIs" dxfId="14464" priority="1420" operator="greaterThan">
      <formula>0</formula>
    </cfRule>
  </conditionalFormatting>
  <conditionalFormatting sqref="Q40">
    <cfRule type="cellIs" dxfId="14463" priority="1425" operator="lessThan">
      <formula>0</formula>
    </cfRule>
  </conditionalFormatting>
  <conditionalFormatting sqref="R40">
    <cfRule type="cellIs" dxfId="14462" priority="1423" operator="lessThan">
      <formula>0.8</formula>
    </cfRule>
    <cfRule type="cellIs" dxfId="14461" priority="1424" operator="greaterThan">
      <formula>1</formula>
    </cfRule>
  </conditionalFormatting>
  <conditionalFormatting sqref="R40">
    <cfRule type="cellIs" dxfId="14460" priority="1421" operator="greaterThan">
      <formula>1</formula>
    </cfRule>
    <cfRule type="cellIs" dxfId="14459" priority="1422" operator="lessThan">
      <formula>0.8</formula>
    </cfRule>
  </conditionalFormatting>
  <conditionalFormatting sqref="Q40">
    <cfRule type="cellIs" dxfId="14458" priority="1419" operator="lessThan">
      <formula>0</formula>
    </cfRule>
  </conditionalFormatting>
  <conditionalFormatting sqref="R40">
    <cfRule type="cellIs" dxfId="14457" priority="1417" operator="lessThan">
      <formula>0.8</formula>
    </cfRule>
    <cfRule type="cellIs" dxfId="14456" priority="1418" operator="greaterThan">
      <formula>1</formula>
    </cfRule>
  </conditionalFormatting>
  <conditionalFormatting sqref="R40">
    <cfRule type="cellIs" dxfId="14455" priority="1415" operator="greaterThan">
      <formula>1</formula>
    </cfRule>
    <cfRule type="cellIs" dxfId="14454" priority="1416" operator="lessThan">
      <formula>0.8</formula>
    </cfRule>
  </conditionalFormatting>
  <conditionalFormatting sqref="P40">
    <cfRule type="cellIs" dxfId="14453" priority="1414" operator="greaterThan">
      <formula>0</formula>
    </cfRule>
  </conditionalFormatting>
  <conditionalFormatting sqref="P40">
    <cfRule type="cellIs" dxfId="14452" priority="1408" operator="greaterThan">
      <formula>0</formula>
    </cfRule>
  </conditionalFormatting>
  <conditionalFormatting sqref="Q40">
    <cfRule type="cellIs" dxfId="14451" priority="1413" operator="lessThan">
      <formula>0</formula>
    </cfRule>
  </conditionalFormatting>
  <conditionalFormatting sqref="R40">
    <cfRule type="cellIs" dxfId="14450" priority="1411" operator="lessThan">
      <formula>0.8</formula>
    </cfRule>
    <cfRule type="cellIs" dxfId="14449" priority="1412" operator="greaterThan">
      <formula>1</formula>
    </cfRule>
  </conditionalFormatting>
  <conditionalFormatting sqref="R40">
    <cfRule type="cellIs" dxfId="14448" priority="1409" operator="greaterThan">
      <formula>1</formula>
    </cfRule>
    <cfRule type="cellIs" dxfId="14447" priority="1410" operator="lessThan">
      <formula>0.8</formula>
    </cfRule>
  </conditionalFormatting>
  <conditionalFormatting sqref="P40">
    <cfRule type="cellIs" dxfId="14446" priority="1402" operator="greaterThan">
      <formula>0</formula>
    </cfRule>
  </conditionalFormatting>
  <conditionalFormatting sqref="Q40">
    <cfRule type="cellIs" dxfId="14445" priority="1407" operator="lessThan">
      <formula>0</formula>
    </cfRule>
  </conditionalFormatting>
  <conditionalFormatting sqref="R40">
    <cfRule type="cellIs" dxfId="14444" priority="1405" operator="lessThan">
      <formula>0.8</formula>
    </cfRule>
    <cfRule type="cellIs" dxfId="14443" priority="1406" operator="greaterThan">
      <formula>1</formula>
    </cfRule>
  </conditionalFormatting>
  <conditionalFormatting sqref="R40">
    <cfRule type="cellIs" dxfId="14442" priority="1403" operator="greaterThan">
      <formula>1</formula>
    </cfRule>
    <cfRule type="cellIs" dxfId="14441" priority="1404" operator="lessThan">
      <formula>0.8</formula>
    </cfRule>
  </conditionalFormatting>
  <conditionalFormatting sqref="P40">
    <cfRule type="cellIs" dxfId="14440" priority="1396" operator="greaterThan">
      <formula>0</formula>
    </cfRule>
  </conditionalFormatting>
  <conditionalFormatting sqref="Q40">
    <cfRule type="cellIs" dxfId="14439" priority="1401" operator="lessThan">
      <formula>0</formula>
    </cfRule>
  </conditionalFormatting>
  <conditionalFormatting sqref="R40">
    <cfRule type="cellIs" dxfId="14438" priority="1399" operator="lessThan">
      <formula>0.8</formula>
    </cfRule>
    <cfRule type="cellIs" dxfId="14437" priority="1400" operator="greaterThan">
      <formula>1</formula>
    </cfRule>
  </conditionalFormatting>
  <conditionalFormatting sqref="R40">
    <cfRule type="cellIs" dxfId="14436" priority="1397" operator="greaterThan">
      <formula>1</formula>
    </cfRule>
    <cfRule type="cellIs" dxfId="14435" priority="1398" operator="lessThan">
      <formula>0.8</formula>
    </cfRule>
  </conditionalFormatting>
  <conditionalFormatting sqref="Q40">
    <cfRule type="cellIs" dxfId="14434" priority="1390" operator="lessThan">
      <formula>0</formula>
    </cfRule>
  </conditionalFormatting>
  <conditionalFormatting sqref="P40">
    <cfRule type="cellIs" dxfId="14433" priority="1391" operator="greaterThan">
      <formula>0</formula>
    </cfRule>
  </conditionalFormatting>
  <conditionalFormatting sqref="R40">
    <cfRule type="cellIs" dxfId="14432" priority="1394" operator="lessThan">
      <formula>0.8</formula>
    </cfRule>
    <cfRule type="cellIs" dxfId="14431" priority="1395" operator="greaterThan">
      <formula>1</formula>
    </cfRule>
  </conditionalFormatting>
  <conditionalFormatting sqref="R40">
    <cfRule type="cellIs" dxfId="14430" priority="1392" operator="greaterThan">
      <formula>1</formula>
    </cfRule>
    <cfRule type="cellIs" dxfId="14429" priority="1393" operator="lessThan">
      <formula>0.8</formula>
    </cfRule>
  </conditionalFormatting>
  <conditionalFormatting sqref="Q40">
    <cfRule type="cellIs" dxfId="14428" priority="1384" operator="lessThan">
      <formula>0</formula>
    </cfRule>
  </conditionalFormatting>
  <conditionalFormatting sqref="R40">
    <cfRule type="cellIs" dxfId="14427" priority="1388" operator="lessThan">
      <formula>0.8</formula>
    </cfRule>
    <cfRule type="cellIs" dxfId="14426" priority="1389" operator="greaterThan">
      <formula>1</formula>
    </cfRule>
  </conditionalFormatting>
  <conditionalFormatting sqref="R40">
    <cfRule type="cellIs" dxfId="14425" priority="1386" operator="greaterThan">
      <formula>1</formula>
    </cfRule>
    <cfRule type="cellIs" dxfId="14424" priority="1387" operator="lessThan">
      <formula>0.8</formula>
    </cfRule>
  </conditionalFormatting>
  <conditionalFormatting sqref="P40">
    <cfRule type="cellIs" dxfId="14423" priority="1385" operator="greaterThan">
      <formula>0</formula>
    </cfRule>
  </conditionalFormatting>
  <conditionalFormatting sqref="Q40">
    <cfRule type="cellIs" dxfId="14422" priority="1383" operator="lessThan">
      <formula>0</formula>
    </cfRule>
  </conditionalFormatting>
  <conditionalFormatting sqref="R40">
    <cfRule type="cellIs" dxfId="14421" priority="1381" operator="lessThan">
      <formula>0.8</formula>
    </cfRule>
    <cfRule type="cellIs" dxfId="14420" priority="1382" operator="greaterThan">
      <formula>1</formula>
    </cfRule>
  </conditionalFormatting>
  <conditionalFormatting sqref="R40">
    <cfRule type="cellIs" dxfId="14419" priority="1379" operator="greaterThan">
      <formula>1</formula>
    </cfRule>
    <cfRule type="cellIs" dxfId="14418" priority="1380" operator="lessThan">
      <formula>0.8</formula>
    </cfRule>
  </conditionalFormatting>
  <conditionalFormatting sqref="P40">
    <cfRule type="cellIs" dxfId="14417" priority="1378" operator="greaterThan">
      <formula>0</formula>
    </cfRule>
  </conditionalFormatting>
  <conditionalFormatting sqref="Q40">
    <cfRule type="cellIs" dxfId="14416" priority="1377" operator="lessThan">
      <formula>0</formula>
    </cfRule>
  </conditionalFormatting>
  <conditionalFormatting sqref="R40">
    <cfRule type="cellIs" dxfId="14415" priority="1375" operator="lessThan">
      <formula>0.8</formula>
    </cfRule>
    <cfRule type="cellIs" dxfId="14414" priority="1376" operator="greaterThan">
      <formula>1</formula>
    </cfRule>
  </conditionalFormatting>
  <conditionalFormatting sqref="R40">
    <cfRule type="cellIs" dxfId="14413" priority="1373" operator="greaterThan">
      <formula>1</formula>
    </cfRule>
    <cfRule type="cellIs" dxfId="14412" priority="1374" operator="lessThan">
      <formula>0.8</formula>
    </cfRule>
  </conditionalFormatting>
  <conditionalFormatting sqref="P40">
    <cfRule type="cellIs" dxfId="14411" priority="1372" operator="greaterThan">
      <formula>0</formula>
    </cfRule>
  </conditionalFormatting>
  <conditionalFormatting sqref="Q32:Q39">
    <cfRule type="cellIs" dxfId="14410" priority="1371" operator="lessThan">
      <formula>0</formula>
    </cfRule>
  </conditionalFormatting>
  <conditionalFormatting sqref="R32:R39">
    <cfRule type="cellIs" dxfId="14409" priority="1369" operator="lessThan">
      <formula>0.8</formula>
    </cfRule>
    <cfRule type="cellIs" dxfId="14408" priority="1370" operator="greaterThan">
      <formula>1</formula>
    </cfRule>
  </conditionalFormatting>
  <conditionalFormatting sqref="R32:R39">
    <cfRule type="cellIs" dxfId="14407" priority="1367" operator="greaterThan">
      <formula>1</formula>
    </cfRule>
    <cfRule type="cellIs" dxfId="14406" priority="1368" operator="lessThan">
      <formula>0.8</formula>
    </cfRule>
  </conditionalFormatting>
  <conditionalFormatting sqref="P32:P39">
    <cfRule type="cellIs" dxfId="14405" priority="1366" operator="greaterThan">
      <formula>0</formula>
    </cfRule>
  </conditionalFormatting>
  <conditionalFormatting sqref="Q32:Q39">
    <cfRule type="cellIs" dxfId="14404" priority="1365" operator="lessThan">
      <formula>0</formula>
    </cfRule>
  </conditionalFormatting>
  <conditionalFormatting sqref="R32:R39">
    <cfRule type="cellIs" dxfId="14403" priority="1363" operator="lessThan">
      <formula>0.8</formula>
    </cfRule>
    <cfRule type="cellIs" dxfId="14402" priority="1364" operator="greaterThan">
      <formula>1</formula>
    </cfRule>
  </conditionalFormatting>
  <conditionalFormatting sqref="R32:R39">
    <cfRule type="cellIs" dxfId="14401" priority="1361" operator="greaterThan">
      <formula>1</formula>
    </cfRule>
    <cfRule type="cellIs" dxfId="14400" priority="1362" operator="lessThan">
      <formula>0.8</formula>
    </cfRule>
  </conditionalFormatting>
  <conditionalFormatting sqref="P32:P39">
    <cfRule type="cellIs" dxfId="14399" priority="1360" operator="greaterThan">
      <formula>0</formula>
    </cfRule>
  </conditionalFormatting>
  <conditionalFormatting sqref="Q32:Q39">
    <cfRule type="cellIs" dxfId="14398" priority="1359" operator="lessThan">
      <formula>0</formula>
    </cfRule>
  </conditionalFormatting>
  <conditionalFormatting sqref="R32:R39">
    <cfRule type="cellIs" dxfId="14397" priority="1357" operator="lessThan">
      <formula>0.8</formula>
    </cfRule>
    <cfRule type="cellIs" dxfId="14396" priority="1358" operator="greaterThan">
      <formula>1</formula>
    </cfRule>
  </conditionalFormatting>
  <conditionalFormatting sqref="R32:R39">
    <cfRule type="cellIs" dxfId="14395" priority="1355" operator="greaterThan">
      <formula>1</formula>
    </cfRule>
    <cfRule type="cellIs" dxfId="14394" priority="1356" operator="lessThan">
      <formula>0.8</formula>
    </cfRule>
  </conditionalFormatting>
  <conditionalFormatting sqref="P32:P39">
    <cfRule type="cellIs" dxfId="14393" priority="1354" operator="greaterThan">
      <formula>0</formula>
    </cfRule>
  </conditionalFormatting>
  <conditionalFormatting sqref="Q32:Q39">
    <cfRule type="cellIs" dxfId="14392" priority="1353" operator="lessThan">
      <formula>0</formula>
    </cfRule>
  </conditionalFormatting>
  <conditionalFormatting sqref="R32:R39">
    <cfRule type="cellIs" dxfId="14391" priority="1351" operator="lessThan">
      <formula>0.8</formula>
    </cfRule>
    <cfRule type="cellIs" dxfId="14390" priority="1352" operator="greaterThan">
      <formula>1</formula>
    </cfRule>
  </conditionalFormatting>
  <conditionalFormatting sqref="R32:R39">
    <cfRule type="cellIs" dxfId="14389" priority="1349" operator="greaterThan">
      <formula>1</formula>
    </cfRule>
    <cfRule type="cellIs" dxfId="14388" priority="1350" operator="lessThan">
      <formula>0.8</formula>
    </cfRule>
  </conditionalFormatting>
  <conditionalFormatting sqref="P32:P39">
    <cfRule type="cellIs" dxfId="14387" priority="1348" operator="greaterThan">
      <formula>0</formula>
    </cfRule>
  </conditionalFormatting>
  <conditionalFormatting sqref="P32:P39">
    <cfRule type="cellIs" dxfId="14386" priority="1342" operator="greaterThan">
      <formula>0</formula>
    </cfRule>
  </conditionalFormatting>
  <conditionalFormatting sqref="Q32:Q39">
    <cfRule type="cellIs" dxfId="14385" priority="1347" operator="lessThan">
      <formula>0</formula>
    </cfRule>
  </conditionalFormatting>
  <conditionalFormatting sqref="R32:R39">
    <cfRule type="cellIs" dxfId="14384" priority="1345" operator="lessThan">
      <formula>0.8</formula>
    </cfRule>
    <cfRule type="cellIs" dxfId="14383" priority="1346" operator="greaterThan">
      <formula>1</formula>
    </cfRule>
  </conditionalFormatting>
  <conditionalFormatting sqref="R32:R39">
    <cfRule type="cellIs" dxfId="14382" priority="1343" operator="greaterThan">
      <formula>1</formula>
    </cfRule>
    <cfRule type="cellIs" dxfId="14381" priority="1344" operator="lessThan">
      <formula>0.8</formula>
    </cfRule>
  </conditionalFormatting>
  <conditionalFormatting sqref="P32:P39">
    <cfRule type="cellIs" dxfId="14380" priority="1336" operator="greaterThan">
      <formula>0</formula>
    </cfRule>
  </conditionalFormatting>
  <conditionalFormatting sqref="Q32:Q39">
    <cfRule type="cellIs" dxfId="14379" priority="1341" operator="lessThan">
      <formula>0</formula>
    </cfRule>
  </conditionalFormatting>
  <conditionalFormatting sqref="R32:R39">
    <cfRule type="cellIs" dxfId="14378" priority="1339" operator="lessThan">
      <formula>0.8</formula>
    </cfRule>
    <cfRule type="cellIs" dxfId="14377" priority="1340" operator="greaterThan">
      <formula>1</formula>
    </cfRule>
  </conditionalFormatting>
  <conditionalFormatting sqref="R32:R39">
    <cfRule type="cellIs" dxfId="14376" priority="1337" operator="greaterThan">
      <formula>1</formula>
    </cfRule>
    <cfRule type="cellIs" dxfId="14375" priority="1338" operator="lessThan">
      <formula>0.8</formula>
    </cfRule>
  </conditionalFormatting>
  <conditionalFormatting sqref="R32:R39">
    <cfRule type="cellIs" dxfId="14374" priority="1333" operator="lessThan">
      <formula>0.8</formula>
    </cfRule>
    <cfRule type="cellIs" dxfId="14373" priority="1334" operator="greaterThan">
      <formula>1</formula>
    </cfRule>
  </conditionalFormatting>
  <conditionalFormatting sqref="R32:R39">
    <cfRule type="cellIs" dxfId="14372" priority="1331" operator="greaterThan">
      <formula>1</formula>
    </cfRule>
    <cfRule type="cellIs" dxfId="14371" priority="1332" operator="lessThan">
      <formula>0.8</formula>
    </cfRule>
  </conditionalFormatting>
  <conditionalFormatting sqref="P32:P39">
    <cfRule type="cellIs" dxfId="14370" priority="1330" operator="greaterThan">
      <formula>0</formula>
    </cfRule>
  </conditionalFormatting>
  <conditionalFormatting sqref="Q32:Q39">
    <cfRule type="cellIs" dxfId="14369" priority="1335" operator="lessThan">
      <formula>0</formula>
    </cfRule>
  </conditionalFormatting>
  <conditionalFormatting sqref="Q32:Q39">
    <cfRule type="cellIs" dxfId="14368" priority="1329" operator="lessThan">
      <formula>0</formula>
    </cfRule>
  </conditionalFormatting>
  <conditionalFormatting sqref="R32:R39">
    <cfRule type="cellIs" dxfId="14367" priority="1327" operator="lessThan">
      <formula>0.8</formula>
    </cfRule>
    <cfRule type="cellIs" dxfId="14366" priority="1328" operator="greaterThan">
      <formula>1</formula>
    </cfRule>
  </conditionalFormatting>
  <conditionalFormatting sqref="R32:R39">
    <cfRule type="cellIs" dxfId="14365" priority="1325" operator="greaterThan">
      <formula>1</formula>
    </cfRule>
    <cfRule type="cellIs" dxfId="14364" priority="1326" operator="lessThan">
      <formula>0.8</formula>
    </cfRule>
  </conditionalFormatting>
  <conditionalFormatting sqref="P32:P39">
    <cfRule type="cellIs" dxfId="14363" priority="1324" operator="greaterThan">
      <formula>0</formula>
    </cfRule>
  </conditionalFormatting>
  <conditionalFormatting sqref="P32:P39">
    <cfRule type="cellIs" dxfId="14362" priority="1318" operator="greaterThan">
      <formula>0</formula>
    </cfRule>
  </conditionalFormatting>
  <conditionalFormatting sqref="Q32:Q39">
    <cfRule type="cellIs" dxfId="14361" priority="1323" operator="lessThan">
      <formula>0</formula>
    </cfRule>
  </conditionalFormatting>
  <conditionalFormatting sqref="R32:R39">
    <cfRule type="cellIs" dxfId="14360" priority="1321" operator="lessThan">
      <formula>0.8</formula>
    </cfRule>
    <cfRule type="cellIs" dxfId="14359" priority="1322" operator="greaterThan">
      <formula>1</formula>
    </cfRule>
  </conditionalFormatting>
  <conditionalFormatting sqref="R32:R39">
    <cfRule type="cellIs" dxfId="14358" priority="1319" operator="greaterThan">
      <formula>1</formula>
    </cfRule>
    <cfRule type="cellIs" dxfId="14357" priority="1320" operator="lessThan">
      <formula>0.8</formula>
    </cfRule>
  </conditionalFormatting>
  <conditionalFormatting sqref="P32:P39">
    <cfRule type="cellIs" dxfId="14356" priority="1312" operator="greaterThan">
      <formula>0</formula>
    </cfRule>
  </conditionalFormatting>
  <conditionalFormatting sqref="Q32:Q39">
    <cfRule type="cellIs" dxfId="14355" priority="1317" operator="lessThan">
      <formula>0</formula>
    </cfRule>
  </conditionalFormatting>
  <conditionalFormatting sqref="R32:R39">
    <cfRule type="cellIs" dxfId="14354" priority="1315" operator="lessThan">
      <formula>0.8</formula>
    </cfRule>
    <cfRule type="cellIs" dxfId="14353" priority="1316" operator="greaterThan">
      <formula>1</formula>
    </cfRule>
  </conditionalFormatting>
  <conditionalFormatting sqref="R32:R39">
    <cfRule type="cellIs" dxfId="14352" priority="1313" operator="greaterThan">
      <formula>1</formula>
    </cfRule>
    <cfRule type="cellIs" dxfId="14351" priority="1314" operator="lessThan">
      <formula>0.8</formula>
    </cfRule>
  </conditionalFormatting>
  <conditionalFormatting sqref="R32:R39">
    <cfRule type="cellIs" dxfId="14350" priority="1309" operator="lessThan">
      <formula>0.8</formula>
    </cfRule>
    <cfRule type="cellIs" dxfId="14349" priority="1310" operator="greaterThan">
      <formula>1</formula>
    </cfRule>
  </conditionalFormatting>
  <conditionalFormatting sqref="R32:R39">
    <cfRule type="cellIs" dxfId="14348" priority="1307" operator="greaterThan">
      <formula>1</formula>
    </cfRule>
    <cfRule type="cellIs" dxfId="14347" priority="1308" operator="lessThan">
      <formula>0.8</formula>
    </cfRule>
  </conditionalFormatting>
  <conditionalFormatting sqref="P32:P39">
    <cfRule type="cellIs" dxfId="14346" priority="1306" operator="greaterThan">
      <formula>0</formula>
    </cfRule>
  </conditionalFormatting>
  <conditionalFormatting sqref="Q32:Q39">
    <cfRule type="cellIs" dxfId="14345" priority="1311" operator="lessThan">
      <formula>0</formula>
    </cfRule>
  </conditionalFormatting>
  <conditionalFormatting sqref="P32:P39">
    <cfRule type="cellIs" dxfId="14344" priority="1300" operator="greaterThan">
      <formula>0</formula>
    </cfRule>
  </conditionalFormatting>
  <conditionalFormatting sqref="Q32:Q39">
    <cfRule type="cellIs" dxfId="14343" priority="1305" operator="lessThan">
      <formula>0</formula>
    </cfRule>
  </conditionalFormatting>
  <conditionalFormatting sqref="R32:R39">
    <cfRule type="cellIs" dxfId="14342" priority="1303" operator="lessThan">
      <formula>0.8</formula>
    </cfRule>
    <cfRule type="cellIs" dxfId="14341" priority="1304" operator="greaterThan">
      <formula>1</formula>
    </cfRule>
  </conditionalFormatting>
  <conditionalFormatting sqref="R32:R39">
    <cfRule type="cellIs" dxfId="14340" priority="1301" operator="greaterThan">
      <formula>1</formula>
    </cfRule>
    <cfRule type="cellIs" dxfId="14339" priority="1302" operator="lessThan">
      <formula>0.8</formula>
    </cfRule>
  </conditionalFormatting>
  <conditionalFormatting sqref="R32:R39">
    <cfRule type="cellIs" dxfId="14338" priority="1297" operator="lessThan">
      <formula>0.8</formula>
    </cfRule>
    <cfRule type="cellIs" dxfId="14337" priority="1298" operator="greaterThan">
      <formula>1</formula>
    </cfRule>
  </conditionalFormatting>
  <conditionalFormatting sqref="R32:R39">
    <cfRule type="cellIs" dxfId="14336" priority="1295" operator="greaterThan">
      <formula>1</formula>
    </cfRule>
    <cfRule type="cellIs" dxfId="14335" priority="1296" operator="lessThan">
      <formula>0.8</formula>
    </cfRule>
  </conditionalFormatting>
  <conditionalFormatting sqref="P32:P39">
    <cfRule type="cellIs" dxfId="14334" priority="1294" operator="greaterThan">
      <formula>0</formula>
    </cfRule>
  </conditionalFormatting>
  <conditionalFormatting sqref="Q32:Q39">
    <cfRule type="cellIs" dxfId="14333" priority="1299" operator="lessThan">
      <formula>0</formula>
    </cfRule>
  </conditionalFormatting>
  <conditionalFormatting sqref="R32:R39">
    <cfRule type="cellIs" dxfId="14332" priority="1291" operator="lessThan">
      <formula>0.8</formula>
    </cfRule>
    <cfRule type="cellIs" dxfId="14331" priority="1292" operator="greaterThan">
      <formula>1</formula>
    </cfRule>
  </conditionalFormatting>
  <conditionalFormatting sqref="R32:R39">
    <cfRule type="cellIs" dxfId="14330" priority="1289" operator="greaterThan">
      <formula>1</formula>
    </cfRule>
    <cfRule type="cellIs" dxfId="14329" priority="1290" operator="lessThan">
      <formula>0.8</formula>
    </cfRule>
  </conditionalFormatting>
  <conditionalFormatting sqref="P32:P39">
    <cfRule type="cellIs" dxfId="14328" priority="1288" operator="greaterThan">
      <formula>0</formula>
    </cfRule>
  </conditionalFormatting>
  <conditionalFormatting sqref="Q32:Q39">
    <cfRule type="cellIs" dxfId="14327" priority="1293" operator="lessThan">
      <formula>0</formula>
    </cfRule>
  </conditionalFormatting>
  <conditionalFormatting sqref="Q32:Q39">
    <cfRule type="cellIs" dxfId="14326" priority="1287" operator="lessThan">
      <formula>0</formula>
    </cfRule>
  </conditionalFormatting>
  <conditionalFormatting sqref="R32:R39">
    <cfRule type="cellIs" dxfId="14325" priority="1285" operator="lessThan">
      <formula>0.8</formula>
    </cfRule>
    <cfRule type="cellIs" dxfId="14324" priority="1286" operator="greaterThan">
      <formula>1</formula>
    </cfRule>
  </conditionalFormatting>
  <conditionalFormatting sqref="R32:R39">
    <cfRule type="cellIs" dxfId="14323" priority="1283" operator="greaterThan">
      <formula>1</formula>
    </cfRule>
    <cfRule type="cellIs" dxfId="14322" priority="1284" operator="lessThan">
      <formula>0.8</formula>
    </cfRule>
  </conditionalFormatting>
  <conditionalFormatting sqref="P32:P39">
    <cfRule type="cellIs" dxfId="14321" priority="1282" operator="greaterThan">
      <formula>0</formula>
    </cfRule>
  </conditionalFormatting>
  <conditionalFormatting sqref="Q32:Q39">
    <cfRule type="cellIs" dxfId="14320" priority="1276" operator="lessThan">
      <formula>0</formula>
    </cfRule>
  </conditionalFormatting>
  <conditionalFormatting sqref="R32:R39">
    <cfRule type="cellIs" dxfId="14319" priority="1280" operator="lessThan">
      <formula>0.8</formula>
    </cfRule>
    <cfRule type="cellIs" dxfId="14318" priority="1281" operator="greaterThan">
      <formula>1</formula>
    </cfRule>
  </conditionalFormatting>
  <conditionalFormatting sqref="R32:R39">
    <cfRule type="cellIs" dxfId="14317" priority="1278" operator="greaterThan">
      <formula>1</formula>
    </cfRule>
    <cfRule type="cellIs" dxfId="14316" priority="1279" operator="lessThan">
      <formula>0.8</formula>
    </cfRule>
  </conditionalFormatting>
  <conditionalFormatting sqref="P32:P39">
    <cfRule type="cellIs" dxfId="14315" priority="1277" operator="greaterThan">
      <formula>0</formula>
    </cfRule>
  </conditionalFormatting>
  <conditionalFormatting sqref="Q32:Q39">
    <cfRule type="cellIs" dxfId="14314" priority="1275" operator="lessThan">
      <formula>0</formula>
    </cfRule>
  </conditionalFormatting>
  <conditionalFormatting sqref="R32:R39">
    <cfRule type="cellIs" dxfId="14313" priority="1273" operator="lessThan">
      <formula>0.8</formula>
    </cfRule>
    <cfRule type="cellIs" dxfId="14312" priority="1274" operator="greaterThan">
      <formula>1</formula>
    </cfRule>
  </conditionalFormatting>
  <conditionalFormatting sqref="R32:R39">
    <cfRule type="cellIs" dxfId="14311" priority="1271" operator="greaterThan">
      <formula>1</formula>
    </cfRule>
    <cfRule type="cellIs" dxfId="14310" priority="1272" operator="lessThan">
      <formula>0.8</formula>
    </cfRule>
  </conditionalFormatting>
  <conditionalFormatting sqref="P32:P39">
    <cfRule type="cellIs" dxfId="14309" priority="1270" operator="greaterThan">
      <formula>0</formula>
    </cfRule>
  </conditionalFormatting>
  <conditionalFormatting sqref="Q32:Q39">
    <cfRule type="cellIs" dxfId="14308" priority="1269" operator="lessThan">
      <formula>0</formula>
    </cfRule>
  </conditionalFormatting>
  <conditionalFormatting sqref="R32:R39">
    <cfRule type="cellIs" dxfId="14307" priority="1267" operator="lessThan">
      <formula>0.8</formula>
    </cfRule>
    <cfRule type="cellIs" dxfId="14306" priority="1268" operator="greaterThan">
      <formula>1</formula>
    </cfRule>
  </conditionalFormatting>
  <conditionalFormatting sqref="R32:R39">
    <cfRule type="cellIs" dxfId="14305" priority="1265" operator="greaterThan">
      <formula>1</formula>
    </cfRule>
    <cfRule type="cellIs" dxfId="14304" priority="1266" operator="lessThan">
      <formula>0.8</formula>
    </cfRule>
  </conditionalFormatting>
  <conditionalFormatting sqref="P32:P39">
    <cfRule type="cellIs" dxfId="14303" priority="1264" operator="greaterThan">
      <formula>0</formula>
    </cfRule>
  </conditionalFormatting>
  <conditionalFormatting sqref="Q32:Q39">
    <cfRule type="cellIs" dxfId="14302" priority="1263" operator="lessThan">
      <formula>0</formula>
    </cfRule>
  </conditionalFormatting>
  <conditionalFormatting sqref="R32:R39">
    <cfRule type="cellIs" dxfId="14301" priority="1261" operator="lessThan">
      <formula>0.8</formula>
    </cfRule>
    <cfRule type="cellIs" dxfId="14300" priority="1262" operator="greaterThan">
      <formula>1</formula>
    </cfRule>
  </conditionalFormatting>
  <conditionalFormatting sqref="R32:R39">
    <cfRule type="cellIs" dxfId="14299" priority="1259" operator="greaterThan">
      <formula>1</formula>
    </cfRule>
    <cfRule type="cellIs" dxfId="14298" priority="1260" operator="lessThan">
      <formula>0.8</formula>
    </cfRule>
  </conditionalFormatting>
  <conditionalFormatting sqref="P32:P39">
    <cfRule type="cellIs" dxfId="14297" priority="1258" operator="greaterThan">
      <formula>0</formula>
    </cfRule>
  </conditionalFormatting>
  <conditionalFormatting sqref="Q32:Q39">
    <cfRule type="cellIs" dxfId="14296" priority="1257" operator="lessThan">
      <formula>0</formula>
    </cfRule>
  </conditionalFormatting>
  <conditionalFormatting sqref="R32:R39">
    <cfRule type="cellIs" dxfId="14295" priority="1255" operator="lessThan">
      <formula>0.8</formula>
    </cfRule>
    <cfRule type="cellIs" dxfId="14294" priority="1256" operator="greaterThan">
      <formula>1</formula>
    </cfRule>
  </conditionalFormatting>
  <conditionalFormatting sqref="R32:R39">
    <cfRule type="cellIs" dxfId="14293" priority="1253" operator="greaterThan">
      <formula>1</formula>
    </cfRule>
    <cfRule type="cellIs" dxfId="14292" priority="1254" operator="lessThan">
      <formula>0.8</formula>
    </cfRule>
  </conditionalFormatting>
  <conditionalFormatting sqref="P32:P39">
    <cfRule type="cellIs" dxfId="14291" priority="1252" operator="greaterThan">
      <formula>0</formula>
    </cfRule>
  </conditionalFormatting>
  <conditionalFormatting sqref="Q32:Q39">
    <cfRule type="cellIs" dxfId="14290" priority="1251" operator="lessThan">
      <formula>0</formula>
    </cfRule>
  </conditionalFormatting>
  <conditionalFormatting sqref="R32:R39">
    <cfRule type="cellIs" dxfId="14289" priority="1249" operator="lessThan">
      <formula>0.8</formula>
    </cfRule>
    <cfRule type="cellIs" dxfId="14288" priority="1250" operator="greaterThan">
      <formula>1</formula>
    </cfRule>
  </conditionalFormatting>
  <conditionalFormatting sqref="R32:R39">
    <cfRule type="cellIs" dxfId="14287" priority="1247" operator="greaterThan">
      <formula>1</formula>
    </cfRule>
    <cfRule type="cellIs" dxfId="14286" priority="1248" operator="lessThan">
      <formula>0.8</formula>
    </cfRule>
  </conditionalFormatting>
  <conditionalFormatting sqref="P32:P39">
    <cfRule type="cellIs" dxfId="14285" priority="1246" operator="greaterThan">
      <formula>0</formula>
    </cfRule>
  </conditionalFormatting>
  <conditionalFormatting sqref="P32:P39">
    <cfRule type="cellIs" dxfId="14284" priority="1240" operator="greaterThan">
      <formula>0</formula>
    </cfRule>
  </conditionalFormatting>
  <conditionalFormatting sqref="Q32:Q39">
    <cfRule type="cellIs" dxfId="14283" priority="1245" operator="lessThan">
      <formula>0</formula>
    </cfRule>
  </conditionalFormatting>
  <conditionalFormatting sqref="R32:R39">
    <cfRule type="cellIs" dxfId="14282" priority="1243" operator="lessThan">
      <formula>0.8</formula>
    </cfRule>
    <cfRule type="cellIs" dxfId="14281" priority="1244" operator="greaterThan">
      <formula>1</formula>
    </cfRule>
  </conditionalFormatting>
  <conditionalFormatting sqref="R32:R39">
    <cfRule type="cellIs" dxfId="14280" priority="1241" operator="greaterThan">
      <formula>1</formula>
    </cfRule>
    <cfRule type="cellIs" dxfId="14279" priority="1242" operator="lessThan">
      <formula>0.8</formula>
    </cfRule>
  </conditionalFormatting>
  <conditionalFormatting sqref="P32:P39">
    <cfRule type="cellIs" dxfId="14278" priority="1234" operator="greaterThan">
      <formula>0</formula>
    </cfRule>
  </conditionalFormatting>
  <conditionalFormatting sqref="Q32:Q39">
    <cfRule type="cellIs" dxfId="14277" priority="1239" operator="lessThan">
      <formula>0</formula>
    </cfRule>
  </conditionalFormatting>
  <conditionalFormatting sqref="R32:R39">
    <cfRule type="cellIs" dxfId="14276" priority="1237" operator="lessThan">
      <formula>0.8</formula>
    </cfRule>
    <cfRule type="cellIs" dxfId="14275" priority="1238" operator="greaterThan">
      <formula>1</formula>
    </cfRule>
  </conditionalFormatting>
  <conditionalFormatting sqref="R32:R39">
    <cfRule type="cellIs" dxfId="14274" priority="1235" operator="greaterThan">
      <formula>1</formula>
    </cfRule>
    <cfRule type="cellIs" dxfId="14273" priority="1236" operator="lessThan">
      <formula>0.8</formula>
    </cfRule>
  </conditionalFormatting>
  <conditionalFormatting sqref="R32:R39">
    <cfRule type="cellIs" dxfId="14272" priority="1231" operator="lessThan">
      <formula>0.8</formula>
    </cfRule>
    <cfRule type="cellIs" dxfId="14271" priority="1232" operator="greaterThan">
      <formula>1</formula>
    </cfRule>
  </conditionalFormatting>
  <conditionalFormatting sqref="R32:R39">
    <cfRule type="cellIs" dxfId="14270" priority="1229" operator="greaterThan">
      <formula>1</formula>
    </cfRule>
    <cfRule type="cellIs" dxfId="14269" priority="1230" operator="lessThan">
      <formula>0.8</formula>
    </cfRule>
  </conditionalFormatting>
  <conditionalFormatting sqref="P32:P39">
    <cfRule type="cellIs" dxfId="14268" priority="1228" operator="greaterThan">
      <formula>0</formula>
    </cfRule>
  </conditionalFormatting>
  <conditionalFormatting sqref="Q32:Q39">
    <cfRule type="cellIs" dxfId="14267" priority="1233" operator="lessThan">
      <formula>0</formula>
    </cfRule>
  </conditionalFormatting>
  <conditionalFormatting sqref="Q32:Q39">
    <cfRule type="cellIs" dxfId="14266" priority="1222" operator="lessThan">
      <formula>0</formula>
    </cfRule>
  </conditionalFormatting>
  <conditionalFormatting sqref="P32:P39">
    <cfRule type="cellIs" dxfId="14265" priority="1223" operator="greaterThan">
      <formula>0</formula>
    </cfRule>
  </conditionalFormatting>
  <conditionalFormatting sqref="R32:R39">
    <cfRule type="cellIs" dxfId="14264" priority="1226" operator="lessThan">
      <formula>0.8</formula>
    </cfRule>
    <cfRule type="cellIs" dxfId="14263" priority="1227" operator="greaterThan">
      <formula>1</formula>
    </cfRule>
  </conditionalFormatting>
  <conditionalFormatting sqref="R32:R39">
    <cfRule type="cellIs" dxfId="14262" priority="1224" operator="greaterThan">
      <formula>1</formula>
    </cfRule>
    <cfRule type="cellIs" dxfId="14261" priority="1225" operator="lessThan">
      <formula>0.8</formula>
    </cfRule>
  </conditionalFormatting>
  <conditionalFormatting sqref="Q32:Q39">
    <cfRule type="cellIs" dxfId="14260" priority="1216" operator="lessThan">
      <formula>0</formula>
    </cfRule>
  </conditionalFormatting>
  <conditionalFormatting sqref="R32:R39">
    <cfRule type="cellIs" dxfId="14259" priority="1220" operator="lessThan">
      <formula>0.8</formula>
    </cfRule>
    <cfRule type="cellIs" dxfId="14258" priority="1221" operator="greaterThan">
      <formula>1</formula>
    </cfRule>
  </conditionalFormatting>
  <conditionalFormatting sqref="R32:R39">
    <cfRule type="cellIs" dxfId="14257" priority="1218" operator="greaterThan">
      <formula>1</formula>
    </cfRule>
    <cfRule type="cellIs" dxfId="14256" priority="1219" operator="lessThan">
      <formula>0.8</formula>
    </cfRule>
  </conditionalFormatting>
  <conditionalFormatting sqref="P32:P39">
    <cfRule type="cellIs" dxfId="14255" priority="1217" operator="greaterThan">
      <formula>0</formula>
    </cfRule>
  </conditionalFormatting>
  <conditionalFormatting sqref="Q32:Q39">
    <cfRule type="cellIs" dxfId="14254" priority="1215" operator="lessThan">
      <formula>0</formula>
    </cfRule>
  </conditionalFormatting>
  <conditionalFormatting sqref="R32:R39">
    <cfRule type="cellIs" dxfId="14253" priority="1213" operator="lessThan">
      <formula>0.8</formula>
    </cfRule>
    <cfRule type="cellIs" dxfId="14252" priority="1214" operator="greaterThan">
      <formula>1</formula>
    </cfRule>
  </conditionalFormatting>
  <conditionalFormatting sqref="R32:R39">
    <cfRule type="cellIs" dxfId="14251" priority="1211" operator="greaterThan">
      <formula>1</formula>
    </cfRule>
    <cfRule type="cellIs" dxfId="14250" priority="1212" operator="lessThan">
      <formula>0.8</formula>
    </cfRule>
  </conditionalFormatting>
  <conditionalFormatting sqref="P32:P39">
    <cfRule type="cellIs" dxfId="14249" priority="1210" operator="greaterThan">
      <formula>0</formula>
    </cfRule>
  </conditionalFormatting>
  <conditionalFormatting sqref="Q32:Q39">
    <cfRule type="cellIs" dxfId="14248" priority="1209" operator="lessThan">
      <formula>0</formula>
    </cfRule>
  </conditionalFormatting>
  <conditionalFormatting sqref="R32:R39">
    <cfRule type="cellIs" dxfId="14247" priority="1207" operator="lessThan">
      <formula>0.8</formula>
    </cfRule>
    <cfRule type="cellIs" dxfId="14246" priority="1208" operator="greaterThan">
      <formula>1</formula>
    </cfRule>
  </conditionalFormatting>
  <conditionalFormatting sqref="R32:R39">
    <cfRule type="cellIs" dxfId="14245" priority="1205" operator="greaterThan">
      <formula>1</formula>
    </cfRule>
    <cfRule type="cellIs" dxfId="14244" priority="1206" operator="lessThan">
      <formula>0.8</formula>
    </cfRule>
  </conditionalFormatting>
  <conditionalFormatting sqref="P32:P39">
    <cfRule type="cellIs" dxfId="14243" priority="1204" operator="greaterThan">
      <formula>0</formula>
    </cfRule>
  </conditionalFormatting>
  <conditionalFormatting sqref="Q32:Q39">
    <cfRule type="cellIs" dxfId="14242" priority="1203" operator="lessThan">
      <formula>0</formula>
    </cfRule>
  </conditionalFormatting>
  <conditionalFormatting sqref="R32:R39">
    <cfRule type="cellIs" dxfId="14241" priority="1201" operator="lessThan">
      <formula>0.8</formula>
    </cfRule>
    <cfRule type="cellIs" dxfId="14240" priority="1202" operator="greaterThan">
      <formula>1</formula>
    </cfRule>
  </conditionalFormatting>
  <conditionalFormatting sqref="R32:R39">
    <cfRule type="cellIs" dxfId="14239" priority="1199" operator="greaterThan">
      <formula>1</formula>
    </cfRule>
    <cfRule type="cellIs" dxfId="14238" priority="1200" operator="lessThan">
      <formula>0.8</formula>
    </cfRule>
  </conditionalFormatting>
  <conditionalFormatting sqref="P32:P39">
    <cfRule type="cellIs" dxfId="14237" priority="1198" operator="greaterThan">
      <formula>0</formula>
    </cfRule>
  </conditionalFormatting>
  <conditionalFormatting sqref="Q32:Q39">
    <cfRule type="cellIs" dxfId="14236" priority="1197" operator="lessThan">
      <formula>0</formula>
    </cfRule>
  </conditionalFormatting>
  <conditionalFormatting sqref="R32:R39">
    <cfRule type="cellIs" dxfId="14235" priority="1195" operator="lessThan">
      <formula>0.8</formula>
    </cfRule>
    <cfRule type="cellIs" dxfId="14234" priority="1196" operator="greaterThan">
      <formula>1</formula>
    </cfRule>
  </conditionalFormatting>
  <conditionalFormatting sqref="R32:R39">
    <cfRule type="cellIs" dxfId="14233" priority="1193" operator="greaterThan">
      <formula>1</formula>
    </cfRule>
    <cfRule type="cellIs" dxfId="14232" priority="1194" operator="lessThan">
      <formula>0.8</formula>
    </cfRule>
  </conditionalFormatting>
  <conditionalFormatting sqref="P32:P39">
    <cfRule type="cellIs" dxfId="14231" priority="1192" operator="greaterThan">
      <formula>0</formula>
    </cfRule>
  </conditionalFormatting>
  <conditionalFormatting sqref="Q96:Q105">
    <cfRule type="cellIs" dxfId="14230" priority="1186" operator="lessThan">
      <formula>0</formula>
    </cfRule>
  </conditionalFormatting>
  <conditionalFormatting sqref="P96:P105">
    <cfRule type="cellIs" dxfId="14229" priority="1187" operator="greaterThan">
      <formula>0</formula>
    </cfRule>
  </conditionalFormatting>
  <conditionalFormatting sqref="R96:R105">
    <cfRule type="cellIs" dxfId="14228" priority="1190" operator="lessThan">
      <formula>0.8</formula>
    </cfRule>
    <cfRule type="cellIs" dxfId="14227" priority="1191" operator="greaterThan">
      <formula>1</formula>
    </cfRule>
  </conditionalFormatting>
  <conditionalFormatting sqref="R96:R105">
    <cfRule type="cellIs" dxfId="14226" priority="1188" operator="greaterThan">
      <formula>1</formula>
    </cfRule>
    <cfRule type="cellIs" dxfId="14225" priority="1189" operator="lessThan">
      <formula>0.8</formula>
    </cfRule>
  </conditionalFormatting>
  <conditionalFormatting sqref="Q96:Q105">
    <cfRule type="cellIs" dxfId="14224" priority="1180" operator="lessThan">
      <formula>0</formula>
    </cfRule>
  </conditionalFormatting>
  <conditionalFormatting sqref="R96:R105">
    <cfRule type="cellIs" dxfId="14223" priority="1184" operator="lessThan">
      <formula>0.8</formula>
    </cfRule>
    <cfRule type="cellIs" dxfId="14222" priority="1185" operator="greaterThan">
      <formula>1</formula>
    </cfRule>
  </conditionalFormatting>
  <conditionalFormatting sqref="R96:R105">
    <cfRule type="cellIs" dxfId="14221" priority="1182" operator="greaterThan">
      <formula>1</formula>
    </cfRule>
    <cfRule type="cellIs" dxfId="14220" priority="1183" operator="lessThan">
      <formula>0.8</formula>
    </cfRule>
  </conditionalFormatting>
  <conditionalFormatting sqref="P96:P105">
    <cfRule type="cellIs" dxfId="14219" priority="1181" operator="greaterThan">
      <formula>0</formula>
    </cfRule>
  </conditionalFormatting>
  <conditionalFormatting sqref="Q96:Q105">
    <cfRule type="cellIs" dxfId="14218" priority="1179" operator="lessThan">
      <formula>0</formula>
    </cfRule>
  </conditionalFormatting>
  <conditionalFormatting sqref="R96:R105">
    <cfRule type="cellIs" dxfId="14217" priority="1177" operator="lessThan">
      <formula>0.8</formula>
    </cfRule>
    <cfRule type="cellIs" dxfId="14216" priority="1178" operator="greaterThan">
      <formula>1</formula>
    </cfRule>
  </conditionalFormatting>
  <conditionalFormatting sqref="R96:R105">
    <cfRule type="cellIs" dxfId="14215" priority="1175" operator="greaterThan">
      <formula>1</formula>
    </cfRule>
    <cfRule type="cellIs" dxfId="14214" priority="1176" operator="lessThan">
      <formula>0.8</formula>
    </cfRule>
  </conditionalFormatting>
  <conditionalFormatting sqref="P96:P105">
    <cfRule type="cellIs" dxfId="14213" priority="1174" operator="greaterThan">
      <formula>0</formula>
    </cfRule>
  </conditionalFormatting>
  <conditionalFormatting sqref="Q96:Q105">
    <cfRule type="cellIs" dxfId="14212" priority="1173" operator="lessThan">
      <formula>0</formula>
    </cfRule>
  </conditionalFormatting>
  <conditionalFormatting sqref="R96:R105">
    <cfRule type="cellIs" dxfId="14211" priority="1171" operator="lessThan">
      <formula>0.8</formula>
    </cfRule>
    <cfRule type="cellIs" dxfId="14210" priority="1172" operator="greaterThan">
      <formula>1</formula>
    </cfRule>
  </conditionalFormatting>
  <conditionalFormatting sqref="R96:R105">
    <cfRule type="cellIs" dxfId="14209" priority="1169" operator="greaterThan">
      <formula>1</formula>
    </cfRule>
    <cfRule type="cellIs" dxfId="14208" priority="1170" operator="lessThan">
      <formula>0.8</formula>
    </cfRule>
  </conditionalFormatting>
  <conditionalFormatting sqref="P96:P105">
    <cfRule type="cellIs" dxfId="14207" priority="1168" operator="greaterThan">
      <formula>0</formula>
    </cfRule>
  </conditionalFormatting>
  <conditionalFormatting sqref="Q96:Q105">
    <cfRule type="cellIs" dxfId="14206" priority="1162" operator="lessThan">
      <formula>0</formula>
    </cfRule>
  </conditionalFormatting>
  <conditionalFormatting sqref="R96:R105">
    <cfRule type="cellIs" dxfId="14205" priority="1166" operator="lessThan">
      <formula>0.8</formula>
    </cfRule>
    <cfRule type="cellIs" dxfId="14204" priority="1167" operator="greaterThan">
      <formula>1</formula>
    </cfRule>
  </conditionalFormatting>
  <conditionalFormatting sqref="R96:R105">
    <cfRule type="cellIs" dxfId="14203" priority="1164" operator="greaterThan">
      <formula>1</formula>
    </cfRule>
    <cfRule type="cellIs" dxfId="14202" priority="1165" operator="lessThan">
      <formula>0.8</formula>
    </cfRule>
  </conditionalFormatting>
  <conditionalFormatting sqref="P96:P105">
    <cfRule type="cellIs" dxfId="14201" priority="1163" operator="greaterThan">
      <formula>0</formula>
    </cfRule>
  </conditionalFormatting>
  <conditionalFormatting sqref="Q96:Q105">
    <cfRule type="cellIs" dxfId="14200" priority="1161" operator="lessThan">
      <formula>0</formula>
    </cfRule>
  </conditionalFormatting>
  <conditionalFormatting sqref="R96:R105">
    <cfRule type="cellIs" dxfId="14199" priority="1159" operator="lessThan">
      <formula>0.8</formula>
    </cfRule>
    <cfRule type="cellIs" dxfId="14198" priority="1160" operator="greaterThan">
      <formula>1</formula>
    </cfRule>
  </conditionalFormatting>
  <conditionalFormatting sqref="R96:R105">
    <cfRule type="cellIs" dxfId="14197" priority="1157" operator="greaterThan">
      <formula>1</formula>
    </cfRule>
    <cfRule type="cellIs" dxfId="14196" priority="1158" operator="lessThan">
      <formula>0.8</formula>
    </cfRule>
  </conditionalFormatting>
  <conditionalFormatting sqref="P96:P105">
    <cfRule type="cellIs" dxfId="14195" priority="1156" operator="greaterThan">
      <formula>0</formula>
    </cfRule>
  </conditionalFormatting>
  <conditionalFormatting sqref="Q96:Q105">
    <cfRule type="cellIs" dxfId="14194" priority="1155" operator="lessThan">
      <formula>0</formula>
    </cfRule>
  </conditionalFormatting>
  <conditionalFormatting sqref="R96:R105">
    <cfRule type="cellIs" dxfId="14193" priority="1153" operator="lessThan">
      <formula>0.8</formula>
    </cfRule>
    <cfRule type="cellIs" dxfId="14192" priority="1154" operator="greaterThan">
      <formula>1</formula>
    </cfRule>
  </conditionalFormatting>
  <conditionalFormatting sqref="R96:R105">
    <cfRule type="cellIs" dxfId="14191" priority="1151" operator="greaterThan">
      <formula>1</formula>
    </cfRule>
    <cfRule type="cellIs" dxfId="14190" priority="1152" operator="lessThan">
      <formula>0.8</formula>
    </cfRule>
  </conditionalFormatting>
  <conditionalFormatting sqref="P96:P105">
    <cfRule type="cellIs" dxfId="14189" priority="1150" operator="greaterThan">
      <formula>0</formula>
    </cfRule>
  </conditionalFormatting>
  <conditionalFormatting sqref="Q96:Q105">
    <cfRule type="cellIs" dxfId="14188" priority="1149" operator="lessThan">
      <formula>0</formula>
    </cfRule>
  </conditionalFormatting>
  <conditionalFormatting sqref="R96:R105">
    <cfRule type="cellIs" dxfId="14187" priority="1147" operator="lessThan">
      <formula>0.8</formula>
    </cfRule>
    <cfRule type="cellIs" dxfId="14186" priority="1148" operator="greaterThan">
      <formula>1</formula>
    </cfRule>
  </conditionalFormatting>
  <conditionalFormatting sqref="R96:R105">
    <cfRule type="cellIs" dxfId="14185" priority="1145" operator="greaterThan">
      <formula>1</formula>
    </cfRule>
    <cfRule type="cellIs" dxfId="14184" priority="1146" operator="lessThan">
      <formula>0.8</formula>
    </cfRule>
  </conditionalFormatting>
  <conditionalFormatting sqref="P96:P105">
    <cfRule type="cellIs" dxfId="14183" priority="1144" operator="greaterThan">
      <formula>0</formula>
    </cfRule>
  </conditionalFormatting>
  <conditionalFormatting sqref="Q96:Q105">
    <cfRule type="cellIs" dxfId="14182" priority="1143" operator="lessThan">
      <formula>0</formula>
    </cfRule>
  </conditionalFormatting>
  <conditionalFormatting sqref="R96:R105">
    <cfRule type="cellIs" dxfId="14181" priority="1141" operator="lessThan">
      <formula>0.8</formula>
    </cfRule>
    <cfRule type="cellIs" dxfId="14180" priority="1142" operator="greaterThan">
      <formula>1</formula>
    </cfRule>
  </conditionalFormatting>
  <conditionalFormatting sqref="R96:R105">
    <cfRule type="cellIs" dxfId="14179" priority="1139" operator="greaterThan">
      <formula>1</formula>
    </cfRule>
    <cfRule type="cellIs" dxfId="14178" priority="1140" operator="lessThan">
      <formula>0.8</formula>
    </cfRule>
  </conditionalFormatting>
  <conditionalFormatting sqref="P96:P105">
    <cfRule type="cellIs" dxfId="14177" priority="1138" operator="greaterThan">
      <formula>0</formula>
    </cfRule>
  </conditionalFormatting>
  <conditionalFormatting sqref="Q96:Q105">
    <cfRule type="cellIs" dxfId="14176" priority="1137" operator="lessThan">
      <formula>0</formula>
    </cfRule>
  </conditionalFormatting>
  <conditionalFormatting sqref="R96:R105">
    <cfRule type="cellIs" dxfId="14175" priority="1135" operator="lessThan">
      <formula>0.8</formula>
    </cfRule>
    <cfRule type="cellIs" dxfId="14174" priority="1136" operator="greaterThan">
      <formula>1</formula>
    </cfRule>
  </conditionalFormatting>
  <conditionalFormatting sqref="R96:R105">
    <cfRule type="cellIs" dxfId="14173" priority="1133" operator="greaterThan">
      <formula>1</formula>
    </cfRule>
    <cfRule type="cellIs" dxfId="14172" priority="1134" operator="lessThan">
      <formula>0.8</formula>
    </cfRule>
  </conditionalFormatting>
  <conditionalFormatting sqref="P96:P105">
    <cfRule type="cellIs" dxfId="14171" priority="1132" operator="greaterThan">
      <formula>0</formula>
    </cfRule>
  </conditionalFormatting>
  <conditionalFormatting sqref="P96:P105">
    <cfRule type="cellIs" dxfId="14170" priority="1126" operator="greaterThan">
      <formula>0</formula>
    </cfRule>
  </conditionalFormatting>
  <conditionalFormatting sqref="Q96:Q105">
    <cfRule type="cellIs" dxfId="14169" priority="1131" operator="lessThan">
      <formula>0</formula>
    </cfRule>
  </conditionalFormatting>
  <conditionalFormatting sqref="R96:R105">
    <cfRule type="cellIs" dxfId="14168" priority="1129" operator="lessThan">
      <formula>0.8</formula>
    </cfRule>
    <cfRule type="cellIs" dxfId="14167" priority="1130" operator="greaterThan">
      <formula>1</formula>
    </cfRule>
  </conditionalFormatting>
  <conditionalFormatting sqref="R96:R105">
    <cfRule type="cellIs" dxfId="14166" priority="1127" operator="greaterThan">
      <formula>1</formula>
    </cfRule>
    <cfRule type="cellIs" dxfId="14165" priority="1128" operator="lessThan">
      <formula>0.8</formula>
    </cfRule>
  </conditionalFormatting>
  <conditionalFormatting sqref="P96:P105">
    <cfRule type="cellIs" dxfId="14164" priority="1120" operator="greaterThan">
      <formula>0</formula>
    </cfRule>
  </conditionalFormatting>
  <conditionalFormatting sqref="Q96:Q105">
    <cfRule type="cellIs" dxfId="14163" priority="1125" operator="lessThan">
      <formula>0</formula>
    </cfRule>
  </conditionalFormatting>
  <conditionalFormatting sqref="R96:R105">
    <cfRule type="cellIs" dxfId="14162" priority="1123" operator="lessThan">
      <formula>0.8</formula>
    </cfRule>
    <cfRule type="cellIs" dxfId="14161" priority="1124" operator="greaterThan">
      <formula>1</formula>
    </cfRule>
  </conditionalFormatting>
  <conditionalFormatting sqref="R96:R105">
    <cfRule type="cellIs" dxfId="14160" priority="1121" operator="greaterThan">
      <formula>1</formula>
    </cfRule>
    <cfRule type="cellIs" dxfId="14159" priority="1122" operator="lessThan">
      <formula>0.8</formula>
    </cfRule>
  </conditionalFormatting>
  <conditionalFormatting sqref="R96:R105">
    <cfRule type="cellIs" dxfId="14158" priority="1117" operator="lessThan">
      <formula>0.8</formula>
    </cfRule>
    <cfRule type="cellIs" dxfId="14157" priority="1118" operator="greaterThan">
      <formula>1</formula>
    </cfRule>
  </conditionalFormatting>
  <conditionalFormatting sqref="R96:R105">
    <cfRule type="cellIs" dxfId="14156" priority="1115" operator="greaterThan">
      <formula>1</formula>
    </cfRule>
    <cfRule type="cellIs" dxfId="14155" priority="1116" operator="lessThan">
      <formula>0.8</formula>
    </cfRule>
  </conditionalFormatting>
  <conditionalFormatting sqref="P96:P105">
    <cfRule type="cellIs" dxfId="14154" priority="1114" operator="greaterThan">
      <formula>0</formula>
    </cfRule>
  </conditionalFormatting>
  <conditionalFormatting sqref="Q96:Q105">
    <cfRule type="cellIs" dxfId="14153" priority="1119" operator="lessThan">
      <formula>0</formula>
    </cfRule>
  </conditionalFormatting>
  <conditionalFormatting sqref="Q96:Q105">
    <cfRule type="cellIs" dxfId="14152" priority="1108" operator="lessThan">
      <formula>0</formula>
    </cfRule>
  </conditionalFormatting>
  <conditionalFormatting sqref="P96:P105">
    <cfRule type="cellIs" dxfId="14151" priority="1109" operator="greaterThan">
      <formula>0</formula>
    </cfRule>
  </conditionalFormatting>
  <conditionalFormatting sqref="R96:R105">
    <cfRule type="cellIs" dxfId="14150" priority="1112" operator="lessThan">
      <formula>0.8</formula>
    </cfRule>
    <cfRule type="cellIs" dxfId="14149" priority="1113" operator="greaterThan">
      <formula>1</formula>
    </cfRule>
  </conditionalFormatting>
  <conditionalFormatting sqref="R96:R105">
    <cfRule type="cellIs" dxfId="14148" priority="1110" operator="greaterThan">
      <formula>1</formula>
    </cfRule>
    <cfRule type="cellIs" dxfId="14147" priority="1111" operator="lessThan">
      <formula>0.8</formula>
    </cfRule>
  </conditionalFormatting>
  <conditionalFormatting sqref="Q96:Q105">
    <cfRule type="cellIs" dxfId="14146" priority="1102" operator="lessThan">
      <formula>0</formula>
    </cfRule>
  </conditionalFormatting>
  <conditionalFormatting sqref="R96:R105">
    <cfRule type="cellIs" dxfId="14145" priority="1106" operator="lessThan">
      <formula>0.8</formula>
    </cfRule>
    <cfRule type="cellIs" dxfId="14144" priority="1107" operator="greaterThan">
      <formula>1</formula>
    </cfRule>
  </conditionalFormatting>
  <conditionalFormatting sqref="R96:R105">
    <cfRule type="cellIs" dxfId="14143" priority="1104" operator="greaterThan">
      <formula>1</formula>
    </cfRule>
    <cfRule type="cellIs" dxfId="14142" priority="1105" operator="lessThan">
      <formula>0.8</formula>
    </cfRule>
  </conditionalFormatting>
  <conditionalFormatting sqref="P96:P105">
    <cfRule type="cellIs" dxfId="14141" priority="1103" operator="greaterThan">
      <formula>0</formula>
    </cfRule>
  </conditionalFormatting>
  <conditionalFormatting sqref="Q96:Q105">
    <cfRule type="cellIs" dxfId="14140" priority="1101" operator="lessThan">
      <formula>0</formula>
    </cfRule>
  </conditionalFormatting>
  <conditionalFormatting sqref="R96:R105">
    <cfRule type="cellIs" dxfId="14139" priority="1099" operator="lessThan">
      <formula>0.8</formula>
    </cfRule>
    <cfRule type="cellIs" dxfId="14138" priority="1100" operator="greaterThan">
      <formula>1</formula>
    </cfRule>
  </conditionalFormatting>
  <conditionalFormatting sqref="R96:R105">
    <cfRule type="cellIs" dxfId="14137" priority="1097" operator="greaterThan">
      <formula>1</formula>
    </cfRule>
    <cfRule type="cellIs" dxfId="14136" priority="1098" operator="lessThan">
      <formula>0.8</formula>
    </cfRule>
  </conditionalFormatting>
  <conditionalFormatting sqref="P96:P105">
    <cfRule type="cellIs" dxfId="14135" priority="1096" operator="greaterThan">
      <formula>0</formula>
    </cfRule>
  </conditionalFormatting>
  <conditionalFormatting sqref="Q96:Q105">
    <cfRule type="cellIs" dxfId="14134" priority="1095" operator="lessThan">
      <formula>0</formula>
    </cfRule>
  </conditionalFormatting>
  <conditionalFormatting sqref="R96:R105">
    <cfRule type="cellIs" dxfId="14133" priority="1093" operator="lessThan">
      <formula>0.8</formula>
    </cfRule>
    <cfRule type="cellIs" dxfId="14132" priority="1094" operator="greaterThan">
      <formula>1</formula>
    </cfRule>
  </conditionalFormatting>
  <conditionalFormatting sqref="R96:R105">
    <cfRule type="cellIs" dxfId="14131" priority="1091" operator="greaterThan">
      <formula>1</formula>
    </cfRule>
    <cfRule type="cellIs" dxfId="14130" priority="1092" operator="lessThan">
      <formula>0.8</formula>
    </cfRule>
  </conditionalFormatting>
  <conditionalFormatting sqref="P96:P105">
    <cfRule type="cellIs" dxfId="14129" priority="1090" operator="greaterThan">
      <formula>0</formula>
    </cfRule>
  </conditionalFormatting>
  <conditionalFormatting sqref="Q96:Q105">
    <cfRule type="cellIs" dxfId="14128" priority="1084" operator="lessThan">
      <formula>0</formula>
    </cfRule>
  </conditionalFormatting>
  <conditionalFormatting sqref="P96:P105">
    <cfRule type="cellIs" dxfId="14127" priority="1085" operator="greaterThan">
      <formula>0</formula>
    </cfRule>
  </conditionalFormatting>
  <conditionalFormatting sqref="R96:R105">
    <cfRule type="cellIs" dxfId="14126" priority="1088" operator="lessThan">
      <formula>0.8</formula>
    </cfRule>
    <cfRule type="cellIs" dxfId="14125" priority="1089" operator="greaterThan">
      <formula>1</formula>
    </cfRule>
  </conditionalFormatting>
  <conditionalFormatting sqref="R96:R105">
    <cfRule type="cellIs" dxfId="14124" priority="1086" operator="greaterThan">
      <formula>1</formula>
    </cfRule>
    <cfRule type="cellIs" dxfId="14123" priority="1087" operator="lessThan">
      <formula>0.8</formula>
    </cfRule>
  </conditionalFormatting>
  <conditionalFormatting sqref="Q96:Q105">
    <cfRule type="cellIs" dxfId="14122" priority="1078" operator="lessThan">
      <formula>0</formula>
    </cfRule>
  </conditionalFormatting>
  <conditionalFormatting sqref="R96:R105">
    <cfRule type="cellIs" dxfId="14121" priority="1082" operator="lessThan">
      <formula>0.8</formula>
    </cfRule>
    <cfRule type="cellIs" dxfId="14120" priority="1083" operator="greaterThan">
      <formula>1</formula>
    </cfRule>
  </conditionalFormatting>
  <conditionalFormatting sqref="R96:R105">
    <cfRule type="cellIs" dxfId="14119" priority="1080" operator="greaterThan">
      <formula>1</formula>
    </cfRule>
    <cfRule type="cellIs" dxfId="14118" priority="1081" operator="lessThan">
      <formula>0.8</formula>
    </cfRule>
  </conditionalFormatting>
  <conditionalFormatting sqref="P96:P105">
    <cfRule type="cellIs" dxfId="14117" priority="1079" operator="greaterThan">
      <formula>0</formula>
    </cfRule>
  </conditionalFormatting>
  <conditionalFormatting sqref="Q96:Q105">
    <cfRule type="cellIs" dxfId="14116" priority="1077" operator="lessThan">
      <formula>0</formula>
    </cfRule>
  </conditionalFormatting>
  <conditionalFormatting sqref="R96:R105">
    <cfRule type="cellIs" dxfId="14115" priority="1075" operator="lessThan">
      <formula>0.8</formula>
    </cfRule>
    <cfRule type="cellIs" dxfId="14114" priority="1076" operator="greaterThan">
      <formula>1</formula>
    </cfRule>
  </conditionalFormatting>
  <conditionalFormatting sqref="R96:R105">
    <cfRule type="cellIs" dxfId="14113" priority="1073" operator="greaterThan">
      <formula>1</formula>
    </cfRule>
    <cfRule type="cellIs" dxfId="14112" priority="1074" operator="lessThan">
      <formula>0.8</formula>
    </cfRule>
  </conditionalFormatting>
  <conditionalFormatting sqref="P96:P105">
    <cfRule type="cellIs" dxfId="14111" priority="1072" operator="greaterThan">
      <formula>0</formula>
    </cfRule>
  </conditionalFormatting>
  <conditionalFormatting sqref="Q96:Q105">
    <cfRule type="cellIs" dxfId="14110" priority="1071" operator="lessThan">
      <formula>0</formula>
    </cfRule>
  </conditionalFormatting>
  <conditionalFormatting sqref="R96:R105">
    <cfRule type="cellIs" dxfId="14109" priority="1069" operator="lessThan">
      <formula>0.8</formula>
    </cfRule>
    <cfRule type="cellIs" dxfId="14108" priority="1070" operator="greaterThan">
      <formula>1</formula>
    </cfRule>
  </conditionalFormatting>
  <conditionalFormatting sqref="R96:R105">
    <cfRule type="cellIs" dxfId="14107" priority="1067" operator="greaterThan">
      <formula>1</formula>
    </cfRule>
    <cfRule type="cellIs" dxfId="14106" priority="1068" operator="lessThan">
      <formula>0.8</formula>
    </cfRule>
  </conditionalFormatting>
  <conditionalFormatting sqref="P96:P105">
    <cfRule type="cellIs" dxfId="14105" priority="1066" operator="greaterThan">
      <formula>0</formula>
    </cfRule>
  </conditionalFormatting>
  <conditionalFormatting sqref="P124 P127 P130">
    <cfRule type="cellIs" dxfId="14104" priority="1060" operator="greaterThan">
      <formula>0</formula>
    </cfRule>
  </conditionalFormatting>
  <conditionalFormatting sqref="Q124 Q127 Q130">
    <cfRule type="cellIs" dxfId="14103" priority="1065" operator="lessThan">
      <formula>0</formula>
    </cfRule>
  </conditionalFormatting>
  <conditionalFormatting sqref="R124 R127 R130">
    <cfRule type="cellIs" dxfId="14102" priority="1063" operator="lessThan">
      <formula>0.8</formula>
    </cfRule>
    <cfRule type="cellIs" dxfId="14101" priority="1064" operator="greaterThan">
      <formula>1</formula>
    </cfRule>
  </conditionalFormatting>
  <conditionalFormatting sqref="R124 R127 R130">
    <cfRule type="cellIs" dxfId="14100" priority="1061" operator="greaterThan">
      <formula>1</formula>
    </cfRule>
    <cfRule type="cellIs" dxfId="14099" priority="1062" operator="lessThan">
      <formula>0.8</formula>
    </cfRule>
  </conditionalFormatting>
  <conditionalFormatting sqref="Q124 Q127 Q130">
    <cfRule type="cellIs" dxfId="14098" priority="1059" operator="lessThan">
      <formula>0</formula>
    </cfRule>
  </conditionalFormatting>
  <conditionalFormatting sqref="R124 R127 R130">
    <cfRule type="cellIs" dxfId="14097" priority="1057" operator="lessThan">
      <formula>0.8</formula>
    </cfRule>
    <cfRule type="cellIs" dxfId="14096" priority="1058" operator="greaterThan">
      <formula>1</formula>
    </cfRule>
  </conditionalFormatting>
  <conditionalFormatting sqref="R124 R127 R130">
    <cfRule type="cellIs" dxfId="14095" priority="1055" operator="greaterThan">
      <formula>1</formula>
    </cfRule>
    <cfRule type="cellIs" dxfId="14094" priority="1056" operator="lessThan">
      <formula>0.8</formula>
    </cfRule>
  </conditionalFormatting>
  <conditionalFormatting sqref="P124 P127 P130">
    <cfRule type="cellIs" dxfId="14093" priority="1054" operator="greaterThan">
      <formula>0</formula>
    </cfRule>
  </conditionalFormatting>
  <conditionalFormatting sqref="Q123 Q125:Q126 Q131 Q128:Q129">
    <cfRule type="cellIs" dxfId="14092" priority="1053" operator="lessThan">
      <formula>0</formula>
    </cfRule>
  </conditionalFormatting>
  <conditionalFormatting sqref="R123 R125:R126 R131 R128:R129">
    <cfRule type="cellIs" dxfId="14091" priority="1051" operator="lessThan">
      <formula>0.8</formula>
    </cfRule>
    <cfRule type="cellIs" dxfId="14090" priority="1052" operator="greaterThan">
      <formula>1</formula>
    </cfRule>
  </conditionalFormatting>
  <conditionalFormatting sqref="R123 R125:R126 R131 R128:R129">
    <cfRule type="cellIs" dxfId="14089" priority="1049" operator="greaterThan">
      <formula>1</formula>
    </cfRule>
    <cfRule type="cellIs" dxfId="14088" priority="1050" operator="lessThan">
      <formula>0.8</formula>
    </cfRule>
  </conditionalFormatting>
  <conditionalFormatting sqref="P123 P125:P126 P131 P128:P129">
    <cfRule type="cellIs" dxfId="14087" priority="1048" operator="greaterThan">
      <formula>0</formula>
    </cfRule>
  </conditionalFormatting>
  <conditionalFormatting sqref="P123 P125:P126 P131 P128:P129">
    <cfRule type="cellIs" dxfId="14086" priority="1042" operator="greaterThan">
      <formula>0</formula>
    </cfRule>
  </conditionalFormatting>
  <conditionalFormatting sqref="Q123 Q125:Q126 Q131 Q128:Q129">
    <cfRule type="cellIs" dxfId="14085" priority="1047" operator="lessThan">
      <formula>0</formula>
    </cfRule>
  </conditionalFormatting>
  <conditionalFormatting sqref="R123 R125:R126 R131 R128:R129">
    <cfRule type="cellIs" dxfId="14084" priority="1045" operator="lessThan">
      <formula>0.8</formula>
    </cfRule>
    <cfRule type="cellIs" dxfId="14083" priority="1046" operator="greaterThan">
      <formula>1</formula>
    </cfRule>
  </conditionalFormatting>
  <conditionalFormatting sqref="R123 R125:R126 R131 R128:R129">
    <cfRule type="cellIs" dxfId="14082" priority="1043" operator="greaterThan">
      <formula>1</formula>
    </cfRule>
    <cfRule type="cellIs" dxfId="14081" priority="1044" operator="lessThan">
      <formula>0.8</formula>
    </cfRule>
  </conditionalFormatting>
  <conditionalFormatting sqref="P122">
    <cfRule type="cellIs" dxfId="14080" priority="1036" operator="greaterThan">
      <formula>0</formula>
    </cfRule>
  </conditionalFormatting>
  <conditionalFormatting sqref="Q122">
    <cfRule type="cellIs" dxfId="14079" priority="1041" operator="lessThan">
      <formula>0</formula>
    </cfRule>
  </conditionalFormatting>
  <conditionalFormatting sqref="R122">
    <cfRule type="cellIs" dxfId="14078" priority="1039" operator="lessThan">
      <formula>0.8</formula>
    </cfRule>
    <cfRule type="cellIs" dxfId="14077" priority="1040" operator="greaterThan">
      <formula>1</formula>
    </cfRule>
  </conditionalFormatting>
  <conditionalFormatting sqref="R122">
    <cfRule type="cellIs" dxfId="14076" priority="1037" operator="greaterThan">
      <formula>1</formula>
    </cfRule>
    <cfRule type="cellIs" dxfId="14075" priority="1038" operator="lessThan">
      <formula>0.8</formula>
    </cfRule>
  </conditionalFormatting>
  <conditionalFormatting sqref="P137 P143 P140">
    <cfRule type="cellIs" dxfId="14074" priority="1035" operator="greaterThan">
      <formula>0</formula>
    </cfRule>
  </conditionalFormatting>
  <conditionalFormatting sqref="Q137:Q143">
    <cfRule type="cellIs" dxfId="14073" priority="1034" operator="lessThan">
      <formula>0</formula>
    </cfRule>
  </conditionalFormatting>
  <conditionalFormatting sqref="R137 R143">
    <cfRule type="cellIs" dxfId="14072" priority="1032" operator="lessThan">
      <formula>0.8</formula>
    </cfRule>
    <cfRule type="cellIs" dxfId="14071" priority="1033" operator="greaterThan">
      <formula>1</formula>
    </cfRule>
  </conditionalFormatting>
  <conditionalFormatting sqref="R137 R143">
    <cfRule type="cellIs" dxfId="14070" priority="1030" operator="greaterThan">
      <formula>1</formula>
    </cfRule>
    <cfRule type="cellIs" dxfId="14069" priority="1031" operator="lessThan">
      <formula>0.8</formula>
    </cfRule>
  </conditionalFormatting>
  <conditionalFormatting sqref="P137 P143 P140">
    <cfRule type="cellIs" dxfId="14068" priority="1029" operator="greaterThan">
      <formula>0</formula>
    </cfRule>
  </conditionalFormatting>
  <conditionalFormatting sqref="Q137:Q143">
    <cfRule type="cellIs" dxfId="14067" priority="1028" operator="lessThan">
      <formula>0</formula>
    </cfRule>
  </conditionalFormatting>
  <conditionalFormatting sqref="R137 R143">
    <cfRule type="cellIs" dxfId="14066" priority="1026" operator="lessThan">
      <formula>0.8</formula>
    </cfRule>
    <cfRule type="cellIs" dxfId="14065" priority="1027" operator="greaterThan">
      <formula>1</formula>
    </cfRule>
  </conditionalFormatting>
  <conditionalFormatting sqref="R137 R143">
    <cfRule type="cellIs" dxfId="14064" priority="1024" operator="greaterThan">
      <formula>1</formula>
    </cfRule>
    <cfRule type="cellIs" dxfId="14063" priority="1025" operator="lessThan">
      <formula>0.8</formula>
    </cfRule>
  </conditionalFormatting>
  <conditionalFormatting sqref="P137 P143 P140">
    <cfRule type="cellIs" dxfId="14062" priority="1023" operator="greaterThan">
      <formula>0</formula>
    </cfRule>
  </conditionalFormatting>
  <conditionalFormatting sqref="P137 P143 P140">
    <cfRule type="cellIs" dxfId="14061" priority="1017" operator="greaterThan">
      <formula>0</formula>
    </cfRule>
  </conditionalFormatting>
  <conditionalFormatting sqref="Q137:Q143">
    <cfRule type="cellIs" dxfId="14060" priority="1022" operator="lessThan">
      <formula>0</formula>
    </cfRule>
  </conditionalFormatting>
  <conditionalFormatting sqref="R137 R143">
    <cfRule type="cellIs" dxfId="14059" priority="1020" operator="lessThan">
      <formula>0.8</formula>
    </cfRule>
    <cfRule type="cellIs" dxfId="14058" priority="1021" operator="greaterThan">
      <formula>1</formula>
    </cfRule>
  </conditionalFormatting>
  <conditionalFormatting sqref="R137 R143">
    <cfRule type="cellIs" dxfId="14057" priority="1018" operator="greaterThan">
      <formula>1</formula>
    </cfRule>
    <cfRule type="cellIs" dxfId="14056" priority="1019" operator="lessThan">
      <formula>0.8</formula>
    </cfRule>
  </conditionalFormatting>
  <conditionalFormatting sqref="Q137:Q143">
    <cfRule type="cellIs" dxfId="14055" priority="1016" operator="lessThan">
      <formula>0</formula>
    </cfRule>
  </conditionalFormatting>
  <conditionalFormatting sqref="R137 R143">
    <cfRule type="cellIs" dxfId="14054" priority="1014" operator="lessThan">
      <formula>0.8</formula>
    </cfRule>
    <cfRule type="cellIs" dxfId="14053" priority="1015" operator="greaterThan">
      <formula>1</formula>
    </cfRule>
  </conditionalFormatting>
  <conditionalFormatting sqref="R137 R143">
    <cfRule type="cellIs" dxfId="14052" priority="1012" operator="greaterThan">
      <formula>1</formula>
    </cfRule>
    <cfRule type="cellIs" dxfId="14051" priority="1013" operator="lessThan">
      <formula>0.8</formula>
    </cfRule>
  </conditionalFormatting>
  <conditionalFormatting sqref="P137 P143 P140">
    <cfRule type="cellIs" dxfId="14050" priority="1011" operator="greaterThan">
      <formula>0</formula>
    </cfRule>
  </conditionalFormatting>
  <conditionalFormatting sqref="Q137:Q143">
    <cfRule type="cellIs" dxfId="14049" priority="1010" operator="lessThan">
      <formula>0</formula>
    </cfRule>
  </conditionalFormatting>
  <conditionalFormatting sqref="R137 R143">
    <cfRule type="cellIs" dxfId="14048" priority="1008" operator="lessThan">
      <formula>0.8</formula>
    </cfRule>
    <cfRule type="cellIs" dxfId="14047" priority="1009" operator="greaterThan">
      <formula>1</formula>
    </cfRule>
  </conditionalFormatting>
  <conditionalFormatting sqref="R137 R143">
    <cfRule type="cellIs" dxfId="14046" priority="1006" operator="greaterThan">
      <formula>1</formula>
    </cfRule>
    <cfRule type="cellIs" dxfId="14045" priority="1007" operator="lessThan">
      <formula>0.8</formula>
    </cfRule>
  </conditionalFormatting>
  <conditionalFormatting sqref="P137 P143 P140">
    <cfRule type="cellIs" dxfId="14044" priority="1005" operator="greaterThan">
      <formula>0</formula>
    </cfRule>
  </conditionalFormatting>
  <conditionalFormatting sqref="P137 P143 P140">
    <cfRule type="cellIs" dxfId="14043" priority="999" operator="greaterThan">
      <formula>0</formula>
    </cfRule>
  </conditionalFormatting>
  <conditionalFormatting sqref="Q137:Q143">
    <cfRule type="cellIs" dxfId="14042" priority="1004" operator="lessThan">
      <formula>0</formula>
    </cfRule>
  </conditionalFormatting>
  <conditionalFormatting sqref="R137 R143">
    <cfRule type="cellIs" dxfId="14041" priority="1002" operator="lessThan">
      <formula>0.8</formula>
    </cfRule>
    <cfRule type="cellIs" dxfId="14040" priority="1003" operator="greaterThan">
      <formula>1</formula>
    </cfRule>
  </conditionalFormatting>
  <conditionalFormatting sqref="R137 R143">
    <cfRule type="cellIs" dxfId="14039" priority="1000" operator="greaterThan">
      <formula>1</formula>
    </cfRule>
    <cfRule type="cellIs" dxfId="14038" priority="1001" operator="lessThan">
      <formula>0.8</formula>
    </cfRule>
  </conditionalFormatting>
  <conditionalFormatting sqref="Q137:Q143">
    <cfRule type="cellIs" dxfId="14037" priority="998" operator="lessThan">
      <formula>0</formula>
    </cfRule>
  </conditionalFormatting>
  <conditionalFormatting sqref="R137 R143">
    <cfRule type="cellIs" dxfId="14036" priority="996" operator="lessThan">
      <formula>0.8</formula>
    </cfRule>
    <cfRule type="cellIs" dxfId="14035" priority="997" operator="greaterThan">
      <formula>1</formula>
    </cfRule>
  </conditionalFormatting>
  <conditionalFormatting sqref="R137 R143">
    <cfRule type="cellIs" dxfId="14034" priority="994" operator="greaterThan">
      <formula>1</formula>
    </cfRule>
    <cfRule type="cellIs" dxfId="14033" priority="995" operator="lessThan">
      <formula>0.8</formula>
    </cfRule>
  </conditionalFormatting>
  <conditionalFormatting sqref="P137 P143 P140">
    <cfRule type="cellIs" dxfId="14032" priority="993" operator="greaterThan">
      <formula>0</formula>
    </cfRule>
  </conditionalFormatting>
  <conditionalFormatting sqref="Q137:Q143">
    <cfRule type="cellIs" dxfId="14031" priority="992" operator="lessThan">
      <formula>0</formula>
    </cfRule>
  </conditionalFormatting>
  <conditionalFormatting sqref="R137 R143">
    <cfRule type="cellIs" dxfId="14030" priority="990" operator="lessThan">
      <formula>0.8</formula>
    </cfRule>
    <cfRule type="cellIs" dxfId="14029" priority="991" operator="greaterThan">
      <formula>1</formula>
    </cfRule>
  </conditionalFormatting>
  <conditionalFormatting sqref="R137 R143">
    <cfRule type="cellIs" dxfId="14028" priority="988" operator="greaterThan">
      <formula>1</formula>
    </cfRule>
    <cfRule type="cellIs" dxfId="14027" priority="989" operator="lessThan">
      <formula>0.8</formula>
    </cfRule>
  </conditionalFormatting>
  <conditionalFormatting sqref="P137 P143 P140">
    <cfRule type="cellIs" dxfId="14026" priority="987" operator="greaterThan">
      <formula>0</formula>
    </cfRule>
  </conditionalFormatting>
  <conditionalFormatting sqref="P137 P143 P140">
    <cfRule type="cellIs" dxfId="14025" priority="981" operator="greaterThan">
      <formula>0</formula>
    </cfRule>
  </conditionalFormatting>
  <conditionalFormatting sqref="Q137:Q143">
    <cfRule type="cellIs" dxfId="14024" priority="986" operator="lessThan">
      <formula>0</formula>
    </cfRule>
  </conditionalFormatting>
  <conditionalFormatting sqref="R137 R143">
    <cfRule type="cellIs" dxfId="14023" priority="984" operator="lessThan">
      <formula>0.8</formula>
    </cfRule>
    <cfRule type="cellIs" dxfId="14022" priority="985" operator="greaterThan">
      <formula>1</formula>
    </cfRule>
  </conditionalFormatting>
  <conditionalFormatting sqref="R137 R143">
    <cfRule type="cellIs" dxfId="14021" priority="982" operator="greaterThan">
      <formula>1</formula>
    </cfRule>
    <cfRule type="cellIs" dxfId="14020" priority="983" operator="lessThan">
      <formula>0.8</formula>
    </cfRule>
  </conditionalFormatting>
  <conditionalFormatting sqref="Q137:Q143">
    <cfRule type="cellIs" dxfId="14019" priority="980" operator="lessThan">
      <formula>0</formula>
    </cfRule>
  </conditionalFormatting>
  <conditionalFormatting sqref="R137 R143">
    <cfRule type="cellIs" dxfId="14018" priority="978" operator="lessThan">
      <formula>0.8</formula>
    </cfRule>
    <cfRule type="cellIs" dxfId="14017" priority="979" operator="greaterThan">
      <formula>1</formula>
    </cfRule>
  </conditionalFormatting>
  <conditionalFormatting sqref="R137 R143">
    <cfRule type="cellIs" dxfId="14016" priority="976" operator="greaterThan">
      <formula>1</formula>
    </cfRule>
    <cfRule type="cellIs" dxfId="14015" priority="977" operator="lessThan">
      <formula>0.8</formula>
    </cfRule>
  </conditionalFormatting>
  <conditionalFormatting sqref="P137 P143 P140">
    <cfRule type="cellIs" dxfId="14014" priority="975" operator="greaterThan">
      <formula>0</formula>
    </cfRule>
  </conditionalFormatting>
  <conditionalFormatting sqref="P138 P144 P141">
    <cfRule type="cellIs" dxfId="14013" priority="969" operator="greaterThan">
      <formula>0</formula>
    </cfRule>
  </conditionalFormatting>
  <conditionalFormatting sqref="Q144">
    <cfRule type="cellIs" dxfId="14012" priority="974" operator="lessThan">
      <formula>0</formula>
    </cfRule>
  </conditionalFormatting>
  <conditionalFormatting sqref="R138 R144">
    <cfRule type="cellIs" dxfId="14011" priority="972" operator="lessThan">
      <formula>0.8</formula>
    </cfRule>
    <cfRule type="cellIs" dxfId="14010" priority="973" operator="greaterThan">
      <formula>1</formula>
    </cfRule>
  </conditionalFormatting>
  <conditionalFormatting sqref="R138 R144">
    <cfRule type="cellIs" dxfId="14009" priority="970" operator="greaterThan">
      <formula>1</formula>
    </cfRule>
    <cfRule type="cellIs" dxfId="14008" priority="971" operator="lessThan">
      <formula>0.8</formula>
    </cfRule>
  </conditionalFormatting>
  <conditionalFormatting sqref="Q144">
    <cfRule type="cellIs" dxfId="14007" priority="968" operator="lessThan">
      <formula>0</formula>
    </cfRule>
  </conditionalFormatting>
  <conditionalFormatting sqref="R138 R144">
    <cfRule type="cellIs" dxfId="14006" priority="966" operator="lessThan">
      <formula>0.8</formula>
    </cfRule>
    <cfRule type="cellIs" dxfId="14005" priority="967" operator="greaterThan">
      <formula>1</formula>
    </cfRule>
  </conditionalFormatting>
  <conditionalFormatting sqref="R138 R144">
    <cfRule type="cellIs" dxfId="14004" priority="964" operator="greaterThan">
      <formula>1</formula>
    </cfRule>
    <cfRule type="cellIs" dxfId="14003" priority="965" operator="lessThan">
      <formula>0.8</formula>
    </cfRule>
  </conditionalFormatting>
  <conditionalFormatting sqref="P138 P144 P141">
    <cfRule type="cellIs" dxfId="14002" priority="963" operator="greaterThan">
      <formula>0</formula>
    </cfRule>
  </conditionalFormatting>
  <conditionalFormatting sqref="Q144">
    <cfRule type="cellIs" dxfId="14001" priority="962" operator="lessThan">
      <formula>0</formula>
    </cfRule>
  </conditionalFormatting>
  <conditionalFormatting sqref="R138 R144">
    <cfRule type="cellIs" dxfId="14000" priority="960" operator="lessThan">
      <formula>0.8</formula>
    </cfRule>
    <cfRule type="cellIs" dxfId="13999" priority="961" operator="greaterThan">
      <formula>1</formula>
    </cfRule>
  </conditionalFormatting>
  <conditionalFormatting sqref="R138 R144">
    <cfRule type="cellIs" dxfId="13998" priority="958" operator="greaterThan">
      <formula>1</formula>
    </cfRule>
    <cfRule type="cellIs" dxfId="13997" priority="959" operator="lessThan">
      <formula>0.8</formula>
    </cfRule>
  </conditionalFormatting>
  <conditionalFormatting sqref="P138 P144 P141">
    <cfRule type="cellIs" dxfId="13996" priority="957" operator="greaterThan">
      <formula>0</formula>
    </cfRule>
  </conditionalFormatting>
  <conditionalFormatting sqref="Q144">
    <cfRule type="cellIs" dxfId="13995" priority="956" operator="lessThan">
      <formula>0</formula>
    </cfRule>
  </conditionalFormatting>
  <conditionalFormatting sqref="R138 R144">
    <cfRule type="cellIs" dxfId="13994" priority="954" operator="lessThan">
      <formula>0.8</formula>
    </cfRule>
    <cfRule type="cellIs" dxfId="13993" priority="955" operator="greaterThan">
      <formula>1</formula>
    </cfRule>
  </conditionalFormatting>
  <conditionalFormatting sqref="R138 R144">
    <cfRule type="cellIs" dxfId="13992" priority="952" operator="greaterThan">
      <formula>1</formula>
    </cfRule>
    <cfRule type="cellIs" dxfId="13991" priority="953" operator="lessThan">
      <formula>0.8</formula>
    </cfRule>
  </conditionalFormatting>
  <conditionalFormatting sqref="P138 P144 P141">
    <cfRule type="cellIs" dxfId="13990" priority="951" operator="greaterThan">
      <formula>0</formula>
    </cfRule>
  </conditionalFormatting>
  <conditionalFormatting sqref="Q144">
    <cfRule type="cellIs" dxfId="13989" priority="950" operator="lessThan">
      <formula>0</formula>
    </cfRule>
  </conditionalFormatting>
  <conditionalFormatting sqref="R138 R144">
    <cfRule type="cellIs" dxfId="13988" priority="948" operator="lessThan">
      <formula>0.8</formula>
    </cfRule>
    <cfRule type="cellIs" dxfId="13987" priority="949" operator="greaterThan">
      <formula>1</formula>
    </cfRule>
  </conditionalFormatting>
  <conditionalFormatting sqref="R138 R144">
    <cfRule type="cellIs" dxfId="13986" priority="946" operator="greaterThan">
      <formula>1</formula>
    </cfRule>
    <cfRule type="cellIs" dxfId="13985" priority="947" operator="lessThan">
      <formula>0.8</formula>
    </cfRule>
  </conditionalFormatting>
  <conditionalFormatting sqref="Q144">
    <cfRule type="cellIs" dxfId="13984" priority="945" operator="lessThan">
      <formula>0</formula>
    </cfRule>
  </conditionalFormatting>
  <conditionalFormatting sqref="R138 R144">
    <cfRule type="cellIs" dxfId="13983" priority="943" operator="lessThan">
      <formula>0.8</formula>
    </cfRule>
    <cfRule type="cellIs" dxfId="13982" priority="944" operator="greaterThan">
      <formula>1</formula>
    </cfRule>
  </conditionalFormatting>
  <conditionalFormatting sqref="R138 R144">
    <cfRule type="cellIs" dxfId="13981" priority="941" operator="greaterThan">
      <formula>1</formula>
    </cfRule>
    <cfRule type="cellIs" dxfId="13980" priority="942" operator="lessThan">
      <formula>0.8</formula>
    </cfRule>
  </conditionalFormatting>
  <conditionalFormatting sqref="P138 P144 P141">
    <cfRule type="cellIs" dxfId="13979" priority="940" operator="greaterThan">
      <formula>0</formula>
    </cfRule>
  </conditionalFormatting>
  <conditionalFormatting sqref="P138 P144 P141">
    <cfRule type="cellIs" dxfId="13978" priority="934" operator="greaterThan">
      <formula>0</formula>
    </cfRule>
  </conditionalFormatting>
  <conditionalFormatting sqref="Q144">
    <cfRule type="cellIs" dxfId="13977" priority="939" operator="lessThan">
      <formula>0</formula>
    </cfRule>
  </conditionalFormatting>
  <conditionalFormatting sqref="R138 R144">
    <cfRule type="cellIs" dxfId="13976" priority="937" operator="lessThan">
      <formula>0.8</formula>
    </cfRule>
    <cfRule type="cellIs" dxfId="13975" priority="938" operator="greaterThan">
      <formula>1</formula>
    </cfRule>
  </conditionalFormatting>
  <conditionalFormatting sqref="R138 R144">
    <cfRule type="cellIs" dxfId="13974" priority="935" operator="greaterThan">
      <formula>1</formula>
    </cfRule>
    <cfRule type="cellIs" dxfId="13973" priority="936" operator="lessThan">
      <formula>0.8</formula>
    </cfRule>
  </conditionalFormatting>
  <conditionalFormatting sqref="Q144">
    <cfRule type="cellIs" dxfId="13972" priority="933" operator="lessThan">
      <formula>0</formula>
    </cfRule>
  </conditionalFormatting>
  <conditionalFormatting sqref="R138 R144">
    <cfRule type="cellIs" dxfId="13971" priority="931" operator="lessThan">
      <formula>0.8</formula>
    </cfRule>
    <cfRule type="cellIs" dxfId="13970" priority="932" operator="greaterThan">
      <formula>1</formula>
    </cfRule>
  </conditionalFormatting>
  <conditionalFormatting sqref="R138 R144">
    <cfRule type="cellIs" dxfId="13969" priority="929" operator="greaterThan">
      <formula>1</formula>
    </cfRule>
    <cfRule type="cellIs" dxfId="13968" priority="930" operator="lessThan">
      <formula>0.8</formula>
    </cfRule>
  </conditionalFormatting>
  <conditionalFormatting sqref="P138 P144 P141">
    <cfRule type="cellIs" dxfId="13967" priority="928" operator="greaterThan">
      <formula>0</formula>
    </cfRule>
  </conditionalFormatting>
  <conditionalFormatting sqref="Q148:Q153">
    <cfRule type="cellIs" dxfId="13966" priority="927" operator="lessThan">
      <formula>0</formula>
    </cfRule>
  </conditionalFormatting>
  <conditionalFormatting sqref="R148:R153">
    <cfRule type="cellIs" dxfId="13965" priority="925" operator="lessThan">
      <formula>0.8</formula>
    </cfRule>
    <cfRule type="cellIs" dxfId="13964" priority="926" operator="greaterThan">
      <formula>1</formula>
    </cfRule>
  </conditionalFormatting>
  <conditionalFormatting sqref="R148:R153">
    <cfRule type="cellIs" dxfId="13963" priority="923" operator="greaterThan">
      <formula>1</formula>
    </cfRule>
    <cfRule type="cellIs" dxfId="13962" priority="924" operator="lessThan">
      <formula>0.8</formula>
    </cfRule>
  </conditionalFormatting>
  <conditionalFormatting sqref="P148:P153">
    <cfRule type="cellIs" dxfId="13961" priority="922" operator="greaterThan">
      <formula>0</formula>
    </cfRule>
  </conditionalFormatting>
  <conditionalFormatting sqref="P148:P153">
    <cfRule type="cellIs" dxfId="13960" priority="916" operator="greaterThan">
      <formula>0</formula>
    </cfRule>
  </conditionalFormatting>
  <conditionalFormatting sqref="Q148:Q153">
    <cfRule type="cellIs" dxfId="13959" priority="921" operator="lessThan">
      <formula>0</formula>
    </cfRule>
  </conditionalFormatting>
  <conditionalFormatting sqref="R148:R153">
    <cfRule type="cellIs" dxfId="13958" priority="919" operator="lessThan">
      <formula>0.8</formula>
    </cfRule>
    <cfRule type="cellIs" dxfId="13957" priority="920" operator="greaterThan">
      <formula>1</formula>
    </cfRule>
  </conditionalFormatting>
  <conditionalFormatting sqref="R148:R153">
    <cfRule type="cellIs" dxfId="13956" priority="917" operator="greaterThan">
      <formula>1</formula>
    </cfRule>
    <cfRule type="cellIs" dxfId="13955" priority="918" operator="lessThan">
      <formula>0.8</formula>
    </cfRule>
  </conditionalFormatting>
  <conditionalFormatting sqref="Q148:Q153">
    <cfRule type="cellIs" dxfId="13954" priority="915" operator="lessThan">
      <formula>0</formula>
    </cfRule>
  </conditionalFormatting>
  <conditionalFormatting sqref="R148:R153">
    <cfRule type="cellIs" dxfId="13953" priority="913" operator="lessThan">
      <formula>0.8</formula>
    </cfRule>
    <cfRule type="cellIs" dxfId="13952" priority="914" operator="greaterThan">
      <formula>1</formula>
    </cfRule>
  </conditionalFormatting>
  <conditionalFormatting sqref="R148:R153">
    <cfRule type="cellIs" dxfId="13951" priority="911" operator="greaterThan">
      <formula>1</formula>
    </cfRule>
    <cfRule type="cellIs" dxfId="13950" priority="912" operator="lessThan">
      <formula>0.8</formula>
    </cfRule>
  </conditionalFormatting>
  <conditionalFormatting sqref="P148:P153">
    <cfRule type="cellIs" dxfId="13949" priority="910" operator="greaterThan">
      <formula>0</formula>
    </cfRule>
  </conditionalFormatting>
  <conditionalFormatting sqref="Q148:Q153">
    <cfRule type="cellIs" dxfId="13948" priority="909" operator="lessThan">
      <formula>0</formula>
    </cfRule>
  </conditionalFormatting>
  <conditionalFormatting sqref="R148:R153">
    <cfRule type="cellIs" dxfId="13947" priority="907" operator="lessThan">
      <formula>0.8</formula>
    </cfRule>
    <cfRule type="cellIs" dxfId="13946" priority="908" operator="greaterThan">
      <formula>1</formula>
    </cfRule>
  </conditionalFormatting>
  <conditionalFormatting sqref="R148:R153">
    <cfRule type="cellIs" dxfId="13945" priority="905" operator="greaterThan">
      <formula>1</formula>
    </cfRule>
    <cfRule type="cellIs" dxfId="13944" priority="906" operator="lessThan">
      <formula>0.8</formula>
    </cfRule>
  </conditionalFormatting>
  <conditionalFormatting sqref="P148:P153">
    <cfRule type="cellIs" dxfId="13943" priority="904" operator="greaterThan">
      <formula>0</formula>
    </cfRule>
  </conditionalFormatting>
  <conditionalFormatting sqref="P148:P153">
    <cfRule type="cellIs" dxfId="13942" priority="898" operator="greaterThan">
      <formula>0</formula>
    </cfRule>
  </conditionalFormatting>
  <conditionalFormatting sqref="Q148:Q153">
    <cfRule type="cellIs" dxfId="13941" priority="903" operator="lessThan">
      <formula>0</formula>
    </cfRule>
  </conditionalFormatting>
  <conditionalFormatting sqref="R148:R153">
    <cfRule type="cellIs" dxfId="13940" priority="901" operator="lessThan">
      <formula>0.8</formula>
    </cfRule>
    <cfRule type="cellIs" dxfId="13939" priority="902" operator="greaterThan">
      <formula>1</formula>
    </cfRule>
  </conditionalFormatting>
  <conditionalFormatting sqref="R148:R153">
    <cfRule type="cellIs" dxfId="13938" priority="899" operator="greaterThan">
      <formula>1</formula>
    </cfRule>
    <cfRule type="cellIs" dxfId="13937" priority="900" operator="lessThan">
      <formula>0.8</formula>
    </cfRule>
  </conditionalFormatting>
  <conditionalFormatting sqref="Q148:Q153">
    <cfRule type="cellIs" dxfId="13936" priority="897" operator="lessThan">
      <formula>0</formula>
    </cfRule>
  </conditionalFormatting>
  <conditionalFormatting sqref="R148:R153">
    <cfRule type="cellIs" dxfId="13935" priority="895" operator="lessThan">
      <formula>0.8</formula>
    </cfRule>
    <cfRule type="cellIs" dxfId="13934" priority="896" operator="greaterThan">
      <formula>1</formula>
    </cfRule>
  </conditionalFormatting>
  <conditionalFormatting sqref="R148:R153">
    <cfRule type="cellIs" dxfId="13933" priority="893" operator="greaterThan">
      <formula>1</formula>
    </cfRule>
    <cfRule type="cellIs" dxfId="13932" priority="894" operator="lessThan">
      <formula>0.8</formula>
    </cfRule>
  </conditionalFormatting>
  <conditionalFormatting sqref="P148:P153">
    <cfRule type="cellIs" dxfId="13931" priority="892" operator="greaterThan">
      <formula>0</formula>
    </cfRule>
  </conditionalFormatting>
  <conditionalFormatting sqref="Q148:Q153">
    <cfRule type="cellIs" dxfId="13930" priority="886" operator="lessThan">
      <formula>0</formula>
    </cfRule>
  </conditionalFormatting>
  <conditionalFormatting sqref="P148:P153">
    <cfRule type="cellIs" dxfId="13929" priority="887" operator="greaterThan">
      <formula>0</formula>
    </cfRule>
  </conditionalFormatting>
  <conditionalFormatting sqref="R148:R153">
    <cfRule type="cellIs" dxfId="13928" priority="890" operator="lessThan">
      <formula>0.8</formula>
    </cfRule>
    <cfRule type="cellIs" dxfId="13927" priority="891" operator="greaterThan">
      <formula>1</formula>
    </cfRule>
  </conditionalFormatting>
  <conditionalFormatting sqref="R148:R153">
    <cfRule type="cellIs" dxfId="13926" priority="888" operator="greaterThan">
      <formula>1</formula>
    </cfRule>
    <cfRule type="cellIs" dxfId="13925" priority="889" operator="lessThan">
      <formula>0.8</formula>
    </cfRule>
  </conditionalFormatting>
  <conditionalFormatting sqref="Q148:Q153">
    <cfRule type="cellIs" dxfId="13924" priority="880" operator="lessThan">
      <formula>0</formula>
    </cfRule>
  </conditionalFormatting>
  <conditionalFormatting sqref="R148:R153">
    <cfRule type="cellIs" dxfId="13923" priority="884" operator="lessThan">
      <formula>0.8</formula>
    </cfRule>
    <cfRule type="cellIs" dxfId="13922" priority="885" operator="greaterThan">
      <formula>1</formula>
    </cfRule>
  </conditionalFormatting>
  <conditionalFormatting sqref="R148:R153">
    <cfRule type="cellIs" dxfId="13921" priority="882" operator="greaterThan">
      <formula>1</formula>
    </cfRule>
    <cfRule type="cellIs" dxfId="13920" priority="883" operator="lessThan">
      <formula>0.8</formula>
    </cfRule>
  </conditionalFormatting>
  <conditionalFormatting sqref="P148:P153">
    <cfRule type="cellIs" dxfId="13919" priority="881" operator="greaterThan">
      <formula>0</formula>
    </cfRule>
  </conditionalFormatting>
  <conditionalFormatting sqref="Q148:Q153">
    <cfRule type="cellIs" dxfId="13918" priority="879" operator="lessThan">
      <formula>0</formula>
    </cfRule>
  </conditionalFormatting>
  <conditionalFormatting sqref="R148:R153">
    <cfRule type="cellIs" dxfId="13917" priority="877" operator="lessThan">
      <formula>0.8</formula>
    </cfRule>
    <cfRule type="cellIs" dxfId="13916" priority="878" operator="greaterThan">
      <formula>1</formula>
    </cfRule>
  </conditionalFormatting>
  <conditionalFormatting sqref="R148:R153">
    <cfRule type="cellIs" dxfId="13915" priority="875" operator="greaterThan">
      <formula>1</formula>
    </cfRule>
    <cfRule type="cellIs" dxfId="13914" priority="876" operator="lessThan">
      <formula>0.8</formula>
    </cfRule>
  </conditionalFormatting>
  <conditionalFormatting sqref="P148:P153">
    <cfRule type="cellIs" dxfId="13913" priority="874" operator="greaterThan">
      <formula>0</formula>
    </cfRule>
  </conditionalFormatting>
  <conditionalFormatting sqref="Q148:Q153">
    <cfRule type="cellIs" dxfId="13912" priority="873" operator="lessThan">
      <formula>0</formula>
    </cfRule>
  </conditionalFormatting>
  <conditionalFormatting sqref="R148:R153">
    <cfRule type="cellIs" dxfId="13911" priority="871" operator="lessThan">
      <formula>0.8</formula>
    </cfRule>
    <cfRule type="cellIs" dxfId="13910" priority="872" operator="greaterThan">
      <formula>1</formula>
    </cfRule>
  </conditionalFormatting>
  <conditionalFormatting sqref="R148:R153">
    <cfRule type="cellIs" dxfId="13909" priority="869" operator="greaterThan">
      <formula>1</formula>
    </cfRule>
    <cfRule type="cellIs" dxfId="13908" priority="870" operator="lessThan">
      <formula>0.8</formula>
    </cfRule>
  </conditionalFormatting>
  <conditionalFormatting sqref="P148:P153">
    <cfRule type="cellIs" dxfId="13907" priority="868" operator="greaterThan">
      <formula>0</formula>
    </cfRule>
  </conditionalFormatting>
  <conditionalFormatting sqref="Q148:Q153">
    <cfRule type="cellIs" dxfId="13906" priority="867" operator="lessThan">
      <formula>0</formula>
    </cfRule>
  </conditionalFormatting>
  <conditionalFormatting sqref="R148:R153">
    <cfRule type="cellIs" dxfId="13905" priority="865" operator="lessThan">
      <formula>0.8</formula>
    </cfRule>
    <cfRule type="cellIs" dxfId="13904" priority="866" operator="greaterThan">
      <formula>1</formula>
    </cfRule>
  </conditionalFormatting>
  <conditionalFormatting sqref="R148:R153">
    <cfRule type="cellIs" dxfId="13903" priority="863" operator="greaterThan">
      <formula>1</formula>
    </cfRule>
    <cfRule type="cellIs" dxfId="13902" priority="864" operator="lessThan">
      <formula>0.8</formula>
    </cfRule>
  </conditionalFormatting>
  <conditionalFormatting sqref="P148:P153">
    <cfRule type="cellIs" dxfId="13901" priority="862" operator="greaterThan">
      <formula>0</formula>
    </cfRule>
  </conditionalFormatting>
  <conditionalFormatting sqref="Q148:Q153">
    <cfRule type="cellIs" dxfId="13900" priority="861" operator="lessThan">
      <formula>0</formula>
    </cfRule>
  </conditionalFormatting>
  <conditionalFormatting sqref="R148:R153">
    <cfRule type="cellIs" dxfId="13899" priority="859" operator="lessThan">
      <formula>0.8</formula>
    </cfRule>
    <cfRule type="cellIs" dxfId="13898" priority="860" operator="greaterThan">
      <formula>1</formula>
    </cfRule>
  </conditionalFormatting>
  <conditionalFormatting sqref="R148:R153">
    <cfRule type="cellIs" dxfId="13897" priority="857" operator="greaterThan">
      <formula>1</formula>
    </cfRule>
    <cfRule type="cellIs" dxfId="13896" priority="858" operator="lessThan">
      <formula>0.8</formula>
    </cfRule>
  </conditionalFormatting>
  <conditionalFormatting sqref="P148:P153">
    <cfRule type="cellIs" dxfId="13895" priority="856" operator="greaterThan">
      <formula>0</formula>
    </cfRule>
  </conditionalFormatting>
  <conditionalFormatting sqref="Q148:Q153">
    <cfRule type="cellIs" dxfId="13894" priority="855" operator="lessThan">
      <formula>0</formula>
    </cfRule>
  </conditionalFormatting>
  <conditionalFormatting sqref="R148:R153">
    <cfRule type="cellIs" dxfId="13893" priority="853" operator="lessThan">
      <formula>0.8</formula>
    </cfRule>
    <cfRule type="cellIs" dxfId="13892" priority="854" operator="greaterThan">
      <formula>1</formula>
    </cfRule>
  </conditionalFormatting>
  <conditionalFormatting sqref="R148:R153">
    <cfRule type="cellIs" dxfId="13891" priority="851" operator="greaterThan">
      <formula>1</formula>
    </cfRule>
    <cfRule type="cellIs" dxfId="13890" priority="852" operator="lessThan">
      <formula>0.8</formula>
    </cfRule>
  </conditionalFormatting>
  <conditionalFormatting sqref="P148:P153">
    <cfRule type="cellIs" dxfId="13889" priority="850" operator="greaterThan">
      <formula>0</formula>
    </cfRule>
  </conditionalFormatting>
  <conditionalFormatting sqref="Q148:Q153">
    <cfRule type="cellIs" dxfId="13888" priority="849" operator="lessThan">
      <formula>0</formula>
    </cfRule>
  </conditionalFormatting>
  <conditionalFormatting sqref="R148:R153">
    <cfRule type="cellIs" dxfId="13887" priority="847" operator="lessThan">
      <formula>0.8</formula>
    </cfRule>
    <cfRule type="cellIs" dxfId="13886" priority="848" operator="greaterThan">
      <formula>1</formula>
    </cfRule>
  </conditionalFormatting>
  <conditionalFormatting sqref="R148:R153">
    <cfRule type="cellIs" dxfId="13885" priority="845" operator="greaterThan">
      <formula>1</formula>
    </cfRule>
    <cfRule type="cellIs" dxfId="13884" priority="846" operator="lessThan">
      <formula>0.8</formula>
    </cfRule>
  </conditionalFormatting>
  <conditionalFormatting sqref="P148:P153">
    <cfRule type="cellIs" dxfId="13883" priority="844" operator="greaterThan">
      <formula>0</formula>
    </cfRule>
  </conditionalFormatting>
  <conditionalFormatting sqref="Q148:Q153">
    <cfRule type="cellIs" dxfId="13882" priority="843" operator="lessThan">
      <formula>0</formula>
    </cfRule>
  </conditionalFormatting>
  <conditionalFormatting sqref="R148:R153">
    <cfRule type="cellIs" dxfId="13881" priority="841" operator="lessThan">
      <formula>0.8</formula>
    </cfRule>
    <cfRule type="cellIs" dxfId="13880" priority="842" operator="greaterThan">
      <formula>1</formula>
    </cfRule>
  </conditionalFormatting>
  <conditionalFormatting sqref="R148:R153">
    <cfRule type="cellIs" dxfId="13879" priority="839" operator="greaterThan">
      <formula>1</formula>
    </cfRule>
    <cfRule type="cellIs" dxfId="13878" priority="840" operator="lessThan">
      <formula>0.8</formula>
    </cfRule>
  </conditionalFormatting>
  <conditionalFormatting sqref="P148:P153">
    <cfRule type="cellIs" dxfId="13877" priority="838" operator="greaterThan">
      <formula>0</formula>
    </cfRule>
  </conditionalFormatting>
  <conditionalFormatting sqref="P148:P153">
    <cfRule type="cellIs" dxfId="13876" priority="832" operator="greaterThan">
      <formula>0</formula>
    </cfRule>
  </conditionalFormatting>
  <conditionalFormatting sqref="Q148:Q153">
    <cfRule type="cellIs" dxfId="13875" priority="837" operator="lessThan">
      <formula>0</formula>
    </cfRule>
  </conditionalFormatting>
  <conditionalFormatting sqref="R148:R153">
    <cfRule type="cellIs" dxfId="13874" priority="835" operator="lessThan">
      <formula>0.8</formula>
    </cfRule>
    <cfRule type="cellIs" dxfId="13873" priority="836" operator="greaterThan">
      <formula>1</formula>
    </cfRule>
  </conditionalFormatting>
  <conditionalFormatting sqref="R148:R153">
    <cfRule type="cellIs" dxfId="13872" priority="833" operator="greaterThan">
      <formula>1</formula>
    </cfRule>
    <cfRule type="cellIs" dxfId="13871" priority="834" operator="lessThan">
      <formula>0.8</formula>
    </cfRule>
  </conditionalFormatting>
  <conditionalFormatting sqref="P148:P153">
    <cfRule type="cellIs" dxfId="13870" priority="826" operator="greaterThan">
      <formula>0</formula>
    </cfRule>
  </conditionalFormatting>
  <conditionalFormatting sqref="Q148:Q153">
    <cfRule type="cellIs" dxfId="13869" priority="831" operator="lessThan">
      <formula>0</formula>
    </cfRule>
  </conditionalFormatting>
  <conditionalFormatting sqref="R148:R153">
    <cfRule type="cellIs" dxfId="13868" priority="829" operator="lessThan">
      <formula>0.8</formula>
    </cfRule>
    <cfRule type="cellIs" dxfId="13867" priority="830" operator="greaterThan">
      <formula>1</formula>
    </cfRule>
  </conditionalFormatting>
  <conditionalFormatting sqref="R148:R153">
    <cfRule type="cellIs" dxfId="13866" priority="827" operator="greaterThan">
      <formula>1</formula>
    </cfRule>
    <cfRule type="cellIs" dxfId="13865" priority="828" operator="lessThan">
      <formula>0.8</formula>
    </cfRule>
  </conditionalFormatting>
  <conditionalFormatting sqref="R148:R153">
    <cfRule type="cellIs" dxfId="13864" priority="823" operator="lessThan">
      <formula>0.8</formula>
    </cfRule>
    <cfRule type="cellIs" dxfId="13863" priority="824" operator="greaterThan">
      <formula>1</formula>
    </cfRule>
  </conditionalFormatting>
  <conditionalFormatting sqref="R148:R153">
    <cfRule type="cellIs" dxfId="13862" priority="821" operator="greaterThan">
      <formula>1</formula>
    </cfRule>
    <cfRule type="cellIs" dxfId="13861" priority="822" operator="lessThan">
      <formula>0.8</formula>
    </cfRule>
  </conditionalFormatting>
  <conditionalFormatting sqref="P148:P153">
    <cfRule type="cellIs" dxfId="13860" priority="820" operator="greaterThan">
      <formula>0</formula>
    </cfRule>
  </conditionalFormatting>
  <conditionalFormatting sqref="Q148:Q153">
    <cfRule type="cellIs" dxfId="13859" priority="825" operator="lessThan">
      <formula>0</formula>
    </cfRule>
  </conditionalFormatting>
  <conditionalFormatting sqref="Q148:Q153">
    <cfRule type="cellIs" dxfId="13858" priority="819" operator="lessThan">
      <formula>0</formula>
    </cfRule>
  </conditionalFormatting>
  <conditionalFormatting sqref="R148:R153">
    <cfRule type="cellIs" dxfId="13857" priority="817" operator="lessThan">
      <formula>0.8</formula>
    </cfRule>
    <cfRule type="cellIs" dxfId="13856" priority="818" operator="greaterThan">
      <formula>1</formula>
    </cfRule>
  </conditionalFormatting>
  <conditionalFormatting sqref="R148:R153">
    <cfRule type="cellIs" dxfId="13855" priority="815" operator="greaterThan">
      <formula>1</formula>
    </cfRule>
    <cfRule type="cellIs" dxfId="13854" priority="816" operator="lessThan">
      <formula>0.8</formula>
    </cfRule>
  </conditionalFormatting>
  <conditionalFormatting sqref="P148:P153">
    <cfRule type="cellIs" dxfId="13853" priority="814" operator="greaterThan">
      <formula>0</formula>
    </cfRule>
  </conditionalFormatting>
  <conditionalFormatting sqref="P148:P153">
    <cfRule type="cellIs" dxfId="13852" priority="808" operator="greaterThan">
      <formula>0</formula>
    </cfRule>
  </conditionalFormatting>
  <conditionalFormatting sqref="Q148:Q153">
    <cfRule type="cellIs" dxfId="13851" priority="813" operator="lessThan">
      <formula>0</formula>
    </cfRule>
  </conditionalFormatting>
  <conditionalFormatting sqref="R148:R153">
    <cfRule type="cellIs" dxfId="13850" priority="811" operator="lessThan">
      <formula>0.8</formula>
    </cfRule>
    <cfRule type="cellIs" dxfId="13849" priority="812" operator="greaterThan">
      <formula>1</formula>
    </cfRule>
  </conditionalFormatting>
  <conditionalFormatting sqref="R148:R153">
    <cfRule type="cellIs" dxfId="13848" priority="809" operator="greaterThan">
      <formula>1</formula>
    </cfRule>
    <cfRule type="cellIs" dxfId="13847" priority="810" operator="lessThan">
      <formula>0.8</formula>
    </cfRule>
  </conditionalFormatting>
  <conditionalFormatting sqref="P148:P153">
    <cfRule type="cellIs" dxfId="13846" priority="802" operator="greaterThan">
      <formula>0</formula>
    </cfRule>
  </conditionalFormatting>
  <conditionalFormatting sqref="Q148:Q153">
    <cfRule type="cellIs" dxfId="13845" priority="807" operator="lessThan">
      <formula>0</formula>
    </cfRule>
  </conditionalFormatting>
  <conditionalFormatting sqref="R148:R153">
    <cfRule type="cellIs" dxfId="13844" priority="805" operator="lessThan">
      <formula>0.8</formula>
    </cfRule>
    <cfRule type="cellIs" dxfId="13843" priority="806" operator="greaterThan">
      <formula>1</formula>
    </cfRule>
  </conditionalFormatting>
  <conditionalFormatting sqref="R148:R153">
    <cfRule type="cellIs" dxfId="13842" priority="803" operator="greaterThan">
      <formula>1</formula>
    </cfRule>
    <cfRule type="cellIs" dxfId="13841" priority="804" operator="lessThan">
      <formula>0.8</formula>
    </cfRule>
  </conditionalFormatting>
  <conditionalFormatting sqref="R148:R153">
    <cfRule type="cellIs" dxfId="13840" priority="799" operator="lessThan">
      <formula>0.8</formula>
    </cfRule>
    <cfRule type="cellIs" dxfId="13839" priority="800" operator="greaterThan">
      <formula>1</formula>
    </cfRule>
  </conditionalFormatting>
  <conditionalFormatting sqref="R148:R153">
    <cfRule type="cellIs" dxfId="13838" priority="797" operator="greaterThan">
      <formula>1</formula>
    </cfRule>
    <cfRule type="cellIs" dxfId="13837" priority="798" operator="lessThan">
      <formula>0.8</formula>
    </cfRule>
  </conditionalFormatting>
  <conditionalFormatting sqref="P148:P153">
    <cfRule type="cellIs" dxfId="13836" priority="796" operator="greaterThan">
      <formula>0</formula>
    </cfRule>
  </conditionalFormatting>
  <conditionalFormatting sqref="Q148:Q153">
    <cfRule type="cellIs" dxfId="13835" priority="801" operator="lessThan">
      <formula>0</formula>
    </cfRule>
  </conditionalFormatting>
  <conditionalFormatting sqref="P148:P153">
    <cfRule type="cellIs" dxfId="13834" priority="790" operator="greaterThan">
      <formula>0</formula>
    </cfRule>
  </conditionalFormatting>
  <conditionalFormatting sqref="Q148:Q153">
    <cfRule type="cellIs" dxfId="13833" priority="795" operator="lessThan">
      <formula>0</formula>
    </cfRule>
  </conditionalFormatting>
  <conditionalFormatting sqref="R148:R153">
    <cfRule type="cellIs" dxfId="13832" priority="793" operator="lessThan">
      <formula>0.8</formula>
    </cfRule>
    <cfRule type="cellIs" dxfId="13831" priority="794" operator="greaterThan">
      <formula>1</formula>
    </cfRule>
  </conditionalFormatting>
  <conditionalFormatting sqref="R148:R153">
    <cfRule type="cellIs" dxfId="13830" priority="791" operator="greaterThan">
      <formula>1</formula>
    </cfRule>
    <cfRule type="cellIs" dxfId="13829" priority="792" operator="lessThan">
      <formula>0.8</formula>
    </cfRule>
  </conditionalFormatting>
  <conditionalFormatting sqref="R148:R153">
    <cfRule type="cellIs" dxfId="13828" priority="787" operator="lessThan">
      <formula>0.8</formula>
    </cfRule>
    <cfRule type="cellIs" dxfId="13827" priority="788" operator="greaterThan">
      <formula>1</formula>
    </cfRule>
  </conditionalFormatting>
  <conditionalFormatting sqref="R148:R153">
    <cfRule type="cellIs" dxfId="13826" priority="785" operator="greaterThan">
      <formula>1</formula>
    </cfRule>
    <cfRule type="cellIs" dxfId="13825" priority="786" operator="lessThan">
      <formula>0.8</formula>
    </cfRule>
  </conditionalFormatting>
  <conditionalFormatting sqref="P148:P153">
    <cfRule type="cellIs" dxfId="13824" priority="784" operator="greaterThan">
      <formula>0</formula>
    </cfRule>
  </conditionalFormatting>
  <conditionalFormatting sqref="Q148:Q153">
    <cfRule type="cellIs" dxfId="13823" priority="789" operator="lessThan">
      <formula>0</formula>
    </cfRule>
  </conditionalFormatting>
  <conditionalFormatting sqref="R148:R153">
    <cfRule type="cellIs" dxfId="13822" priority="781" operator="lessThan">
      <formula>0.8</formula>
    </cfRule>
    <cfRule type="cellIs" dxfId="13821" priority="782" operator="greaterThan">
      <formula>1</formula>
    </cfRule>
  </conditionalFormatting>
  <conditionalFormatting sqref="R148:R153">
    <cfRule type="cellIs" dxfId="13820" priority="779" operator="greaterThan">
      <formula>1</formula>
    </cfRule>
    <cfRule type="cellIs" dxfId="13819" priority="780" operator="lessThan">
      <formula>0.8</formula>
    </cfRule>
  </conditionalFormatting>
  <conditionalFormatting sqref="P148:P153">
    <cfRule type="cellIs" dxfId="13818" priority="778" operator="greaterThan">
      <formula>0</formula>
    </cfRule>
  </conditionalFormatting>
  <conditionalFormatting sqref="Q148:Q153">
    <cfRule type="cellIs" dxfId="13817" priority="783" operator="lessThan">
      <formula>0</formula>
    </cfRule>
  </conditionalFormatting>
  <conditionalFormatting sqref="Q148:Q153">
    <cfRule type="cellIs" dxfId="13816" priority="777" operator="lessThan">
      <formula>0</formula>
    </cfRule>
  </conditionalFormatting>
  <conditionalFormatting sqref="R148:R153">
    <cfRule type="cellIs" dxfId="13815" priority="775" operator="lessThan">
      <formula>0.8</formula>
    </cfRule>
    <cfRule type="cellIs" dxfId="13814" priority="776" operator="greaterThan">
      <formula>1</formula>
    </cfRule>
  </conditionalFormatting>
  <conditionalFormatting sqref="R148:R153">
    <cfRule type="cellIs" dxfId="13813" priority="773" operator="greaterThan">
      <formula>1</formula>
    </cfRule>
    <cfRule type="cellIs" dxfId="13812" priority="774" operator="lessThan">
      <formula>0.8</formula>
    </cfRule>
  </conditionalFormatting>
  <conditionalFormatting sqref="P148:P153">
    <cfRule type="cellIs" dxfId="13811" priority="772" operator="greaterThan">
      <formula>0</formula>
    </cfRule>
  </conditionalFormatting>
  <conditionalFormatting sqref="Q148:Q153">
    <cfRule type="cellIs" dxfId="13810" priority="766" operator="lessThan">
      <formula>0</formula>
    </cfRule>
  </conditionalFormatting>
  <conditionalFormatting sqref="R148:R153">
    <cfRule type="cellIs" dxfId="13809" priority="770" operator="lessThan">
      <formula>0.8</formula>
    </cfRule>
    <cfRule type="cellIs" dxfId="13808" priority="771" operator="greaterThan">
      <formula>1</formula>
    </cfRule>
  </conditionalFormatting>
  <conditionalFormatting sqref="R148:R153">
    <cfRule type="cellIs" dxfId="13807" priority="768" operator="greaterThan">
      <formula>1</formula>
    </cfRule>
    <cfRule type="cellIs" dxfId="13806" priority="769" operator="lessThan">
      <formula>0.8</formula>
    </cfRule>
  </conditionalFormatting>
  <conditionalFormatting sqref="P148:P153">
    <cfRule type="cellIs" dxfId="13805" priority="767" operator="greaterThan">
      <formula>0</formula>
    </cfRule>
  </conditionalFormatting>
  <conditionalFormatting sqref="Q148:Q153">
    <cfRule type="cellIs" dxfId="13804" priority="765" operator="lessThan">
      <formula>0</formula>
    </cfRule>
  </conditionalFormatting>
  <conditionalFormatting sqref="R148:R153">
    <cfRule type="cellIs" dxfId="13803" priority="763" operator="lessThan">
      <formula>0.8</formula>
    </cfRule>
    <cfRule type="cellIs" dxfId="13802" priority="764" operator="greaterThan">
      <formula>1</formula>
    </cfRule>
  </conditionalFormatting>
  <conditionalFormatting sqref="R148:R153">
    <cfRule type="cellIs" dxfId="13801" priority="761" operator="greaterThan">
      <formula>1</formula>
    </cfRule>
    <cfRule type="cellIs" dxfId="13800" priority="762" operator="lessThan">
      <formula>0.8</formula>
    </cfRule>
  </conditionalFormatting>
  <conditionalFormatting sqref="P148:P153">
    <cfRule type="cellIs" dxfId="13799" priority="760" operator="greaterThan">
      <formula>0</formula>
    </cfRule>
  </conditionalFormatting>
  <conditionalFormatting sqref="Q148:Q153">
    <cfRule type="cellIs" dxfId="13798" priority="759" operator="lessThan">
      <formula>0</formula>
    </cfRule>
  </conditionalFormatting>
  <conditionalFormatting sqref="R148:R153">
    <cfRule type="cellIs" dxfId="13797" priority="757" operator="lessThan">
      <formula>0.8</formula>
    </cfRule>
    <cfRule type="cellIs" dxfId="13796" priority="758" operator="greaterThan">
      <formula>1</formula>
    </cfRule>
  </conditionalFormatting>
  <conditionalFormatting sqref="R148:R153">
    <cfRule type="cellIs" dxfId="13795" priority="755" operator="greaterThan">
      <formula>1</formula>
    </cfRule>
    <cfRule type="cellIs" dxfId="13794" priority="756" operator="lessThan">
      <formula>0.8</formula>
    </cfRule>
  </conditionalFormatting>
  <conditionalFormatting sqref="P148:P153">
    <cfRule type="cellIs" dxfId="13793" priority="754" operator="greaterThan">
      <formula>0</formula>
    </cfRule>
  </conditionalFormatting>
  <conditionalFormatting sqref="Q148:Q153">
    <cfRule type="cellIs" dxfId="13792" priority="753" operator="lessThan">
      <formula>0</formula>
    </cfRule>
  </conditionalFormatting>
  <conditionalFormatting sqref="R148:R153">
    <cfRule type="cellIs" dxfId="13791" priority="751" operator="lessThan">
      <formula>0.8</formula>
    </cfRule>
    <cfRule type="cellIs" dxfId="13790" priority="752" operator="greaterThan">
      <formula>1</formula>
    </cfRule>
  </conditionalFormatting>
  <conditionalFormatting sqref="R148:R153">
    <cfRule type="cellIs" dxfId="13789" priority="749" operator="greaterThan">
      <formula>1</formula>
    </cfRule>
    <cfRule type="cellIs" dxfId="13788" priority="750" operator="lessThan">
      <formula>0.8</formula>
    </cfRule>
  </conditionalFormatting>
  <conditionalFormatting sqref="P148:P153">
    <cfRule type="cellIs" dxfId="13787" priority="748" operator="greaterThan">
      <formula>0</formula>
    </cfRule>
  </conditionalFormatting>
  <conditionalFormatting sqref="Q148:Q153">
    <cfRule type="cellIs" dxfId="13786" priority="747" operator="lessThan">
      <formula>0</formula>
    </cfRule>
  </conditionalFormatting>
  <conditionalFormatting sqref="R148:R153">
    <cfRule type="cellIs" dxfId="13785" priority="745" operator="lessThan">
      <formula>0.8</formula>
    </cfRule>
    <cfRule type="cellIs" dxfId="13784" priority="746" operator="greaterThan">
      <formula>1</formula>
    </cfRule>
  </conditionalFormatting>
  <conditionalFormatting sqref="R148:R153">
    <cfRule type="cellIs" dxfId="13783" priority="743" operator="greaterThan">
      <formula>1</formula>
    </cfRule>
    <cfRule type="cellIs" dxfId="13782" priority="744" operator="lessThan">
      <formula>0.8</formula>
    </cfRule>
  </conditionalFormatting>
  <conditionalFormatting sqref="P148:P153">
    <cfRule type="cellIs" dxfId="13781" priority="742" operator="greaterThan">
      <formula>0</formula>
    </cfRule>
  </conditionalFormatting>
  <conditionalFormatting sqref="Q148:Q153">
    <cfRule type="cellIs" dxfId="13780" priority="741" operator="lessThan">
      <formula>0</formula>
    </cfRule>
  </conditionalFormatting>
  <conditionalFormatting sqref="R148:R153">
    <cfRule type="cellIs" dxfId="13779" priority="739" operator="lessThan">
      <formula>0.8</formula>
    </cfRule>
    <cfRule type="cellIs" dxfId="13778" priority="740" operator="greaterThan">
      <formula>1</formula>
    </cfRule>
  </conditionalFormatting>
  <conditionalFormatting sqref="R148:R153">
    <cfRule type="cellIs" dxfId="13777" priority="737" operator="greaterThan">
      <formula>1</formula>
    </cfRule>
    <cfRule type="cellIs" dxfId="13776" priority="738" operator="lessThan">
      <formula>0.8</formula>
    </cfRule>
  </conditionalFormatting>
  <conditionalFormatting sqref="P148:P153">
    <cfRule type="cellIs" dxfId="13775" priority="736" operator="greaterThan">
      <formula>0</formula>
    </cfRule>
  </conditionalFormatting>
  <conditionalFormatting sqref="P148:P153">
    <cfRule type="cellIs" dxfId="13774" priority="730" operator="greaterThan">
      <formula>0</formula>
    </cfRule>
  </conditionalFormatting>
  <conditionalFormatting sqref="Q148:Q153">
    <cfRule type="cellIs" dxfId="13773" priority="735" operator="lessThan">
      <formula>0</formula>
    </cfRule>
  </conditionalFormatting>
  <conditionalFormatting sqref="R148:R153">
    <cfRule type="cellIs" dxfId="13772" priority="733" operator="lessThan">
      <formula>0.8</formula>
    </cfRule>
    <cfRule type="cellIs" dxfId="13771" priority="734" operator="greaterThan">
      <formula>1</formula>
    </cfRule>
  </conditionalFormatting>
  <conditionalFormatting sqref="R148:R153">
    <cfRule type="cellIs" dxfId="13770" priority="731" operator="greaterThan">
      <formula>1</formula>
    </cfRule>
    <cfRule type="cellIs" dxfId="13769" priority="732" operator="lessThan">
      <formula>0.8</formula>
    </cfRule>
  </conditionalFormatting>
  <conditionalFormatting sqref="P148:P153">
    <cfRule type="cellIs" dxfId="13768" priority="724" operator="greaterThan">
      <formula>0</formula>
    </cfRule>
  </conditionalFormatting>
  <conditionalFormatting sqref="Q148:Q153">
    <cfRule type="cellIs" dxfId="13767" priority="729" operator="lessThan">
      <formula>0</formula>
    </cfRule>
  </conditionalFormatting>
  <conditionalFormatting sqref="R148:R153">
    <cfRule type="cellIs" dxfId="13766" priority="727" operator="lessThan">
      <formula>0.8</formula>
    </cfRule>
    <cfRule type="cellIs" dxfId="13765" priority="728" operator="greaterThan">
      <formula>1</formula>
    </cfRule>
  </conditionalFormatting>
  <conditionalFormatting sqref="R148:R153">
    <cfRule type="cellIs" dxfId="13764" priority="725" operator="greaterThan">
      <formula>1</formula>
    </cfRule>
    <cfRule type="cellIs" dxfId="13763" priority="726" operator="lessThan">
      <formula>0.8</formula>
    </cfRule>
  </conditionalFormatting>
  <conditionalFormatting sqref="R148:R153">
    <cfRule type="cellIs" dxfId="13762" priority="721" operator="lessThan">
      <formula>0.8</formula>
    </cfRule>
    <cfRule type="cellIs" dxfId="13761" priority="722" operator="greaterThan">
      <formula>1</formula>
    </cfRule>
  </conditionalFormatting>
  <conditionalFormatting sqref="R148:R153">
    <cfRule type="cellIs" dxfId="13760" priority="719" operator="greaterThan">
      <formula>1</formula>
    </cfRule>
    <cfRule type="cellIs" dxfId="13759" priority="720" operator="lessThan">
      <formula>0.8</formula>
    </cfRule>
  </conditionalFormatting>
  <conditionalFormatting sqref="P148:P153">
    <cfRule type="cellIs" dxfId="13758" priority="718" operator="greaterThan">
      <formula>0</formula>
    </cfRule>
  </conditionalFormatting>
  <conditionalFormatting sqref="Q148:Q153">
    <cfRule type="cellIs" dxfId="13757" priority="723" operator="lessThan">
      <formula>0</formula>
    </cfRule>
  </conditionalFormatting>
  <conditionalFormatting sqref="P44:P51">
    <cfRule type="cellIs" dxfId="13756" priority="712" operator="greaterThan">
      <formula>0</formula>
    </cfRule>
  </conditionalFormatting>
  <conditionalFormatting sqref="Q44:Q51">
    <cfRule type="cellIs" dxfId="13755" priority="717" operator="lessThan">
      <formula>0</formula>
    </cfRule>
  </conditionalFormatting>
  <conditionalFormatting sqref="R44:R51">
    <cfRule type="cellIs" dxfId="13754" priority="715" operator="lessThan">
      <formula>0.8</formula>
    </cfRule>
    <cfRule type="cellIs" dxfId="13753" priority="716" operator="greaterThan">
      <formula>1</formula>
    </cfRule>
  </conditionalFormatting>
  <conditionalFormatting sqref="R44:R51">
    <cfRule type="cellIs" dxfId="13752" priority="713" operator="greaterThan">
      <formula>1</formula>
    </cfRule>
    <cfRule type="cellIs" dxfId="13751" priority="714" operator="lessThan">
      <formula>0.8</formula>
    </cfRule>
  </conditionalFormatting>
  <conditionalFormatting sqref="Q84:Q91">
    <cfRule type="cellIs" dxfId="13750" priority="711" operator="lessThan">
      <formula>0</formula>
    </cfRule>
  </conditionalFormatting>
  <conditionalFormatting sqref="R84:R91">
    <cfRule type="cellIs" dxfId="13749" priority="709" operator="lessThan">
      <formula>0.8</formula>
    </cfRule>
    <cfRule type="cellIs" dxfId="13748" priority="710" operator="greaterThan">
      <formula>1</formula>
    </cfRule>
  </conditionalFormatting>
  <conditionalFormatting sqref="R84:R91">
    <cfRule type="cellIs" dxfId="13747" priority="707" operator="greaterThan">
      <formula>1</formula>
    </cfRule>
    <cfRule type="cellIs" dxfId="13746" priority="708" operator="lessThan">
      <formula>0.8</formula>
    </cfRule>
  </conditionalFormatting>
  <conditionalFormatting sqref="P84:P91">
    <cfRule type="cellIs" dxfId="13745" priority="706" operator="greaterThan">
      <formula>0</formula>
    </cfRule>
  </conditionalFormatting>
  <conditionalFormatting sqref="Q84:Q91">
    <cfRule type="cellIs" dxfId="13744" priority="705" operator="lessThan">
      <formula>0</formula>
    </cfRule>
  </conditionalFormatting>
  <conditionalFormatting sqref="R84:R91">
    <cfRule type="cellIs" dxfId="13743" priority="703" operator="lessThan">
      <formula>0.8</formula>
    </cfRule>
    <cfRule type="cellIs" dxfId="13742" priority="704" operator="greaterThan">
      <formula>1</formula>
    </cfRule>
  </conditionalFormatting>
  <conditionalFormatting sqref="R84:R91">
    <cfRule type="cellIs" dxfId="13741" priority="701" operator="greaterThan">
      <formula>1</formula>
    </cfRule>
    <cfRule type="cellIs" dxfId="13740" priority="702" operator="lessThan">
      <formula>0.8</formula>
    </cfRule>
  </conditionalFormatting>
  <conditionalFormatting sqref="P84:P91">
    <cfRule type="cellIs" dxfId="13739" priority="700" operator="greaterThan">
      <formula>0</formula>
    </cfRule>
  </conditionalFormatting>
  <conditionalFormatting sqref="Q84:Q91">
    <cfRule type="cellIs" dxfId="13738" priority="699" operator="lessThan">
      <formula>0</formula>
    </cfRule>
  </conditionalFormatting>
  <conditionalFormatting sqref="R84:R91">
    <cfRule type="cellIs" dxfId="13737" priority="697" operator="lessThan">
      <formula>0.8</formula>
    </cfRule>
    <cfRule type="cellIs" dxfId="13736" priority="698" operator="greaterThan">
      <formula>1</formula>
    </cfRule>
  </conditionalFormatting>
  <conditionalFormatting sqref="R84:R91">
    <cfRule type="cellIs" dxfId="13735" priority="695" operator="greaterThan">
      <formula>1</formula>
    </cfRule>
    <cfRule type="cellIs" dxfId="13734" priority="696" operator="lessThan">
      <formula>0.8</formula>
    </cfRule>
  </conditionalFormatting>
  <conditionalFormatting sqref="P84:P91">
    <cfRule type="cellIs" dxfId="13733" priority="694" operator="greaterThan">
      <formula>0</formula>
    </cfRule>
  </conditionalFormatting>
  <conditionalFormatting sqref="Q84:Q91">
    <cfRule type="cellIs" dxfId="13732" priority="693" operator="lessThan">
      <formula>0</formula>
    </cfRule>
  </conditionalFormatting>
  <conditionalFormatting sqref="R84:R91">
    <cfRule type="cellIs" dxfId="13731" priority="691" operator="lessThan">
      <formula>0.8</formula>
    </cfRule>
    <cfRule type="cellIs" dxfId="13730" priority="692" operator="greaterThan">
      <formula>1</formula>
    </cfRule>
  </conditionalFormatting>
  <conditionalFormatting sqref="R84:R91">
    <cfRule type="cellIs" dxfId="13729" priority="689" operator="greaterThan">
      <formula>1</formula>
    </cfRule>
    <cfRule type="cellIs" dxfId="13728" priority="690" operator="lessThan">
      <formula>0.8</formula>
    </cfRule>
  </conditionalFormatting>
  <conditionalFormatting sqref="P84:P91">
    <cfRule type="cellIs" dxfId="13727" priority="688" operator="greaterThan">
      <formula>0</formula>
    </cfRule>
  </conditionalFormatting>
  <conditionalFormatting sqref="P84:P91">
    <cfRule type="cellIs" dxfId="13726" priority="682" operator="greaterThan">
      <formula>0</formula>
    </cfRule>
  </conditionalFormatting>
  <conditionalFormatting sqref="Q84:Q91">
    <cfRule type="cellIs" dxfId="13725" priority="687" operator="lessThan">
      <formula>0</formula>
    </cfRule>
  </conditionalFormatting>
  <conditionalFormatting sqref="R84:R91">
    <cfRule type="cellIs" dxfId="13724" priority="685" operator="lessThan">
      <formula>0.8</formula>
    </cfRule>
    <cfRule type="cellIs" dxfId="13723" priority="686" operator="greaterThan">
      <formula>1</formula>
    </cfRule>
  </conditionalFormatting>
  <conditionalFormatting sqref="R84:R91">
    <cfRule type="cellIs" dxfId="13722" priority="683" operator="greaterThan">
      <formula>1</formula>
    </cfRule>
    <cfRule type="cellIs" dxfId="13721" priority="684" operator="lessThan">
      <formula>0.8</formula>
    </cfRule>
  </conditionalFormatting>
  <conditionalFormatting sqref="P84:P91">
    <cfRule type="cellIs" dxfId="13720" priority="676" operator="greaterThan">
      <formula>0</formula>
    </cfRule>
  </conditionalFormatting>
  <conditionalFormatting sqref="Q84:Q91">
    <cfRule type="cellIs" dxfId="13719" priority="681" operator="lessThan">
      <formula>0</formula>
    </cfRule>
  </conditionalFormatting>
  <conditionalFormatting sqref="R84:R91">
    <cfRule type="cellIs" dxfId="13718" priority="679" operator="lessThan">
      <formula>0.8</formula>
    </cfRule>
    <cfRule type="cellIs" dxfId="13717" priority="680" operator="greaterThan">
      <formula>1</formula>
    </cfRule>
  </conditionalFormatting>
  <conditionalFormatting sqref="R84:R91">
    <cfRule type="cellIs" dxfId="13716" priority="677" operator="greaterThan">
      <formula>1</formula>
    </cfRule>
    <cfRule type="cellIs" dxfId="13715" priority="678" operator="lessThan">
      <formula>0.8</formula>
    </cfRule>
  </conditionalFormatting>
  <conditionalFormatting sqref="R84:R91">
    <cfRule type="cellIs" dxfId="13714" priority="673" operator="lessThan">
      <formula>0.8</formula>
    </cfRule>
    <cfRule type="cellIs" dxfId="13713" priority="674" operator="greaterThan">
      <formula>1</formula>
    </cfRule>
  </conditionalFormatting>
  <conditionalFormatting sqref="R84:R91">
    <cfRule type="cellIs" dxfId="13712" priority="671" operator="greaterThan">
      <formula>1</formula>
    </cfRule>
    <cfRule type="cellIs" dxfId="13711" priority="672" operator="lessThan">
      <formula>0.8</formula>
    </cfRule>
  </conditionalFormatting>
  <conditionalFormatting sqref="P84:P91">
    <cfRule type="cellIs" dxfId="13710" priority="670" operator="greaterThan">
      <formula>0</formula>
    </cfRule>
  </conditionalFormatting>
  <conditionalFormatting sqref="Q84:Q91">
    <cfRule type="cellIs" dxfId="13709" priority="675" operator="lessThan">
      <formula>0</formula>
    </cfRule>
  </conditionalFormatting>
  <conditionalFormatting sqref="Q84:Q91">
    <cfRule type="cellIs" dxfId="13708" priority="669" operator="lessThan">
      <formula>0</formula>
    </cfRule>
  </conditionalFormatting>
  <conditionalFormatting sqref="R84:R91">
    <cfRule type="cellIs" dxfId="13707" priority="667" operator="lessThan">
      <formula>0.8</formula>
    </cfRule>
    <cfRule type="cellIs" dxfId="13706" priority="668" operator="greaterThan">
      <formula>1</formula>
    </cfRule>
  </conditionalFormatting>
  <conditionalFormatting sqref="R84:R91">
    <cfRule type="cellIs" dxfId="13705" priority="665" operator="greaterThan">
      <formula>1</formula>
    </cfRule>
    <cfRule type="cellIs" dxfId="13704" priority="666" operator="lessThan">
      <formula>0.8</formula>
    </cfRule>
  </conditionalFormatting>
  <conditionalFormatting sqref="P84:P91">
    <cfRule type="cellIs" dxfId="13703" priority="664" operator="greaterThan">
      <formula>0</formula>
    </cfRule>
  </conditionalFormatting>
  <conditionalFormatting sqref="P84:P91">
    <cfRule type="cellIs" dxfId="13702" priority="658" operator="greaterThan">
      <formula>0</formula>
    </cfRule>
  </conditionalFormatting>
  <conditionalFormatting sqref="Q84:Q91">
    <cfRule type="cellIs" dxfId="13701" priority="663" operator="lessThan">
      <formula>0</formula>
    </cfRule>
  </conditionalFormatting>
  <conditionalFormatting sqref="R84:R91">
    <cfRule type="cellIs" dxfId="13700" priority="661" operator="lessThan">
      <formula>0.8</formula>
    </cfRule>
    <cfRule type="cellIs" dxfId="13699" priority="662" operator="greaterThan">
      <formula>1</formula>
    </cfRule>
  </conditionalFormatting>
  <conditionalFormatting sqref="R84:R91">
    <cfRule type="cellIs" dxfId="13698" priority="659" operator="greaterThan">
      <formula>1</formula>
    </cfRule>
    <cfRule type="cellIs" dxfId="13697" priority="660" operator="lessThan">
      <formula>0.8</formula>
    </cfRule>
  </conditionalFormatting>
  <conditionalFormatting sqref="P84:P91">
    <cfRule type="cellIs" dxfId="13696" priority="652" operator="greaterThan">
      <formula>0</formula>
    </cfRule>
  </conditionalFormatting>
  <conditionalFormatting sqref="Q84:Q91">
    <cfRule type="cellIs" dxfId="13695" priority="657" operator="lessThan">
      <formula>0</formula>
    </cfRule>
  </conditionalFormatting>
  <conditionalFormatting sqref="R84:R91">
    <cfRule type="cellIs" dxfId="13694" priority="655" operator="lessThan">
      <formula>0.8</formula>
    </cfRule>
    <cfRule type="cellIs" dxfId="13693" priority="656" operator="greaterThan">
      <formula>1</formula>
    </cfRule>
  </conditionalFormatting>
  <conditionalFormatting sqref="R84:R91">
    <cfRule type="cellIs" dxfId="13692" priority="653" operator="greaterThan">
      <formula>1</formula>
    </cfRule>
    <cfRule type="cellIs" dxfId="13691" priority="654" operator="lessThan">
      <formula>0.8</formula>
    </cfRule>
  </conditionalFormatting>
  <conditionalFormatting sqref="R84:R91">
    <cfRule type="cellIs" dxfId="13690" priority="649" operator="lessThan">
      <formula>0.8</formula>
    </cfRule>
    <cfRule type="cellIs" dxfId="13689" priority="650" operator="greaterThan">
      <formula>1</formula>
    </cfRule>
  </conditionalFormatting>
  <conditionalFormatting sqref="R84:R91">
    <cfRule type="cellIs" dxfId="13688" priority="647" operator="greaterThan">
      <formula>1</formula>
    </cfRule>
    <cfRule type="cellIs" dxfId="13687" priority="648" operator="lessThan">
      <formula>0.8</formula>
    </cfRule>
  </conditionalFormatting>
  <conditionalFormatting sqref="P84:P91">
    <cfRule type="cellIs" dxfId="13686" priority="646" operator="greaterThan">
      <formula>0</formula>
    </cfRule>
  </conditionalFormatting>
  <conditionalFormatting sqref="Q84:Q91">
    <cfRule type="cellIs" dxfId="13685" priority="651" operator="lessThan">
      <formula>0</formula>
    </cfRule>
  </conditionalFormatting>
  <conditionalFormatting sqref="P84:P91">
    <cfRule type="cellIs" dxfId="13684" priority="640" operator="greaterThan">
      <formula>0</formula>
    </cfRule>
  </conditionalFormatting>
  <conditionalFormatting sqref="Q84:Q91">
    <cfRule type="cellIs" dxfId="13683" priority="645" operator="lessThan">
      <formula>0</formula>
    </cfRule>
  </conditionalFormatting>
  <conditionalFormatting sqref="R84:R91">
    <cfRule type="cellIs" dxfId="13682" priority="643" operator="lessThan">
      <formula>0.8</formula>
    </cfRule>
    <cfRule type="cellIs" dxfId="13681" priority="644" operator="greaterThan">
      <formula>1</formula>
    </cfRule>
  </conditionalFormatting>
  <conditionalFormatting sqref="R84:R91">
    <cfRule type="cellIs" dxfId="13680" priority="641" operator="greaterThan">
      <formula>1</formula>
    </cfRule>
    <cfRule type="cellIs" dxfId="13679" priority="642" operator="lessThan">
      <formula>0.8</formula>
    </cfRule>
  </conditionalFormatting>
  <conditionalFormatting sqref="R84:R91">
    <cfRule type="cellIs" dxfId="13678" priority="637" operator="lessThan">
      <formula>0.8</formula>
    </cfRule>
    <cfRule type="cellIs" dxfId="13677" priority="638" operator="greaterThan">
      <formula>1</formula>
    </cfRule>
  </conditionalFormatting>
  <conditionalFormatting sqref="R84:R91">
    <cfRule type="cellIs" dxfId="13676" priority="635" operator="greaterThan">
      <formula>1</formula>
    </cfRule>
    <cfRule type="cellIs" dxfId="13675" priority="636" operator="lessThan">
      <formula>0.8</formula>
    </cfRule>
  </conditionalFormatting>
  <conditionalFormatting sqref="P84:P91">
    <cfRule type="cellIs" dxfId="13674" priority="634" operator="greaterThan">
      <formula>0</formula>
    </cfRule>
  </conditionalFormatting>
  <conditionalFormatting sqref="Q84:Q91">
    <cfRule type="cellIs" dxfId="13673" priority="639" operator="lessThan">
      <formula>0</formula>
    </cfRule>
  </conditionalFormatting>
  <conditionalFormatting sqref="R84:R91">
    <cfRule type="cellIs" dxfId="13672" priority="631" operator="lessThan">
      <formula>0.8</formula>
    </cfRule>
    <cfRule type="cellIs" dxfId="13671" priority="632" operator="greaterThan">
      <formula>1</formula>
    </cfRule>
  </conditionalFormatting>
  <conditionalFormatting sqref="R84:R91">
    <cfRule type="cellIs" dxfId="13670" priority="629" operator="greaterThan">
      <formula>1</formula>
    </cfRule>
    <cfRule type="cellIs" dxfId="13669" priority="630" operator="lessThan">
      <formula>0.8</formula>
    </cfRule>
  </conditionalFormatting>
  <conditionalFormatting sqref="P84:P91">
    <cfRule type="cellIs" dxfId="13668" priority="628" operator="greaterThan">
      <formula>0</formula>
    </cfRule>
  </conditionalFormatting>
  <conditionalFormatting sqref="Q84:Q91">
    <cfRule type="cellIs" dxfId="13667" priority="633" operator="lessThan">
      <formula>0</formula>
    </cfRule>
  </conditionalFormatting>
  <conditionalFormatting sqref="Q84:Q91">
    <cfRule type="cellIs" dxfId="13666" priority="627" operator="lessThan">
      <formula>0</formula>
    </cfRule>
  </conditionalFormatting>
  <conditionalFormatting sqref="R84:R91">
    <cfRule type="cellIs" dxfId="13665" priority="625" operator="lessThan">
      <formula>0.8</formula>
    </cfRule>
    <cfRule type="cellIs" dxfId="13664" priority="626" operator="greaterThan">
      <formula>1</formula>
    </cfRule>
  </conditionalFormatting>
  <conditionalFormatting sqref="R84:R91">
    <cfRule type="cellIs" dxfId="13663" priority="623" operator="greaterThan">
      <formula>1</formula>
    </cfRule>
    <cfRule type="cellIs" dxfId="13662" priority="624" operator="lessThan">
      <formula>0.8</formula>
    </cfRule>
  </conditionalFormatting>
  <conditionalFormatting sqref="P84:P91">
    <cfRule type="cellIs" dxfId="13661" priority="622" operator="greaterThan">
      <formula>0</formula>
    </cfRule>
  </conditionalFormatting>
  <conditionalFormatting sqref="Q84:Q91">
    <cfRule type="cellIs" dxfId="13660" priority="616" operator="lessThan">
      <formula>0</formula>
    </cfRule>
  </conditionalFormatting>
  <conditionalFormatting sqref="R84:R91">
    <cfRule type="cellIs" dxfId="13659" priority="620" operator="lessThan">
      <formula>0.8</formula>
    </cfRule>
    <cfRule type="cellIs" dxfId="13658" priority="621" operator="greaterThan">
      <formula>1</formula>
    </cfRule>
  </conditionalFormatting>
  <conditionalFormatting sqref="R84:R91">
    <cfRule type="cellIs" dxfId="13657" priority="618" operator="greaterThan">
      <formula>1</formula>
    </cfRule>
    <cfRule type="cellIs" dxfId="13656" priority="619" operator="lessThan">
      <formula>0.8</formula>
    </cfRule>
  </conditionalFormatting>
  <conditionalFormatting sqref="P84:P91">
    <cfRule type="cellIs" dxfId="13655" priority="617" operator="greaterThan">
      <formula>0</formula>
    </cfRule>
  </conditionalFormatting>
  <conditionalFormatting sqref="Q84:Q91">
    <cfRule type="cellIs" dxfId="13654" priority="615" operator="lessThan">
      <formula>0</formula>
    </cfRule>
  </conditionalFormatting>
  <conditionalFormatting sqref="R84:R91">
    <cfRule type="cellIs" dxfId="13653" priority="613" operator="lessThan">
      <formula>0.8</formula>
    </cfRule>
    <cfRule type="cellIs" dxfId="13652" priority="614" operator="greaterThan">
      <formula>1</formula>
    </cfRule>
  </conditionalFormatting>
  <conditionalFormatting sqref="R84:R91">
    <cfRule type="cellIs" dxfId="13651" priority="611" operator="greaterThan">
      <formula>1</formula>
    </cfRule>
    <cfRule type="cellIs" dxfId="13650" priority="612" operator="lessThan">
      <formula>0.8</formula>
    </cfRule>
  </conditionalFormatting>
  <conditionalFormatting sqref="P84:P91">
    <cfRule type="cellIs" dxfId="13649" priority="610" operator="greaterThan">
      <formula>0</formula>
    </cfRule>
  </conditionalFormatting>
  <conditionalFormatting sqref="Q84:Q91">
    <cfRule type="cellIs" dxfId="13648" priority="609" operator="lessThan">
      <formula>0</formula>
    </cfRule>
  </conditionalFormatting>
  <conditionalFormatting sqref="R84:R91">
    <cfRule type="cellIs" dxfId="13647" priority="607" operator="lessThan">
      <formula>0.8</formula>
    </cfRule>
    <cfRule type="cellIs" dxfId="13646" priority="608" operator="greaterThan">
      <formula>1</formula>
    </cfRule>
  </conditionalFormatting>
  <conditionalFormatting sqref="R84:R91">
    <cfRule type="cellIs" dxfId="13645" priority="605" operator="greaterThan">
      <formula>1</formula>
    </cfRule>
    <cfRule type="cellIs" dxfId="13644" priority="606" operator="lessThan">
      <formula>0.8</formula>
    </cfRule>
  </conditionalFormatting>
  <conditionalFormatting sqref="P84:P91">
    <cfRule type="cellIs" dxfId="13643" priority="604" operator="greaterThan">
      <formula>0</formula>
    </cfRule>
  </conditionalFormatting>
  <conditionalFormatting sqref="Q84:Q91">
    <cfRule type="cellIs" dxfId="13642" priority="603" operator="lessThan">
      <formula>0</formula>
    </cfRule>
  </conditionalFormatting>
  <conditionalFormatting sqref="R84:R91">
    <cfRule type="cellIs" dxfId="13641" priority="601" operator="lessThan">
      <formula>0.8</formula>
    </cfRule>
    <cfRule type="cellIs" dxfId="13640" priority="602" operator="greaterThan">
      <formula>1</formula>
    </cfRule>
  </conditionalFormatting>
  <conditionalFormatting sqref="R84:R91">
    <cfRule type="cellIs" dxfId="13639" priority="599" operator="greaterThan">
      <formula>1</formula>
    </cfRule>
    <cfRule type="cellIs" dxfId="13638" priority="600" operator="lessThan">
      <formula>0.8</formula>
    </cfRule>
  </conditionalFormatting>
  <conditionalFormatting sqref="P84:P91">
    <cfRule type="cellIs" dxfId="13637" priority="598" operator="greaterThan">
      <formula>0</formula>
    </cfRule>
  </conditionalFormatting>
  <conditionalFormatting sqref="Q84:Q91">
    <cfRule type="cellIs" dxfId="13636" priority="597" operator="lessThan">
      <formula>0</formula>
    </cfRule>
  </conditionalFormatting>
  <conditionalFormatting sqref="R84:R91">
    <cfRule type="cellIs" dxfId="13635" priority="595" operator="lessThan">
      <formula>0.8</formula>
    </cfRule>
    <cfRule type="cellIs" dxfId="13634" priority="596" operator="greaterThan">
      <formula>1</formula>
    </cfRule>
  </conditionalFormatting>
  <conditionalFormatting sqref="R84:R91">
    <cfRule type="cellIs" dxfId="13633" priority="593" operator="greaterThan">
      <formula>1</formula>
    </cfRule>
    <cfRule type="cellIs" dxfId="13632" priority="594" operator="lessThan">
      <formula>0.8</formula>
    </cfRule>
  </conditionalFormatting>
  <conditionalFormatting sqref="P84:P91">
    <cfRule type="cellIs" dxfId="13631" priority="592" operator="greaterThan">
      <formula>0</formula>
    </cfRule>
  </conditionalFormatting>
  <conditionalFormatting sqref="Q84:Q91">
    <cfRule type="cellIs" dxfId="13630" priority="591" operator="lessThan">
      <formula>0</formula>
    </cfRule>
  </conditionalFormatting>
  <conditionalFormatting sqref="R84:R91">
    <cfRule type="cellIs" dxfId="13629" priority="589" operator="lessThan">
      <formula>0.8</formula>
    </cfRule>
    <cfRule type="cellIs" dxfId="13628" priority="590" operator="greaterThan">
      <formula>1</formula>
    </cfRule>
  </conditionalFormatting>
  <conditionalFormatting sqref="R84:R91">
    <cfRule type="cellIs" dxfId="13627" priority="587" operator="greaterThan">
      <formula>1</formula>
    </cfRule>
    <cfRule type="cellIs" dxfId="13626" priority="588" operator="lessThan">
      <formula>0.8</formula>
    </cfRule>
  </conditionalFormatting>
  <conditionalFormatting sqref="P84:P91">
    <cfRule type="cellIs" dxfId="13625" priority="586" operator="greaterThan">
      <formula>0</formula>
    </cfRule>
  </conditionalFormatting>
  <conditionalFormatting sqref="P84:P91">
    <cfRule type="cellIs" dxfId="13624" priority="580" operator="greaterThan">
      <formula>0</formula>
    </cfRule>
  </conditionalFormatting>
  <conditionalFormatting sqref="Q84:Q91">
    <cfRule type="cellIs" dxfId="13623" priority="585" operator="lessThan">
      <formula>0</formula>
    </cfRule>
  </conditionalFormatting>
  <conditionalFormatting sqref="R84:R91">
    <cfRule type="cellIs" dxfId="13622" priority="583" operator="lessThan">
      <formula>0.8</formula>
    </cfRule>
    <cfRule type="cellIs" dxfId="13621" priority="584" operator="greaterThan">
      <formula>1</formula>
    </cfRule>
  </conditionalFormatting>
  <conditionalFormatting sqref="R84:R91">
    <cfRule type="cellIs" dxfId="13620" priority="581" operator="greaterThan">
      <formula>1</formula>
    </cfRule>
    <cfRule type="cellIs" dxfId="13619" priority="582" operator="lessThan">
      <formula>0.8</formula>
    </cfRule>
  </conditionalFormatting>
  <conditionalFormatting sqref="P84:P91">
    <cfRule type="cellIs" dxfId="13618" priority="574" operator="greaterThan">
      <formula>0</formula>
    </cfRule>
  </conditionalFormatting>
  <conditionalFormatting sqref="Q84:Q91">
    <cfRule type="cellIs" dxfId="13617" priority="579" operator="lessThan">
      <formula>0</formula>
    </cfRule>
  </conditionalFormatting>
  <conditionalFormatting sqref="R84:R91">
    <cfRule type="cellIs" dxfId="13616" priority="577" operator="lessThan">
      <formula>0.8</formula>
    </cfRule>
    <cfRule type="cellIs" dxfId="13615" priority="578" operator="greaterThan">
      <formula>1</formula>
    </cfRule>
  </conditionalFormatting>
  <conditionalFormatting sqref="R84:R91">
    <cfRule type="cellIs" dxfId="13614" priority="575" operator="greaterThan">
      <formula>1</formula>
    </cfRule>
    <cfRule type="cellIs" dxfId="13613" priority="576" operator="lessThan">
      <formula>0.8</formula>
    </cfRule>
  </conditionalFormatting>
  <conditionalFormatting sqref="R84:R91">
    <cfRule type="cellIs" dxfId="13612" priority="571" operator="lessThan">
      <formula>0.8</formula>
    </cfRule>
    <cfRule type="cellIs" dxfId="13611" priority="572" operator="greaterThan">
      <formula>1</formula>
    </cfRule>
  </conditionalFormatting>
  <conditionalFormatting sqref="R84:R91">
    <cfRule type="cellIs" dxfId="13610" priority="569" operator="greaterThan">
      <formula>1</formula>
    </cfRule>
    <cfRule type="cellIs" dxfId="13609" priority="570" operator="lessThan">
      <formula>0.8</formula>
    </cfRule>
  </conditionalFormatting>
  <conditionalFormatting sqref="P84:P91">
    <cfRule type="cellIs" dxfId="13608" priority="568" operator="greaterThan">
      <formula>0</formula>
    </cfRule>
  </conditionalFormatting>
  <conditionalFormatting sqref="Q84:Q91">
    <cfRule type="cellIs" dxfId="13607" priority="573" operator="lessThan">
      <formula>0</formula>
    </cfRule>
  </conditionalFormatting>
  <conditionalFormatting sqref="Q84:Q91">
    <cfRule type="cellIs" dxfId="13606" priority="567" operator="lessThan">
      <formula>0</formula>
    </cfRule>
  </conditionalFormatting>
  <conditionalFormatting sqref="R84:R91">
    <cfRule type="cellIs" dxfId="13605" priority="565" operator="lessThan">
      <formula>0.8</formula>
    </cfRule>
    <cfRule type="cellIs" dxfId="13604" priority="566" operator="greaterThan">
      <formula>1</formula>
    </cfRule>
  </conditionalFormatting>
  <conditionalFormatting sqref="R84:R91">
    <cfRule type="cellIs" dxfId="13603" priority="563" operator="greaterThan">
      <formula>1</formula>
    </cfRule>
    <cfRule type="cellIs" dxfId="13602" priority="564" operator="lessThan">
      <formula>0.8</formula>
    </cfRule>
  </conditionalFormatting>
  <conditionalFormatting sqref="P84:P91">
    <cfRule type="cellIs" dxfId="13601" priority="562" operator="greaterThan">
      <formula>0</formula>
    </cfRule>
  </conditionalFormatting>
  <conditionalFormatting sqref="Q84:Q91">
    <cfRule type="cellIs" dxfId="13600" priority="561" operator="lessThan">
      <formula>0</formula>
    </cfRule>
  </conditionalFormatting>
  <conditionalFormatting sqref="R84:R91">
    <cfRule type="cellIs" dxfId="13599" priority="559" operator="lessThan">
      <formula>0.8</formula>
    </cfRule>
    <cfRule type="cellIs" dxfId="13598" priority="560" operator="greaterThan">
      <formula>1</formula>
    </cfRule>
  </conditionalFormatting>
  <conditionalFormatting sqref="R84:R91">
    <cfRule type="cellIs" dxfId="13597" priority="557" operator="greaterThan">
      <formula>1</formula>
    </cfRule>
    <cfRule type="cellIs" dxfId="13596" priority="558" operator="lessThan">
      <formula>0.8</formula>
    </cfRule>
  </conditionalFormatting>
  <conditionalFormatting sqref="P84:P91">
    <cfRule type="cellIs" dxfId="13595" priority="556" operator="greaterThan">
      <formula>0</formula>
    </cfRule>
  </conditionalFormatting>
  <conditionalFormatting sqref="Q84:Q91">
    <cfRule type="cellIs" dxfId="13594" priority="555" operator="lessThan">
      <formula>0</formula>
    </cfRule>
  </conditionalFormatting>
  <conditionalFormatting sqref="R84:R91">
    <cfRule type="cellIs" dxfId="13593" priority="553" operator="lessThan">
      <formula>0.8</formula>
    </cfRule>
    <cfRule type="cellIs" dxfId="13592" priority="554" operator="greaterThan">
      <formula>1</formula>
    </cfRule>
  </conditionalFormatting>
  <conditionalFormatting sqref="R84:R91">
    <cfRule type="cellIs" dxfId="13591" priority="551" operator="greaterThan">
      <formula>1</formula>
    </cfRule>
    <cfRule type="cellIs" dxfId="13590" priority="552" operator="lessThan">
      <formula>0.8</formula>
    </cfRule>
  </conditionalFormatting>
  <conditionalFormatting sqref="P84:P91">
    <cfRule type="cellIs" dxfId="13589" priority="550" operator="greaterThan">
      <formula>0</formula>
    </cfRule>
  </conditionalFormatting>
  <conditionalFormatting sqref="Q84:Q91">
    <cfRule type="cellIs" dxfId="13588" priority="549" operator="lessThan">
      <formula>0</formula>
    </cfRule>
  </conditionalFormatting>
  <conditionalFormatting sqref="R84:R91">
    <cfRule type="cellIs" dxfId="13587" priority="547" operator="lessThan">
      <formula>0.8</formula>
    </cfRule>
    <cfRule type="cellIs" dxfId="13586" priority="548" operator="greaterThan">
      <formula>1</formula>
    </cfRule>
  </conditionalFormatting>
  <conditionalFormatting sqref="R84:R91">
    <cfRule type="cellIs" dxfId="13585" priority="545" operator="greaterThan">
      <formula>1</formula>
    </cfRule>
    <cfRule type="cellIs" dxfId="13584" priority="546" operator="lessThan">
      <formula>0.8</formula>
    </cfRule>
  </conditionalFormatting>
  <conditionalFormatting sqref="P84:P91">
    <cfRule type="cellIs" dxfId="13583" priority="544" operator="greaterThan">
      <formula>0</formula>
    </cfRule>
  </conditionalFormatting>
  <conditionalFormatting sqref="P84:P91">
    <cfRule type="cellIs" dxfId="13582" priority="538" operator="greaterThan">
      <formula>0</formula>
    </cfRule>
  </conditionalFormatting>
  <conditionalFormatting sqref="Q84:Q91">
    <cfRule type="cellIs" dxfId="13581" priority="543" operator="lessThan">
      <formula>0</formula>
    </cfRule>
  </conditionalFormatting>
  <conditionalFormatting sqref="R84:R91">
    <cfRule type="cellIs" dxfId="13580" priority="541" operator="lessThan">
      <formula>0.8</formula>
    </cfRule>
    <cfRule type="cellIs" dxfId="13579" priority="542" operator="greaterThan">
      <formula>1</formula>
    </cfRule>
  </conditionalFormatting>
  <conditionalFormatting sqref="R84:R91">
    <cfRule type="cellIs" dxfId="13578" priority="539" operator="greaterThan">
      <formula>1</formula>
    </cfRule>
    <cfRule type="cellIs" dxfId="13577" priority="540" operator="lessThan">
      <formula>0.8</formula>
    </cfRule>
  </conditionalFormatting>
  <conditionalFormatting sqref="P84:P91">
    <cfRule type="cellIs" dxfId="13576" priority="532" operator="greaterThan">
      <formula>0</formula>
    </cfRule>
  </conditionalFormatting>
  <conditionalFormatting sqref="Q84:Q91">
    <cfRule type="cellIs" dxfId="13575" priority="537" operator="lessThan">
      <formula>0</formula>
    </cfRule>
  </conditionalFormatting>
  <conditionalFormatting sqref="R84:R91">
    <cfRule type="cellIs" dxfId="13574" priority="535" operator="lessThan">
      <formula>0.8</formula>
    </cfRule>
    <cfRule type="cellIs" dxfId="13573" priority="536" operator="greaterThan">
      <formula>1</formula>
    </cfRule>
  </conditionalFormatting>
  <conditionalFormatting sqref="R84:R91">
    <cfRule type="cellIs" dxfId="13572" priority="533" operator="greaterThan">
      <formula>1</formula>
    </cfRule>
    <cfRule type="cellIs" dxfId="13571" priority="534" operator="lessThan">
      <formula>0.8</formula>
    </cfRule>
  </conditionalFormatting>
  <conditionalFormatting sqref="R84:R91">
    <cfRule type="cellIs" dxfId="13570" priority="529" operator="lessThan">
      <formula>0.8</formula>
    </cfRule>
    <cfRule type="cellIs" dxfId="13569" priority="530" operator="greaterThan">
      <formula>1</formula>
    </cfRule>
  </conditionalFormatting>
  <conditionalFormatting sqref="R84:R91">
    <cfRule type="cellIs" dxfId="13568" priority="527" operator="greaterThan">
      <formula>1</formula>
    </cfRule>
    <cfRule type="cellIs" dxfId="13567" priority="528" operator="lessThan">
      <formula>0.8</formula>
    </cfRule>
  </conditionalFormatting>
  <conditionalFormatting sqref="P84:P91">
    <cfRule type="cellIs" dxfId="13566" priority="526" operator="greaterThan">
      <formula>0</formula>
    </cfRule>
  </conditionalFormatting>
  <conditionalFormatting sqref="Q84:Q91">
    <cfRule type="cellIs" dxfId="13565" priority="531" operator="lessThan">
      <formula>0</formula>
    </cfRule>
  </conditionalFormatting>
  <conditionalFormatting sqref="Q84:Q91">
    <cfRule type="cellIs" dxfId="13564" priority="525" operator="lessThan">
      <formula>0</formula>
    </cfRule>
  </conditionalFormatting>
  <conditionalFormatting sqref="R84:R91">
    <cfRule type="cellIs" dxfId="13563" priority="523" operator="lessThan">
      <formula>0.8</formula>
    </cfRule>
    <cfRule type="cellIs" dxfId="13562" priority="524" operator="greaterThan">
      <formula>1</formula>
    </cfRule>
  </conditionalFormatting>
  <conditionalFormatting sqref="R84:R91">
    <cfRule type="cellIs" dxfId="13561" priority="521" operator="greaterThan">
      <formula>1</formula>
    </cfRule>
    <cfRule type="cellIs" dxfId="13560" priority="522" operator="lessThan">
      <formula>0.8</formula>
    </cfRule>
  </conditionalFormatting>
  <conditionalFormatting sqref="P84:P91">
    <cfRule type="cellIs" dxfId="13559" priority="520" operator="greaterThan">
      <formula>0</formula>
    </cfRule>
  </conditionalFormatting>
  <conditionalFormatting sqref="P84:P91">
    <cfRule type="cellIs" dxfId="13558" priority="514" operator="greaterThan">
      <formula>0</formula>
    </cfRule>
  </conditionalFormatting>
  <conditionalFormatting sqref="Q84:Q91">
    <cfRule type="cellIs" dxfId="13557" priority="519" operator="lessThan">
      <formula>0</formula>
    </cfRule>
  </conditionalFormatting>
  <conditionalFormatting sqref="R84:R91">
    <cfRule type="cellIs" dxfId="13556" priority="517" operator="lessThan">
      <formula>0.8</formula>
    </cfRule>
    <cfRule type="cellIs" dxfId="13555" priority="518" operator="greaterThan">
      <formula>1</formula>
    </cfRule>
  </conditionalFormatting>
  <conditionalFormatting sqref="R84:R91">
    <cfRule type="cellIs" dxfId="13554" priority="515" operator="greaterThan">
      <formula>1</formula>
    </cfRule>
    <cfRule type="cellIs" dxfId="13553" priority="516" operator="lessThan">
      <formula>0.8</formula>
    </cfRule>
  </conditionalFormatting>
  <conditionalFormatting sqref="P84:P91">
    <cfRule type="cellIs" dxfId="13552" priority="508" operator="greaterThan">
      <formula>0</formula>
    </cfRule>
  </conditionalFormatting>
  <conditionalFormatting sqref="Q84:Q91">
    <cfRule type="cellIs" dxfId="13551" priority="513" operator="lessThan">
      <formula>0</formula>
    </cfRule>
  </conditionalFormatting>
  <conditionalFormatting sqref="R84:R91">
    <cfRule type="cellIs" dxfId="13550" priority="511" operator="lessThan">
      <formula>0.8</formula>
    </cfRule>
    <cfRule type="cellIs" dxfId="13549" priority="512" operator="greaterThan">
      <formula>1</formula>
    </cfRule>
  </conditionalFormatting>
  <conditionalFormatting sqref="R84:R91">
    <cfRule type="cellIs" dxfId="13548" priority="509" operator="greaterThan">
      <formula>1</formula>
    </cfRule>
    <cfRule type="cellIs" dxfId="13547" priority="510" operator="lessThan">
      <formula>0.8</formula>
    </cfRule>
  </conditionalFormatting>
  <conditionalFormatting sqref="R84:R91">
    <cfRule type="cellIs" dxfId="13546" priority="505" operator="lessThan">
      <formula>0.8</formula>
    </cfRule>
    <cfRule type="cellIs" dxfId="13545" priority="506" operator="greaterThan">
      <formula>1</formula>
    </cfRule>
  </conditionalFormatting>
  <conditionalFormatting sqref="R84:R91">
    <cfRule type="cellIs" dxfId="13544" priority="503" operator="greaterThan">
      <formula>1</formula>
    </cfRule>
    <cfRule type="cellIs" dxfId="13543" priority="504" operator="lessThan">
      <formula>0.8</formula>
    </cfRule>
  </conditionalFormatting>
  <conditionalFormatting sqref="P84:P91">
    <cfRule type="cellIs" dxfId="13542" priority="502" operator="greaterThan">
      <formula>0</formula>
    </cfRule>
  </conditionalFormatting>
  <conditionalFormatting sqref="Q84:Q91">
    <cfRule type="cellIs" dxfId="13541" priority="507" operator="lessThan">
      <formula>0</formula>
    </cfRule>
  </conditionalFormatting>
  <conditionalFormatting sqref="P84:P91">
    <cfRule type="cellIs" dxfId="13540" priority="496" operator="greaterThan">
      <formula>0</formula>
    </cfRule>
  </conditionalFormatting>
  <conditionalFormatting sqref="Q84:Q91">
    <cfRule type="cellIs" dxfId="13539" priority="501" operator="lessThan">
      <formula>0</formula>
    </cfRule>
  </conditionalFormatting>
  <conditionalFormatting sqref="R84:R91">
    <cfRule type="cellIs" dxfId="13538" priority="499" operator="lessThan">
      <formula>0.8</formula>
    </cfRule>
    <cfRule type="cellIs" dxfId="13537" priority="500" operator="greaterThan">
      <formula>1</formula>
    </cfRule>
  </conditionalFormatting>
  <conditionalFormatting sqref="R84:R91">
    <cfRule type="cellIs" dxfId="13536" priority="497" operator="greaterThan">
      <formula>1</formula>
    </cfRule>
    <cfRule type="cellIs" dxfId="13535" priority="498" operator="lessThan">
      <formula>0.8</formula>
    </cfRule>
  </conditionalFormatting>
  <conditionalFormatting sqref="R84:R91">
    <cfRule type="cellIs" dxfId="13534" priority="493" operator="lessThan">
      <formula>0.8</formula>
    </cfRule>
    <cfRule type="cellIs" dxfId="13533" priority="494" operator="greaterThan">
      <formula>1</formula>
    </cfRule>
  </conditionalFormatting>
  <conditionalFormatting sqref="R84:R91">
    <cfRule type="cellIs" dxfId="13532" priority="491" operator="greaterThan">
      <formula>1</formula>
    </cfRule>
    <cfRule type="cellIs" dxfId="13531" priority="492" operator="lessThan">
      <formula>0.8</formula>
    </cfRule>
  </conditionalFormatting>
  <conditionalFormatting sqref="P84:P91">
    <cfRule type="cellIs" dxfId="13530" priority="490" operator="greaterThan">
      <formula>0</formula>
    </cfRule>
  </conditionalFormatting>
  <conditionalFormatting sqref="Q84:Q91">
    <cfRule type="cellIs" dxfId="13529" priority="495" operator="lessThan">
      <formula>0</formula>
    </cfRule>
  </conditionalFormatting>
  <conditionalFormatting sqref="R84:R91">
    <cfRule type="cellIs" dxfId="13528" priority="487" operator="lessThan">
      <formula>0.8</formula>
    </cfRule>
    <cfRule type="cellIs" dxfId="13527" priority="488" operator="greaterThan">
      <formula>1</formula>
    </cfRule>
  </conditionalFormatting>
  <conditionalFormatting sqref="R84:R91">
    <cfRule type="cellIs" dxfId="13526" priority="485" operator="greaterThan">
      <formula>1</formula>
    </cfRule>
    <cfRule type="cellIs" dxfId="13525" priority="486" operator="lessThan">
      <formula>0.8</formula>
    </cfRule>
  </conditionalFormatting>
  <conditionalFormatting sqref="P84:P91">
    <cfRule type="cellIs" dxfId="13524" priority="484" operator="greaterThan">
      <formula>0</formula>
    </cfRule>
  </conditionalFormatting>
  <conditionalFormatting sqref="Q84:Q91">
    <cfRule type="cellIs" dxfId="13523" priority="489" operator="lessThan">
      <formula>0</formula>
    </cfRule>
  </conditionalFormatting>
  <conditionalFormatting sqref="Q84:Q91">
    <cfRule type="cellIs" dxfId="13522" priority="483" operator="lessThan">
      <formula>0</formula>
    </cfRule>
  </conditionalFormatting>
  <conditionalFormatting sqref="R84:R91">
    <cfRule type="cellIs" dxfId="13521" priority="481" operator="lessThan">
      <formula>0.8</formula>
    </cfRule>
    <cfRule type="cellIs" dxfId="13520" priority="482" operator="greaterThan">
      <formula>1</formula>
    </cfRule>
  </conditionalFormatting>
  <conditionalFormatting sqref="R84:R91">
    <cfRule type="cellIs" dxfId="13519" priority="479" operator="greaterThan">
      <formula>1</formula>
    </cfRule>
    <cfRule type="cellIs" dxfId="13518" priority="480" operator="lessThan">
      <formula>0.8</formula>
    </cfRule>
  </conditionalFormatting>
  <conditionalFormatting sqref="P84:P91">
    <cfRule type="cellIs" dxfId="13517" priority="478" operator="greaterThan">
      <formula>0</formula>
    </cfRule>
  </conditionalFormatting>
  <conditionalFormatting sqref="Q84:Q91">
    <cfRule type="cellIs" dxfId="13516" priority="472" operator="lessThan">
      <formula>0</formula>
    </cfRule>
  </conditionalFormatting>
  <conditionalFormatting sqref="R84:R91">
    <cfRule type="cellIs" dxfId="13515" priority="476" operator="lessThan">
      <formula>0.8</formula>
    </cfRule>
    <cfRule type="cellIs" dxfId="13514" priority="477" operator="greaterThan">
      <formula>1</formula>
    </cfRule>
  </conditionalFormatting>
  <conditionalFormatting sqref="R84:R91">
    <cfRule type="cellIs" dxfId="13513" priority="474" operator="greaterThan">
      <formula>1</formula>
    </cfRule>
    <cfRule type="cellIs" dxfId="13512" priority="475" operator="lessThan">
      <formula>0.8</formula>
    </cfRule>
  </conditionalFormatting>
  <conditionalFormatting sqref="P84:P91">
    <cfRule type="cellIs" dxfId="13511" priority="473" operator="greaterThan">
      <formula>0</formula>
    </cfRule>
  </conditionalFormatting>
  <conditionalFormatting sqref="Q84:Q91">
    <cfRule type="cellIs" dxfId="13510" priority="471" operator="lessThan">
      <formula>0</formula>
    </cfRule>
  </conditionalFormatting>
  <conditionalFormatting sqref="R84:R91">
    <cfRule type="cellIs" dxfId="13509" priority="469" operator="lessThan">
      <formula>0.8</formula>
    </cfRule>
    <cfRule type="cellIs" dxfId="13508" priority="470" operator="greaterThan">
      <formula>1</formula>
    </cfRule>
  </conditionalFormatting>
  <conditionalFormatting sqref="R84:R91">
    <cfRule type="cellIs" dxfId="13507" priority="467" operator="greaterThan">
      <formula>1</formula>
    </cfRule>
    <cfRule type="cellIs" dxfId="13506" priority="468" operator="lessThan">
      <formula>0.8</formula>
    </cfRule>
  </conditionalFormatting>
  <conditionalFormatting sqref="P84:P91">
    <cfRule type="cellIs" dxfId="13505" priority="466" operator="greaterThan">
      <formula>0</formula>
    </cfRule>
  </conditionalFormatting>
  <conditionalFormatting sqref="Q84:Q91">
    <cfRule type="cellIs" dxfId="13504" priority="465" operator="lessThan">
      <formula>0</formula>
    </cfRule>
  </conditionalFormatting>
  <conditionalFormatting sqref="R84:R91">
    <cfRule type="cellIs" dxfId="13503" priority="463" operator="lessThan">
      <formula>0.8</formula>
    </cfRule>
    <cfRule type="cellIs" dxfId="13502" priority="464" operator="greaterThan">
      <formula>1</formula>
    </cfRule>
  </conditionalFormatting>
  <conditionalFormatting sqref="R84:R91">
    <cfRule type="cellIs" dxfId="13501" priority="461" operator="greaterThan">
      <formula>1</formula>
    </cfRule>
    <cfRule type="cellIs" dxfId="13500" priority="462" operator="lessThan">
      <formula>0.8</formula>
    </cfRule>
  </conditionalFormatting>
  <conditionalFormatting sqref="P84:P91">
    <cfRule type="cellIs" dxfId="13499" priority="460" operator="greaterThan">
      <formula>0</formula>
    </cfRule>
  </conditionalFormatting>
  <conditionalFormatting sqref="Q84:Q91">
    <cfRule type="cellIs" dxfId="13498" priority="459" operator="lessThan">
      <formula>0</formula>
    </cfRule>
  </conditionalFormatting>
  <conditionalFormatting sqref="R84:R91">
    <cfRule type="cellIs" dxfId="13497" priority="457" operator="lessThan">
      <formula>0.8</formula>
    </cfRule>
    <cfRule type="cellIs" dxfId="13496" priority="458" operator="greaterThan">
      <formula>1</formula>
    </cfRule>
  </conditionalFormatting>
  <conditionalFormatting sqref="R84:R91">
    <cfRule type="cellIs" dxfId="13495" priority="455" operator="greaterThan">
      <formula>1</formula>
    </cfRule>
    <cfRule type="cellIs" dxfId="13494" priority="456" operator="lessThan">
      <formula>0.8</formula>
    </cfRule>
  </conditionalFormatting>
  <conditionalFormatting sqref="P84:P91">
    <cfRule type="cellIs" dxfId="13493" priority="454" operator="greaterThan">
      <formula>0</formula>
    </cfRule>
  </conditionalFormatting>
  <conditionalFormatting sqref="Q84:Q91">
    <cfRule type="cellIs" dxfId="13492" priority="453" operator="lessThan">
      <formula>0</formula>
    </cfRule>
  </conditionalFormatting>
  <conditionalFormatting sqref="R84:R91">
    <cfRule type="cellIs" dxfId="13491" priority="451" operator="lessThan">
      <formula>0.8</formula>
    </cfRule>
    <cfRule type="cellIs" dxfId="13490" priority="452" operator="greaterThan">
      <formula>1</formula>
    </cfRule>
  </conditionalFormatting>
  <conditionalFormatting sqref="R84:R91">
    <cfRule type="cellIs" dxfId="13489" priority="449" operator="greaterThan">
      <formula>1</formula>
    </cfRule>
    <cfRule type="cellIs" dxfId="13488" priority="450" operator="lessThan">
      <formula>0.8</formula>
    </cfRule>
  </conditionalFormatting>
  <conditionalFormatting sqref="P84:P91">
    <cfRule type="cellIs" dxfId="13487" priority="448" operator="greaterThan">
      <formula>0</formula>
    </cfRule>
  </conditionalFormatting>
  <conditionalFormatting sqref="Q84:Q91">
    <cfRule type="cellIs" dxfId="13486" priority="447" operator="lessThan">
      <formula>0</formula>
    </cfRule>
  </conditionalFormatting>
  <conditionalFormatting sqref="R84:R91">
    <cfRule type="cellIs" dxfId="13485" priority="445" operator="lessThan">
      <formula>0.8</formula>
    </cfRule>
    <cfRule type="cellIs" dxfId="13484" priority="446" operator="greaterThan">
      <formula>1</formula>
    </cfRule>
  </conditionalFormatting>
  <conditionalFormatting sqref="R84:R91">
    <cfRule type="cellIs" dxfId="13483" priority="443" operator="greaterThan">
      <formula>1</formula>
    </cfRule>
    <cfRule type="cellIs" dxfId="13482" priority="444" operator="lessThan">
      <formula>0.8</formula>
    </cfRule>
  </conditionalFormatting>
  <conditionalFormatting sqref="P84:P91">
    <cfRule type="cellIs" dxfId="13481" priority="442" operator="greaterThan">
      <formula>0</formula>
    </cfRule>
  </conditionalFormatting>
  <conditionalFormatting sqref="P84:P91">
    <cfRule type="cellIs" dxfId="13480" priority="436" operator="greaterThan">
      <formula>0</formula>
    </cfRule>
  </conditionalFormatting>
  <conditionalFormatting sqref="Q84:Q91">
    <cfRule type="cellIs" dxfId="13479" priority="441" operator="lessThan">
      <formula>0</formula>
    </cfRule>
  </conditionalFormatting>
  <conditionalFormatting sqref="R84:R91">
    <cfRule type="cellIs" dxfId="13478" priority="439" operator="lessThan">
      <formula>0.8</formula>
    </cfRule>
    <cfRule type="cellIs" dxfId="13477" priority="440" operator="greaterThan">
      <formula>1</formula>
    </cfRule>
  </conditionalFormatting>
  <conditionalFormatting sqref="R84:R91">
    <cfRule type="cellIs" dxfId="13476" priority="437" operator="greaterThan">
      <formula>1</formula>
    </cfRule>
    <cfRule type="cellIs" dxfId="13475" priority="438" operator="lessThan">
      <formula>0.8</formula>
    </cfRule>
  </conditionalFormatting>
  <conditionalFormatting sqref="P84:P91">
    <cfRule type="cellIs" dxfId="13474" priority="430" operator="greaterThan">
      <formula>0</formula>
    </cfRule>
  </conditionalFormatting>
  <conditionalFormatting sqref="Q84:Q91">
    <cfRule type="cellIs" dxfId="13473" priority="435" operator="lessThan">
      <formula>0</formula>
    </cfRule>
  </conditionalFormatting>
  <conditionalFormatting sqref="R84:R91">
    <cfRule type="cellIs" dxfId="13472" priority="433" operator="lessThan">
      <formula>0.8</formula>
    </cfRule>
    <cfRule type="cellIs" dxfId="13471" priority="434" operator="greaterThan">
      <formula>1</formula>
    </cfRule>
  </conditionalFormatting>
  <conditionalFormatting sqref="R84:R91">
    <cfRule type="cellIs" dxfId="13470" priority="431" operator="greaterThan">
      <formula>1</formula>
    </cfRule>
    <cfRule type="cellIs" dxfId="13469" priority="432" operator="lessThan">
      <formula>0.8</formula>
    </cfRule>
  </conditionalFormatting>
  <conditionalFormatting sqref="R84:R91">
    <cfRule type="cellIs" dxfId="13468" priority="427" operator="lessThan">
      <formula>0.8</formula>
    </cfRule>
    <cfRule type="cellIs" dxfId="13467" priority="428" operator="greaterThan">
      <formula>1</formula>
    </cfRule>
  </conditionalFormatting>
  <conditionalFormatting sqref="R84:R91">
    <cfRule type="cellIs" dxfId="13466" priority="425" operator="greaterThan">
      <formula>1</formula>
    </cfRule>
    <cfRule type="cellIs" dxfId="13465" priority="426" operator="lessThan">
      <formula>0.8</formula>
    </cfRule>
  </conditionalFormatting>
  <conditionalFormatting sqref="P84:P91">
    <cfRule type="cellIs" dxfId="13464" priority="424" operator="greaterThan">
      <formula>0</formula>
    </cfRule>
  </conditionalFormatting>
  <conditionalFormatting sqref="Q84:Q91">
    <cfRule type="cellIs" dxfId="13463" priority="429" operator="lessThan">
      <formula>0</formula>
    </cfRule>
  </conditionalFormatting>
  <conditionalFormatting sqref="Q84:Q91">
    <cfRule type="cellIs" dxfId="13462" priority="418" operator="lessThan">
      <formula>0</formula>
    </cfRule>
  </conditionalFormatting>
  <conditionalFormatting sqref="P84:P91">
    <cfRule type="cellIs" dxfId="13461" priority="419" operator="greaterThan">
      <formula>0</formula>
    </cfRule>
  </conditionalFormatting>
  <conditionalFormatting sqref="R84:R91">
    <cfRule type="cellIs" dxfId="13460" priority="422" operator="lessThan">
      <formula>0.8</formula>
    </cfRule>
    <cfRule type="cellIs" dxfId="13459" priority="423" operator="greaterThan">
      <formula>1</formula>
    </cfRule>
  </conditionalFormatting>
  <conditionalFormatting sqref="R84:R91">
    <cfRule type="cellIs" dxfId="13458" priority="420" operator="greaterThan">
      <formula>1</formula>
    </cfRule>
    <cfRule type="cellIs" dxfId="13457" priority="421" operator="lessThan">
      <formula>0.8</formula>
    </cfRule>
  </conditionalFormatting>
  <conditionalFormatting sqref="Q84:Q91">
    <cfRule type="cellIs" dxfId="13456" priority="412" operator="lessThan">
      <formula>0</formula>
    </cfRule>
  </conditionalFormatting>
  <conditionalFormatting sqref="R84:R91">
    <cfRule type="cellIs" dxfId="13455" priority="416" operator="lessThan">
      <formula>0.8</formula>
    </cfRule>
    <cfRule type="cellIs" dxfId="13454" priority="417" operator="greaterThan">
      <formula>1</formula>
    </cfRule>
  </conditionalFormatting>
  <conditionalFormatting sqref="R84:R91">
    <cfRule type="cellIs" dxfId="13453" priority="414" operator="greaterThan">
      <formula>1</formula>
    </cfRule>
    <cfRule type="cellIs" dxfId="13452" priority="415" operator="lessThan">
      <formula>0.8</formula>
    </cfRule>
  </conditionalFormatting>
  <conditionalFormatting sqref="P84:P91">
    <cfRule type="cellIs" dxfId="13451" priority="413" operator="greaterThan">
      <formula>0</formula>
    </cfRule>
  </conditionalFormatting>
  <conditionalFormatting sqref="Q84:Q91">
    <cfRule type="cellIs" dxfId="13450" priority="411" operator="lessThan">
      <formula>0</formula>
    </cfRule>
  </conditionalFormatting>
  <conditionalFormatting sqref="R84:R91">
    <cfRule type="cellIs" dxfId="13449" priority="409" operator="lessThan">
      <formula>0.8</formula>
    </cfRule>
    <cfRule type="cellIs" dxfId="13448" priority="410" operator="greaterThan">
      <formula>1</formula>
    </cfRule>
  </conditionalFormatting>
  <conditionalFormatting sqref="R84:R91">
    <cfRule type="cellIs" dxfId="13447" priority="407" operator="greaterThan">
      <formula>1</formula>
    </cfRule>
    <cfRule type="cellIs" dxfId="13446" priority="408" operator="lessThan">
      <formula>0.8</formula>
    </cfRule>
  </conditionalFormatting>
  <conditionalFormatting sqref="P84:P91">
    <cfRule type="cellIs" dxfId="13445" priority="406" operator="greaterThan">
      <formula>0</formula>
    </cfRule>
  </conditionalFormatting>
  <conditionalFormatting sqref="Q84:Q91">
    <cfRule type="cellIs" dxfId="13444" priority="405" operator="lessThan">
      <formula>0</formula>
    </cfRule>
  </conditionalFormatting>
  <conditionalFormatting sqref="R84:R91">
    <cfRule type="cellIs" dxfId="13443" priority="403" operator="lessThan">
      <formula>0.8</formula>
    </cfRule>
    <cfRule type="cellIs" dxfId="13442" priority="404" operator="greaterThan">
      <formula>1</formula>
    </cfRule>
  </conditionalFormatting>
  <conditionalFormatting sqref="R84:R91">
    <cfRule type="cellIs" dxfId="13441" priority="401" operator="greaterThan">
      <formula>1</formula>
    </cfRule>
    <cfRule type="cellIs" dxfId="13440" priority="402" operator="lessThan">
      <formula>0.8</formula>
    </cfRule>
  </conditionalFormatting>
  <conditionalFormatting sqref="P84:P91">
    <cfRule type="cellIs" dxfId="13439" priority="400" operator="greaterThan">
      <formula>0</formula>
    </cfRule>
  </conditionalFormatting>
  <conditionalFormatting sqref="Q84:Q91">
    <cfRule type="cellIs" dxfId="13438" priority="399" operator="lessThan">
      <formula>0</formula>
    </cfRule>
  </conditionalFormatting>
  <conditionalFormatting sqref="R84:R91">
    <cfRule type="cellIs" dxfId="13437" priority="397" operator="lessThan">
      <formula>0.8</formula>
    </cfRule>
    <cfRule type="cellIs" dxfId="13436" priority="398" operator="greaterThan">
      <formula>1</formula>
    </cfRule>
  </conditionalFormatting>
  <conditionalFormatting sqref="R84:R91">
    <cfRule type="cellIs" dxfId="13435" priority="395" operator="greaterThan">
      <formula>1</formula>
    </cfRule>
    <cfRule type="cellIs" dxfId="13434" priority="396" operator="lessThan">
      <formula>0.8</formula>
    </cfRule>
  </conditionalFormatting>
  <conditionalFormatting sqref="P84:P91">
    <cfRule type="cellIs" dxfId="13433" priority="394" operator="greaterThan">
      <formula>0</formula>
    </cfRule>
  </conditionalFormatting>
  <conditionalFormatting sqref="Q84:Q91">
    <cfRule type="cellIs" dxfId="13432" priority="393" operator="lessThan">
      <formula>0</formula>
    </cfRule>
  </conditionalFormatting>
  <conditionalFormatting sqref="R84:R91">
    <cfRule type="cellIs" dxfId="13431" priority="391" operator="lessThan">
      <formula>0.8</formula>
    </cfRule>
    <cfRule type="cellIs" dxfId="13430" priority="392" operator="greaterThan">
      <formula>1</formula>
    </cfRule>
  </conditionalFormatting>
  <conditionalFormatting sqref="R84:R91">
    <cfRule type="cellIs" dxfId="13429" priority="389" operator="greaterThan">
      <formula>1</formula>
    </cfRule>
    <cfRule type="cellIs" dxfId="13428" priority="390" operator="lessThan">
      <formula>0.8</formula>
    </cfRule>
  </conditionalFormatting>
  <conditionalFormatting sqref="P84:P91">
    <cfRule type="cellIs" dxfId="13427" priority="388" operator="greaterThan">
      <formula>0</formula>
    </cfRule>
  </conditionalFormatting>
  <conditionalFormatting sqref="Q84:Q91">
    <cfRule type="cellIs" dxfId="13426" priority="387" operator="lessThan">
      <formula>0</formula>
    </cfRule>
  </conditionalFormatting>
  <conditionalFormatting sqref="R84:R91">
    <cfRule type="cellIs" dxfId="13425" priority="385" operator="lessThan">
      <formula>0.8</formula>
    </cfRule>
    <cfRule type="cellIs" dxfId="13424" priority="386" operator="greaterThan">
      <formula>1</formula>
    </cfRule>
  </conditionalFormatting>
  <conditionalFormatting sqref="R84:R91">
    <cfRule type="cellIs" dxfId="13423" priority="383" operator="greaterThan">
      <formula>1</formula>
    </cfRule>
    <cfRule type="cellIs" dxfId="13422" priority="384" operator="lessThan">
      <formula>0.8</formula>
    </cfRule>
  </conditionalFormatting>
  <conditionalFormatting sqref="P84:P91">
    <cfRule type="cellIs" dxfId="13421" priority="382" operator="greaterThan">
      <formula>0</formula>
    </cfRule>
  </conditionalFormatting>
  <conditionalFormatting sqref="Q84:Q91">
    <cfRule type="cellIs" dxfId="13420" priority="381" operator="lessThan">
      <formula>0</formula>
    </cfRule>
  </conditionalFormatting>
  <conditionalFormatting sqref="R84:R91">
    <cfRule type="cellIs" dxfId="13419" priority="379" operator="lessThan">
      <formula>0.8</formula>
    </cfRule>
    <cfRule type="cellIs" dxfId="13418" priority="380" operator="greaterThan">
      <formula>1</formula>
    </cfRule>
  </conditionalFormatting>
  <conditionalFormatting sqref="R84:R91">
    <cfRule type="cellIs" dxfId="13417" priority="377" operator="greaterThan">
      <formula>1</formula>
    </cfRule>
    <cfRule type="cellIs" dxfId="13416" priority="378" operator="lessThan">
      <formula>0.8</formula>
    </cfRule>
  </conditionalFormatting>
  <conditionalFormatting sqref="P84:P91">
    <cfRule type="cellIs" dxfId="13415" priority="376" operator="greaterThan">
      <formula>0</formula>
    </cfRule>
  </conditionalFormatting>
  <conditionalFormatting sqref="Q84:Q91">
    <cfRule type="cellIs" dxfId="13414" priority="375" operator="lessThan">
      <formula>0</formula>
    </cfRule>
  </conditionalFormatting>
  <conditionalFormatting sqref="R84:R91">
    <cfRule type="cellIs" dxfId="13413" priority="373" operator="lessThan">
      <formula>0.8</formula>
    </cfRule>
    <cfRule type="cellIs" dxfId="13412" priority="374" operator="greaterThan">
      <formula>1</formula>
    </cfRule>
  </conditionalFormatting>
  <conditionalFormatting sqref="R84:R91">
    <cfRule type="cellIs" dxfId="13411" priority="371" operator="greaterThan">
      <formula>1</formula>
    </cfRule>
    <cfRule type="cellIs" dxfId="13410" priority="372" operator="lessThan">
      <formula>0.8</formula>
    </cfRule>
  </conditionalFormatting>
  <conditionalFormatting sqref="P84:P91">
    <cfRule type="cellIs" dxfId="13409" priority="370" operator="greaterThan">
      <formula>0</formula>
    </cfRule>
  </conditionalFormatting>
  <conditionalFormatting sqref="P84:P91">
    <cfRule type="cellIs" dxfId="13408" priority="364" operator="greaterThan">
      <formula>0</formula>
    </cfRule>
  </conditionalFormatting>
  <conditionalFormatting sqref="Q84:Q91">
    <cfRule type="cellIs" dxfId="13407" priority="369" operator="lessThan">
      <formula>0</formula>
    </cfRule>
  </conditionalFormatting>
  <conditionalFormatting sqref="R84:R91">
    <cfRule type="cellIs" dxfId="13406" priority="367" operator="lessThan">
      <formula>0.8</formula>
    </cfRule>
    <cfRule type="cellIs" dxfId="13405" priority="368" operator="greaterThan">
      <formula>1</formula>
    </cfRule>
  </conditionalFormatting>
  <conditionalFormatting sqref="R84:R91">
    <cfRule type="cellIs" dxfId="13404" priority="365" operator="greaterThan">
      <formula>1</formula>
    </cfRule>
    <cfRule type="cellIs" dxfId="13403" priority="366" operator="lessThan">
      <formula>0.8</formula>
    </cfRule>
  </conditionalFormatting>
  <conditionalFormatting sqref="P84:P91">
    <cfRule type="cellIs" dxfId="13402" priority="358" operator="greaterThan">
      <formula>0</formula>
    </cfRule>
  </conditionalFormatting>
  <conditionalFormatting sqref="Q84:Q91">
    <cfRule type="cellIs" dxfId="13401" priority="363" operator="lessThan">
      <formula>0</formula>
    </cfRule>
  </conditionalFormatting>
  <conditionalFormatting sqref="R84:R91">
    <cfRule type="cellIs" dxfId="13400" priority="361" operator="lessThan">
      <formula>0.8</formula>
    </cfRule>
    <cfRule type="cellIs" dxfId="13399" priority="362" operator="greaterThan">
      <formula>1</formula>
    </cfRule>
  </conditionalFormatting>
  <conditionalFormatting sqref="R84:R91">
    <cfRule type="cellIs" dxfId="13398" priority="359" operator="greaterThan">
      <formula>1</formula>
    </cfRule>
    <cfRule type="cellIs" dxfId="13397" priority="360" operator="lessThan">
      <formula>0.8</formula>
    </cfRule>
  </conditionalFormatting>
  <conditionalFormatting sqref="R84:R91">
    <cfRule type="cellIs" dxfId="13396" priority="355" operator="lessThan">
      <formula>0.8</formula>
    </cfRule>
    <cfRule type="cellIs" dxfId="13395" priority="356" operator="greaterThan">
      <formula>1</formula>
    </cfRule>
  </conditionalFormatting>
  <conditionalFormatting sqref="R84:R91">
    <cfRule type="cellIs" dxfId="13394" priority="353" operator="greaterThan">
      <formula>1</formula>
    </cfRule>
    <cfRule type="cellIs" dxfId="13393" priority="354" operator="lessThan">
      <formula>0.8</formula>
    </cfRule>
  </conditionalFormatting>
  <conditionalFormatting sqref="P84:P91">
    <cfRule type="cellIs" dxfId="13392" priority="352" operator="greaterThan">
      <formula>0</formula>
    </cfRule>
  </conditionalFormatting>
  <conditionalFormatting sqref="Q84:Q91">
    <cfRule type="cellIs" dxfId="13391" priority="357" operator="lessThan">
      <formula>0</formula>
    </cfRule>
  </conditionalFormatting>
  <conditionalFormatting sqref="Q84:Q91">
    <cfRule type="cellIs" dxfId="13390" priority="351" operator="lessThan">
      <formula>0</formula>
    </cfRule>
  </conditionalFormatting>
  <conditionalFormatting sqref="R84:R91">
    <cfRule type="cellIs" dxfId="13389" priority="349" operator="lessThan">
      <formula>0.8</formula>
    </cfRule>
    <cfRule type="cellIs" dxfId="13388" priority="350" operator="greaterThan">
      <formula>1</formula>
    </cfRule>
  </conditionalFormatting>
  <conditionalFormatting sqref="R84:R91">
    <cfRule type="cellIs" dxfId="13387" priority="347" operator="greaterThan">
      <formula>1</formula>
    </cfRule>
    <cfRule type="cellIs" dxfId="13386" priority="348" operator="lessThan">
      <formula>0.8</formula>
    </cfRule>
  </conditionalFormatting>
  <conditionalFormatting sqref="P84:P91">
    <cfRule type="cellIs" dxfId="13385" priority="346" operator="greaterThan">
      <formula>0</formula>
    </cfRule>
  </conditionalFormatting>
  <conditionalFormatting sqref="P84:P91">
    <cfRule type="cellIs" dxfId="13384" priority="340" operator="greaterThan">
      <formula>0</formula>
    </cfRule>
  </conditionalFormatting>
  <conditionalFormatting sqref="Q84:Q91">
    <cfRule type="cellIs" dxfId="13383" priority="345" operator="lessThan">
      <formula>0</formula>
    </cfRule>
  </conditionalFormatting>
  <conditionalFormatting sqref="R84:R91">
    <cfRule type="cellIs" dxfId="13382" priority="343" operator="lessThan">
      <formula>0.8</formula>
    </cfRule>
    <cfRule type="cellIs" dxfId="13381" priority="344" operator="greaterThan">
      <formula>1</formula>
    </cfRule>
  </conditionalFormatting>
  <conditionalFormatting sqref="R84:R91">
    <cfRule type="cellIs" dxfId="13380" priority="341" operator="greaterThan">
      <formula>1</formula>
    </cfRule>
    <cfRule type="cellIs" dxfId="13379" priority="342" operator="lessThan">
      <formula>0.8</formula>
    </cfRule>
  </conditionalFormatting>
  <conditionalFormatting sqref="P84:P91">
    <cfRule type="cellIs" dxfId="13378" priority="334" operator="greaterThan">
      <formula>0</formula>
    </cfRule>
  </conditionalFormatting>
  <conditionalFormatting sqref="Q84:Q91">
    <cfRule type="cellIs" dxfId="13377" priority="339" operator="lessThan">
      <formula>0</formula>
    </cfRule>
  </conditionalFormatting>
  <conditionalFormatting sqref="R84:R91">
    <cfRule type="cellIs" dxfId="13376" priority="337" operator="lessThan">
      <formula>0.8</formula>
    </cfRule>
    <cfRule type="cellIs" dxfId="13375" priority="338" operator="greaterThan">
      <formula>1</formula>
    </cfRule>
  </conditionalFormatting>
  <conditionalFormatting sqref="R84:R91">
    <cfRule type="cellIs" dxfId="13374" priority="335" operator="greaterThan">
      <formula>1</formula>
    </cfRule>
    <cfRule type="cellIs" dxfId="13373" priority="336" operator="lessThan">
      <formula>0.8</formula>
    </cfRule>
  </conditionalFormatting>
  <conditionalFormatting sqref="R84:R91">
    <cfRule type="cellIs" dxfId="13372" priority="331" operator="lessThan">
      <formula>0.8</formula>
    </cfRule>
    <cfRule type="cellIs" dxfId="13371" priority="332" operator="greaterThan">
      <formula>1</formula>
    </cfRule>
  </conditionalFormatting>
  <conditionalFormatting sqref="R84:R91">
    <cfRule type="cellIs" dxfId="13370" priority="329" operator="greaterThan">
      <formula>1</formula>
    </cfRule>
    <cfRule type="cellIs" dxfId="13369" priority="330" operator="lessThan">
      <formula>0.8</formula>
    </cfRule>
  </conditionalFormatting>
  <conditionalFormatting sqref="P84:P91">
    <cfRule type="cellIs" dxfId="13368" priority="328" operator="greaterThan">
      <formula>0</formula>
    </cfRule>
  </conditionalFormatting>
  <conditionalFormatting sqref="Q84:Q91">
    <cfRule type="cellIs" dxfId="13367" priority="333" operator="lessThan">
      <formula>0</formula>
    </cfRule>
  </conditionalFormatting>
  <conditionalFormatting sqref="P84:P91">
    <cfRule type="cellIs" dxfId="13366" priority="322" operator="greaterThan">
      <formula>0</formula>
    </cfRule>
  </conditionalFormatting>
  <conditionalFormatting sqref="Q84:Q91">
    <cfRule type="cellIs" dxfId="13365" priority="327" operator="lessThan">
      <formula>0</formula>
    </cfRule>
  </conditionalFormatting>
  <conditionalFormatting sqref="R84:R91">
    <cfRule type="cellIs" dxfId="13364" priority="325" operator="lessThan">
      <formula>0.8</formula>
    </cfRule>
    <cfRule type="cellIs" dxfId="13363" priority="326" operator="greaterThan">
      <formula>1</formula>
    </cfRule>
  </conditionalFormatting>
  <conditionalFormatting sqref="R84:R91">
    <cfRule type="cellIs" dxfId="13362" priority="323" operator="greaterThan">
      <formula>1</formula>
    </cfRule>
    <cfRule type="cellIs" dxfId="13361" priority="324" operator="lessThan">
      <formula>0.8</formula>
    </cfRule>
  </conditionalFormatting>
  <conditionalFormatting sqref="R84:R91">
    <cfRule type="cellIs" dxfId="13360" priority="319" operator="lessThan">
      <formula>0.8</formula>
    </cfRule>
    <cfRule type="cellIs" dxfId="13359" priority="320" operator="greaterThan">
      <formula>1</formula>
    </cfRule>
  </conditionalFormatting>
  <conditionalFormatting sqref="R84:R91">
    <cfRule type="cellIs" dxfId="13358" priority="317" operator="greaterThan">
      <formula>1</formula>
    </cfRule>
    <cfRule type="cellIs" dxfId="13357" priority="318" operator="lessThan">
      <formula>0.8</formula>
    </cfRule>
  </conditionalFormatting>
  <conditionalFormatting sqref="P84:P91">
    <cfRule type="cellIs" dxfId="13356" priority="316" operator="greaterThan">
      <formula>0</formula>
    </cfRule>
  </conditionalFormatting>
  <conditionalFormatting sqref="Q84:Q91">
    <cfRule type="cellIs" dxfId="13355" priority="321" operator="lessThan">
      <formula>0</formula>
    </cfRule>
  </conditionalFormatting>
  <conditionalFormatting sqref="R84:R91">
    <cfRule type="cellIs" dxfId="13354" priority="313" operator="lessThan">
      <formula>0.8</formula>
    </cfRule>
    <cfRule type="cellIs" dxfId="13353" priority="314" operator="greaterThan">
      <formula>1</formula>
    </cfRule>
  </conditionalFormatting>
  <conditionalFormatting sqref="R84:R91">
    <cfRule type="cellIs" dxfId="13352" priority="311" operator="greaterThan">
      <formula>1</formula>
    </cfRule>
    <cfRule type="cellIs" dxfId="13351" priority="312" operator="lessThan">
      <formula>0.8</formula>
    </cfRule>
  </conditionalFormatting>
  <conditionalFormatting sqref="P84:P91">
    <cfRule type="cellIs" dxfId="13350" priority="310" operator="greaterThan">
      <formula>0</formula>
    </cfRule>
  </conditionalFormatting>
  <conditionalFormatting sqref="Q84:Q91">
    <cfRule type="cellIs" dxfId="13349" priority="315" operator="lessThan">
      <formula>0</formula>
    </cfRule>
  </conditionalFormatting>
  <conditionalFormatting sqref="Q84:Q91">
    <cfRule type="cellIs" dxfId="13348" priority="309" operator="lessThan">
      <formula>0</formula>
    </cfRule>
  </conditionalFormatting>
  <conditionalFormatting sqref="R84:R91">
    <cfRule type="cellIs" dxfId="13347" priority="307" operator="lessThan">
      <formula>0.8</formula>
    </cfRule>
    <cfRule type="cellIs" dxfId="13346" priority="308" operator="greaterThan">
      <formula>1</formula>
    </cfRule>
  </conditionalFormatting>
  <conditionalFormatting sqref="R84:R91">
    <cfRule type="cellIs" dxfId="13345" priority="305" operator="greaterThan">
      <formula>1</formula>
    </cfRule>
    <cfRule type="cellIs" dxfId="13344" priority="306" operator="lessThan">
      <formula>0.8</formula>
    </cfRule>
  </conditionalFormatting>
  <conditionalFormatting sqref="P84:P91">
    <cfRule type="cellIs" dxfId="13343" priority="304" operator="greaterThan">
      <formula>0</formula>
    </cfRule>
  </conditionalFormatting>
  <conditionalFormatting sqref="Q84:Q91">
    <cfRule type="cellIs" dxfId="13342" priority="298" operator="lessThan">
      <formula>0</formula>
    </cfRule>
  </conditionalFormatting>
  <conditionalFormatting sqref="R84:R91">
    <cfRule type="cellIs" dxfId="13341" priority="302" operator="lessThan">
      <formula>0.8</formula>
    </cfRule>
    <cfRule type="cellIs" dxfId="13340" priority="303" operator="greaterThan">
      <formula>1</formula>
    </cfRule>
  </conditionalFormatting>
  <conditionalFormatting sqref="R84:R91">
    <cfRule type="cellIs" dxfId="13339" priority="300" operator="greaterThan">
      <formula>1</formula>
    </cfRule>
    <cfRule type="cellIs" dxfId="13338" priority="301" operator="lessThan">
      <formula>0.8</formula>
    </cfRule>
  </conditionalFormatting>
  <conditionalFormatting sqref="P84:P91">
    <cfRule type="cellIs" dxfId="13337" priority="299" operator="greaterThan">
      <formula>0</formula>
    </cfRule>
  </conditionalFormatting>
  <conditionalFormatting sqref="Q84:Q91">
    <cfRule type="cellIs" dxfId="13336" priority="297" operator="lessThan">
      <formula>0</formula>
    </cfRule>
  </conditionalFormatting>
  <conditionalFormatting sqref="R84:R91">
    <cfRule type="cellIs" dxfId="13335" priority="295" operator="lessThan">
      <formula>0.8</formula>
    </cfRule>
    <cfRule type="cellIs" dxfId="13334" priority="296" operator="greaterThan">
      <formula>1</formula>
    </cfRule>
  </conditionalFormatting>
  <conditionalFormatting sqref="R84:R91">
    <cfRule type="cellIs" dxfId="13333" priority="293" operator="greaterThan">
      <formula>1</formula>
    </cfRule>
    <cfRule type="cellIs" dxfId="13332" priority="294" operator="lessThan">
      <formula>0.8</formula>
    </cfRule>
  </conditionalFormatting>
  <conditionalFormatting sqref="P84:P91">
    <cfRule type="cellIs" dxfId="13331" priority="292" operator="greaterThan">
      <formula>0</formula>
    </cfRule>
  </conditionalFormatting>
  <conditionalFormatting sqref="Q84:Q91">
    <cfRule type="cellIs" dxfId="13330" priority="291" operator="lessThan">
      <formula>0</formula>
    </cfRule>
  </conditionalFormatting>
  <conditionalFormatting sqref="R84:R91">
    <cfRule type="cellIs" dxfId="13329" priority="289" operator="lessThan">
      <formula>0.8</formula>
    </cfRule>
    <cfRule type="cellIs" dxfId="13328" priority="290" operator="greaterThan">
      <formula>1</formula>
    </cfRule>
  </conditionalFormatting>
  <conditionalFormatting sqref="R84:R91">
    <cfRule type="cellIs" dxfId="13327" priority="287" operator="greaterThan">
      <formula>1</formula>
    </cfRule>
    <cfRule type="cellIs" dxfId="13326" priority="288" operator="lessThan">
      <formula>0.8</formula>
    </cfRule>
  </conditionalFormatting>
  <conditionalFormatting sqref="P84:P91">
    <cfRule type="cellIs" dxfId="13325" priority="286" operator="greaterThan">
      <formula>0</formula>
    </cfRule>
  </conditionalFormatting>
  <conditionalFormatting sqref="Q84:Q91">
    <cfRule type="cellIs" dxfId="13324" priority="285" operator="lessThan">
      <formula>0</formula>
    </cfRule>
  </conditionalFormatting>
  <conditionalFormatting sqref="R84:R91">
    <cfRule type="cellIs" dxfId="13323" priority="283" operator="lessThan">
      <formula>0.8</formula>
    </cfRule>
    <cfRule type="cellIs" dxfId="13322" priority="284" operator="greaterThan">
      <formula>1</formula>
    </cfRule>
  </conditionalFormatting>
  <conditionalFormatting sqref="R84:R91">
    <cfRule type="cellIs" dxfId="13321" priority="281" operator="greaterThan">
      <formula>1</formula>
    </cfRule>
    <cfRule type="cellIs" dxfId="13320" priority="282" operator="lessThan">
      <formula>0.8</formula>
    </cfRule>
  </conditionalFormatting>
  <conditionalFormatting sqref="P84:P91">
    <cfRule type="cellIs" dxfId="13319" priority="280" operator="greaterThan">
      <formula>0</formula>
    </cfRule>
  </conditionalFormatting>
  <conditionalFormatting sqref="Q84:Q91">
    <cfRule type="cellIs" dxfId="13318" priority="279" operator="lessThan">
      <formula>0</formula>
    </cfRule>
  </conditionalFormatting>
  <conditionalFormatting sqref="R84:R91">
    <cfRule type="cellIs" dxfId="13317" priority="277" operator="lessThan">
      <formula>0.8</formula>
    </cfRule>
    <cfRule type="cellIs" dxfId="13316" priority="278" operator="greaterThan">
      <formula>1</formula>
    </cfRule>
  </conditionalFormatting>
  <conditionalFormatting sqref="R84:R91">
    <cfRule type="cellIs" dxfId="13315" priority="275" operator="greaterThan">
      <formula>1</formula>
    </cfRule>
    <cfRule type="cellIs" dxfId="13314" priority="276" operator="lessThan">
      <formula>0.8</formula>
    </cfRule>
  </conditionalFormatting>
  <conditionalFormatting sqref="P84:P91">
    <cfRule type="cellIs" dxfId="13313" priority="274" operator="greaterThan">
      <formula>0</formula>
    </cfRule>
  </conditionalFormatting>
  <conditionalFormatting sqref="Q84:Q91">
    <cfRule type="cellIs" dxfId="13312" priority="273" operator="lessThan">
      <formula>0</formula>
    </cfRule>
  </conditionalFormatting>
  <conditionalFormatting sqref="R84:R91">
    <cfRule type="cellIs" dxfId="13311" priority="271" operator="lessThan">
      <formula>0.8</formula>
    </cfRule>
    <cfRule type="cellIs" dxfId="13310" priority="272" operator="greaterThan">
      <formula>1</formula>
    </cfRule>
  </conditionalFormatting>
  <conditionalFormatting sqref="R84:R91">
    <cfRule type="cellIs" dxfId="13309" priority="269" operator="greaterThan">
      <formula>1</formula>
    </cfRule>
    <cfRule type="cellIs" dxfId="13308" priority="270" operator="lessThan">
      <formula>0.8</formula>
    </cfRule>
  </conditionalFormatting>
  <conditionalFormatting sqref="P84:P91">
    <cfRule type="cellIs" dxfId="13307" priority="268" operator="greaterThan">
      <formula>0</formula>
    </cfRule>
  </conditionalFormatting>
  <conditionalFormatting sqref="P84:P91">
    <cfRule type="cellIs" dxfId="13306" priority="262" operator="greaterThan">
      <formula>0</formula>
    </cfRule>
  </conditionalFormatting>
  <conditionalFormatting sqref="Q84:Q91">
    <cfRule type="cellIs" dxfId="13305" priority="267" operator="lessThan">
      <formula>0</formula>
    </cfRule>
  </conditionalFormatting>
  <conditionalFormatting sqref="R84:R91">
    <cfRule type="cellIs" dxfId="13304" priority="265" operator="lessThan">
      <formula>0.8</formula>
    </cfRule>
    <cfRule type="cellIs" dxfId="13303" priority="266" operator="greaterThan">
      <formula>1</formula>
    </cfRule>
  </conditionalFormatting>
  <conditionalFormatting sqref="R84:R91">
    <cfRule type="cellIs" dxfId="13302" priority="263" operator="greaterThan">
      <formula>1</formula>
    </cfRule>
    <cfRule type="cellIs" dxfId="13301" priority="264" operator="lessThan">
      <formula>0.8</formula>
    </cfRule>
  </conditionalFormatting>
  <conditionalFormatting sqref="P84:P91">
    <cfRule type="cellIs" dxfId="13300" priority="256" operator="greaterThan">
      <formula>0</formula>
    </cfRule>
  </conditionalFormatting>
  <conditionalFormatting sqref="Q84:Q91">
    <cfRule type="cellIs" dxfId="13299" priority="261" operator="lessThan">
      <formula>0</formula>
    </cfRule>
  </conditionalFormatting>
  <conditionalFormatting sqref="R84:R91">
    <cfRule type="cellIs" dxfId="13298" priority="259" operator="lessThan">
      <formula>0.8</formula>
    </cfRule>
    <cfRule type="cellIs" dxfId="13297" priority="260" operator="greaterThan">
      <formula>1</formula>
    </cfRule>
  </conditionalFormatting>
  <conditionalFormatting sqref="R84:R91">
    <cfRule type="cellIs" dxfId="13296" priority="257" operator="greaterThan">
      <formula>1</formula>
    </cfRule>
    <cfRule type="cellIs" dxfId="13295" priority="258" operator="lessThan">
      <formula>0.8</formula>
    </cfRule>
  </conditionalFormatting>
  <conditionalFormatting sqref="R84:R91">
    <cfRule type="cellIs" dxfId="13294" priority="253" operator="lessThan">
      <formula>0.8</formula>
    </cfRule>
    <cfRule type="cellIs" dxfId="13293" priority="254" operator="greaterThan">
      <formula>1</formula>
    </cfRule>
  </conditionalFormatting>
  <conditionalFormatting sqref="R84:R91">
    <cfRule type="cellIs" dxfId="13292" priority="251" operator="greaterThan">
      <formula>1</formula>
    </cfRule>
    <cfRule type="cellIs" dxfId="13291" priority="252" operator="lessThan">
      <formula>0.8</formula>
    </cfRule>
  </conditionalFormatting>
  <conditionalFormatting sqref="P84:P91">
    <cfRule type="cellIs" dxfId="13290" priority="250" operator="greaterThan">
      <formula>0</formula>
    </cfRule>
  </conditionalFormatting>
  <conditionalFormatting sqref="Q84:Q91">
    <cfRule type="cellIs" dxfId="13289" priority="255" operator="lessThan">
      <formula>0</formula>
    </cfRule>
  </conditionalFormatting>
  <conditionalFormatting sqref="Q84:Q91">
    <cfRule type="cellIs" dxfId="13288" priority="249" operator="lessThan">
      <formula>0</formula>
    </cfRule>
  </conditionalFormatting>
  <conditionalFormatting sqref="R84:R91">
    <cfRule type="cellIs" dxfId="13287" priority="247" operator="lessThan">
      <formula>0.8</formula>
    </cfRule>
    <cfRule type="cellIs" dxfId="13286" priority="248" operator="greaterThan">
      <formula>1</formula>
    </cfRule>
  </conditionalFormatting>
  <conditionalFormatting sqref="R84:R91">
    <cfRule type="cellIs" dxfId="13285" priority="245" operator="greaterThan">
      <formula>1</formula>
    </cfRule>
    <cfRule type="cellIs" dxfId="13284" priority="246" operator="lessThan">
      <formula>0.8</formula>
    </cfRule>
  </conditionalFormatting>
  <conditionalFormatting sqref="P84:P91">
    <cfRule type="cellIs" dxfId="13283" priority="244" operator="greaterThan">
      <formula>0</formula>
    </cfRule>
  </conditionalFormatting>
  <conditionalFormatting sqref="Q84:Q91">
    <cfRule type="cellIs" dxfId="13282" priority="243" operator="lessThan">
      <formula>0</formula>
    </cfRule>
  </conditionalFormatting>
  <conditionalFormatting sqref="R84:R91">
    <cfRule type="cellIs" dxfId="13281" priority="241" operator="lessThan">
      <formula>0.8</formula>
    </cfRule>
    <cfRule type="cellIs" dxfId="13280" priority="242" operator="greaterThan">
      <formula>1</formula>
    </cfRule>
  </conditionalFormatting>
  <conditionalFormatting sqref="R84:R91">
    <cfRule type="cellIs" dxfId="13279" priority="239" operator="greaterThan">
      <formula>1</formula>
    </cfRule>
    <cfRule type="cellIs" dxfId="13278" priority="240" operator="lessThan">
      <formula>0.8</formula>
    </cfRule>
  </conditionalFormatting>
  <conditionalFormatting sqref="P84:P91">
    <cfRule type="cellIs" dxfId="13277" priority="238" operator="greaterThan">
      <formula>0</formula>
    </cfRule>
  </conditionalFormatting>
  <conditionalFormatting sqref="Q84:Q91">
    <cfRule type="cellIs" dxfId="13276" priority="237" operator="lessThan">
      <formula>0</formula>
    </cfRule>
  </conditionalFormatting>
  <conditionalFormatting sqref="R84:R91">
    <cfRule type="cellIs" dxfId="13275" priority="235" operator="lessThan">
      <formula>0.8</formula>
    </cfRule>
    <cfRule type="cellIs" dxfId="13274" priority="236" operator="greaterThan">
      <formula>1</formula>
    </cfRule>
  </conditionalFormatting>
  <conditionalFormatting sqref="R84:R91">
    <cfRule type="cellIs" dxfId="13273" priority="233" operator="greaterThan">
      <formula>1</formula>
    </cfRule>
    <cfRule type="cellIs" dxfId="13272" priority="234" operator="lessThan">
      <formula>0.8</formula>
    </cfRule>
  </conditionalFormatting>
  <conditionalFormatting sqref="P84:P91">
    <cfRule type="cellIs" dxfId="13271" priority="232" operator="greaterThan">
      <formula>0</formula>
    </cfRule>
  </conditionalFormatting>
  <conditionalFormatting sqref="Q84:Q91">
    <cfRule type="cellIs" dxfId="13270" priority="231" operator="lessThan">
      <formula>0</formula>
    </cfRule>
  </conditionalFormatting>
  <conditionalFormatting sqref="R84:R91">
    <cfRule type="cellIs" dxfId="13269" priority="229" operator="lessThan">
      <formula>0.8</formula>
    </cfRule>
    <cfRule type="cellIs" dxfId="13268" priority="230" operator="greaterThan">
      <formula>1</formula>
    </cfRule>
  </conditionalFormatting>
  <conditionalFormatting sqref="R84:R91">
    <cfRule type="cellIs" dxfId="13267" priority="227" operator="greaterThan">
      <formula>1</formula>
    </cfRule>
    <cfRule type="cellIs" dxfId="13266" priority="228" operator="lessThan">
      <formula>0.8</formula>
    </cfRule>
  </conditionalFormatting>
  <conditionalFormatting sqref="P84:P91">
    <cfRule type="cellIs" dxfId="13265" priority="226" operator="greaterThan">
      <formula>0</formula>
    </cfRule>
  </conditionalFormatting>
  <conditionalFormatting sqref="P84:P91">
    <cfRule type="cellIs" dxfId="13264" priority="220" operator="greaterThan">
      <formula>0</formula>
    </cfRule>
  </conditionalFormatting>
  <conditionalFormatting sqref="Q84:Q91">
    <cfRule type="cellIs" dxfId="13263" priority="225" operator="lessThan">
      <formula>0</formula>
    </cfRule>
  </conditionalFormatting>
  <conditionalFormatting sqref="R84:R91">
    <cfRule type="cellIs" dxfId="13262" priority="223" operator="lessThan">
      <formula>0.8</formula>
    </cfRule>
    <cfRule type="cellIs" dxfId="13261" priority="224" operator="greaterThan">
      <formula>1</formula>
    </cfRule>
  </conditionalFormatting>
  <conditionalFormatting sqref="R84:R91">
    <cfRule type="cellIs" dxfId="13260" priority="221" operator="greaterThan">
      <formula>1</formula>
    </cfRule>
    <cfRule type="cellIs" dxfId="13259" priority="222" operator="lessThan">
      <formula>0.8</formula>
    </cfRule>
  </conditionalFormatting>
  <conditionalFormatting sqref="P84:P91">
    <cfRule type="cellIs" dxfId="13258" priority="214" operator="greaterThan">
      <formula>0</formula>
    </cfRule>
  </conditionalFormatting>
  <conditionalFormatting sqref="Q84:Q91">
    <cfRule type="cellIs" dxfId="13257" priority="219" operator="lessThan">
      <formula>0</formula>
    </cfRule>
  </conditionalFormatting>
  <conditionalFormatting sqref="R84:R91">
    <cfRule type="cellIs" dxfId="13256" priority="217" operator="lessThan">
      <formula>0.8</formula>
    </cfRule>
    <cfRule type="cellIs" dxfId="13255" priority="218" operator="greaterThan">
      <formula>1</formula>
    </cfRule>
  </conditionalFormatting>
  <conditionalFormatting sqref="R84:R91">
    <cfRule type="cellIs" dxfId="13254" priority="215" operator="greaterThan">
      <formula>1</formula>
    </cfRule>
    <cfRule type="cellIs" dxfId="13253" priority="216" operator="lessThan">
      <formula>0.8</formula>
    </cfRule>
  </conditionalFormatting>
  <conditionalFormatting sqref="R84:R91">
    <cfRule type="cellIs" dxfId="13252" priority="211" operator="lessThan">
      <formula>0.8</formula>
    </cfRule>
    <cfRule type="cellIs" dxfId="13251" priority="212" operator="greaterThan">
      <formula>1</formula>
    </cfRule>
  </conditionalFormatting>
  <conditionalFormatting sqref="R84:R91">
    <cfRule type="cellIs" dxfId="13250" priority="209" operator="greaterThan">
      <formula>1</formula>
    </cfRule>
    <cfRule type="cellIs" dxfId="13249" priority="210" operator="lessThan">
      <formula>0.8</formula>
    </cfRule>
  </conditionalFormatting>
  <conditionalFormatting sqref="P84:P91">
    <cfRule type="cellIs" dxfId="13248" priority="208" operator="greaterThan">
      <formula>0</formula>
    </cfRule>
  </conditionalFormatting>
  <conditionalFormatting sqref="Q84:Q91">
    <cfRule type="cellIs" dxfId="13247" priority="213" operator="lessThan">
      <formula>0</formula>
    </cfRule>
  </conditionalFormatting>
  <conditionalFormatting sqref="Q84:Q91">
    <cfRule type="cellIs" dxfId="13246" priority="207" operator="lessThan">
      <formula>0</formula>
    </cfRule>
  </conditionalFormatting>
  <conditionalFormatting sqref="R84:R91">
    <cfRule type="cellIs" dxfId="13245" priority="205" operator="lessThan">
      <formula>0.8</formula>
    </cfRule>
    <cfRule type="cellIs" dxfId="13244" priority="206" operator="greaterThan">
      <formula>1</formula>
    </cfRule>
  </conditionalFormatting>
  <conditionalFormatting sqref="R84:R91">
    <cfRule type="cellIs" dxfId="13243" priority="203" operator="greaterThan">
      <formula>1</formula>
    </cfRule>
    <cfRule type="cellIs" dxfId="13242" priority="204" operator="lessThan">
      <formula>0.8</formula>
    </cfRule>
  </conditionalFormatting>
  <conditionalFormatting sqref="P84:P91">
    <cfRule type="cellIs" dxfId="13241" priority="202" operator="greaterThan">
      <formula>0</formula>
    </cfRule>
  </conditionalFormatting>
  <conditionalFormatting sqref="P84:P91">
    <cfRule type="cellIs" dxfId="13240" priority="196" operator="greaterThan">
      <formula>0</formula>
    </cfRule>
  </conditionalFormatting>
  <conditionalFormatting sqref="Q84:Q91">
    <cfRule type="cellIs" dxfId="13239" priority="201" operator="lessThan">
      <formula>0</formula>
    </cfRule>
  </conditionalFormatting>
  <conditionalFormatting sqref="R84:R91">
    <cfRule type="cellIs" dxfId="13238" priority="199" operator="lessThan">
      <formula>0.8</formula>
    </cfRule>
    <cfRule type="cellIs" dxfId="13237" priority="200" operator="greaterThan">
      <formula>1</formula>
    </cfRule>
  </conditionalFormatting>
  <conditionalFormatting sqref="R84:R91">
    <cfRule type="cellIs" dxfId="13236" priority="197" operator="greaterThan">
      <formula>1</formula>
    </cfRule>
    <cfRule type="cellIs" dxfId="13235" priority="198" operator="lessThan">
      <formula>0.8</formula>
    </cfRule>
  </conditionalFormatting>
  <conditionalFormatting sqref="P84:P91">
    <cfRule type="cellIs" dxfId="13234" priority="190" operator="greaterThan">
      <formula>0</formula>
    </cfRule>
  </conditionalFormatting>
  <conditionalFormatting sqref="Q84:Q91">
    <cfRule type="cellIs" dxfId="13233" priority="195" operator="lessThan">
      <formula>0</formula>
    </cfRule>
  </conditionalFormatting>
  <conditionalFormatting sqref="R84:R91">
    <cfRule type="cellIs" dxfId="13232" priority="193" operator="lessThan">
      <formula>0.8</formula>
    </cfRule>
    <cfRule type="cellIs" dxfId="13231" priority="194" operator="greaterThan">
      <formula>1</formula>
    </cfRule>
  </conditionalFormatting>
  <conditionalFormatting sqref="R84:R91">
    <cfRule type="cellIs" dxfId="13230" priority="191" operator="greaterThan">
      <formula>1</formula>
    </cfRule>
    <cfRule type="cellIs" dxfId="13229" priority="192" operator="lessThan">
      <formula>0.8</formula>
    </cfRule>
  </conditionalFormatting>
  <conditionalFormatting sqref="R84:R91">
    <cfRule type="cellIs" dxfId="13228" priority="187" operator="lessThan">
      <formula>0.8</formula>
    </cfRule>
    <cfRule type="cellIs" dxfId="13227" priority="188" operator="greaterThan">
      <formula>1</formula>
    </cfRule>
  </conditionalFormatting>
  <conditionalFormatting sqref="R84:R91">
    <cfRule type="cellIs" dxfId="13226" priority="185" operator="greaterThan">
      <formula>1</formula>
    </cfRule>
    <cfRule type="cellIs" dxfId="13225" priority="186" operator="lessThan">
      <formula>0.8</formula>
    </cfRule>
  </conditionalFormatting>
  <conditionalFormatting sqref="P84:P91">
    <cfRule type="cellIs" dxfId="13224" priority="184" operator="greaterThan">
      <formula>0</formula>
    </cfRule>
  </conditionalFormatting>
  <conditionalFormatting sqref="Q84:Q91">
    <cfRule type="cellIs" dxfId="13223" priority="189" operator="lessThan">
      <formula>0</formula>
    </cfRule>
  </conditionalFormatting>
  <conditionalFormatting sqref="P84:P91">
    <cfRule type="cellIs" dxfId="13222" priority="178" operator="greaterThan">
      <formula>0</formula>
    </cfRule>
  </conditionalFormatting>
  <conditionalFormatting sqref="Q84:Q91">
    <cfRule type="cellIs" dxfId="13221" priority="183" operator="lessThan">
      <formula>0</formula>
    </cfRule>
  </conditionalFormatting>
  <conditionalFormatting sqref="R84:R91">
    <cfRule type="cellIs" dxfId="13220" priority="181" operator="lessThan">
      <formula>0.8</formula>
    </cfRule>
    <cfRule type="cellIs" dxfId="13219" priority="182" operator="greaterThan">
      <formula>1</formula>
    </cfRule>
  </conditionalFormatting>
  <conditionalFormatting sqref="R84:R91">
    <cfRule type="cellIs" dxfId="13218" priority="179" operator="greaterThan">
      <formula>1</formula>
    </cfRule>
    <cfRule type="cellIs" dxfId="13217" priority="180" operator="lessThan">
      <formula>0.8</formula>
    </cfRule>
  </conditionalFormatting>
  <conditionalFormatting sqref="R84:R91">
    <cfRule type="cellIs" dxfId="13216" priority="175" operator="lessThan">
      <formula>0.8</formula>
    </cfRule>
    <cfRule type="cellIs" dxfId="13215" priority="176" operator="greaterThan">
      <formula>1</formula>
    </cfRule>
  </conditionalFormatting>
  <conditionalFormatting sqref="R84:R91">
    <cfRule type="cellIs" dxfId="13214" priority="173" operator="greaterThan">
      <formula>1</formula>
    </cfRule>
    <cfRule type="cellIs" dxfId="13213" priority="174" operator="lessThan">
      <formula>0.8</formula>
    </cfRule>
  </conditionalFormatting>
  <conditionalFormatting sqref="P84:P91">
    <cfRule type="cellIs" dxfId="13212" priority="172" operator="greaterThan">
      <formula>0</formula>
    </cfRule>
  </conditionalFormatting>
  <conditionalFormatting sqref="Q84:Q91">
    <cfRule type="cellIs" dxfId="13211" priority="177" operator="lessThan">
      <formula>0</formula>
    </cfRule>
  </conditionalFormatting>
  <conditionalFormatting sqref="R84:R91">
    <cfRule type="cellIs" dxfId="13210" priority="169" operator="lessThan">
      <formula>0.8</formula>
    </cfRule>
    <cfRule type="cellIs" dxfId="13209" priority="170" operator="greaterThan">
      <formula>1</formula>
    </cfRule>
  </conditionalFormatting>
  <conditionalFormatting sqref="R84:R91">
    <cfRule type="cellIs" dxfId="13208" priority="167" operator="greaterThan">
      <formula>1</formula>
    </cfRule>
    <cfRule type="cellIs" dxfId="13207" priority="168" operator="lessThan">
      <formula>0.8</formula>
    </cfRule>
  </conditionalFormatting>
  <conditionalFormatting sqref="P84:P91">
    <cfRule type="cellIs" dxfId="13206" priority="166" operator="greaterThan">
      <formula>0</formula>
    </cfRule>
  </conditionalFormatting>
  <conditionalFormatting sqref="Q84:Q91">
    <cfRule type="cellIs" dxfId="13205" priority="171" operator="lessThan">
      <formula>0</formula>
    </cfRule>
  </conditionalFormatting>
  <conditionalFormatting sqref="Q84:Q91">
    <cfRule type="cellIs" dxfId="13204" priority="165" operator="lessThan">
      <formula>0</formula>
    </cfRule>
  </conditionalFormatting>
  <conditionalFormatting sqref="R84:R91">
    <cfRule type="cellIs" dxfId="13203" priority="163" operator="lessThan">
      <formula>0.8</formula>
    </cfRule>
    <cfRule type="cellIs" dxfId="13202" priority="164" operator="greaterThan">
      <formula>1</formula>
    </cfRule>
  </conditionalFormatting>
  <conditionalFormatting sqref="R84:R91">
    <cfRule type="cellIs" dxfId="13201" priority="161" operator="greaterThan">
      <formula>1</formula>
    </cfRule>
    <cfRule type="cellIs" dxfId="13200" priority="162" operator="lessThan">
      <formula>0.8</formula>
    </cfRule>
  </conditionalFormatting>
  <conditionalFormatting sqref="P84:P91">
    <cfRule type="cellIs" dxfId="13199" priority="160" operator="greaterThan">
      <formula>0</formula>
    </cfRule>
  </conditionalFormatting>
  <conditionalFormatting sqref="Q84:Q91">
    <cfRule type="cellIs" dxfId="13198" priority="154" operator="lessThan">
      <formula>0</formula>
    </cfRule>
  </conditionalFormatting>
  <conditionalFormatting sqref="R84:R91">
    <cfRule type="cellIs" dxfId="13197" priority="158" operator="lessThan">
      <formula>0.8</formula>
    </cfRule>
    <cfRule type="cellIs" dxfId="13196" priority="159" operator="greaterThan">
      <formula>1</formula>
    </cfRule>
  </conditionalFormatting>
  <conditionalFormatting sqref="R84:R91">
    <cfRule type="cellIs" dxfId="13195" priority="156" operator="greaterThan">
      <formula>1</formula>
    </cfRule>
    <cfRule type="cellIs" dxfId="13194" priority="157" operator="lessThan">
      <formula>0.8</formula>
    </cfRule>
  </conditionalFormatting>
  <conditionalFormatting sqref="P84:P91">
    <cfRule type="cellIs" dxfId="13193" priority="155" operator="greaterThan">
      <formula>0</formula>
    </cfRule>
  </conditionalFormatting>
  <conditionalFormatting sqref="Q84:Q91">
    <cfRule type="cellIs" dxfId="13192" priority="153" operator="lessThan">
      <formula>0</formula>
    </cfRule>
  </conditionalFormatting>
  <conditionalFormatting sqref="R84:R91">
    <cfRule type="cellIs" dxfId="13191" priority="151" operator="lessThan">
      <formula>0.8</formula>
    </cfRule>
    <cfRule type="cellIs" dxfId="13190" priority="152" operator="greaterThan">
      <formula>1</formula>
    </cfRule>
  </conditionalFormatting>
  <conditionalFormatting sqref="R84:R91">
    <cfRule type="cellIs" dxfId="13189" priority="149" operator="greaterThan">
      <formula>1</formula>
    </cfRule>
    <cfRule type="cellIs" dxfId="13188" priority="150" operator="lessThan">
      <formula>0.8</formula>
    </cfRule>
  </conditionalFormatting>
  <conditionalFormatting sqref="P84:P91">
    <cfRule type="cellIs" dxfId="13187" priority="148" operator="greaterThan">
      <formula>0</formula>
    </cfRule>
  </conditionalFormatting>
  <conditionalFormatting sqref="Q84:Q91">
    <cfRule type="cellIs" dxfId="13186" priority="147" operator="lessThan">
      <formula>0</formula>
    </cfRule>
  </conditionalFormatting>
  <conditionalFormatting sqref="R84:R91">
    <cfRule type="cellIs" dxfId="13185" priority="145" operator="lessThan">
      <formula>0.8</formula>
    </cfRule>
    <cfRule type="cellIs" dxfId="13184" priority="146" operator="greaterThan">
      <formula>1</formula>
    </cfRule>
  </conditionalFormatting>
  <conditionalFormatting sqref="R84:R91">
    <cfRule type="cellIs" dxfId="13183" priority="143" operator="greaterThan">
      <formula>1</formula>
    </cfRule>
    <cfRule type="cellIs" dxfId="13182" priority="144" operator="lessThan">
      <formula>0.8</formula>
    </cfRule>
  </conditionalFormatting>
  <conditionalFormatting sqref="P84:P91">
    <cfRule type="cellIs" dxfId="13181" priority="142" operator="greaterThan">
      <formula>0</formula>
    </cfRule>
  </conditionalFormatting>
  <conditionalFormatting sqref="Q84:Q91">
    <cfRule type="cellIs" dxfId="13180" priority="141" operator="lessThan">
      <formula>0</formula>
    </cfRule>
  </conditionalFormatting>
  <conditionalFormatting sqref="R84:R91">
    <cfRule type="cellIs" dxfId="13179" priority="139" operator="lessThan">
      <formula>0.8</formula>
    </cfRule>
    <cfRule type="cellIs" dxfId="13178" priority="140" operator="greaterThan">
      <formula>1</formula>
    </cfRule>
  </conditionalFormatting>
  <conditionalFormatting sqref="R84:R91">
    <cfRule type="cellIs" dxfId="13177" priority="137" operator="greaterThan">
      <formula>1</formula>
    </cfRule>
    <cfRule type="cellIs" dxfId="13176" priority="138" operator="lessThan">
      <formula>0.8</formula>
    </cfRule>
  </conditionalFormatting>
  <conditionalFormatting sqref="P84:P91">
    <cfRule type="cellIs" dxfId="13175" priority="136" operator="greaterThan">
      <formula>0</formula>
    </cfRule>
  </conditionalFormatting>
  <conditionalFormatting sqref="Q84:Q91">
    <cfRule type="cellIs" dxfId="13174" priority="135" operator="lessThan">
      <formula>0</formula>
    </cfRule>
  </conditionalFormatting>
  <conditionalFormatting sqref="R84:R91">
    <cfRule type="cellIs" dxfId="13173" priority="133" operator="lessThan">
      <formula>0.8</formula>
    </cfRule>
    <cfRule type="cellIs" dxfId="13172" priority="134" operator="greaterThan">
      <formula>1</formula>
    </cfRule>
  </conditionalFormatting>
  <conditionalFormatting sqref="R84:R91">
    <cfRule type="cellIs" dxfId="13171" priority="131" operator="greaterThan">
      <formula>1</formula>
    </cfRule>
    <cfRule type="cellIs" dxfId="13170" priority="132" operator="lessThan">
      <formula>0.8</formula>
    </cfRule>
  </conditionalFormatting>
  <conditionalFormatting sqref="P84:P91">
    <cfRule type="cellIs" dxfId="13169" priority="130" operator="greaterThan">
      <formula>0</formula>
    </cfRule>
  </conditionalFormatting>
  <conditionalFormatting sqref="Q84:Q91">
    <cfRule type="cellIs" dxfId="13168" priority="129" operator="lessThan">
      <formula>0</formula>
    </cfRule>
  </conditionalFormatting>
  <conditionalFormatting sqref="R84:R91">
    <cfRule type="cellIs" dxfId="13167" priority="127" operator="lessThan">
      <formula>0.8</formula>
    </cfRule>
    <cfRule type="cellIs" dxfId="13166" priority="128" operator="greaterThan">
      <formula>1</formula>
    </cfRule>
  </conditionalFormatting>
  <conditionalFormatting sqref="R84:R91">
    <cfRule type="cellIs" dxfId="13165" priority="125" operator="greaterThan">
      <formula>1</formula>
    </cfRule>
    <cfRule type="cellIs" dxfId="13164" priority="126" operator="lessThan">
      <formula>0.8</formula>
    </cfRule>
  </conditionalFormatting>
  <conditionalFormatting sqref="P84:P91">
    <cfRule type="cellIs" dxfId="13163" priority="124" operator="greaterThan">
      <formula>0</formula>
    </cfRule>
  </conditionalFormatting>
  <conditionalFormatting sqref="P84:P91">
    <cfRule type="cellIs" dxfId="13162" priority="118" operator="greaterThan">
      <formula>0</formula>
    </cfRule>
  </conditionalFormatting>
  <conditionalFormatting sqref="Q84:Q91">
    <cfRule type="cellIs" dxfId="13161" priority="123" operator="lessThan">
      <formula>0</formula>
    </cfRule>
  </conditionalFormatting>
  <conditionalFormatting sqref="R84:R91">
    <cfRule type="cellIs" dxfId="13160" priority="121" operator="lessThan">
      <formula>0.8</formula>
    </cfRule>
    <cfRule type="cellIs" dxfId="13159" priority="122" operator="greaterThan">
      <formula>1</formula>
    </cfRule>
  </conditionalFormatting>
  <conditionalFormatting sqref="R84:R91">
    <cfRule type="cellIs" dxfId="13158" priority="119" operator="greaterThan">
      <formula>1</formula>
    </cfRule>
    <cfRule type="cellIs" dxfId="13157" priority="120" operator="lessThan">
      <formula>0.8</formula>
    </cfRule>
  </conditionalFormatting>
  <conditionalFormatting sqref="P84:P91">
    <cfRule type="cellIs" dxfId="13156" priority="112" operator="greaterThan">
      <formula>0</formula>
    </cfRule>
  </conditionalFormatting>
  <conditionalFormatting sqref="Q84:Q91">
    <cfRule type="cellIs" dxfId="13155" priority="117" operator="lessThan">
      <formula>0</formula>
    </cfRule>
  </conditionalFormatting>
  <conditionalFormatting sqref="R84:R91">
    <cfRule type="cellIs" dxfId="13154" priority="115" operator="lessThan">
      <formula>0.8</formula>
    </cfRule>
    <cfRule type="cellIs" dxfId="13153" priority="116" operator="greaterThan">
      <formula>1</formula>
    </cfRule>
  </conditionalFormatting>
  <conditionalFormatting sqref="R84:R91">
    <cfRule type="cellIs" dxfId="13152" priority="113" operator="greaterThan">
      <formula>1</formula>
    </cfRule>
    <cfRule type="cellIs" dxfId="13151" priority="114" operator="lessThan">
      <formula>0.8</formula>
    </cfRule>
  </conditionalFormatting>
  <conditionalFormatting sqref="R84:R91">
    <cfRule type="cellIs" dxfId="13150" priority="109" operator="lessThan">
      <formula>0.8</formula>
    </cfRule>
    <cfRule type="cellIs" dxfId="13149" priority="110" operator="greaterThan">
      <formula>1</formula>
    </cfRule>
  </conditionalFormatting>
  <conditionalFormatting sqref="R84:R91">
    <cfRule type="cellIs" dxfId="13148" priority="107" operator="greaterThan">
      <formula>1</formula>
    </cfRule>
    <cfRule type="cellIs" dxfId="13147" priority="108" operator="lessThan">
      <formula>0.8</formula>
    </cfRule>
  </conditionalFormatting>
  <conditionalFormatting sqref="P84:P91">
    <cfRule type="cellIs" dxfId="13146" priority="106" operator="greaterThan">
      <formula>0</formula>
    </cfRule>
  </conditionalFormatting>
  <conditionalFormatting sqref="Q84:Q91">
    <cfRule type="cellIs" dxfId="13145" priority="111" operator="lessThan">
      <formula>0</formula>
    </cfRule>
  </conditionalFormatting>
  <conditionalFormatting sqref="Q84:Q91">
    <cfRule type="cellIs" dxfId="13144" priority="100" operator="lessThan">
      <formula>0</formula>
    </cfRule>
  </conditionalFormatting>
  <conditionalFormatting sqref="P84:P91">
    <cfRule type="cellIs" dxfId="13143" priority="101" operator="greaterThan">
      <formula>0</formula>
    </cfRule>
  </conditionalFormatting>
  <conditionalFormatting sqref="R84:R91">
    <cfRule type="cellIs" dxfId="13142" priority="104" operator="lessThan">
      <formula>0.8</formula>
    </cfRule>
    <cfRule type="cellIs" dxfId="13141" priority="105" operator="greaterThan">
      <formula>1</formula>
    </cfRule>
  </conditionalFormatting>
  <conditionalFormatting sqref="R84:R91">
    <cfRule type="cellIs" dxfId="13140" priority="102" operator="greaterThan">
      <formula>1</formula>
    </cfRule>
    <cfRule type="cellIs" dxfId="13139" priority="103" operator="lessThan">
      <formula>0.8</formula>
    </cfRule>
  </conditionalFormatting>
  <conditionalFormatting sqref="Q84:Q91">
    <cfRule type="cellIs" dxfId="13138" priority="94" operator="lessThan">
      <formula>0</formula>
    </cfRule>
  </conditionalFormatting>
  <conditionalFormatting sqref="R84:R91">
    <cfRule type="cellIs" dxfId="13137" priority="98" operator="lessThan">
      <formula>0.8</formula>
    </cfRule>
    <cfRule type="cellIs" dxfId="13136" priority="99" operator="greaterThan">
      <formula>1</formula>
    </cfRule>
  </conditionalFormatting>
  <conditionalFormatting sqref="R84:R91">
    <cfRule type="cellIs" dxfId="13135" priority="96" operator="greaterThan">
      <formula>1</formula>
    </cfRule>
    <cfRule type="cellIs" dxfId="13134" priority="97" operator="lessThan">
      <formula>0.8</formula>
    </cfRule>
  </conditionalFormatting>
  <conditionalFormatting sqref="P84:P91">
    <cfRule type="cellIs" dxfId="13133" priority="95" operator="greaterThan">
      <formula>0</formula>
    </cfRule>
  </conditionalFormatting>
  <conditionalFormatting sqref="Q84:Q91">
    <cfRule type="cellIs" dxfId="13132" priority="93" operator="lessThan">
      <formula>0</formula>
    </cfRule>
  </conditionalFormatting>
  <conditionalFormatting sqref="R84:R91">
    <cfRule type="cellIs" dxfId="13131" priority="91" operator="lessThan">
      <formula>0.8</formula>
    </cfRule>
    <cfRule type="cellIs" dxfId="13130" priority="92" operator="greaterThan">
      <formula>1</formula>
    </cfRule>
  </conditionalFormatting>
  <conditionalFormatting sqref="R84:R91">
    <cfRule type="cellIs" dxfId="13129" priority="89" operator="greaterThan">
      <formula>1</formula>
    </cfRule>
    <cfRule type="cellIs" dxfId="13128" priority="90" operator="lessThan">
      <formula>0.8</formula>
    </cfRule>
  </conditionalFormatting>
  <conditionalFormatting sqref="P84:P91">
    <cfRule type="cellIs" dxfId="13127" priority="88" operator="greaterThan">
      <formula>0</formula>
    </cfRule>
  </conditionalFormatting>
  <conditionalFormatting sqref="Q84:Q91">
    <cfRule type="cellIs" dxfId="13126" priority="87" operator="lessThan">
      <formula>0</formula>
    </cfRule>
  </conditionalFormatting>
  <conditionalFormatting sqref="R84:R91">
    <cfRule type="cellIs" dxfId="13125" priority="85" operator="lessThan">
      <formula>0.8</formula>
    </cfRule>
    <cfRule type="cellIs" dxfId="13124" priority="86" operator="greaterThan">
      <formula>1</formula>
    </cfRule>
  </conditionalFormatting>
  <conditionalFormatting sqref="R84:R91">
    <cfRule type="cellIs" dxfId="13123" priority="83" operator="greaterThan">
      <formula>1</formula>
    </cfRule>
    <cfRule type="cellIs" dxfId="13122" priority="84" operator="lessThan">
      <formula>0.8</formula>
    </cfRule>
  </conditionalFormatting>
  <conditionalFormatting sqref="P84:P91">
    <cfRule type="cellIs" dxfId="13121" priority="82" operator="greaterThan">
      <formula>0</formula>
    </cfRule>
  </conditionalFormatting>
  <conditionalFormatting sqref="Q84:Q91">
    <cfRule type="cellIs" dxfId="13120" priority="81" operator="lessThan">
      <formula>0</formula>
    </cfRule>
  </conditionalFormatting>
  <conditionalFormatting sqref="R84:R91">
    <cfRule type="cellIs" dxfId="13119" priority="79" operator="lessThan">
      <formula>0.8</formula>
    </cfRule>
    <cfRule type="cellIs" dxfId="13118" priority="80" operator="greaterThan">
      <formula>1</formula>
    </cfRule>
  </conditionalFormatting>
  <conditionalFormatting sqref="R84:R91">
    <cfRule type="cellIs" dxfId="13117" priority="77" operator="greaterThan">
      <formula>1</formula>
    </cfRule>
    <cfRule type="cellIs" dxfId="13116" priority="78" operator="lessThan">
      <formula>0.8</formula>
    </cfRule>
  </conditionalFormatting>
  <conditionalFormatting sqref="P84:P91">
    <cfRule type="cellIs" dxfId="13115" priority="76" operator="greaterThan">
      <formula>0</formula>
    </cfRule>
  </conditionalFormatting>
  <conditionalFormatting sqref="Q162:Q166">
    <cfRule type="cellIs" dxfId="13114" priority="75" operator="lessThan">
      <formula>0</formula>
    </cfRule>
  </conditionalFormatting>
  <conditionalFormatting sqref="R162:R166">
    <cfRule type="cellIs" dxfId="13113" priority="73" operator="lessThan">
      <formula>0.8</formula>
    </cfRule>
    <cfRule type="cellIs" dxfId="13112" priority="74" operator="greaterThan">
      <formula>1</formula>
    </cfRule>
  </conditionalFormatting>
  <conditionalFormatting sqref="R162:R166">
    <cfRule type="cellIs" dxfId="13111" priority="71" operator="greaterThan">
      <formula>1</formula>
    </cfRule>
    <cfRule type="cellIs" dxfId="13110" priority="72" operator="lessThan">
      <formula>0.8</formula>
    </cfRule>
  </conditionalFormatting>
  <conditionalFormatting sqref="P162:P166">
    <cfRule type="cellIs" dxfId="13109" priority="70" operator="greaterThan">
      <formula>0</formula>
    </cfRule>
  </conditionalFormatting>
  <conditionalFormatting sqref="P167:P168">
    <cfRule type="cellIs" dxfId="13108" priority="64" operator="greaterThan">
      <formula>0</formula>
    </cfRule>
  </conditionalFormatting>
  <conditionalFormatting sqref="R167:R168">
    <cfRule type="cellIs" dxfId="13107" priority="67" operator="lessThan">
      <formula>0.8</formula>
    </cfRule>
    <cfRule type="cellIs" dxfId="13106" priority="68" operator="greaterThan">
      <formula>1</formula>
    </cfRule>
  </conditionalFormatting>
  <conditionalFormatting sqref="R167:R168">
    <cfRule type="cellIs" dxfId="13105" priority="65" operator="greaterThan">
      <formula>1</formula>
    </cfRule>
    <cfRule type="cellIs" dxfId="13104" priority="66" operator="lessThan">
      <formula>0.8</formula>
    </cfRule>
  </conditionalFormatting>
  <conditionalFormatting sqref="Q167:Q168">
    <cfRule type="cellIs" dxfId="13103" priority="69" operator="lessThan">
      <formula>0</formula>
    </cfRule>
  </conditionalFormatting>
  <conditionalFormatting sqref="Q161">
    <cfRule type="cellIs" dxfId="13102" priority="63" operator="lessThan">
      <formula>0</formula>
    </cfRule>
  </conditionalFormatting>
  <conditionalFormatting sqref="R161">
    <cfRule type="cellIs" dxfId="13101" priority="61" operator="lessThan">
      <formula>0.8</formula>
    </cfRule>
    <cfRule type="cellIs" dxfId="13100" priority="62" operator="greaterThan">
      <formula>1</formula>
    </cfRule>
  </conditionalFormatting>
  <conditionalFormatting sqref="R161">
    <cfRule type="cellIs" dxfId="13099" priority="59" operator="greaterThan">
      <formula>1</formula>
    </cfRule>
    <cfRule type="cellIs" dxfId="13098" priority="60" operator="lessThan">
      <formula>0.8</formula>
    </cfRule>
  </conditionalFormatting>
  <conditionalFormatting sqref="P161">
    <cfRule type="cellIs" dxfId="13097" priority="58" operator="greaterThan">
      <formula>0</formula>
    </cfRule>
  </conditionalFormatting>
  <conditionalFormatting sqref="Q162:Q166">
    <cfRule type="cellIs" dxfId="13096" priority="57" operator="lessThan">
      <formula>0</formula>
    </cfRule>
  </conditionalFormatting>
  <conditionalFormatting sqref="R162:R166">
    <cfRule type="cellIs" dxfId="13095" priority="55" operator="lessThan">
      <formula>0.8</formula>
    </cfRule>
    <cfRule type="cellIs" dxfId="13094" priority="56" operator="greaterThan">
      <formula>1</formula>
    </cfRule>
  </conditionalFormatting>
  <conditionalFormatting sqref="R162:R166">
    <cfRule type="cellIs" dxfId="13093" priority="53" operator="greaterThan">
      <formula>1</formula>
    </cfRule>
    <cfRule type="cellIs" dxfId="13092" priority="54" operator="lessThan">
      <formula>0.8</formula>
    </cfRule>
  </conditionalFormatting>
  <conditionalFormatting sqref="P162:P166">
    <cfRule type="cellIs" dxfId="13091" priority="52" operator="greaterThan">
      <formula>0</formula>
    </cfRule>
  </conditionalFormatting>
  <conditionalFormatting sqref="Q162:Q166">
    <cfRule type="cellIs" dxfId="13090" priority="51" operator="lessThan">
      <formula>0</formula>
    </cfRule>
  </conditionalFormatting>
  <conditionalFormatting sqref="R162:R166">
    <cfRule type="cellIs" dxfId="13089" priority="49" operator="lessThan">
      <formula>0.8</formula>
    </cfRule>
    <cfRule type="cellIs" dxfId="13088" priority="50" operator="greaterThan">
      <formula>1</formula>
    </cfRule>
  </conditionalFormatting>
  <conditionalFormatting sqref="R162:R166">
    <cfRule type="cellIs" dxfId="13087" priority="47" operator="greaterThan">
      <formula>1</formula>
    </cfRule>
    <cfRule type="cellIs" dxfId="13086" priority="48" operator="lessThan">
      <formula>0.8</formula>
    </cfRule>
  </conditionalFormatting>
  <conditionalFormatting sqref="P162:P166">
    <cfRule type="cellIs" dxfId="13085" priority="46" operator="greaterThan">
      <formula>0</formula>
    </cfRule>
  </conditionalFormatting>
  <conditionalFormatting sqref="Q167:Q168">
    <cfRule type="cellIs" dxfId="13084" priority="45" operator="lessThan">
      <formula>0</formula>
    </cfRule>
  </conditionalFormatting>
  <conditionalFormatting sqref="R167:R168">
    <cfRule type="cellIs" dxfId="13083" priority="43" operator="lessThan">
      <formula>0.8</formula>
    </cfRule>
    <cfRule type="cellIs" dxfId="13082" priority="44" operator="greaterThan">
      <formula>1</formula>
    </cfRule>
  </conditionalFormatting>
  <conditionalFormatting sqref="R167:R168">
    <cfRule type="cellIs" dxfId="13081" priority="41" operator="greaterThan">
      <formula>1</formula>
    </cfRule>
    <cfRule type="cellIs" dxfId="13080" priority="42" operator="lessThan">
      <formula>0.8</formula>
    </cfRule>
  </conditionalFormatting>
  <conditionalFormatting sqref="P167:P168">
    <cfRule type="cellIs" dxfId="13079" priority="40" operator="greaterThan">
      <formula>0</formula>
    </cfRule>
  </conditionalFormatting>
  <conditionalFormatting sqref="Q161">
    <cfRule type="cellIs" dxfId="13078" priority="39" operator="lessThan">
      <formula>0</formula>
    </cfRule>
  </conditionalFormatting>
  <conditionalFormatting sqref="R161">
    <cfRule type="cellIs" dxfId="13077" priority="37" operator="lessThan">
      <formula>0.8</formula>
    </cfRule>
    <cfRule type="cellIs" dxfId="13076" priority="38" operator="greaterThan">
      <formula>1</formula>
    </cfRule>
  </conditionalFormatting>
  <conditionalFormatting sqref="R161">
    <cfRule type="cellIs" dxfId="13075" priority="35" operator="greaterThan">
      <formula>1</formula>
    </cfRule>
    <cfRule type="cellIs" dxfId="13074" priority="36" operator="lessThan">
      <formula>0.8</formula>
    </cfRule>
  </conditionalFormatting>
  <conditionalFormatting sqref="P161">
    <cfRule type="cellIs" dxfId="13073" priority="34" operator="greaterThan">
      <formula>0</formula>
    </cfRule>
  </conditionalFormatting>
  <conditionalFormatting sqref="Q162:Q166">
    <cfRule type="cellIs" dxfId="13072" priority="33" operator="lessThan">
      <formula>0</formula>
    </cfRule>
  </conditionalFormatting>
  <conditionalFormatting sqref="R162:R166">
    <cfRule type="cellIs" dxfId="13071" priority="31" operator="lessThan">
      <formula>0.8</formula>
    </cfRule>
    <cfRule type="cellIs" dxfId="13070" priority="32" operator="greaterThan">
      <formula>1</formula>
    </cfRule>
  </conditionalFormatting>
  <conditionalFormatting sqref="R162:R166">
    <cfRule type="cellIs" dxfId="13069" priority="29" operator="greaterThan">
      <formula>1</formula>
    </cfRule>
    <cfRule type="cellIs" dxfId="13068" priority="30" operator="lessThan">
      <formula>0.8</formula>
    </cfRule>
  </conditionalFormatting>
  <conditionalFormatting sqref="P162:P166">
    <cfRule type="cellIs" dxfId="13067" priority="28" operator="greaterThan">
      <formula>0</formula>
    </cfRule>
  </conditionalFormatting>
  <conditionalFormatting sqref="Q161">
    <cfRule type="cellIs" dxfId="13066" priority="27" operator="lessThan">
      <formula>0</formula>
    </cfRule>
  </conditionalFormatting>
  <conditionalFormatting sqref="R161">
    <cfRule type="cellIs" dxfId="13065" priority="25" operator="lessThan">
      <formula>0.8</formula>
    </cfRule>
    <cfRule type="cellIs" dxfId="13064" priority="26" operator="greaterThan">
      <formula>1</formula>
    </cfRule>
  </conditionalFormatting>
  <conditionalFormatting sqref="R161">
    <cfRule type="cellIs" dxfId="13063" priority="23" operator="greaterThan">
      <formula>1</formula>
    </cfRule>
    <cfRule type="cellIs" dxfId="13062" priority="24" operator="lessThan">
      <formula>0.8</formula>
    </cfRule>
  </conditionalFormatting>
  <conditionalFormatting sqref="P161">
    <cfRule type="cellIs" dxfId="13061" priority="22" operator="greaterThan">
      <formula>0</formula>
    </cfRule>
  </conditionalFormatting>
  <conditionalFormatting sqref="Q162:Q166">
    <cfRule type="cellIs" dxfId="13060" priority="21" operator="lessThan">
      <formula>0</formula>
    </cfRule>
  </conditionalFormatting>
  <conditionalFormatting sqref="R162:R166">
    <cfRule type="cellIs" dxfId="13059" priority="19" operator="lessThan">
      <formula>0.8</formula>
    </cfRule>
    <cfRule type="cellIs" dxfId="13058" priority="20" operator="greaterThan">
      <formula>1</formula>
    </cfRule>
  </conditionalFormatting>
  <conditionalFormatting sqref="R162:R166">
    <cfRule type="cellIs" dxfId="13057" priority="17" operator="greaterThan">
      <formula>1</formula>
    </cfRule>
    <cfRule type="cellIs" dxfId="13056" priority="18" operator="lessThan">
      <formula>0.8</formula>
    </cfRule>
  </conditionalFormatting>
  <conditionalFormatting sqref="P162:P166">
    <cfRule type="cellIs" dxfId="13055" priority="16" operator="greaterThan">
      <formula>0</formula>
    </cfRule>
  </conditionalFormatting>
  <conditionalFormatting sqref="Q161">
    <cfRule type="cellIs" dxfId="13054" priority="15" operator="lessThan">
      <formula>0</formula>
    </cfRule>
  </conditionalFormatting>
  <conditionalFormatting sqref="R161">
    <cfRule type="cellIs" dxfId="13053" priority="13" operator="lessThan">
      <formula>0.8</formula>
    </cfRule>
    <cfRule type="cellIs" dxfId="13052" priority="14" operator="greaterThan">
      <formula>1</formula>
    </cfRule>
  </conditionalFormatting>
  <conditionalFormatting sqref="R161">
    <cfRule type="cellIs" dxfId="13051" priority="11" operator="greaterThan">
      <formula>1</formula>
    </cfRule>
    <cfRule type="cellIs" dxfId="13050" priority="12" operator="lessThan">
      <formula>0.8</formula>
    </cfRule>
  </conditionalFormatting>
  <conditionalFormatting sqref="P161">
    <cfRule type="cellIs" dxfId="13049" priority="10" operator="greaterThan">
      <formula>0</formula>
    </cfRule>
  </conditionalFormatting>
  <conditionalFormatting sqref="P167:P168">
    <cfRule type="cellIs" dxfId="13048" priority="4" operator="greaterThan">
      <formula>0</formula>
    </cfRule>
  </conditionalFormatting>
  <conditionalFormatting sqref="R167:R168">
    <cfRule type="cellIs" dxfId="13047" priority="7" operator="lessThan">
      <formula>0.8</formula>
    </cfRule>
    <cfRule type="cellIs" dxfId="13046" priority="8" operator="greaterThan">
      <formula>1</formula>
    </cfRule>
  </conditionalFormatting>
  <conditionalFormatting sqref="R167:R168">
    <cfRule type="cellIs" dxfId="13045" priority="5" operator="greaterThan">
      <formula>1</formula>
    </cfRule>
    <cfRule type="cellIs" dxfId="13044" priority="6" operator="lessThan">
      <formula>0.8</formula>
    </cfRule>
  </conditionalFormatting>
  <conditionalFormatting sqref="Q167:Q168">
    <cfRule type="cellIs" dxfId="13043" priority="9" operator="lessThan">
      <formula>0</formula>
    </cfRule>
  </conditionalFormatting>
  <conditionalFormatting sqref="AF30">
    <cfRule type="cellIs" dxfId="13042" priority="3" operator="lessThan">
      <formula>0</formula>
    </cfRule>
  </conditionalFormatting>
  <conditionalFormatting sqref="AG30">
    <cfRule type="cellIs" dxfId="13041" priority="1" operator="greaterThan">
      <formula>1</formula>
    </cfRule>
    <cfRule type="cellIs" dxfId="1304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O30" sqref="O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512</v>
      </c>
      <c r="E3" s="581"/>
      <c r="F3" s="570" t="s">
        <v>2</v>
      </c>
      <c r="G3" s="531"/>
      <c r="H3" s="582">
        <v>206930</v>
      </c>
      <c r="I3" s="583"/>
      <c r="J3" s="570" t="s">
        <v>3</v>
      </c>
      <c r="K3" s="531"/>
      <c r="L3" s="575">
        <v>6724603.5177755626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384.22486863262253</v>
      </c>
      <c r="G6" s="572"/>
      <c r="H6" s="550">
        <f>AVERAGE(D13:P13,Q13)</f>
        <v>141.63907927983539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v>0</v>
      </c>
      <c r="O6" s="539">
        <v>0</v>
      </c>
      <c r="P6" s="555">
        <v>3</v>
      </c>
      <c r="Q6" s="539">
        <v>2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357.47133598269164</v>
      </c>
      <c r="G7" s="543"/>
      <c r="H7" s="544">
        <f>AVERAGE(D14:P14,Q14)</f>
        <v>127.91774844519571</v>
      </c>
      <c r="I7" s="545"/>
      <c r="J7" s="544">
        <f>AVERAGE(D31:E31,G31:H31)</f>
        <v>747.11458949136374</v>
      </c>
      <c r="K7" s="545"/>
      <c r="L7" s="546">
        <f>AVERAGE(J31:M31)</f>
        <v>771.26563885525491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0.91000758005113913</v>
      </c>
      <c r="G8" s="549"/>
      <c r="H8" s="548">
        <f>AVERAGE(D15:O15,P15:Q15)</f>
        <v>0.89882019800245216</v>
      </c>
      <c r="I8" s="549"/>
      <c r="J8" s="548">
        <f>AVERAGE(D32:E32,G32:H32)</f>
        <v>0.99407052953632469</v>
      </c>
      <c r="K8" s="549"/>
      <c r="L8" s="548">
        <f>AVERAGE(J32:M32)</f>
        <v>0.87563065211911439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133.76218323586747</v>
      </c>
      <c r="E13" s="19">
        <v>119.15429505135388</v>
      </c>
      <c r="F13" s="19">
        <v>182.47499999999999</v>
      </c>
      <c r="G13" s="19">
        <v>369.04761904761904</v>
      </c>
      <c r="H13" s="19">
        <v>228.57142857142858</v>
      </c>
      <c r="I13" s="19">
        <v>89.34516028633675</v>
      </c>
      <c r="J13" s="19">
        <v>77.239278752436647</v>
      </c>
      <c r="K13" s="19">
        <v>109.18814192343605</v>
      </c>
      <c r="L13" s="19">
        <v>97.11904761904762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123.64361769221968</v>
      </c>
      <c r="E14" s="19">
        <v>104.13848720658196</v>
      </c>
      <c r="F14" s="19">
        <v>154.93875759331692</v>
      </c>
      <c r="G14" s="19">
        <v>326.82746152839934</v>
      </c>
      <c r="H14" s="19">
        <v>223.2721599966882</v>
      </c>
      <c r="I14" s="19">
        <v>78.695793144452622</v>
      </c>
      <c r="J14" s="19">
        <v>68.730003310356111</v>
      </c>
      <c r="K14" s="19">
        <v>99.046518102642935</v>
      </c>
      <c r="L14" s="19">
        <v>85.493494797996803</v>
      </c>
      <c r="M14" s="19">
        <v>74.448052960219201</v>
      </c>
      <c r="N14" s="19">
        <v>78.28669682319719</v>
      </c>
      <c r="O14" s="19">
        <v>67.110525374282702</v>
      </c>
      <c r="P14" s="19">
        <v>168.12773332320961</v>
      </c>
      <c r="Q14" s="9">
        <v>138.08917637917642</v>
      </c>
    </row>
    <row r="15" spans="2:17" ht="39.9" customHeight="1">
      <c r="B15" s="524"/>
      <c r="C15" s="379" t="s">
        <v>295</v>
      </c>
      <c r="D15" s="10">
        <f t="shared" ref="D15:Q15" si="0">D14/D13</f>
        <v>0.92435406406453924</v>
      </c>
      <c r="E15" s="10">
        <f t="shared" si="0"/>
        <v>0.87398013778437178</v>
      </c>
      <c r="F15" s="10">
        <f t="shared" si="0"/>
        <v>0.8490958081562785</v>
      </c>
      <c r="G15" s="10">
        <f t="shared" si="0"/>
        <v>0.88559699252856594</v>
      </c>
      <c r="H15" s="10">
        <f t="shared" si="0"/>
        <v>0.97681569998551088</v>
      </c>
      <c r="I15" s="10">
        <f t="shared" si="0"/>
        <v>0.88080644650751494</v>
      </c>
      <c r="J15" s="10">
        <f t="shared" si="0"/>
        <v>0.8898322773138001</v>
      </c>
      <c r="K15" s="10">
        <f t="shared" si="0"/>
        <v>0.90711790088062372</v>
      </c>
      <c r="L15" s="10">
        <f t="shared" si="0"/>
        <v>0.88029585229611806</v>
      </c>
      <c r="M15" s="10">
        <f t="shared" si="0"/>
        <v>0.88611514205789677</v>
      </c>
      <c r="N15" s="10">
        <f t="shared" si="0"/>
        <v>0.92842847793912553</v>
      </c>
      <c r="O15" s="10">
        <f t="shared" si="0"/>
        <v>0.84041741772261735</v>
      </c>
      <c r="P15" s="381">
        <f t="shared" si="0"/>
        <v>0.94003204560285702</v>
      </c>
      <c r="Q15" s="11">
        <f t="shared" si="0"/>
        <v>0.92059450919450947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0.62638888888888888</v>
      </c>
      <c r="E17" s="12">
        <v>0.53263888888888888</v>
      </c>
      <c r="F17" s="12">
        <v>0.46249999999999997</v>
      </c>
      <c r="G17" s="12">
        <v>0.58611111111111103</v>
      </c>
      <c r="H17" s="12">
        <v>0.71250000000000002</v>
      </c>
      <c r="I17" s="12">
        <v>0.67222222222222205</v>
      </c>
      <c r="J17" s="12">
        <v>0.66736111111111096</v>
      </c>
      <c r="K17" s="12">
        <v>0.66249999999999987</v>
      </c>
      <c r="L17" s="12">
        <v>0.89444444444444438</v>
      </c>
      <c r="M17" s="12">
        <v>0.91736111111111096</v>
      </c>
      <c r="N17" s="12">
        <v>0.96319444444444446</v>
      </c>
      <c r="O17" s="22">
        <v>0.92291666666666661</v>
      </c>
      <c r="P17" s="12">
        <v>0.54930555555555549</v>
      </c>
      <c r="Q17" s="382">
        <v>0.49652777777777773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 t="s">
        <v>30</v>
      </c>
      <c r="E20" s="384">
        <v>2</v>
      </c>
      <c r="F20" s="384" t="s">
        <v>30</v>
      </c>
      <c r="G20" s="384" t="s">
        <v>30</v>
      </c>
      <c r="H20" s="384" t="s">
        <v>30</v>
      </c>
      <c r="I20" s="384" t="s">
        <v>30</v>
      </c>
      <c r="J20" s="384" t="s">
        <v>30</v>
      </c>
      <c r="K20" s="384" t="s">
        <v>30</v>
      </c>
      <c r="L20" s="384" t="s">
        <v>30</v>
      </c>
      <c r="M20" s="384" t="s">
        <v>30</v>
      </c>
      <c r="N20" s="384" t="s">
        <v>30</v>
      </c>
      <c r="O20" s="384" t="s">
        <v>30</v>
      </c>
      <c r="P20" s="384">
        <v>1</v>
      </c>
      <c r="Q20" s="385"/>
    </row>
    <row r="21" spans="2:17" ht="22.8" customHeight="1">
      <c r="B21" s="530"/>
      <c r="C21" s="383" t="s">
        <v>300</v>
      </c>
      <c r="D21" s="384" t="s">
        <v>30</v>
      </c>
      <c r="E21" s="384" t="s">
        <v>30</v>
      </c>
      <c r="F21" s="384" t="s">
        <v>30</v>
      </c>
      <c r="G21" s="384" t="s">
        <v>30</v>
      </c>
      <c r="H21" s="384" t="s">
        <v>30</v>
      </c>
      <c r="I21" s="384">
        <v>1</v>
      </c>
      <c r="J21" s="384">
        <v>1</v>
      </c>
      <c r="K21" s="384" t="s">
        <v>30</v>
      </c>
      <c r="L21" s="384" t="s">
        <v>30</v>
      </c>
      <c r="M21" s="384" t="s">
        <v>30</v>
      </c>
      <c r="N21" s="384" t="s">
        <v>30</v>
      </c>
      <c r="O21" s="384" t="s">
        <v>30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19.666666666666668</v>
      </c>
      <c r="E22" s="386">
        <v>17.571428571428573</v>
      </c>
      <c r="F22" s="386">
        <v>12.25</v>
      </c>
      <c r="G22" s="386">
        <v>5.666666666666667</v>
      </c>
      <c r="H22" s="386">
        <v>6.6</v>
      </c>
      <c r="I22" s="386">
        <v>16.666666666666668</v>
      </c>
      <c r="J22" s="386">
        <v>18.5</v>
      </c>
      <c r="K22" s="386">
        <v>16.285714285714285</v>
      </c>
      <c r="L22" s="386">
        <v>15.875</v>
      </c>
      <c r="M22" s="386">
        <v>18.625</v>
      </c>
      <c r="N22" s="386">
        <v>17.75</v>
      </c>
      <c r="O22" s="386">
        <v>18.666666666666668</v>
      </c>
      <c r="P22" s="386">
        <v>13</v>
      </c>
      <c r="Q22" s="387">
        <v>11.4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38</v>
      </c>
      <c r="H25" s="17" t="s">
        <v>38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473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474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286.19254658385103</v>
      </c>
      <c r="E31" s="8">
        <v>786.18713450292353</v>
      </c>
      <c r="F31" s="8">
        <v>0</v>
      </c>
      <c r="G31" s="8">
        <v>920.71157731157905</v>
      </c>
      <c r="H31" s="397">
        <v>995.36709956710149</v>
      </c>
      <c r="I31" s="396">
        <v>0</v>
      </c>
      <c r="J31" s="8">
        <v>739.28571428571695</v>
      </c>
      <c r="K31" s="8">
        <v>595.49999999999875</v>
      </c>
      <c r="L31" s="8">
        <v>893.36135531135437</v>
      </c>
      <c r="M31" s="397">
        <v>856.91548582394955</v>
      </c>
      <c r="N31" s="378"/>
      <c r="O31" s="378"/>
      <c r="P31" s="378"/>
      <c r="Q31" s="378"/>
    </row>
    <row r="32" spans="2:17" ht="39.9" customHeight="1">
      <c r="B32" s="524"/>
      <c r="C32" s="472" t="s">
        <v>295</v>
      </c>
      <c r="D32" s="399">
        <f t="shared" ref="D32:M32" si="1">D31/D30</f>
        <v>0.89435170807453446</v>
      </c>
      <c r="E32" s="10">
        <f t="shared" si="1"/>
        <v>0.95295410242778611</v>
      </c>
      <c r="F32" s="10">
        <f t="shared" si="1"/>
        <v>0</v>
      </c>
      <c r="G32" s="10">
        <f t="shared" si="1"/>
        <v>1.0230128636795324</v>
      </c>
      <c r="H32" s="10">
        <f t="shared" si="1"/>
        <v>1.105963443963446</v>
      </c>
      <c r="I32" s="396">
        <f t="shared" si="1"/>
        <v>0</v>
      </c>
      <c r="J32" s="10">
        <f t="shared" si="1"/>
        <v>0.89610389610389929</v>
      </c>
      <c r="K32" s="10">
        <f t="shared" si="1"/>
        <v>0.66166666666666529</v>
      </c>
      <c r="L32" s="10">
        <f t="shared" si="1"/>
        <v>0.99262372812372712</v>
      </c>
      <c r="M32" s="11">
        <f t="shared" si="1"/>
        <v>0.95212831758216621</v>
      </c>
      <c r="N32" s="378"/>
      <c r="O32" s="378"/>
      <c r="P32" s="378"/>
      <c r="Q32" s="378"/>
    </row>
    <row r="33" spans="2:17" ht="25.8" customHeight="1">
      <c r="B33" s="525" t="s">
        <v>296</v>
      </c>
      <c r="C33" s="472" t="s">
        <v>297</v>
      </c>
      <c r="D33" s="400">
        <v>0.1875</v>
      </c>
      <c r="E33" s="12">
        <v>0.18055555555555555</v>
      </c>
      <c r="F33" s="12">
        <v>0</v>
      </c>
      <c r="G33" s="12">
        <v>3210.666666666667</v>
      </c>
      <c r="H33" s="382">
        <v>0.18055555555555555</v>
      </c>
      <c r="I33" s="400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472" t="s">
        <v>51</v>
      </c>
      <c r="D34" s="400">
        <v>0.22708333333333333</v>
      </c>
      <c r="E34" s="12">
        <v>0.3</v>
      </c>
      <c r="F34" s="12">
        <v>0</v>
      </c>
      <c r="G34" s="12">
        <v>1096.0000000000002</v>
      </c>
      <c r="H34" s="382">
        <v>0.39027777777777778</v>
      </c>
      <c r="I34" s="23">
        <v>0</v>
      </c>
      <c r="J34" s="12">
        <v>0.7270833333333333</v>
      </c>
      <c r="K34" s="12">
        <v>0.8125</v>
      </c>
      <c r="L34" s="12">
        <v>1.0555555555555556</v>
      </c>
      <c r="M34" s="13">
        <v>46116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4</v>
      </c>
      <c r="K35" s="402">
        <v>3.6666666666666665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3039" priority="4" operator="lessThan">
      <formula>0.8</formula>
    </cfRule>
  </conditionalFormatting>
  <conditionalFormatting sqref="J32:L32">
    <cfRule type="cellIs" dxfId="13038" priority="3" operator="lessThan">
      <formula>0.8</formula>
    </cfRule>
  </conditionalFormatting>
  <conditionalFormatting sqref="M32">
    <cfRule type="cellIs" dxfId="13037" priority="2" operator="lessThan">
      <formula>0.8</formula>
    </cfRule>
  </conditionalFormatting>
  <conditionalFormatting sqref="H32">
    <cfRule type="cellIs" dxfId="130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6" zoomScale="70" zoomScaleNormal="70" workbookViewId="0">
      <selection activeCell="M82" sqref="M82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383</v>
      </c>
      <c r="B1" s="281"/>
      <c r="C1" s="282"/>
      <c r="D1" s="283" t="s">
        <v>384</v>
      </c>
      <c r="E1" s="284">
        <f>SUM(G5:G124)</f>
        <v>64729</v>
      </c>
      <c r="F1" s="285" t="s">
        <v>3</v>
      </c>
      <c r="G1" s="286">
        <f>SUM(H5:H124)</f>
        <v>1200568.4264285713</v>
      </c>
      <c r="H1" s="287" t="s">
        <v>385</v>
      </c>
      <c r="I1" s="288">
        <f>+J16+J64+J24+J38+J51+J81+J100+J91+J57+J124+J111</f>
        <v>38.733333333333334</v>
      </c>
      <c r="J1" s="584" t="s">
        <v>386</v>
      </c>
      <c r="K1" s="585"/>
      <c r="L1" s="586"/>
      <c r="M1" s="584" t="s">
        <v>387</v>
      </c>
      <c r="N1" s="585"/>
      <c r="O1" s="585"/>
      <c r="P1" s="585"/>
      <c r="Q1" s="585"/>
      <c r="R1" s="586"/>
    </row>
    <row r="2" spans="1:18" ht="26.25" customHeight="1" thickBot="1">
      <c r="A2" s="590" t="s">
        <v>439</v>
      </c>
      <c r="B2" s="591"/>
      <c r="C2" s="290"/>
      <c r="D2" s="446" t="s">
        <v>389</v>
      </c>
      <c r="E2" s="291">
        <f>AVERAGE(L16,L24,L38,L51,L100,L111,L91)</f>
        <v>573.1026545105035</v>
      </c>
      <c r="F2" s="292" t="s">
        <v>55</v>
      </c>
      <c r="G2" s="293">
        <f>G1/E1</f>
        <v>18.547612761336826</v>
      </c>
      <c r="H2" s="294" t="s">
        <v>390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391</v>
      </c>
      <c r="B3" s="594" t="s">
        <v>392</v>
      </c>
      <c r="C3" s="448"/>
      <c r="D3" s="595" t="s">
        <v>393</v>
      </c>
      <c r="E3" s="595"/>
      <c r="F3" s="596" t="s">
        <v>58</v>
      </c>
      <c r="G3" s="597" t="s">
        <v>394</v>
      </c>
      <c r="H3" s="598" t="s">
        <v>395</v>
      </c>
      <c r="I3" s="599" t="s">
        <v>396</v>
      </c>
      <c r="J3" s="601" t="s">
        <v>397</v>
      </c>
      <c r="K3" s="603" t="s">
        <v>398</v>
      </c>
      <c r="L3" s="605" t="s">
        <v>389</v>
      </c>
      <c r="M3" s="607" t="s">
        <v>63</v>
      </c>
      <c r="N3" s="607"/>
      <c r="O3" s="601" t="s">
        <v>150</v>
      </c>
      <c r="P3" s="608" t="s">
        <v>399</v>
      </c>
      <c r="Q3" s="601" t="s">
        <v>400</v>
      </c>
      <c r="R3" s="601"/>
    </row>
    <row r="4" spans="1:18" ht="15.75" customHeight="1">
      <c r="A4" s="593"/>
      <c r="B4" s="594"/>
      <c r="C4" s="448"/>
      <c r="D4" s="595"/>
      <c r="E4" s="595"/>
      <c r="F4" s="596"/>
      <c r="G4" s="597"/>
      <c r="H4" s="598"/>
      <c r="I4" s="600"/>
      <c r="J4" s="602"/>
      <c r="K4" s="604"/>
      <c r="L4" s="606"/>
      <c r="M4" s="452" t="s">
        <v>65</v>
      </c>
      <c r="N4" s="452" t="s">
        <v>66</v>
      </c>
      <c r="O4" s="602"/>
      <c r="P4" s="609"/>
      <c r="Q4" s="296" t="s">
        <v>401</v>
      </c>
      <c r="R4" s="296" t="s">
        <v>402</v>
      </c>
    </row>
    <row r="5" spans="1:18">
      <c r="A5" s="610" t="s">
        <v>403</v>
      </c>
      <c r="B5" s="297">
        <v>0</v>
      </c>
      <c r="C5" s="297"/>
      <c r="D5" s="298" t="s">
        <v>404</v>
      </c>
      <c r="E5" s="298"/>
      <c r="F5" s="299" t="s">
        <v>186</v>
      </c>
      <c r="G5" s="448">
        <v>1225</v>
      </c>
      <c r="H5" s="300">
        <f>F5*G5</f>
        <v>0</v>
      </c>
      <c r="I5" s="450"/>
      <c r="J5" s="301">
        <v>9</v>
      </c>
      <c r="K5" s="302">
        <f t="shared" ref="K5:K12" si="0">G5/P5*60</f>
        <v>1633.3333333333333</v>
      </c>
      <c r="L5" s="303">
        <f t="shared" ref="L5:L12" si="1">K5/J5</f>
        <v>181.48148148148147</v>
      </c>
      <c r="M5" s="304">
        <v>0.17361111111111113</v>
      </c>
      <c r="N5" s="304">
        <v>0.20486111111111113</v>
      </c>
      <c r="O5" s="296">
        <v>10</v>
      </c>
      <c r="P5" s="443">
        <f t="shared" ref="P5:P14" si="2">(N5-M5)*24*60</f>
        <v>45</v>
      </c>
      <c r="Q5" s="305"/>
      <c r="R5" s="305"/>
    </row>
    <row r="6" spans="1:18">
      <c r="A6" s="610"/>
      <c r="B6" s="297">
        <v>0</v>
      </c>
      <c r="C6" s="297"/>
      <c r="D6" s="298" t="s">
        <v>405</v>
      </c>
      <c r="E6" s="298"/>
      <c r="F6" s="299" t="s">
        <v>186</v>
      </c>
      <c r="G6" s="448">
        <v>1235</v>
      </c>
      <c r="H6" s="300">
        <f t="shared" ref="H6:H113" si="3">F6*G6</f>
        <v>0</v>
      </c>
      <c r="I6" s="450"/>
      <c r="J6" s="301">
        <v>9</v>
      </c>
      <c r="K6" s="302">
        <f t="shared" si="0"/>
        <v>1646.6666666666665</v>
      </c>
      <c r="L6" s="303">
        <f t="shared" si="1"/>
        <v>182.96296296296293</v>
      </c>
      <c r="M6" s="304">
        <v>0.20833333333333334</v>
      </c>
      <c r="N6" s="304">
        <v>0.23958333333333334</v>
      </c>
      <c r="O6" s="296">
        <v>5</v>
      </c>
      <c r="P6" s="443">
        <f t="shared" si="2"/>
        <v>45</v>
      </c>
      <c r="Q6" s="296"/>
      <c r="R6" s="296"/>
    </row>
    <row r="7" spans="1:18">
      <c r="A7" s="610"/>
      <c r="B7" s="297" t="s">
        <v>187</v>
      </c>
      <c r="C7" s="297"/>
      <c r="D7" s="298" t="s">
        <v>406</v>
      </c>
      <c r="E7" s="298"/>
      <c r="F7" s="299">
        <v>36.450000000000003</v>
      </c>
      <c r="G7" s="448">
        <v>1105</v>
      </c>
      <c r="H7" s="300">
        <f t="shared" si="3"/>
        <v>40277.25</v>
      </c>
      <c r="I7" s="450"/>
      <c r="J7" s="301">
        <v>13</v>
      </c>
      <c r="K7" s="302">
        <f t="shared" si="0"/>
        <v>1473.3333333333346</v>
      </c>
      <c r="L7" s="303">
        <f t="shared" si="1"/>
        <v>113.33333333333343</v>
      </c>
      <c r="M7" s="304">
        <v>0.24305555555555555</v>
      </c>
      <c r="N7" s="304">
        <v>0.27430555555555552</v>
      </c>
      <c r="O7" s="296">
        <v>5</v>
      </c>
      <c r="P7" s="443">
        <f t="shared" si="2"/>
        <v>44.999999999999957</v>
      </c>
      <c r="Q7" s="305"/>
      <c r="R7" s="305"/>
    </row>
    <row r="8" spans="1:18">
      <c r="A8" s="610"/>
      <c r="B8" s="297" t="s">
        <v>187</v>
      </c>
      <c r="C8" s="297"/>
      <c r="D8" s="298" t="s">
        <v>407</v>
      </c>
      <c r="E8" s="298"/>
      <c r="F8" s="299">
        <v>27.05</v>
      </c>
      <c r="G8" s="448">
        <v>377</v>
      </c>
      <c r="H8" s="300">
        <f t="shared" si="3"/>
        <v>10197.85</v>
      </c>
      <c r="I8" s="450"/>
      <c r="J8" s="301">
        <v>13</v>
      </c>
      <c r="K8" s="302">
        <f t="shared" si="0"/>
        <v>1507.9999999999975</v>
      </c>
      <c r="L8" s="303">
        <f t="shared" si="1"/>
        <v>115.9999999999998</v>
      </c>
      <c r="M8" s="304">
        <v>0.27777777777777779</v>
      </c>
      <c r="N8" s="304">
        <v>0.28819444444444448</v>
      </c>
      <c r="O8" s="296">
        <v>5</v>
      </c>
      <c r="P8" s="443">
        <f t="shared" si="2"/>
        <v>15.000000000000027</v>
      </c>
      <c r="Q8" s="305">
        <v>0.2951388888888889</v>
      </c>
      <c r="R8" s="305">
        <v>0.3263888888888889</v>
      </c>
    </row>
    <row r="9" spans="1:18">
      <c r="A9" s="610"/>
      <c r="B9" s="297" t="s">
        <v>187</v>
      </c>
      <c r="C9" s="297"/>
      <c r="D9" s="298" t="s">
        <v>408</v>
      </c>
      <c r="E9" s="298"/>
      <c r="F9" s="299">
        <v>19.7</v>
      </c>
      <c r="G9" s="306">
        <v>809</v>
      </c>
      <c r="H9" s="300">
        <f t="shared" si="3"/>
        <v>15937.3</v>
      </c>
      <c r="I9" s="450"/>
      <c r="J9" s="301">
        <v>13</v>
      </c>
      <c r="K9" s="302">
        <f t="shared" si="0"/>
        <v>1213.4999999999995</v>
      </c>
      <c r="L9" s="303">
        <f t="shared" si="1"/>
        <v>93.346153846153811</v>
      </c>
      <c r="M9" s="304">
        <v>0.3298611111111111</v>
      </c>
      <c r="N9" s="304">
        <v>0.3576388888888889</v>
      </c>
      <c r="O9" s="296">
        <v>5</v>
      </c>
      <c r="P9" s="443">
        <f t="shared" si="2"/>
        <v>40.000000000000014</v>
      </c>
      <c r="Q9" s="305"/>
      <c r="R9" s="305"/>
    </row>
    <row r="10" spans="1:18">
      <c r="A10" s="610"/>
      <c r="B10" s="297" t="s">
        <v>187</v>
      </c>
      <c r="C10" s="297"/>
      <c r="D10" s="298" t="s">
        <v>409</v>
      </c>
      <c r="E10" s="298"/>
      <c r="F10" s="299">
        <v>17.87</v>
      </c>
      <c r="G10" s="306">
        <v>386</v>
      </c>
      <c r="H10" s="300">
        <f t="shared" si="3"/>
        <v>6897.8200000000006</v>
      </c>
      <c r="I10" s="450"/>
      <c r="J10" s="301">
        <v>13</v>
      </c>
      <c r="K10" s="302">
        <f t="shared" si="0"/>
        <v>1157.9999999999995</v>
      </c>
      <c r="L10" s="303">
        <f t="shared" si="1"/>
        <v>89.076923076923038</v>
      </c>
      <c r="M10" s="304">
        <v>0.3611111111111111</v>
      </c>
      <c r="N10" s="304">
        <v>0.375</v>
      </c>
      <c r="O10" s="296">
        <v>5</v>
      </c>
      <c r="P10" s="443">
        <f t="shared" si="2"/>
        <v>20.000000000000007</v>
      </c>
      <c r="Q10" s="305"/>
      <c r="R10" s="305"/>
    </row>
    <row r="11" spans="1:18">
      <c r="A11" s="610"/>
      <c r="B11" s="297" t="s">
        <v>187</v>
      </c>
      <c r="C11" s="297"/>
      <c r="D11" s="298" t="s">
        <v>410</v>
      </c>
      <c r="E11" s="298"/>
      <c r="F11" s="299">
        <v>25.64</v>
      </c>
      <c r="G11" s="306">
        <v>511</v>
      </c>
      <c r="H11" s="300">
        <f t="shared" si="3"/>
        <v>13102.04</v>
      </c>
      <c r="I11" s="450"/>
      <c r="J11" s="301">
        <v>10</v>
      </c>
      <c r="K11" s="302">
        <f t="shared" si="0"/>
        <v>1533.0000000000055</v>
      </c>
      <c r="L11" s="303">
        <f t="shared" si="1"/>
        <v>153.30000000000055</v>
      </c>
      <c r="M11" s="304">
        <v>0.37847222222222227</v>
      </c>
      <c r="N11" s="304">
        <v>0.3923611111111111</v>
      </c>
      <c r="O11" s="296">
        <v>5</v>
      </c>
      <c r="P11" s="443">
        <f t="shared" si="2"/>
        <v>19.999999999999929</v>
      </c>
      <c r="Q11" s="305"/>
      <c r="R11" s="305"/>
    </row>
    <row r="12" spans="1:18">
      <c r="A12" s="611"/>
      <c r="B12" s="297" t="s">
        <v>187</v>
      </c>
      <c r="C12" s="297"/>
      <c r="D12" s="298" t="s">
        <v>411</v>
      </c>
      <c r="E12" s="298"/>
      <c r="F12" s="299">
        <v>29.52</v>
      </c>
      <c r="G12" s="306">
        <v>1225</v>
      </c>
      <c r="H12" s="300">
        <f t="shared" si="3"/>
        <v>36162</v>
      </c>
      <c r="I12" s="450"/>
      <c r="J12" s="301">
        <v>12</v>
      </c>
      <c r="K12" s="302">
        <f t="shared" si="0"/>
        <v>1837.4999999999993</v>
      </c>
      <c r="L12" s="303">
        <f t="shared" si="1"/>
        <v>153.12499999999994</v>
      </c>
      <c r="M12" s="304">
        <v>0.39583333333333331</v>
      </c>
      <c r="N12" s="304">
        <v>0.4236111111111111</v>
      </c>
      <c r="O12" s="296">
        <v>5</v>
      </c>
      <c r="P12" s="443">
        <f t="shared" si="2"/>
        <v>40.000000000000014</v>
      </c>
      <c r="Q12" s="305"/>
      <c r="R12" s="305"/>
    </row>
    <row r="13" spans="1:18">
      <c r="A13" s="611"/>
      <c r="B13" s="297" t="s">
        <v>187</v>
      </c>
      <c r="C13" s="449"/>
      <c r="D13" s="298" t="s">
        <v>412</v>
      </c>
      <c r="E13" s="298"/>
      <c r="F13" s="299">
        <v>29.856999999999999</v>
      </c>
      <c r="G13" s="447">
        <v>1235</v>
      </c>
      <c r="H13" s="300">
        <f t="shared" si="3"/>
        <v>36873.394999999997</v>
      </c>
      <c r="I13" s="450"/>
      <c r="J13" s="301">
        <v>12</v>
      </c>
      <c r="K13" s="302">
        <f>G13/P13*60</f>
        <v>1852.4999999999993</v>
      </c>
      <c r="L13" s="303">
        <f>K13/J13</f>
        <v>154.37499999999994</v>
      </c>
      <c r="M13" s="304">
        <v>0.42708333333333331</v>
      </c>
      <c r="N13" s="304">
        <v>0.4548611111111111</v>
      </c>
      <c r="O13" s="296">
        <v>5</v>
      </c>
      <c r="P13" s="443">
        <f t="shared" si="2"/>
        <v>40.000000000000014</v>
      </c>
      <c r="Q13" s="305"/>
      <c r="R13" s="296"/>
    </row>
    <row r="14" spans="1:18">
      <c r="A14" s="611"/>
      <c r="B14" s="297" t="s">
        <v>184</v>
      </c>
      <c r="C14" s="297"/>
      <c r="D14" s="444" t="s">
        <v>155</v>
      </c>
      <c r="E14" s="445"/>
      <c r="F14" s="299">
        <v>28.57</v>
      </c>
      <c r="G14" s="306">
        <v>1319</v>
      </c>
      <c r="H14" s="300">
        <f t="shared" si="3"/>
        <v>37683.83</v>
      </c>
      <c r="I14" s="450"/>
      <c r="J14" s="301">
        <v>10</v>
      </c>
      <c r="K14" s="302">
        <f>G14/P14*60</f>
        <v>1438.9090909090919</v>
      </c>
      <c r="L14" s="303">
        <f>K14/J14</f>
        <v>143.89090909090919</v>
      </c>
      <c r="M14" s="304">
        <v>0.45833333333333331</v>
      </c>
      <c r="N14" s="304">
        <v>0.49652777777777773</v>
      </c>
      <c r="O14" s="296">
        <v>5</v>
      </c>
      <c r="P14" s="443">
        <f t="shared" si="2"/>
        <v>54.999999999999964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3"/>
        <v>0</v>
      </c>
      <c r="I15" s="450"/>
      <c r="J15" s="301"/>
      <c r="K15" s="302"/>
      <c r="L15" s="303"/>
      <c r="M15" s="304"/>
      <c r="N15" s="304"/>
      <c r="O15" s="296"/>
      <c r="P15" s="443"/>
      <c r="Q15" s="296"/>
      <c r="R15" s="296"/>
    </row>
    <row r="16" spans="1:18" ht="15.75" customHeight="1">
      <c r="A16" s="612"/>
      <c r="B16" s="297">
        <v>0</v>
      </c>
      <c r="C16" s="308" t="s">
        <v>413</v>
      </c>
      <c r="D16" s="613" t="s">
        <v>414</v>
      </c>
      <c r="E16" s="613"/>
      <c r="F16" s="309"/>
      <c r="G16" s="310"/>
      <c r="H16" s="311"/>
      <c r="I16" s="312"/>
      <c r="J16" s="313">
        <f>AVERAGE(J5:J15)</f>
        <v>11.4</v>
      </c>
      <c r="K16" s="313">
        <f>AVERAGE(K5:K15)</f>
        <v>1529.4742424242429</v>
      </c>
      <c r="L16" s="314">
        <f>AVERAGE(L5:L15)</f>
        <v>138.08917637917642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415</v>
      </c>
      <c r="B17" s="297" t="s">
        <v>187</v>
      </c>
      <c r="C17" s="449"/>
      <c r="D17" s="617" t="s">
        <v>416</v>
      </c>
      <c r="E17" s="618"/>
      <c r="F17" s="299">
        <v>14.03</v>
      </c>
      <c r="G17" s="448">
        <v>366</v>
      </c>
      <c r="H17" s="315">
        <f t="shared" ref="H17:H23" si="4">F17*G17</f>
        <v>5134.9799999999996</v>
      </c>
      <c r="I17" s="316"/>
      <c r="J17" s="301">
        <v>6</v>
      </c>
      <c r="K17" s="302">
        <f>G17/P17*60</f>
        <v>1568.5714285714298</v>
      </c>
      <c r="L17" s="303">
        <f>K17/J17</f>
        <v>261.42857142857162</v>
      </c>
      <c r="M17" s="304">
        <v>0.1875</v>
      </c>
      <c r="N17" s="304">
        <v>0.19722222222222222</v>
      </c>
      <c r="O17" s="296">
        <v>30</v>
      </c>
      <c r="P17" s="443">
        <f>(N17-M17)*24*60</f>
        <v>13.999999999999989</v>
      </c>
      <c r="Q17" s="296"/>
      <c r="R17" s="296"/>
    </row>
    <row r="18" spans="1:18" ht="15.75" customHeight="1">
      <c r="A18" s="614"/>
      <c r="B18" s="297" t="s">
        <v>184</v>
      </c>
      <c r="C18" s="449"/>
      <c r="D18" s="619" t="s">
        <v>417</v>
      </c>
      <c r="E18" s="620"/>
      <c r="F18" s="299">
        <v>14.49</v>
      </c>
      <c r="G18" s="447">
        <v>596</v>
      </c>
      <c r="H18" s="300">
        <f t="shared" si="4"/>
        <v>8636.0400000000009</v>
      </c>
      <c r="I18" s="450"/>
      <c r="J18" s="301">
        <v>5</v>
      </c>
      <c r="K18" s="302">
        <f>G18/P18*60</f>
        <v>1554.7826086956522</v>
      </c>
      <c r="L18" s="303">
        <f>K18/J18</f>
        <v>310.95652173913044</v>
      </c>
      <c r="M18" s="304">
        <v>0.21111111111111111</v>
      </c>
      <c r="N18" s="304">
        <v>0.22708333333333333</v>
      </c>
      <c r="O18" s="296">
        <v>20</v>
      </c>
      <c r="P18" s="443">
        <f t="shared" ref="P18" si="5">(N18-M18)*24*60</f>
        <v>23</v>
      </c>
      <c r="Q18" s="305"/>
      <c r="R18" s="305"/>
    </row>
    <row r="19" spans="1:18" ht="15.75" customHeight="1">
      <c r="A19" s="614"/>
      <c r="B19" s="297">
        <v>0</v>
      </c>
      <c r="C19" s="449"/>
      <c r="D19" s="619"/>
      <c r="E19" s="620"/>
      <c r="F19" s="299" t="s">
        <v>186</v>
      </c>
      <c r="G19" s="447"/>
      <c r="H19" s="300">
        <f t="shared" si="4"/>
        <v>0</v>
      </c>
      <c r="I19" s="450"/>
      <c r="J19" s="301"/>
      <c r="K19" s="302"/>
      <c r="L19" s="303"/>
      <c r="M19" s="304"/>
      <c r="N19" s="304"/>
      <c r="O19" s="296"/>
      <c r="P19" s="443"/>
      <c r="Q19" s="305"/>
      <c r="R19" s="305"/>
    </row>
    <row r="20" spans="1:18" ht="15.75" customHeight="1">
      <c r="A20" s="615"/>
      <c r="B20" s="297">
        <v>0</v>
      </c>
      <c r="C20" s="449"/>
      <c r="D20" s="317"/>
      <c r="E20" s="445"/>
      <c r="F20" s="299" t="s">
        <v>186</v>
      </c>
      <c r="G20" s="447"/>
      <c r="H20" s="300">
        <f t="shared" si="4"/>
        <v>0</v>
      </c>
      <c r="I20" s="450"/>
      <c r="J20" s="301"/>
      <c r="K20" s="302"/>
      <c r="L20" s="303"/>
      <c r="M20" s="304"/>
      <c r="N20" s="304"/>
      <c r="O20" s="296"/>
      <c r="P20" s="443"/>
      <c r="Q20" s="296"/>
      <c r="R20" s="296"/>
    </row>
    <row r="21" spans="1:18" ht="15.75" customHeight="1">
      <c r="A21" s="615"/>
      <c r="B21" s="297">
        <v>0</v>
      </c>
      <c r="C21" s="449"/>
      <c r="D21" s="317"/>
      <c r="E21" s="445"/>
      <c r="F21" s="299" t="s">
        <v>186</v>
      </c>
      <c r="G21" s="447"/>
      <c r="H21" s="300">
        <f t="shared" si="4"/>
        <v>0</v>
      </c>
      <c r="I21" s="450"/>
      <c r="J21" s="301"/>
      <c r="K21" s="302"/>
      <c r="L21" s="303"/>
      <c r="M21" s="304"/>
      <c r="N21" s="304"/>
      <c r="O21" s="296"/>
      <c r="P21" s="443"/>
      <c r="Q21" s="296"/>
      <c r="R21" s="296"/>
    </row>
    <row r="22" spans="1:18" ht="15.75" customHeight="1">
      <c r="A22" s="615"/>
      <c r="B22" s="297">
        <v>0</v>
      </c>
      <c r="C22" s="449"/>
      <c r="D22" s="317"/>
      <c r="E22" s="445"/>
      <c r="F22" s="299" t="s">
        <v>186</v>
      </c>
      <c r="G22" s="447"/>
      <c r="H22" s="300">
        <f t="shared" si="4"/>
        <v>0</v>
      </c>
      <c r="I22" s="450"/>
      <c r="J22" s="301"/>
      <c r="K22" s="302"/>
      <c r="L22" s="303"/>
      <c r="M22" s="304"/>
      <c r="N22" s="304"/>
      <c r="O22" s="296"/>
      <c r="P22" s="443"/>
      <c r="Q22" s="296"/>
      <c r="R22" s="296"/>
    </row>
    <row r="23" spans="1:18" ht="15.75" customHeight="1">
      <c r="A23" s="615"/>
      <c r="B23" s="297">
        <v>0</v>
      </c>
      <c r="C23" s="449"/>
      <c r="D23" s="317"/>
      <c r="E23" s="445"/>
      <c r="F23" s="299" t="s">
        <v>186</v>
      </c>
      <c r="G23" s="447"/>
      <c r="H23" s="300">
        <f t="shared" si="4"/>
        <v>0</v>
      </c>
      <c r="I23" s="450"/>
      <c r="J23" s="301"/>
      <c r="K23" s="302"/>
      <c r="L23" s="303"/>
      <c r="M23" s="304"/>
      <c r="N23" s="304"/>
      <c r="O23" s="296"/>
      <c r="P23" s="443"/>
      <c r="Q23" s="296"/>
      <c r="R23" s="296"/>
    </row>
    <row r="24" spans="1:18" ht="17.399999999999999" customHeight="1">
      <c r="A24" s="616"/>
      <c r="B24" s="297">
        <v>0</v>
      </c>
      <c r="C24" s="6" t="s">
        <v>418</v>
      </c>
      <c r="D24" s="613" t="s">
        <v>414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1561.6770186335411</v>
      </c>
      <c r="L24" s="314">
        <f>AVERAGE(L17:L23)</f>
        <v>286.19254658385103</v>
      </c>
      <c r="M24" s="304"/>
      <c r="N24" s="304"/>
      <c r="O24" s="296"/>
      <c r="P24" s="296"/>
      <c r="Q24" s="296"/>
      <c r="R24" s="296"/>
    </row>
    <row r="25" spans="1:18">
      <c r="A25" s="625" t="s">
        <v>419</v>
      </c>
      <c r="B25" s="297" t="s">
        <v>184</v>
      </c>
      <c r="C25" s="319"/>
      <c r="D25" s="321" t="s">
        <v>420</v>
      </c>
      <c r="E25" s="320"/>
      <c r="F25" s="299">
        <v>15.03</v>
      </c>
      <c r="G25" s="448">
        <v>1787</v>
      </c>
      <c r="H25" s="300">
        <f t="shared" ref="H25:H27" si="6">F25*G25</f>
        <v>26858.61</v>
      </c>
      <c r="I25" s="450"/>
      <c r="J25" s="301">
        <v>4</v>
      </c>
      <c r="K25" s="302">
        <f t="shared" ref="K25:K27" si="7">G25/P25*60</f>
        <v>2821.578947368419</v>
      </c>
      <c r="L25" s="303">
        <f t="shared" ref="L25:L27" si="8">K25/J25</f>
        <v>705.39473684210475</v>
      </c>
      <c r="M25" s="304">
        <v>0.18055555555555555</v>
      </c>
      <c r="N25" s="304">
        <v>0.20694444444444446</v>
      </c>
      <c r="O25" s="296">
        <v>20</v>
      </c>
      <c r="P25" s="443">
        <f t="shared" ref="P25:P27" si="9">(N25-M25)*24*60</f>
        <v>38.000000000000028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48">
        <v>2580</v>
      </c>
      <c r="H26" s="300">
        <f t="shared" si="6"/>
        <v>46904.4</v>
      </c>
      <c r="I26" s="450"/>
      <c r="J26" s="301">
        <v>4</v>
      </c>
      <c r="K26" s="302">
        <f t="shared" si="7"/>
        <v>2866.6666666666642</v>
      </c>
      <c r="L26" s="303">
        <f t="shared" si="8"/>
        <v>716.66666666666606</v>
      </c>
      <c r="M26" s="304">
        <v>0.22083333333333333</v>
      </c>
      <c r="N26" s="304">
        <v>0.25833333333333336</v>
      </c>
      <c r="O26" s="296">
        <v>20</v>
      </c>
      <c r="P26" s="443">
        <f t="shared" si="9"/>
        <v>54.00000000000005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48">
        <v>1873</v>
      </c>
      <c r="H27" s="300">
        <f t="shared" si="6"/>
        <v>34706.69</v>
      </c>
      <c r="I27" s="450"/>
      <c r="J27" s="301">
        <v>3</v>
      </c>
      <c r="K27" s="302">
        <f t="shared" si="7"/>
        <v>2809.4999999999991</v>
      </c>
      <c r="L27" s="303">
        <f t="shared" si="8"/>
        <v>936.49999999999966</v>
      </c>
      <c r="M27" s="304">
        <v>0.2722222222222222</v>
      </c>
      <c r="N27" s="304">
        <v>0.3</v>
      </c>
      <c r="O27" s="296">
        <v>20</v>
      </c>
      <c r="P27" s="443">
        <f t="shared" si="9"/>
        <v>40.000000000000014</v>
      </c>
      <c r="Q27" s="305"/>
      <c r="R27" s="305"/>
    </row>
    <row r="28" spans="1:18">
      <c r="A28" s="625"/>
      <c r="B28" s="297">
        <v>0</v>
      </c>
      <c r="C28" s="449"/>
      <c r="D28" s="317"/>
      <c r="E28" s="322"/>
      <c r="F28" s="299"/>
      <c r="G28" s="448"/>
      <c r="H28" s="300"/>
      <c r="I28" s="450"/>
      <c r="J28" s="301"/>
      <c r="K28" s="302"/>
      <c r="L28" s="303"/>
      <c r="M28" s="304"/>
      <c r="N28" s="304"/>
      <c r="O28" s="296"/>
      <c r="P28" s="443"/>
      <c r="Q28" s="305"/>
      <c r="R28" s="305"/>
    </row>
    <row r="29" spans="1:18">
      <c r="A29" s="625"/>
      <c r="B29" s="297">
        <v>0</v>
      </c>
      <c r="C29" s="448"/>
      <c r="D29" s="321"/>
      <c r="E29" s="322"/>
      <c r="F29" s="299"/>
      <c r="G29" s="448"/>
      <c r="H29" s="300"/>
      <c r="I29" s="450"/>
      <c r="J29" s="301"/>
      <c r="K29" s="302"/>
      <c r="L29" s="303"/>
      <c r="M29" s="304"/>
      <c r="N29" s="304"/>
      <c r="O29" s="296"/>
      <c r="P29" s="443"/>
      <c r="Q29" s="305"/>
      <c r="R29" s="305"/>
    </row>
    <row r="30" spans="1:18">
      <c r="A30" s="625"/>
      <c r="B30" s="297">
        <v>0</v>
      </c>
      <c r="C30" s="448"/>
      <c r="D30" s="323"/>
      <c r="E30" s="322"/>
      <c r="F30" s="299"/>
      <c r="G30" s="448"/>
      <c r="H30" s="300"/>
      <c r="I30" s="450"/>
      <c r="J30" s="301"/>
      <c r="K30" s="302"/>
      <c r="L30" s="303"/>
      <c r="M30" s="304"/>
      <c r="N30" s="304"/>
      <c r="O30" s="296"/>
      <c r="P30" s="443"/>
      <c r="Q30" s="305"/>
      <c r="R30" s="305"/>
    </row>
    <row r="31" spans="1:18" ht="15.75" customHeight="1">
      <c r="A31" s="625"/>
      <c r="B31" s="297">
        <v>0</v>
      </c>
      <c r="C31" s="449"/>
      <c r="D31" s="317"/>
      <c r="E31" s="322"/>
      <c r="F31" s="299"/>
      <c r="G31" s="448"/>
      <c r="H31" s="300"/>
      <c r="I31" s="450"/>
      <c r="J31" s="301"/>
      <c r="K31" s="302"/>
      <c r="L31" s="303"/>
      <c r="M31" s="304"/>
      <c r="N31" s="304"/>
      <c r="O31" s="296"/>
      <c r="P31" s="443"/>
      <c r="Q31" s="305"/>
      <c r="R31" s="305"/>
    </row>
    <row r="32" spans="1:18">
      <c r="A32" s="625"/>
      <c r="B32" s="297">
        <v>0</v>
      </c>
      <c r="C32" s="449"/>
      <c r="D32" s="317"/>
      <c r="E32" s="445"/>
      <c r="F32" s="299" t="s">
        <v>186</v>
      </c>
      <c r="G32" s="448"/>
      <c r="H32" s="300">
        <f t="shared" ref="H32:H37" si="10">F32*G32</f>
        <v>0</v>
      </c>
      <c r="I32" s="450"/>
      <c r="J32" s="301"/>
      <c r="K32" s="302"/>
      <c r="L32" s="303"/>
      <c r="M32" s="304"/>
      <c r="N32" s="304"/>
      <c r="O32" s="296"/>
      <c r="P32" s="443"/>
      <c r="Q32" s="305"/>
      <c r="R32" s="305"/>
    </row>
    <row r="33" spans="1:18">
      <c r="A33" s="625"/>
      <c r="B33" s="297">
        <v>0</v>
      </c>
      <c r="C33" s="448"/>
      <c r="D33" s="321"/>
      <c r="E33" s="322"/>
      <c r="F33" s="299" t="s">
        <v>186</v>
      </c>
      <c r="G33" s="448"/>
      <c r="H33" s="300">
        <f t="shared" si="10"/>
        <v>0</v>
      </c>
      <c r="I33" s="450"/>
      <c r="J33" s="301"/>
      <c r="K33" s="302"/>
      <c r="L33" s="303"/>
      <c r="M33" s="304"/>
      <c r="N33" s="304"/>
      <c r="O33" s="296"/>
      <c r="P33" s="443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10"/>
        <v>0</v>
      </c>
      <c r="I34" s="450"/>
      <c r="J34" s="301"/>
      <c r="K34" s="302"/>
      <c r="L34" s="303"/>
      <c r="M34" s="304"/>
      <c r="N34" s="304"/>
      <c r="O34" s="296"/>
      <c r="P34" s="443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10"/>
        <v>0</v>
      </c>
      <c r="I35" s="450"/>
      <c r="J35" s="301"/>
      <c r="K35" s="302"/>
      <c r="L35" s="303"/>
      <c r="M35" s="304"/>
      <c r="N35" s="304"/>
      <c r="O35" s="296"/>
      <c r="P35" s="443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10"/>
        <v>0</v>
      </c>
      <c r="I36" s="450"/>
      <c r="J36" s="301"/>
      <c r="K36" s="302"/>
      <c r="L36" s="303"/>
      <c r="M36" s="304"/>
      <c r="N36" s="304"/>
      <c r="O36" s="296"/>
      <c r="P36" s="443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10"/>
        <v>0</v>
      </c>
      <c r="I37" s="450"/>
      <c r="J37" s="301"/>
      <c r="K37" s="302"/>
      <c r="L37" s="303"/>
      <c r="M37" s="304"/>
      <c r="N37" s="304"/>
      <c r="O37" s="296"/>
      <c r="P37" s="443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2832.5818713450276</v>
      </c>
      <c r="L38" s="314">
        <f>AVERAGE(L25:L37)</f>
        <v>786.18713450292353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421</v>
      </c>
      <c r="B39" s="297">
        <v>0</v>
      </c>
      <c r="C39" s="449"/>
      <c r="D39" s="317"/>
      <c r="E39" s="445"/>
      <c r="F39" s="299" t="s">
        <v>186</v>
      </c>
      <c r="G39" s="448"/>
      <c r="H39" s="300">
        <f t="shared" ref="H39:H47" si="11">F39*G39</f>
        <v>0</v>
      </c>
      <c r="I39" s="450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49"/>
      <c r="D40" s="317"/>
      <c r="E40" s="445"/>
      <c r="F40" s="299" t="s">
        <v>186</v>
      </c>
      <c r="G40" s="448"/>
      <c r="H40" s="300">
        <f t="shared" si="11"/>
        <v>0</v>
      </c>
      <c r="I40" s="450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49"/>
      <c r="D41" s="321"/>
      <c r="E41" s="445"/>
      <c r="F41" s="299" t="s">
        <v>186</v>
      </c>
      <c r="G41" s="448"/>
      <c r="H41" s="300">
        <f t="shared" si="11"/>
        <v>0</v>
      </c>
      <c r="I41" s="450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49"/>
      <c r="D42" s="321"/>
      <c r="E42" s="445"/>
      <c r="F42" s="299" t="s">
        <v>186</v>
      </c>
      <c r="G42" s="448"/>
      <c r="H42" s="300">
        <f t="shared" si="11"/>
        <v>0</v>
      </c>
      <c r="I42" s="450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49"/>
      <c r="D43" s="320"/>
      <c r="E43" s="445"/>
      <c r="F43" s="299" t="s">
        <v>186</v>
      </c>
      <c r="G43" s="448"/>
      <c r="H43" s="300">
        <f t="shared" si="11"/>
        <v>0</v>
      </c>
      <c r="I43" s="450"/>
      <c r="J43" s="301"/>
      <c r="K43" s="302"/>
      <c r="L43" s="303"/>
      <c r="M43" s="304"/>
      <c r="N43" s="304"/>
      <c r="O43" s="296"/>
      <c r="P43" s="443"/>
      <c r="Q43" s="305"/>
      <c r="R43" s="305"/>
    </row>
    <row r="44" spans="1:18">
      <c r="A44" s="628"/>
      <c r="B44" s="297">
        <v>0</v>
      </c>
      <c r="C44" s="449"/>
      <c r="D44" s="321"/>
      <c r="E44" s="327"/>
      <c r="F44" s="299" t="s">
        <v>186</v>
      </c>
      <c r="G44" s="328"/>
      <c r="H44" s="329">
        <f t="shared" si="11"/>
        <v>0</v>
      </c>
      <c r="I44" s="451"/>
      <c r="J44" s="301"/>
      <c r="K44" s="302"/>
      <c r="L44" s="303"/>
      <c r="M44" s="304"/>
      <c r="N44" s="304"/>
      <c r="O44" s="296"/>
      <c r="P44" s="443"/>
      <c r="Q44" s="305"/>
      <c r="R44" s="305"/>
    </row>
    <row r="45" spans="1:18">
      <c r="A45" s="628"/>
      <c r="B45" s="297">
        <v>0</v>
      </c>
      <c r="C45" s="449"/>
      <c r="D45" s="337"/>
      <c r="E45" s="322"/>
      <c r="F45" s="299" t="s">
        <v>186</v>
      </c>
      <c r="G45" s="448"/>
      <c r="H45" s="300">
        <f t="shared" si="11"/>
        <v>0</v>
      </c>
      <c r="I45" s="450"/>
      <c r="J45" s="301"/>
      <c r="K45" s="302"/>
      <c r="L45" s="303"/>
      <c r="M45" s="304"/>
      <c r="N45" s="304"/>
      <c r="O45" s="296"/>
      <c r="P45" s="443"/>
      <c r="Q45" s="305"/>
      <c r="R45" s="305"/>
    </row>
    <row r="46" spans="1:18">
      <c r="A46" s="628"/>
      <c r="B46" s="297">
        <v>0</v>
      </c>
      <c r="C46" s="449"/>
      <c r="D46" s="321"/>
      <c r="E46" s="327"/>
      <c r="F46" s="299" t="s">
        <v>186</v>
      </c>
      <c r="G46" s="328"/>
      <c r="H46" s="329">
        <f t="shared" si="11"/>
        <v>0</v>
      </c>
      <c r="I46" s="451"/>
      <c r="J46" s="301"/>
      <c r="K46" s="302"/>
      <c r="L46" s="303"/>
      <c r="M46" s="304"/>
      <c r="N46" s="304"/>
      <c r="O46" s="296"/>
      <c r="P46" s="443"/>
      <c r="Q46" s="305"/>
      <c r="R46" s="305"/>
    </row>
    <row r="47" spans="1:18">
      <c r="A47" s="628"/>
      <c r="B47" s="297">
        <v>0</v>
      </c>
      <c r="C47" s="449"/>
      <c r="D47" s="337"/>
      <c r="E47" s="322"/>
      <c r="F47" s="299" t="s">
        <v>186</v>
      </c>
      <c r="G47" s="448"/>
      <c r="H47" s="300">
        <f t="shared" si="11"/>
        <v>0</v>
      </c>
      <c r="I47" s="450"/>
      <c r="J47" s="301"/>
      <c r="K47" s="302"/>
      <c r="L47" s="303"/>
      <c r="M47" s="304"/>
      <c r="N47" s="304"/>
      <c r="O47" s="296"/>
      <c r="P47" s="443"/>
      <c r="Q47" s="305"/>
      <c r="R47" s="305"/>
    </row>
    <row r="48" spans="1:18">
      <c r="A48" s="629"/>
      <c r="B48" s="297">
        <v>0</v>
      </c>
      <c r="C48" s="448"/>
      <c r="D48" s="321"/>
      <c r="E48" s="376"/>
      <c r="F48" s="299" t="s">
        <v>186</v>
      </c>
      <c r="G48" s="448"/>
      <c r="H48" s="300"/>
      <c r="I48" s="450"/>
      <c r="J48" s="301"/>
      <c r="K48" s="302"/>
      <c r="L48" s="303"/>
      <c r="M48" s="304"/>
      <c r="N48" s="304"/>
      <c r="O48" s="296"/>
      <c r="P48" s="443"/>
      <c r="Q48" s="305"/>
      <c r="R48" s="305"/>
    </row>
    <row r="49" spans="1:18">
      <c r="A49" s="629"/>
      <c r="B49" s="297">
        <v>0</v>
      </c>
      <c r="C49" s="448"/>
      <c r="D49" s="330"/>
      <c r="E49" s="331"/>
      <c r="F49" s="299" t="s">
        <v>186</v>
      </c>
      <c r="G49" s="296"/>
      <c r="H49" s="329">
        <f>F49*G49</f>
        <v>0</v>
      </c>
      <c r="I49" s="443"/>
      <c r="J49" s="301"/>
      <c r="K49" s="302"/>
      <c r="L49" s="303"/>
      <c r="M49" s="304"/>
      <c r="N49" s="304"/>
      <c r="O49" s="296"/>
      <c r="P49" s="443"/>
      <c r="Q49" s="305"/>
      <c r="R49" s="305"/>
    </row>
    <row r="50" spans="1:18">
      <c r="A50" s="629"/>
      <c r="B50" s="297">
        <v>0</v>
      </c>
      <c r="C50" s="448"/>
      <c r="D50" s="330"/>
      <c r="E50" s="331"/>
      <c r="F50" s="299" t="s">
        <v>186</v>
      </c>
      <c r="G50" s="296"/>
      <c r="H50" s="329">
        <f>F50*G50</f>
        <v>0</v>
      </c>
      <c r="I50" s="443"/>
      <c r="J50" s="301"/>
      <c r="K50" s="302"/>
      <c r="L50" s="303"/>
      <c r="M50" s="304"/>
      <c r="N50" s="304"/>
      <c r="O50" s="296"/>
      <c r="P50" s="443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414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422</v>
      </c>
      <c r="B52" s="297" t="s">
        <v>184</v>
      </c>
      <c r="C52" s="449"/>
      <c r="D52" s="320" t="s">
        <v>159</v>
      </c>
      <c r="E52" s="335"/>
      <c r="F52" s="299">
        <v>25.03</v>
      </c>
      <c r="G52" s="448">
        <v>589</v>
      </c>
      <c r="H52" s="300">
        <f>F52*G52</f>
        <v>14742.67</v>
      </c>
      <c r="I52" s="450"/>
      <c r="J52" s="301">
        <v>4</v>
      </c>
      <c r="K52" s="302">
        <f>G52/P52*60</f>
        <v>3212.7272727272843</v>
      </c>
      <c r="L52" s="303">
        <f>K52/J52</f>
        <v>803.18181818182109</v>
      </c>
      <c r="M52" s="304">
        <v>0.2986111111111111</v>
      </c>
      <c r="N52" s="304">
        <v>0.30624999999999997</v>
      </c>
      <c r="O52" s="302">
        <v>10</v>
      </c>
      <c r="P52" s="443">
        <f>(N52-M52)*24*60</f>
        <v>10.999999999999961</v>
      </c>
      <c r="Q52" s="305"/>
      <c r="R52" s="305"/>
    </row>
    <row r="53" spans="1:18" ht="15.6" customHeight="1">
      <c r="A53" s="632"/>
      <c r="B53" s="297" t="s">
        <v>184</v>
      </c>
      <c r="C53" s="449"/>
      <c r="D53" s="320" t="s">
        <v>160</v>
      </c>
      <c r="E53" s="336"/>
      <c r="F53" s="299">
        <v>24.82</v>
      </c>
      <c r="G53" s="306">
        <v>823</v>
      </c>
      <c r="H53" s="300">
        <f t="shared" ref="H53:H62" si="12">F53*G53</f>
        <v>20426.86</v>
      </c>
      <c r="I53" s="450"/>
      <c r="J53" s="301">
        <v>4</v>
      </c>
      <c r="K53" s="302">
        <f t="shared" ref="K53:K56" si="13">G53/P53*60</f>
        <v>3292.0000000000114</v>
      </c>
      <c r="L53" s="303">
        <f t="shared" ref="L53:L56" si="14">K53/J53</f>
        <v>823.00000000000284</v>
      </c>
      <c r="M53" s="304">
        <v>0.32013888888888892</v>
      </c>
      <c r="N53" s="304">
        <v>0.33055555555555555</v>
      </c>
      <c r="O53" s="302">
        <v>20</v>
      </c>
      <c r="P53" s="443">
        <f t="shared" ref="P53:P56" si="15">(N53-M53)*24*60</f>
        <v>14.999999999999947</v>
      </c>
      <c r="Q53" s="305"/>
      <c r="R53" s="305"/>
    </row>
    <row r="54" spans="1:18" ht="15.6" customHeight="1">
      <c r="A54" s="632"/>
      <c r="B54" s="297" t="s">
        <v>184</v>
      </c>
      <c r="C54" s="449"/>
      <c r="D54" s="320" t="s">
        <v>161</v>
      </c>
      <c r="E54" s="445"/>
      <c r="F54" s="299">
        <v>30</v>
      </c>
      <c r="G54" s="306">
        <v>1406</v>
      </c>
      <c r="H54" s="300">
        <f t="shared" si="12"/>
        <v>42180</v>
      </c>
      <c r="I54" s="450"/>
      <c r="J54" s="301">
        <v>4</v>
      </c>
      <c r="K54" s="302">
        <f t="shared" si="13"/>
        <v>3244.6153846153961</v>
      </c>
      <c r="L54" s="303">
        <f t="shared" si="14"/>
        <v>811.15384615384903</v>
      </c>
      <c r="M54" s="304">
        <v>0.3444444444444445</v>
      </c>
      <c r="N54" s="304">
        <v>0.36249999999999999</v>
      </c>
      <c r="O54" s="302">
        <v>20</v>
      </c>
      <c r="P54" s="443">
        <f t="shared" si="15"/>
        <v>25.999999999999908</v>
      </c>
      <c r="Q54" s="305">
        <v>0.36249999999999999</v>
      </c>
      <c r="R54" s="305">
        <v>0.40416666666666662</v>
      </c>
    </row>
    <row r="55" spans="1:18" ht="15.6" customHeight="1">
      <c r="A55" s="632"/>
      <c r="B55" s="297" t="s">
        <v>184</v>
      </c>
      <c r="C55" s="449"/>
      <c r="D55" s="338" t="s">
        <v>162</v>
      </c>
      <c r="E55" s="322"/>
      <c r="F55" s="299">
        <v>14.03</v>
      </c>
      <c r="G55" s="306">
        <v>2408</v>
      </c>
      <c r="H55" s="300">
        <f t="shared" si="12"/>
        <v>33784.239999999998</v>
      </c>
      <c r="I55" s="450"/>
      <c r="J55" s="301">
        <v>3</v>
      </c>
      <c r="K55" s="302">
        <f t="shared" si="13"/>
        <v>3210.666666666667</v>
      </c>
      <c r="L55" s="303">
        <f t="shared" si="14"/>
        <v>1070.2222222222224</v>
      </c>
      <c r="M55" s="304">
        <v>0.41805555555555557</v>
      </c>
      <c r="N55" s="304">
        <v>0.44930555555555557</v>
      </c>
      <c r="O55" s="302">
        <v>20</v>
      </c>
      <c r="P55" s="443">
        <f t="shared" si="15"/>
        <v>45</v>
      </c>
      <c r="Q55" s="305"/>
      <c r="R55" s="305"/>
    </row>
    <row r="56" spans="1:18" ht="15.6" customHeight="1">
      <c r="A56" s="632"/>
      <c r="B56" s="297" t="s">
        <v>184</v>
      </c>
      <c r="C56" s="449"/>
      <c r="D56" s="321" t="s">
        <v>164</v>
      </c>
      <c r="E56" s="322"/>
      <c r="F56" s="299">
        <v>18.18</v>
      </c>
      <c r="G56" s="306">
        <v>1370</v>
      </c>
      <c r="H56" s="300">
        <f t="shared" si="12"/>
        <v>24906.6</v>
      </c>
      <c r="I56" s="450"/>
      <c r="J56" s="301">
        <v>3</v>
      </c>
      <c r="K56" s="302">
        <f t="shared" si="13"/>
        <v>3288.0000000000009</v>
      </c>
      <c r="L56" s="303">
        <f t="shared" si="14"/>
        <v>1096.0000000000002</v>
      </c>
      <c r="M56" s="304">
        <v>0.46319444444444446</v>
      </c>
      <c r="N56" s="304">
        <v>0.48055555555555557</v>
      </c>
      <c r="O56" s="302">
        <v>20</v>
      </c>
      <c r="P56" s="443">
        <f t="shared" si="15"/>
        <v>24.999999999999993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12"/>
        <v>0</v>
      </c>
      <c r="I57" s="450"/>
      <c r="J57" s="301"/>
      <c r="K57" s="302"/>
      <c r="L57" s="303"/>
      <c r="M57" s="304"/>
      <c r="N57" s="304"/>
      <c r="O57" s="302"/>
      <c r="P57" s="443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12"/>
        <v>0</v>
      </c>
      <c r="I58" s="450"/>
      <c r="J58" s="301"/>
      <c r="K58" s="302"/>
      <c r="L58" s="303"/>
      <c r="M58" s="304"/>
      <c r="N58" s="304"/>
      <c r="O58" s="302"/>
      <c r="P58" s="443"/>
      <c r="Q58" s="305"/>
      <c r="R58" s="305"/>
    </row>
    <row r="59" spans="1:18" ht="15.6" customHeight="1">
      <c r="A59" s="632"/>
      <c r="B59" s="297">
        <v>0</v>
      </c>
      <c r="C59" s="449"/>
      <c r="D59" s="337"/>
      <c r="E59" s="322"/>
      <c r="F59" s="299" t="s">
        <v>186</v>
      </c>
      <c r="G59" s="306"/>
      <c r="H59" s="300">
        <f t="shared" si="12"/>
        <v>0</v>
      </c>
      <c r="I59" s="450"/>
      <c r="J59" s="301"/>
      <c r="K59" s="302"/>
      <c r="L59" s="303"/>
      <c r="M59" s="304"/>
      <c r="N59" s="304"/>
      <c r="O59" s="302"/>
      <c r="P59" s="443"/>
      <c r="Q59" s="305"/>
      <c r="R59" s="305"/>
    </row>
    <row r="60" spans="1:18" ht="15.6" customHeight="1">
      <c r="A60" s="632"/>
      <c r="B60" s="297">
        <v>0</v>
      </c>
      <c r="C60" s="449"/>
      <c r="D60" s="338"/>
      <c r="E60" s="341"/>
      <c r="F60" s="299" t="s">
        <v>186</v>
      </c>
      <c r="G60" s="306"/>
      <c r="H60" s="300">
        <f t="shared" si="12"/>
        <v>0</v>
      </c>
      <c r="I60" s="450"/>
      <c r="J60" s="301"/>
      <c r="K60" s="302"/>
      <c r="L60" s="303"/>
      <c r="M60" s="304"/>
      <c r="N60" s="304"/>
      <c r="O60" s="302"/>
      <c r="P60" s="443"/>
      <c r="Q60" s="305"/>
      <c r="R60" s="305"/>
    </row>
    <row r="61" spans="1:18" ht="15.6" customHeight="1">
      <c r="A61" s="632"/>
      <c r="B61" s="297">
        <v>0</v>
      </c>
      <c r="C61" s="449"/>
      <c r="D61" s="320"/>
      <c r="E61" s="322"/>
      <c r="F61" s="299" t="s">
        <v>186</v>
      </c>
      <c r="G61" s="306"/>
      <c r="H61" s="300">
        <f t="shared" si="12"/>
        <v>0</v>
      </c>
      <c r="I61" s="450"/>
      <c r="J61" s="301"/>
      <c r="K61" s="302"/>
      <c r="L61" s="303"/>
      <c r="M61" s="304"/>
      <c r="N61" s="304"/>
      <c r="O61" s="302"/>
      <c r="P61" s="443"/>
      <c r="Q61" s="305"/>
      <c r="R61" s="305"/>
    </row>
    <row r="62" spans="1:18" ht="15.6" customHeight="1">
      <c r="A62" s="632"/>
      <c r="B62" s="297">
        <v>0</v>
      </c>
      <c r="C62" s="449"/>
      <c r="D62" s="337"/>
      <c r="E62" s="342"/>
      <c r="F62" s="299" t="s">
        <v>186</v>
      </c>
      <c r="G62" s="306"/>
      <c r="H62" s="300">
        <f t="shared" si="12"/>
        <v>0</v>
      </c>
      <c r="I62" s="450"/>
      <c r="J62" s="301"/>
      <c r="K62" s="302"/>
      <c r="L62" s="303"/>
      <c r="M62" s="304"/>
      <c r="N62" s="304"/>
      <c r="O62" s="302"/>
      <c r="P62" s="443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3"/>
        <v>0</v>
      </c>
      <c r="I63" s="451"/>
      <c r="J63" s="301"/>
      <c r="K63" s="302"/>
      <c r="L63" s="303"/>
      <c r="M63" s="304"/>
      <c r="N63" s="304"/>
      <c r="O63" s="296"/>
      <c r="P63" s="443"/>
      <c r="Q63" s="305"/>
      <c r="R63" s="305"/>
    </row>
    <row r="64" spans="1:18" ht="15.75" customHeight="1">
      <c r="A64" s="633"/>
      <c r="B64" s="297">
        <v>0</v>
      </c>
      <c r="C64" s="6" t="s">
        <v>423</v>
      </c>
      <c r="D64" s="613" t="s">
        <v>414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3249.6018648018717</v>
      </c>
      <c r="L64" s="314">
        <f>AVERAGE(L52:L63)</f>
        <v>920.71157731157905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424</v>
      </c>
      <c r="B65" s="297" t="s">
        <v>184</v>
      </c>
      <c r="C65" s="449"/>
      <c r="D65" s="321" t="s">
        <v>425</v>
      </c>
      <c r="E65" s="335"/>
      <c r="F65" s="299">
        <v>16.66</v>
      </c>
      <c r="G65" s="448">
        <v>2453</v>
      </c>
      <c r="H65" s="300">
        <f>F65*G65</f>
        <v>40866.980000000003</v>
      </c>
      <c r="I65" s="450"/>
      <c r="J65" s="301">
        <v>4</v>
      </c>
      <c r="K65" s="302">
        <f t="shared" ref="K65:K69" si="16">G65/P65*60</f>
        <v>3270.666666666667</v>
      </c>
      <c r="L65" s="303">
        <f t="shared" ref="L65:L69" si="17">K65/J65</f>
        <v>817.66666666666674</v>
      </c>
      <c r="M65" s="304">
        <v>0.18055555555555555</v>
      </c>
      <c r="N65" s="304">
        <v>0.21180555555555555</v>
      </c>
      <c r="O65" s="302">
        <v>20</v>
      </c>
      <c r="P65" s="443">
        <f>(N65-M65)*24*60</f>
        <v>45</v>
      </c>
      <c r="Q65" s="305"/>
      <c r="R65" s="305"/>
    </row>
    <row r="66" spans="1:18" ht="15.6" customHeight="1">
      <c r="A66" s="635"/>
      <c r="B66" s="297" t="s">
        <v>184</v>
      </c>
      <c r="C66" s="449"/>
      <c r="D66" s="321" t="s">
        <v>426</v>
      </c>
      <c r="E66" s="336"/>
      <c r="F66" s="299">
        <v>22.281818181818181</v>
      </c>
      <c r="G66" s="306">
        <v>572</v>
      </c>
      <c r="H66" s="300">
        <f t="shared" ref="H66:H74" si="18">F66*G66</f>
        <v>12745.199999999999</v>
      </c>
      <c r="I66" s="450"/>
      <c r="J66" s="301">
        <v>4</v>
      </c>
      <c r="K66" s="302">
        <f t="shared" si="16"/>
        <v>3432.0000000000123</v>
      </c>
      <c r="L66" s="303">
        <f t="shared" si="17"/>
        <v>858.00000000000307</v>
      </c>
      <c r="M66" s="304">
        <v>0.22569444444444445</v>
      </c>
      <c r="N66" s="304">
        <v>0.23263888888888887</v>
      </c>
      <c r="O66" s="302">
        <v>20</v>
      </c>
      <c r="P66" s="443">
        <f t="shared" ref="P66:P69" si="19">(N66-M66)*24*60</f>
        <v>9.9999999999999645</v>
      </c>
      <c r="Q66" s="305"/>
      <c r="R66" s="305"/>
    </row>
    <row r="67" spans="1:18" ht="15.6" customHeight="1">
      <c r="A67" s="635"/>
      <c r="B67" s="297" t="s">
        <v>184</v>
      </c>
      <c r="C67" s="449"/>
      <c r="D67" s="337" t="s">
        <v>427</v>
      </c>
      <c r="E67" s="322"/>
      <c r="F67" s="299">
        <v>17.890909090909091</v>
      </c>
      <c r="G67" s="306">
        <v>1485</v>
      </c>
      <c r="H67" s="300">
        <f t="shared" si="18"/>
        <v>26568</v>
      </c>
      <c r="I67" s="450"/>
      <c r="J67" s="301">
        <v>3</v>
      </c>
      <c r="K67" s="302">
        <f t="shared" si="16"/>
        <v>3300.0000000000018</v>
      </c>
      <c r="L67" s="303">
        <f t="shared" si="17"/>
        <v>1100.0000000000007</v>
      </c>
      <c r="M67" s="304">
        <v>0.24652777777777779</v>
      </c>
      <c r="N67" s="304">
        <v>0.26527777777777778</v>
      </c>
      <c r="O67" s="302">
        <v>20</v>
      </c>
      <c r="P67" s="443">
        <f t="shared" si="19"/>
        <v>26.999999999999986</v>
      </c>
      <c r="Q67" s="305">
        <v>0.26527777777777778</v>
      </c>
      <c r="R67" s="305">
        <v>0.30694444444444441</v>
      </c>
    </row>
    <row r="68" spans="1:18" ht="15.6" customHeight="1">
      <c r="A68" s="635"/>
      <c r="B68" s="297" t="s">
        <v>184</v>
      </c>
      <c r="C68" s="449"/>
      <c r="D68" s="320" t="s">
        <v>163</v>
      </c>
      <c r="E68" s="322"/>
      <c r="F68" s="299">
        <v>18.18</v>
      </c>
      <c r="G68" s="306">
        <v>788</v>
      </c>
      <c r="H68" s="300">
        <f t="shared" si="18"/>
        <v>14325.84</v>
      </c>
      <c r="I68" s="450"/>
      <c r="J68" s="301">
        <v>3</v>
      </c>
      <c r="K68" s="302">
        <f t="shared" si="16"/>
        <v>3377.1428571428692</v>
      </c>
      <c r="L68" s="303">
        <f t="shared" si="17"/>
        <v>1125.7142857142896</v>
      </c>
      <c r="M68" s="304">
        <v>0.32083333333333336</v>
      </c>
      <c r="N68" s="304">
        <v>0.33055555555555555</v>
      </c>
      <c r="O68" s="302">
        <v>20</v>
      </c>
      <c r="P68" s="443">
        <f t="shared" si="19"/>
        <v>13.99999999999995</v>
      </c>
      <c r="Q68" s="305"/>
      <c r="R68" s="305"/>
    </row>
    <row r="69" spans="1:18" ht="15.6" customHeight="1">
      <c r="A69" s="635"/>
      <c r="B69" s="297" t="s">
        <v>184</v>
      </c>
      <c r="C69" s="449"/>
      <c r="D69" s="337" t="s">
        <v>165</v>
      </c>
      <c r="E69" s="322"/>
      <c r="F69" s="299">
        <v>14.285714285714283</v>
      </c>
      <c r="G69" s="306">
        <v>3549</v>
      </c>
      <c r="H69" s="300">
        <f t="shared" si="18"/>
        <v>50699.999999999993</v>
      </c>
      <c r="I69" s="450"/>
      <c r="J69" s="301">
        <v>3</v>
      </c>
      <c r="K69" s="302">
        <f t="shared" si="16"/>
        <v>3226.3636363636397</v>
      </c>
      <c r="L69" s="303">
        <f t="shared" si="17"/>
        <v>1075.4545454545466</v>
      </c>
      <c r="M69" s="304">
        <v>0.3444444444444445</v>
      </c>
      <c r="N69" s="304">
        <v>0.39027777777777778</v>
      </c>
      <c r="O69" s="302">
        <v>20</v>
      </c>
      <c r="P69" s="443">
        <f t="shared" si="19"/>
        <v>65.999999999999929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18"/>
        <v>0</v>
      </c>
      <c r="I70" s="450"/>
      <c r="J70" s="301"/>
      <c r="K70" s="302"/>
      <c r="L70" s="303"/>
      <c r="M70" s="304"/>
      <c r="N70" s="304"/>
      <c r="O70" s="302"/>
      <c r="P70" s="443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18"/>
        <v>0</v>
      </c>
      <c r="I71" s="450"/>
      <c r="J71" s="301"/>
      <c r="K71" s="302"/>
      <c r="L71" s="303"/>
      <c r="M71" s="304"/>
      <c r="N71" s="304"/>
      <c r="O71" s="302"/>
      <c r="P71" s="443"/>
      <c r="Q71" s="305"/>
      <c r="R71" s="305"/>
    </row>
    <row r="72" spans="1:18" ht="15.6" customHeight="1">
      <c r="A72" s="635"/>
      <c r="B72" s="297">
        <v>0</v>
      </c>
      <c r="C72" s="449"/>
      <c r="D72" s="337"/>
      <c r="E72" s="322"/>
      <c r="F72" s="299" t="s">
        <v>186</v>
      </c>
      <c r="G72" s="306"/>
      <c r="H72" s="300">
        <f t="shared" si="18"/>
        <v>0</v>
      </c>
      <c r="I72" s="450"/>
      <c r="J72" s="301"/>
      <c r="K72" s="302"/>
      <c r="L72" s="303"/>
      <c r="M72" s="304"/>
      <c r="N72" s="304"/>
      <c r="O72" s="302"/>
      <c r="P72" s="443"/>
      <c r="Q72" s="305"/>
      <c r="R72" s="305"/>
    </row>
    <row r="73" spans="1:18" ht="15.6" customHeight="1">
      <c r="A73" s="635"/>
      <c r="B73" s="297">
        <v>0</v>
      </c>
      <c r="C73" s="449"/>
      <c r="D73" s="337"/>
      <c r="E73" s="322"/>
      <c r="F73" s="299" t="s">
        <v>186</v>
      </c>
      <c r="G73" s="306"/>
      <c r="H73" s="300">
        <f t="shared" si="18"/>
        <v>0</v>
      </c>
      <c r="I73" s="450"/>
      <c r="J73" s="301"/>
      <c r="K73" s="302"/>
      <c r="L73" s="303"/>
      <c r="M73" s="304"/>
      <c r="N73" s="304"/>
      <c r="O73" s="302"/>
      <c r="P73" s="443"/>
      <c r="Q73" s="305"/>
      <c r="R73" s="305"/>
    </row>
    <row r="74" spans="1:18" ht="15.6" customHeight="1">
      <c r="A74" s="635"/>
      <c r="B74" s="297">
        <v>0</v>
      </c>
      <c r="C74" s="449"/>
      <c r="D74" s="337"/>
      <c r="E74" s="322"/>
      <c r="F74" s="299" t="s">
        <v>186</v>
      </c>
      <c r="G74" s="306"/>
      <c r="H74" s="300">
        <f t="shared" si="18"/>
        <v>0</v>
      </c>
      <c r="I74" s="450"/>
      <c r="J74" s="301"/>
      <c r="K74" s="302"/>
      <c r="L74" s="303"/>
      <c r="M74" s="304"/>
      <c r="N74" s="304"/>
      <c r="O74" s="302"/>
      <c r="P74" s="443"/>
      <c r="Q74" s="305"/>
      <c r="R74" s="305"/>
    </row>
    <row r="75" spans="1:18" ht="15.75" customHeight="1">
      <c r="A75" s="636"/>
      <c r="B75" s="297">
        <v>0</v>
      </c>
      <c r="C75" s="6" t="s">
        <v>428</v>
      </c>
      <c r="D75" s="613" t="s">
        <v>414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3321.2346320346378</v>
      </c>
      <c r="L75" s="314">
        <f>AVERAGE(L65:L74)</f>
        <v>995.36709956710149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 t="shared" si="3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43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48"/>
      <c r="H77" s="300">
        <f t="shared" si="3"/>
        <v>0</v>
      </c>
      <c r="I77" s="450"/>
      <c r="J77" s="301"/>
      <c r="K77" s="302"/>
      <c r="L77" s="303"/>
      <c r="M77" s="304"/>
      <c r="N77" s="304"/>
      <c r="O77" s="296"/>
      <c r="P77" s="443"/>
      <c r="Q77" s="296"/>
      <c r="R77" s="296"/>
    </row>
    <row r="78" spans="1:18">
      <c r="A78" s="621"/>
      <c r="B78" s="297">
        <v>0</v>
      </c>
      <c r="C78" s="308"/>
      <c r="D78" s="442"/>
      <c r="E78" s="442"/>
      <c r="F78" s="299" t="s">
        <v>186</v>
      </c>
      <c r="G78" s="324"/>
      <c r="H78" s="300">
        <f t="shared" si="3"/>
        <v>0</v>
      </c>
      <c r="I78" s="450"/>
      <c r="J78" s="301"/>
      <c r="K78" s="302"/>
      <c r="L78" s="303"/>
      <c r="M78" s="304"/>
      <c r="N78" s="304"/>
      <c r="O78" s="296"/>
      <c r="P78" s="443"/>
      <c r="Q78" s="296"/>
      <c r="R78" s="296"/>
    </row>
    <row r="79" spans="1:18">
      <c r="A79" s="621"/>
      <c r="B79" s="297">
        <v>0</v>
      </c>
      <c r="C79" s="308"/>
      <c r="D79" s="442"/>
      <c r="E79" s="442"/>
      <c r="F79" s="299" t="s">
        <v>186</v>
      </c>
      <c r="G79" s="324"/>
      <c r="H79" s="300">
        <f t="shared" si="3"/>
        <v>0</v>
      </c>
      <c r="I79" s="450"/>
      <c r="J79" s="301"/>
      <c r="K79" s="302"/>
      <c r="L79" s="303"/>
      <c r="M79" s="304"/>
      <c r="N79" s="304"/>
      <c r="O79" s="296"/>
      <c r="P79" s="443"/>
      <c r="Q79" s="296"/>
      <c r="R79" s="296"/>
    </row>
    <row r="80" spans="1:18">
      <c r="A80" s="621"/>
      <c r="B80" s="297">
        <v>0</v>
      </c>
      <c r="C80" s="308"/>
      <c r="D80" s="442"/>
      <c r="E80" s="442"/>
      <c r="F80" s="299" t="s">
        <v>186</v>
      </c>
      <c r="G80" s="324"/>
      <c r="H80" s="300">
        <f t="shared" si="3"/>
        <v>0</v>
      </c>
      <c r="I80" s="450"/>
      <c r="J80" s="301"/>
      <c r="K80" s="302"/>
      <c r="L80" s="303"/>
      <c r="M80" s="304"/>
      <c r="N80" s="304"/>
      <c r="O80" s="296"/>
      <c r="P80" s="443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414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429</v>
      </c>
      <c r="B82" s="297" t="s">
        <v>184</v>
      </c>
      <c r="C82" s="319"/>
      <c r="D82" s="320" t="s">
        <v>168</v>
      </c>
      <c r="E82" s="346"/>
      <c r="F82" s="299">
        <v>18.18</v>
      </c>
      <c r="G82" s="324">
        <v>345</v>
      </c>
      <c r="H82" s="347">
        <f t="shared" ref="H82:H90" si="20">F82*G82</f>
        <v>6272.0999999999995</v>
      </c>
      <c r="I82" s="450"/>
      <c r="J82" s="301">
        <v>4</v>
      </c>
      <c r="K82" s="302">
        <f t="shared" ref="K82" si="21">G82/P82*60</f>
        <v>2957.1428571428678</v>
      </c>
      <c r="L82" s="303">
        <f t="shared" ref="L82" si="22">K82/J82</f>
        <v>739.28571428571695</v>
      </c>
      <c r="M82" s="304">
        <v>0.72222222222222221</v>
      </c>
      <c r="N82" s="304">
        <v>0.7270833333333333</v>
      </c>
      <c r="O82" s="302">
        <v>20</v>
      </c>
      <c r="P82" s="443">
        <f>(N82-M82)*24*60</f>
        <v>6.9999999999999751</v>
      </c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20"/>
        <v>0</v>
      </c>
      <c r="I83" s="450"/>
      <c r="J83" s="301"/>
      <c r="K83" s="302"/>
      <c r="L83" s="303"/>
      <c r="M83" s="304"/>
      <c r="N83" s="304"/>
      <c r="O83" s="302"/>
      <c r="P83" s="443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20"/>
        <v>0</v>
      </c>
      <c r="I84" s="450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20"/>
        <v>0</v>
      </c>
      <c r="I85" s="450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48"/>
      <c r="H86" s="348">
        <f t="shared" si="20"/>
        <v>0</v>
      </c>
      <c r="I86" s="450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48"/>
      <c r="H87" s="348">
        <f t="shared" si="20"/>
        <v>0</v>
      </c>
      <c r="I87" s="450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48"/>
      <c r="H88" s="348">
        <f t="shared" si="20"/>
        <v>0</v>
      </c>
      <c r="I88" s="450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48"/>
      <c r="H89" s="348">
        <f t="shared" si="20"/>
        <v>0</v>
      </c>
      <c r="I89" s="450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48"/>
      <c r="H90" s="348">
        <f t="shared" si="20"/>
        <v>0</v>
      </c>
      <c r="I90" s="450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419</v>
      </c>
      <c r="D91" s="641" t="s">
        <v>414</v>
      </c>
      <c r="E91" s="641"/>
      <c r="F91" s="309"/>
      <c r="G91" s="350"/>
      <c r="H91" s="351"/>
      <c r="I91" s="312"/>
      <c r="J91" s="313">
        <f>AVERAGE(J82:J90)</f>
        <v>4</v>
      </c>
      <c r="K91" s="313">
        <f>AVERAGE(K82:K90)</f>
        <v>2957.1428571428678</v>
      </c>
      <c r="L91" s="314">
        <f>AVERAGE(L82:L90)</f>
        <v>739.28571428571695</v>
      </c>
      <c r="M91" s="304"/>
      <c r="N91" s="304"/>
      <c r="O91" s="302"/>
      <c r="P91" s="302"/>
      <c r="Q91" s="303"/>
      <c r="R91" s="303"/>
    </row>
    <row r="92" spans="1:18" ht="16.2" customHeight="1">
      <c r="A92" s="642" t="s">
        <v>430</v>
      </c>
      <c r="B92" s="297" t="s">
        <v>184</v>
      </c>
      <c r="C92" s="308"/>
      <c r="D92" s="352" t="s">
        <v>431</v>
      </c>
      <c r="E92" s="346"/>
      <c r="F92" s="299">
        <v>24.54</v>
      </c>
      <c r="G92" s="448">
        <v>1494</v>
      </c>
      <c r="H92" s="300">
        <f t="shared" ref="H92:H97" si="23">F92*G92</f>
        <v>36662.76</v>
      </c>
      <c r="I92" s="450"/>
      <c r="J92" s="301">
        <v>3</v>
      </c>
      <c r="K92" s="302">
        <f>G92/P92*60</f>
        <v>2240.9999999999991</v>
      </c>
      <c r="L92" s="303">
        <f t="shared" ref="L92:L94" si="24">K92/J92</f>
        <v>746.99999999999966</v>
      </c>
      <c r="M92" s="304">
        <v>0.72222222222222221</v>
      </c>
      <c r="N92" s="304">
        <v>0.75</v>
      </c>
      <c r="O92" s="296">
        <v>20</v>
      </c>
      <c r="P92" s="443">
        <f>(N92-M92)*24*60</f>
        <v>40.000000000000014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48">
        <v>704</v>
      </c>
      <c r="H93" s="300">
        <f t="shared" si="23"/>
        <v>15825.92</v>
      </c>
      <c r="I93" s="450"/>
      <c r="J93" s="301">
        <v>4</v>
      </c>
      <c r="K93" s="302">
        <f t="shared" ref="K93:K94" si="25">G93/P93*60</f>
        <v>2111.9999999999909</v>
      </c>
      <c r="L93" s="303">
        <f t="shared" si="24"/>
        <v>527.99999999999773</v>
      </c>
      <c r="M93" s="304">
        <v>0.76388888888888884</v>
      </c>
      <c r="N93" s="304">
        <v>0.77777777777777779</v>
      </c>
      <c r="O93" s="296">
        <v>20</v>
      </c>
      <c r="P93" s="443">
        <f>(N93-M93)*24*60</f>
        <v>20.000000000000089</v>
      </c>
      <c r="Q93" s="305"/>
      <c r="R93" s="305"/>
    </row>
    <row r="94" spans="1:18">
      <c r="A94" s="643"/>
      <c r="B94" s="297" t="s">
        <v>184</v>
      </c>
      <c r="C94" s="308"/>
      <c r="D94" s="352" t="s">
        <v>432</v>
      </c>
      <c r="E94" s="341"/>
      <c r="F94" s="299">
        <v>22.21</v>
      </c>
      <c r="G94" s="306">
        <v>1023</v>
      </c>
      <c r="H94" s="300">
        <f t="shared" si="23"/>
        <v>22720.83</v>
      </c>
      <c r="I94" s="450"/>
      <c r="J94" s="301">
        <v>4</v>
      </c>
      <c r="K94" s="302">
        <f t="shared" si="25"/>
        <v>2045.9999999999964</v>
      </c>
      <c r="L94" s="303">
        <f t="shared" si="24"/>
        <v>511.49999999999909</v>
      </c>
      <c r="M94" s="304">
        <v>0.79166666666666663</v>
      </c>
      <c r="N94" s="304">
        <v>0.8125</v>
      </c>
      <c r="O94" s="296">
        <v>20</v>
      </c>
      <c r="P94" s="443">
        <f>(N94-M94)*24*60</f>
        <v>30.000000000000053</v>
      </c>
      <c r="Q94" s="305"/>
      <c r="R94" s="305"/>
    </row>
    <row r="95" spans="1:18">
      <c r="A95" s="644"/>
      <c r="B95" s="297">
        <v>0</v>
      </c>
      <c r="C95" s="308"/>
      <c r="D95" s="320"/>
      <c r="E95" s="341"/>
      <c r="F95" s="299" t="s">
        <v>186</v>
      </c>
      <c r="G95" s="306"/>
      <c r="H95" s="300">
        <f t="shared" si="23"/>
        <v>0</v>
      </c>
      <c r="I95" s="450"/>
      <c r="J95" s="301"/>
      <c r="K95" s="302"/>
      <c r="L95" s="303"/>
      <c r="M95" s="304"/>
      <c r="N95" s="304"/>
      <c r="O95" s="296"/>
      <c r="P95" s="443"/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23"/>
        <v>0</v>
      </c>
      <c r="I96" s="450"/>
      <c r="J96" s="301"/>
      <c r="K96" s="302"/>
      <c r="L96" s="303"/>
      <c r="M96" s="304"/>
      <c r="N96" s="304"/>
      <c r="O96" s="296"/>
      <c r="P96" s="443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23"/>
        <v>0</v>
      </c>
      <c r="I97" s="450"/>
      <c r="J97" s="301"/>
      <c r="K97" s="302"/>
      <c r="L97" s="303"/>
      <c r="M97" s="304"/>
      <c r="N97" s="304"/>
      <c r="O97" s="296"/>
      <c r="P97" s="443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50"/>
      <c r="J98" s="301"/>
      <c r="K98" s="302"/>
      <c r="L98" s="303"/>
      <c r="M98" s="304"/>
      <c r="N98" s="304"/>
      <c r="O98" s="296"/>
      <c r="P98" s="443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50"/>
      <c r="J99" s="301"/>
      <c r="K99" s="302"/>
      <c r="L99" s="303"/>
      <c r="M99" s="304"/>
      <c r="N99" s="304"/>
      <c r="O99" s="296"/>
      <c r="P99" s="443"/>
      <c r="Q99" s="305"/>
      <c r="R99" s="305"/>
    </row>
    <row r="100" spans="1:18" ht="15.75" customHeight="1">
      <c r="A100" s="644"/>
      <c r="B100" s="297">
        <v>0</v>
      </c>
      <c r="C100" s="6" t="s">
        <v>433</v>
      </c>
      <c r="D100" s="645" t="s">
        <v>414</v>
      </c>
      <c r="E100" s="646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2132.9999999999955</v>
      </c>
      <c r="L100" s="314">
        <f>AVERAGE(L92:L99)</f>
        <v>595.49999999999875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434</v>
      </c>
      <c r="B101" s="297" t="s">
        <v>184</v>
      </c>
      <c r="C101" s="6"/>
      <c r="D101" s="341" t="s">
        <v>173</v>
      </c>
      <c r="E101" s="354"/>
      <c r="F101" s="299">
        <v>25.03</v>
      </c>
      <c r="G101" s="448">
        <v>933</v>
      </c>
      <c r="H101" s="300">
        <f t="shared" ref="H101:H110" si="26">F101*G101</f>
        <v>23352.99</v>
      </c>
      <c r="I101" s="450"/>
      <c r="J101" s="301">
        <v>4</v>
      </c>
      <c r="K101" s="302">
        <f>G101/P101*60</f>
        <v>2798.9999999999877</v>
      </c>
      <c r="L101" s="303">
        <f t="shared" ref="L101:L105" si="27">K101/J101</f>
        <v>699.74999999999693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48">
        <v>1489</v>
      </c>
      <c r="H102" s="300">
        <f t="shared" si="26"/>
        <v>36956.980000000003</v>
      </c>
      <c r="I102" s="450"/>
      <c r="J102" s="301">
        <v>4</v>
      </c>
      <c r="K102" s="302">
        <f t="shared" ref="K102:K105" si="29">G102/P102*60</f>
        <v>2977.999999999995</v>
      </c>
      <c r="L102" s="303">
        <f t="shared" si="27"/>
        <v>744.49999999999875</v>
      </c>
      <c r="M102" s="304">
        <v>0.75</v>
      </c>
      <c r="N102" s="304">
        <v>0.77083333333333337</v>
      </c>
      <c r="O102" s="296">
        <v>20</v>
      </c>
      <c r="P102" s="302">
        <f t="shared" si="28"/>
        <v>30.000000000000053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48">
        <v>2662</v>
      </c>
      <c r="H103" s="300">
        <f t="shared" si="26"/>
        <v>76053.34</v>
      </c>
      <c r="I103" s="450"/>
      <c r="J103" s="301">
        <v>3</v>
      </c>
      <c r="K103" s="302">
        <f t="shared" si="29"/>
        <v>2904.0000000000018</v>
      </c>
      <c r="L103" s="303">
        <f t="shared" si="27"/>
        <v>968.00000000000057</v>
      </c>
      <c r="M103" s="304">
        <v>0.78472222222222221</v>
      </c>
      <c r="N103" s="304">
        <v>0.82291666666666663</v>
      </c>
      <c r="O103" s="296">
        <v>20</v>
      </c>
      <c r="P103" s="302">
        <f t="shared" si="28"/>
        <v>54.999999999999964</v>
      </c>
      <c r="Q103" s="305"/>
      <c r="R103" s="305"/>
    </row>
    <row r="104" spans="1:18">
      <c r="A104" s="647"/>
      <c r="B104" s="297" t="s">
        <v>184</v>
      </c>
      <c r="C104" s="6"/>
      <c r="D104" s="320" t="s">
        <v>435</v>
      </c>
      <c r="E104" s="341"/>
      <c r="F104" s="299">
        <v>14.03</v>
      </c>
      <c r="G104" s="448">
        <v>5114</v>
      </c>
      <c r="H104" s="300">
        <f t="shared" si="26"/>
        <v>71749.42</v>
      </c>
      <c r="I104" s="450"/>
      <c r="J104" s="301">
        <v>3</v>
      </c>
      <c r="K104" s="302">
        <f t="shared" si="29"/>
        <v>2922.285714285711</v>
      </c>
      <c r="L104" s="303">
        <f t="shared" si="27"/>
        <v>974.09523809523705</v>
      </c>
      <c r="M104" s="304">
        <v>0.83680555555555547</v>
      </c>
      <c r="N104" s="304">
        <v>0.90972222222222221</v>
      </c>
      <c r="O104" s="296">
        <v>20</v>
      </c>
      <c r="P104" s="302">
        <f>(N104-M104)*24*60</f>
        <v>105.00000000000011</v>
      </c>
      <c r="Q104" s="305">
        <v>0.90972222222222221</v>
      </c>
      <c r="R104" s="305">
        <v>0.95138888888888884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48">
        <v>7023</v>
      </c>
      <c r="H105" s="300">
        <f t="shared" si="26"/>
        <v>100328.57142857141</v>
      </c>
      <c r="I105" s="450"/>
      <c r="J105" s="301">
        <v>3</v>
      </c>
      <c r="K105" s="302">
        <f t="shared" si="29"/>
        <v>3241.3846153846148</v>
      </c>
      <c r="L105" s="303">
        <f t="shared" si="27"/>
        <v>1080.4615384615383</v>
      </c>
      <c r="M105" s="304">
        <v>0.96527777777777779</v>
      </c>
      <c r="N105" s="304">
        <v>1.0555555555555556</v>
      </c>
      <c r="O105" s="296">
        <v>20</v>
      </c>
      <c r="P105" s="302">
        <f>(N105-M105)*24*60</f>
        <v>130.00000000000003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26"/>
        <v>0</v>
      </c>
      <c r="I106" s="45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48"/>
      <c r="H107" s="300">
        <f t="shared" si="26"/>
        <v>0</v>
      </c>
      <c r="I107" s="45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48"/>
      <c r="H108" s="300">
        <f t="shared" si="26"/>
        <v>0</v>
      </c>
      <c r="I108" s="45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48"/>
      <c r="H109" s="300">
        <f t="shared" si="26"/>
        <v>0</v>
      </c>
      <c r="I109" s="45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48"/>
      <c r="H110" s="300">
        <f t="shared" si="26"/>
        <v>0</v>
      </c>
      <c r="I110" s="45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47"/>
      <c r="B111" s="297">
        <v>0</v>
      </c>
      <c r="C111" s="6" t="s">
        <v>423</v>
      </c>
      <c r="D111" s="624" t="s">
        <v>414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2968.9340659340623</v>
      </c>
      <c r="L111" s="314">
        <f>AVERAGE(L101:L110)</f>
        <v>893.36135531135437</v>
      </c>
      <c r="M111" s="304"/>
      <c r="N111" s="304"/>
      <c r="O111" s="302"/>
      <c r="P111" s="302"/>
      <c r="Q111" s="303"/>
      <c r="R111" s="296"/>
    </row>
    <row r="112" spans="1:18" ht="16.2" customHeight="1">
      <c r="A112" s="637" t="s">
        <v>436</v>
      </c>
      <c r="B112" s="297" t="s">
        <v>184</v>
      </c>
      <c r="C112" s="6"/>
      <c r="D112" s="337" t="s">
        <v>169</v>
      </c>
      <c r="E112" s="357"/>
      <c r="F112" s="299">
        <v>16.7</v>
      </c>
      <c r="G112" s="448">
        <v>1008</v>
      </c>
      <c r="H112" s="347">
        <f t="shared" si="3"/>
        <v>16833.599999999999</v>
      </c>
      <c r="I112" s="450"/>
      <c r="J112" s="301">
        <v>3</v>
      </c>
      <c r="K112" s="302">
        <f t="shared" ref="K112:K117" si="30">G112/P112*60</f>
        <v>3023.9999999999868</v>
      </c>
      <c r="L112" s="303">
        <f t="shared" ref="L112:L117" si="31">K112/J112</f>
        <v>1007.9999999999956</v>
      </c>
      <c r="M112" s="304">
        <v>0.72222222222222221</v>
      </c>
      <c r="N112" s="304">
        <v>0.73611111111111116</v>
      </c>
      <c r="O112" s="296">
        <v>20</v>
      </c>
      <c r="P112" s="443">
        <f t="shared" ref="P112:P117" si="32">(N112-M112)*24*60</f>
        <v>20.000000000000089</v>
      </c>
      <c r="Q112" s="296"/>
      <c r="R112" s="296"/>
    </row>
    <row r="113" spans="1:18">
      <c r="A113" s="637"/>
      <c r="B113" s="297" t="s">
        <v>184</v>
      </c>
      <c r="C113" s="319"/>
      <c r="D113" s="442" t="s">
        <v>177</v>
      </c>
      <c r="E113" s="442"/>
      <c r="F113" s="299">
        <v>18.18</v>
      </c>
      <c r="G113" s="448">
        <v>894</v>
      </c>
      <c r="H113" s="347">
        <f t="shared" si="3"/>
        <v>16252.92</v>
      </c>
      <c r="I113" s="450"/>
      <c r="J113" s="301">
        <v>4</v>
      </c>
      <c r="K113" s="302">
        <f t="shared" si="30"/>
        <v>2682.0000000000095</v>
      </c>
      <c r="L113" s="303">
        <f t="shared" si="31"/>
        <v>670.50000000000239</v>
      </c>
      <c r="M113" s="304">
        <v>0.75</v>
      </c>
      <c r="N113" s="304">
        <v>0.76388888888888884</v>
      </c>
      <c r="O113" s="296">
        <v>20</v>
      </c>
      <c r="P113" s="443">
        <f t="shared" si="32"/>
        <v>19.999999999999929</v>
      </c>
      <c r="Q113" s="305"/>
      <c r="R113" s="305"/>
    </row>
    <row r="114" spans="1:18">
      <c r="A114" s="637"/>
      <c r="B114" s="297" t="s">
        <v>184</v>
      </c>
      <c r="C114" s="319"/>
      <c r="D114" s="442" t="s">
        <v>437</v>
      </c>
      <c r="E114" s="320"/>
      <c r="F114" s="299">
        <v>18.18</v>
      </c>
      <c r="G114" s="448">
        <v>994</v>
      </c>
      <c r="H114" s="347">
        <f>F114*G114</f>
        <v>18070.919999999998</v>
      </c>
      <c r="I114" s="450"/>
      <c r="J114" s="301">
        <v>3</v>
      </c>
      <c r="K114" s="302">
        <f t="shared" si="30"/>
        <v>2982.0000000000105</v>
      </c>
      <c r="L114" s="303">
        <f t="shared" si="31"/>
        <v>994.00000000000352</v>
      </c>
      <c r="M114" s="304">
        <v>0.77777777777777779</v>
      </c>
      <c r="N114" s="304">
        <v>0.79166666666666663</v>
      </c>
      <c r="O114" s="296">
        <v>20</v>
      </c>
      <c r="P114" s="443">
        <f t="shared" si="32"/>
        <v>19.999999999999929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48">
        <v>4753</v>
      </c>
      <c r="H115" s="347">
        <f t="shared" ref="H115:H123" si="33">F115*G115</f>
        <v>79184.98</v>
      </c>
      <c r="I115" s="450"/>
      <c r="J115" s="301">
        <v>4</v>
      </c>
      <c r="K115" s="302">
        <f t="shared" si="30"/>
        <v>3001.8947368421009</v>
      </c>
      <c r="L115" s="303">
        <f t="shared" si="31"/>
        <v>750.47368421052522</v>
      </c>
      <c r="M115" s="304">
        <v>0.80555555555555547</v>
      </c>
      <c r="N115" s="304">
        <v>0.87152777777777779</v>
      </c>
      <c r="O115" s="296">
        <v>20</v>
      </c>
      <c r="P115" s="443">
        <f t="shared" si="32"/>
        <v>95.000000000000142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48">
        <v>949</v>
      </c>
      <c r="H116" s="347">
        <f t="shared" si="33"/>
        <v>21145.445454545454</v>
      </c>
      <c r="I116" s="450"/>
      <c r="J116" s="301">
        <v>4</v>
      </c>
      <c r="K116" s="302">
        <f t="shared" si="30"/>
        <v>2847.00000000001</v>
      </c>
      <c r="L116" s="303">
        <f t="shared" si="31"/>
        <v>711.7500000000025</v>
      </c>
      <c r="M116" s="304">
        <v>0.88541666666666663</v>
      </c>
      <c r="N116" s="349">
        <v>0.89930555555555547</v>
      </c>
      <c r="O116" s="296">
        <v>20</v>
      </c>
      <c r="P116" s="443">
        <f t="shared" si="32"/>
        <v>19.999999999999929</v>
      </c>
      <c r="Q116" s="305">
        <v>0.89930555555555547</v>
      </c>
      <c r="R116" s="305">
        <v>0.94097222222222221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48">
        <v>3272</v>
      </c>
      <c r="H117" s="347">
        <f t="shared" si="33"/>
        <v>58539.054545454543</v>
      </c>
      <c r="I117" s="450"/>
      <c r="J117" s="301">
        <v>3</v>
      </c>
      <c r="K117" s="302">
        <f t="shared" si="30"/>
        <v>3020.3076921995043</v>
      </c>
      <c r="L117" s="303">
        <f t="shared" si="31"/>
        <v>1006.7692307331681</v>
      </c>
      <c r="M117" s="304">
        <v>46115.954861111109</v>
      </c>
      <c r="N117" s="304">
        <v>46116</v>
      </c>
      <c r="O117" s="302">
        <v>20</v>
      </c>
      <c r="P117" s="443">
        <f t="shared" si="32"/>
        <v>65.000000002328306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48"/>
      <c r="H118" s="347">
        <f t="shared" si="33"/>
        <v>0</v>
      </c>
      <c r="I118" s="450"/>
      <c r="J118" s="301"/>
      <c r="K118" s="302"/>
      <c r="L118" s="303"/>
      <c r="M118" s="304"/>
      <c r="N118" s="304"/>
      <c r="O118" s="296"/>
      <c r="P118" s="443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48"/>
      <c r="H119" s="347">
        <f t="shared" si="33"/>
        <v>0</v>
      </c>
      <c r="I119" s="450"/>
      <c r="J119" s="301"/>
      <c r="K119" s="302"/>
      <c r="L119" s="303"/>
      <c r="M119" s="304"/>
      <c r="N119" s="304"/>
      <c r="O119" s="296"/>
      <c r="P119" s="443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48"/>
      <c r="H120" s="347"/>
      <c r="I120" s="450"/>
      <c r="J120" s="301"/>
      <c r="K120" s="302"/>
      <c r="L120" s="303"/>
      <c r="M120" s="304"/>
      <c r="N120" s="304"/>
      <c r="O120" s="296"/>
      <c r="P120" s="443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48"/>
      <c r="H121" s="347"/>
      <c r="I121" s="450"/>
      <c r="J121" s="301"/>
      <c r="K121" s="302"/>
      <c r="L121" s="303"/>
      <c r="M121" s="304"/>
      <c r="N121" s="304"/>
      <c r="O121" s="296"/>
      <c r="P121" s="443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48"/>
      <c r="H122" s="347"/>
      <c r="I122" s="450"/>
      <c r="J122" s="301"/>
      <c r="K122" s="302"/>
      <c r="L122" s="303"/>
      <c r="M122" s="304"/>
      <c r="N122" s="304"/>
      <c r="O122" s="296"/>
      <c r="P122" s="443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48"/>
      <c r="H123" s="347">
        <f t="shared" si="33"/>
        <v>0</v>
      </c>
      <c r="I123" s="450"/>
      <c r="J123" s="301"/>
      <c r="K123" s="302"/>
      <c r="L123" s="303"/>
      <c r="M123" s="304"/>
      <c r="N123" s="304"/>
      <c r="O123" s="296"/>
      <c r="P123" s="443"/>
      <c r="Q123" s="305"/>
      <c r="R123" s="305"/>
    </row>
    <row r="124" spans="1:18" ht="17.399999999999999" customHeight="1">
      <c r="A124" s="637"/>
      <c r="B124" s="308">
        <v>0</v>
      </c>
      <c r="C124" s="6" t="s">
        <v>428</v>
      </c>
      <c r="D124" s="638" t="s">
        <v>414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2926.2004048402705</v>
      </c>
      <c r="L124" s="314">
        <f>AVERAGE(L112:L123)</f>
        <v>856.91548582394955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70" sqref="A70:A82"/>
      <selection pane="bottomLeft" activeCell="AJ30" sqref="AJ3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233</v>
      </c>
      <c r="B1" s="28"/>
      <c r="C1" s="28"/>
      <c r="D1" s="471" t="s">
        <v>234</v>
      </c>
      <c r="E1" s="29">
        <f>SUM(G5:G173)</f>
        <v>142201</v>
      </c>
      <c r="F1" s="455" t="s">
        <v>3</v>
      </c>
      <c r="G1" s="30">
        <f>SUM(H5:H173)</f>
        <v>5524035.0913469912</v>
      </c>
      <c r="H1" s="470" t="s">
        <v>52</v>
      </c>
      <c r="I1" s="31">
        <f>M17+M30+M43+M56+M69+M82+M95+M108+M121+M134+M147+M160+M173</f>
        <v>197.12380952380951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494</v>
      </c>
      <c r="Q1" s="649"/>
      <c r="R1" s="649"/>
      <c r="S1" s="649"/>
      <c r="T1" s="649" t="s">
        <v>235</v>
      </c>
      <c r="U1" s="649"/>
      <c r="V1" s="649"/>
      <c r="W1" s="649"/>
      <c r="X1" s="649"/>
      <c r="Y1" s="649"/>
      <c r="Z1" s="32" t="s">
        <v>236</v>
      </c>
      <c r="AA1" s="32" t="s">
        <v>264</v>
      </c>
      <c r="AB1" s="665" t="s">
        <v>258</v>
      </c>
      <c r="AC1" s="666"/>
      <c r="AD1" s="32" t="s">
        <v>236</v>
      </c>
      <c r="AE1" s="32" t="s">
        <v>237</v>
      </c>
      <c r="AF1" s="649" t="s">
        <v>238</v>
      </c>
      <c r="AG1" s="650"/>
      <c r="AH1" s="650"/>
    </row>
    <row r="2" spans="1:34" ht="26.25" customHeight="1">
      <c r="A2" s="657" t="s">
        <v>496</v>
      </c>
      <c r="B2" s="657"/>
      <c r="C2" s="471"/>
      <c r="D2" s="471" t="s">
        <v>28</v>
      </c>
      <c r="E2" s="34">
        <f>AVERAGE(O17,O30,O43,O56,O69,O82,O95,O108,O121,O134,O147,O160,O173)</f>
        <v>127.13533091181259</v>
      </c>
      <c r="F2" s="35" t="s">
        <v>55</v>
      </c>
      <c r="G2" s="36">
        <f>G1/E1</f>
        <v>38.846668387331952</v>
      </c>
      <c r="H2" s="470" t="s">
        <v>56</v>
      </c>
      <c r="I2" s="470">
        <f>COUNT(I5:I173)</f>
        <v>6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3</v>
      </c>
      <c r="AE2" s="38">
        <f>AE17+AE30+AE43+AE56+AE69+AE82+AE95+AE108+AE121+AE134+AE147+AE160+AE173</f>
        <v>2</v>
      </c>
      <c r="AF2" s="650"/>
      <c r="AG2" s="650"/>
      <c r="AH2" s="650"/>
    </row>
    <row r="3" spans="1:34" ht="30.6" customHeight="1">
      <c r="A3" s="658" t="s">
        <v>265</v>
      </c>
      <c r="B3" s="658" t="s">
        <v>57</v>
      </c>
      <c r="C3" s="659"/>
      <c r="D3" s="658" t="s">
        <v>260</v>
      </c>
      <c r="E3" s="658"/>
      <c r="F3" s="659" t="s">
        <v>58</v>
      </c>
      <c r="G3" s="674" t="s">
        <v>59</v>
      </c>
      <c r="H3" s="659" t="s">
        <v>60</v>
      </c>
      <c r="I3" s="651" t="s">
        <v>266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267</v>
      </c>
      <c r="O3" s="654" t="s">
        <v>28</v>
      </c>
      <c r="P3" s="652" t="s">
        <v>261</v>
      </c>
      <c r="Q3" s="654" t="s">
        <v>28</v>
      </c>
      <c r="R3" s="655" t="s">
        <v>239</v>
      </c>
      <c r="S3" s="656" t="s">
        <v>240</v>
      </c>
      <c r="T3" s="674" t="s">
        <v>63</v>
      </c>
      <c r="U3" s="674"/>
      <c r="V3" s="675" t="s">
        <v>64</v>
      </c>
      <c r="W3" s="651" t="s">
        <v>262</v>
      </c>
      <c r="X3" s="674" t="s">
        <v>241</v>
      </c>
      <c r="Y3" s="674"/>
      <c r="Z3" s="676" t="s">
        <v>268</v>
      </c>
      <c r="AA3" s="677"/>
      <c r="AB3" s="661" t="s">
        <v>242</v>
      </c>
      <c r="AC3" s="662"/>
      <c r="AD3" s="663" t="s">
        <v>269</v>
      </c>
      <c r="AE3" s="664"/>
      <c r="AF3" s="653" t="s">
        <v>267</v>
      </c>
      <c r="AG3" s="655" t="s">
        <v>239</v>
      </c>
      <c r="AH3" s="656" t="s">
        <v>240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65" t="s">
        <v>65</v>
      </c>
      <c r="U4" s="465" t="s">
        <v>66</v>
      </c>
      <c r="V4" s="674"/>
      <c r="W4" s="651"/>
      <c r="X4" s="455" t="s">
        <v>263</v>
      </c>
      <c r="Y4" s="455" t="s">
        <v>51</v>
      </c>
      <c r="Z4" s="465" t="s">
        <v>243</v>
      </c>
      <c r="AA4" s="465" t="s">
        <v>67</v>
      </c>
      <c r="AB4" s="662"/>
      <c r="AC4" s="662"/>
      <c r="AD4" s="465" t="s">
        <v>68</v>
      </c>
      <c r="AE4" s="39" t="s">
        <v>244</v>
      </c>
      <c r="AF4" s="653"/>
      <c r="AG4" s="655"/>
      <c r="AH4" s="656"/>
    </row>
    <row r="5" spans="1:34" ht="18.75" customHeight="1">
      <c r="A5" s="669" t="s">
        <v>69</v>
      </c>
      <c r="B5" s="40" t="s">
        <v>180</v>
      </c>
      <c r="C5" s="41"/>
      <c r="D5" s="42" t="s">
        <v>70</v>
      </c>
      <c r="E5" s="43"/>
      <c r="F5" s="361">
        <v>37.94</v>
      </c>
      <c r="G5" s="44">
        <v>3157.7000000000003</v>
      </c>
      <c r="H5" s="45">
        <f t="shared" ref="H5:H16" si="0">F5*G5</f>
        <v>119803.13800000001</v>
      </c>
      <c r="I5" s="466"/>
      <c r="J5" s="46">
        <v>20</v>
      </c>
      <c r="K5" s="44">
        <v>2400</v>
      </c>
      <c r="L5" s="47">
        <v>120</v>
      </c>
      <c r="M5" s="467">
        <v>20</v>
      </c>
      <c r="N5" s="44">
        <f t="shared" ref="N5:N10" si="1">G5/W5*60</f>
        <v>2282.6746987951801</v>
      </c>
      <c r="O5" s="47">
        <f t="shared" ref="O5:O10" si="2">N5/M5</f>
        <v>114.13373493975901</v>
      </c>
      <c r="P5" s="48">
        <f t="shared" ref="P5:P10" si="3">M5-J5</f>
        <v>0</v>
      </c>
      <c r="Q5" s="49">
        <f t="shared" ref="Q5:Q10" si="4">O5-L5</f>
        <v>-5.8662650602409911</v>
      </c>
      <c r="R5" s="457">
        <f t="shared" ref="R5:R10" si="5">O5/L5</f>
        <v>0.95111445783132509</v>
      </c>
      <c r="S5" s="672">
        <f>R17</f>
        <v>0.92435406406453924</v>
      </c>
      <c r="T5" s="50">
        <v>0.29166666666666669</v>
      </c>
      <c r="U5" s="50">
        <v>0.34930555555555559</v>
      </c>
      <c r="V5" s="455">
        <v>5</v>
      </c>
      <c r="W5" s="466">
        <f>(U5-T5)*24*60</f>
        <v>83.000000000000028</v>
      </c>
      <c r="X5" s="455"/>
      <c r="Y5" s="455"/>
      <c r="Z5" s="51"/>
      <c r="AA5" s="51"/>
      <c r="AB5" s="658"/>
      <c r="AC5" s="658"/>
      <c r="AD5" s="52"/>
      <c r="AE5" s="52"/>
      <c r="AF5" s="48">
        <f t="shared" ref="AF5:AF70" si="6">N5-K5</f>
        <v>-117.32530120481988</v>
      </c>
      <c r="AG5" s="457">
        <f t="shared" ref="AG5:AG70" si="7">N5/K5</f>
        <v>0.95111445783132509</v>
      </c>
      <c r="AH5" s="672">
        <f>AG17</f>
        <v>0.95907240340362421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2114.4500000000003</v>
      </c>
      <c r="H6" s="45">
        <f t="shared" si="0"/>
        <v>66110.672416321613</v>
      </c>
      <c r="I6" s="466"/>
      <c r="J6" s="46">
        <v>18</v>
      </c>
      <c r="K6" s="44">
        <v>2600</v>
      </c>
      <c r="L6" s="47">
        <v>144.44444444444446</v>
      </c>
      <c r="M6" s="467">
        <v>19</v>
      </c>
      <c r="N6" s="44">
        <f t="shared" si="1"/>
        <v>2487.5882352941189</v>
      </c>
      <c r="O6" s="47">
        <f t="shared" si="2"/>
        <v>130.92569659442731</v>
      </c>
      <c r="P6" s="48">
        <f t="shared" si="3"/>
        <v>1</v>
      </c>
      <c r="Q6" s="49">
        <f t="shared" si="4"/>
        <v>-13.518747850017149</v>
      </c>
      <c r="R6" s="457">
        <f t="shared" si="5"/>
        <v>0.90640866873065051</v>
      </c>
      <c r="S6" s="672"/>
      <c r="T6" s="50">
        <v>0.35416666666666669</v>
      </c>
      <c r="U6" s="50">
        <v>0.38958333333333334</v>
      </c>
      <c r="V6" s="455">
        <v>7</v>
      </c>
      <c r="W6" s="466">
        <f t="shared" ref="W6:W17" si="8">(U6-T6)*24*60</f>
        <v>50.999999999999979</v>
      </c>
      <c r="X6" s="53"/>
      <c r="Y6" s="53"/>
      <c r="Z6" s="54"/>
      <c r="AA6" s="54"/>
      <c r="AB6" s="658"/>
      <c r="AC6" s="658"/>
      <c r="AD6" s="453"/>
      <c r="AE6" s="453"/>
      <c r="AF6" s="48">
        <f t="shared" si="6"/>
        <v>-112.41176470588107</v>
      </c>
      <c r="AG6" s="457">
        <f t="shared" si="7"/>
        <v>0.95676470588235341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3785.0400000000004</v>
      </c>
      <c r="H7" s="45">
        <f t="shared" si="0"/>
        <v>143831.52000000002</v>
      </c>
      <c r="I7" s="466"/>
      <c r="J7" s="46">
        <v>19</v>
      </c>
      <c r="K7" s="44">
        <v>2600</v>
      </c>
      <c r="L7" s="47">
        <v>136.84210526315789</v>
      </c>
      <c r="M7" s="467">
        <v>20</v>
      </c>
      <c r="N7" s="44">
        <f t="shared" si="1"/>
        <v>2551.7123595505618</v>
      </c>
      <c r="O7" s="47">
        <f t="shared" si="2"/>
        <v>127.58561797752809</v>
      </c>
      <c r="P7" s="48">
        <f t="shared" si="3"/>
        <v>1</v>
      </c>
      <c r="Q7" s="49">
        <f t="shared" si="4"/>
        <v>-9.2564872856298024</v>
      </c>
      <c r="R7" s="457">
        <f t="shared" si="5"/>
        <v>0.93235643906655141</v>
      </c>
      <c r="S7" s="672"/>
      <c r="T7" s="50">
        <v>0.40555555555555556</v>
      </c>
      <c r="U7" s="50">
        <v>0.46736111111111112</v>
      </c>
      <c r="V7" s="455">
        <v>23</v>
      </c>
      <c r="W7" s="466">
        <f t="shared" si="8"/>
        <v>89</v>
      </c>
      <c r="X7" s="53">
        <v>0.39305555555555555</v>
      </c>
      <c r="Y7" s="53">
        <v>0.40277777777777773</v>
      </c>
      <c r="Z7" s="54"/>
      <c r="AA7" s="54"/>
      <c r="AB7" s="658"/>
      <c r="AC7" s="658"/>
      <c r="AD7" s="453"/>
      <c r="AE7" s="453"/>
      <c r="AF7" s="48">
        <f t="shared" si="6"/>
        <v>-48.287640449438186</v>
      </c>
      <c r="AG7" s="457">
        <f t="shared" si="7"/>
        <v>0.98142783059636995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2973.96</v>
      </c>
      <c r="H8" s="45">
        <f t="shared" si="0"/>
        <v>113010.48</v>
      </c>
      <c r="I8" s="466"/>
      <c r="J8" s="46">
        <v>19</v>
      </c>
      <c r="K8" s="44">
        <v>2600</v>
      </c>
      <c r="L8" s="47">
        <v>136.84210526315789</v>
      </c>
      <c r="M8" s="467">
        <v>20</v>
      </c>
      <c r="N8" s="44">
        <f t="shared" si="1"/>
        <v>2549.1085714285687</v>
      </c>
      <c r="O8" s="47">
        <f t="shared" si="2"/>
        <v>127.45542857142843</v>
      </c>
      <c r="P8" s="48">
        <f t="shared" si="3"/>
        <v>1</v>
      </c>
      <c r="Q8" s="49">
        <f t="shared" si="4"/>
        <v>-9.3866766917294626</v>
      </c>
      <c r="R8" s="457">
        <f t="shared" si="5"/>
        <v>0.93140505494505388</v>
      </c>
      <c r="S8" s="672"/>
      <c r="T8" s="50">
        <v>0.50694444444444442</v>
      </c>
      <c r="U8" s="50">
        <v>0.55555555555555558</v>
      </c>
      <c r="V8" s="455">
        <v>5</v>
      </c>
      <c r="W8" s="466">
        <f t="shared" si="8"/>
        <v>70.000000000000071</v>
      </c>
      <c r="X8" s="53"/>
      <c r="Y8" s="53"/>
      <c r="Z8" s="54"/>
      <c r="AA8" s="54"/>
      <c r="AB8" s="658"/>
      <c r="AC8" s="658"/>
      <c r="AD8" s="453"/>
      <c r="AE8" s="453"/>
      <c r="AF8" s="48">
        <f t="shared" si="6"/>
        <v>-50.891428571431334</v>
      </c>
      <c r="AG8" s="457">
        <f t="shared" si="7"/>
        <v>0.98042637362637253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1138.55</v>
      </c>
      <c r="H9" s="45">
        <f t="shared" si="0"/>
        <v>35598.054378019326</v>
      </c>
      <c r="I9" s="453"/>
      <c r="J9" s="46">
        <v>18</v>
      </c>
      <c r="K9" s="44">
        <v>2600</v>
      </c>
      <c r="L9" s="47">
        <v>144.44444444444446</v>
      </c>
      <c r="M9" s="467">
        <v>19</v>
      </c>
      <c r="N9" s="44">
        <f t="shared" si="1"/>
        <v>2439.7499999999945</v>
      </c>
      <c r="O9" s="47">
        <f t="shared" si="2"/>
        <v>128.40789473684183</v>
      </c>
      <c r="P9" s="48">
        <f t="shared" si="3"/>
        <v>1</v>
      </c>
      <c r="Q9" s="49">
        <f t="shared" si="4"/>
        <v>-16.036549707602632</v>
      </c>
      <c r="R9" s="457">
        <f t="shared" si="5"/>
        <v>0.88897773279352021</v>
      </c>
      <c r="S9" s="672"/>
      <c r="T9" s="50">
        <v>0.5708333333333333</v>
      </c>
      <c r="U9" s="50">
        <v>0.59027777777777779</v>
      </c>
      <c r="V9" s="455">
        <v>22</v>
      </c>
      <c r="W9" s="466">
        <f t="shared" si="8"/>
        <v>28.00000000000006</v>
      </c>
      <c r="X9" s="53">
        <v>0.55902777777777779</v>
      </c>
      <c r="Y9" s="53">
        <v>0.56805555555555554</v>
      </c>
      <c r="Z9" s="54"/>
      <c r="AA9" s="54"/>
      <c r="AB9" s="658"/>
      <c r="AC9" s="658"/>
      <c r="AD9" s="453"/>
      <c r="AE9" s="453"/>
      <c r="AF9" s="48">
        <f t="shared" si="6"/>
        <v>-160.25000000000546</v>
      </c>
      <c r="AG9" s="457">
        <f t="shared" si="7"/>
        <v>0.93836538461538255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1700.3</v>
      </c>
      <c r="H10" s="45">
        <f t="shared" si="0"/>
        <v>64509.381999999998</v>
      </c>
      <c r="I10" s="466"/>
      <c r="J10" s="46">
        <v>20</v>
      </c>
      <c r="K10" s="44">
        <v>2400</v>
      </c>
      <c r="L10" s="47">
        <v>120</v>
      </c>
      <c r="M10" s="467">
        <v>20</v>
      </c>
      <c r="N10" s="44">
        <f t="shared" si="1"/>
        <v>2267.0666666666666</v>
      </c>
      <c r="O10" s="47">
        <f t="shared" si="2"/>
        <v>113.35333333333332</v>
      </c>
      <c r="P10" s="48">
        <f t="shared" si="3"/>
        <v>0</v>
      </c>
      <c r="Q10" s="49">
        <f t="shared" si="4"/>
        <v>-6.6466666666666754</v>
      </c>
      <c r="R10" s="457">
        <f t="shared" si="5"/>
        <v>0.94461111111111107</v>
      </c>
      <c r="S10" s="673"/>
      <c r="T10" s="50">
        <v>0.59513888888888888</v>
      </c>
      <c r="U10" s="50">
        <v>0.62638888888888888</v>
      </c>
      <c r="V10" s="455">
        <v>7</v>
      </c>
      <c r="W10" s="466">
        <f t="shared" si="8"/>
        <v>45</v>
      </c>
      <c r="X10" s="53"/>
      <c r="Y10" s="53"/>
      <c r="Z10" s="54"/>
      <c r="AA10" s="54"/>
      <c r="AB10" s="658"/>
      <c r="AC10" s="658"/>
      <c r="AD10" s="453"/>
      <c r="AE10" s="453"/>
      <c r="AF10" s="48">
        <f t="shared" si="6"/>
        <v>-132.93333333333339</v>
      </c>
      <c r="AG10" s="457">
        <f t="shared" si="7"/>
        <v>0.94461111111111107</v>
      </c>
      <c r="AH10" s="673"/>
    </row>
    <row r="11" spans="1:34" ht="19.2" customHeight="1">
      <c r="A11" s="671"/>
      <c r="B11" s="40">
        <v>0</v>
      </c>
      <c r="C11" s="41"/>
      <c r="D11" s="42"/>
      <c r="E11" s="43"/>
      <c r="F11" s="361" t="s">
        <v>186</v>
      </c>
      <c r="G11" s="44"/>
      <c r="H11" s="45">
        <f t="shared" si="0"/>
        <v>0</v>
      </c>
      <c r="I11" s="466"/>
      <c r="J11" s="46"/>
      <c r="K11" s="44"/>
      <c r="L11" s="47"/>
      <c r="M11" s="467"/>
      <c r="N11" s="44"/>
      <c r="O11" s="47"/>
      <c r="P11" s="48"/>
      <c r="Q11" s="49"/>
      <c r="R11" s="457"/>
      <c r="S11" s="673"/>
      <c r="T11" s="50"/>
      <c r="U11" s="50"/>
      <c r="V11" s="455"/>
      <c r="W11" s="466"/>
      <c r="X11" s="53"/>
      <c r="Y11" s="53"/>
      <c r="Z11" s="54"/>
      <c r="AA11" s="54"/>
      <c r="AB11" s="658"/>
      <c r="AC11" s="658"/>
      <c r="AD11" s="453"/>
      <c r="AE11" s="453"/>
      <c r="AF11" s="48">
        <f t="shared" si="6"/>
        <v>0</v>
      </c>
      <c r="AG11" s="457" t="e">
        <f t="shared" si="7"/>
        <v>#DIV/0!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66"/>
      <c r="J12" s="46"/>
      <c r="K12" s="44"/>
      <c r="L12" s="47"/>
      <c r="M12" s="467"/>
      <c r="N12" s="44"/>
      <c r="O12" s="47"/>
      <c r="P12" s="48"/>
      <c r="Q12" s="49"/>
      <c r="R12" s="457"/>
      <c r="S12" s="673"/>
      <c r="T12" s="50"/>
      <c r="U12" s="50"/>
      <c r="V12" s="455"/>
      <c r="W12" s="466"/>
      <c r="X12" s="53"/>
      <c r="Y12" s="53"/>
      <c r="Z12" s="54"/>
      <c r="AA12" s="54"/>
      <c r="AB12" s="658"/>
      <c r="AC12" s="658"/>
      <c r="AD12" s="453"/>
      <c r="AE12" s="453"/>
      <c r="AF12" s="48">
        <f t="shared" si="6"/>
        <v>0</v>
      </c>
      <c r="AG12" s="457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68"/>
      <c r="J13" s="46"/>
      <c r="K13" s="44"/>
      <c r="L13" s="47"/>
      <c r="M13" s="62"/>
      <c r="N13" s="44"/>
      <c r="O13" s="47"/>
      <c r="P13" s="48"/>
      <c r="Q13" s="49"/>
      <c r="R13" s="457"/>
      <c r="S13" s="673"/>
      <c r="T13" s="63"/>
      <c r="U13" s="63"/>
      <c r="V13" s="468"/>
      <c r="W13" s="466"/>
      <c r="X13" s="64"/>
      <c r="Y13" s="64"/>
      <c r="Z13" s="54"/>
      <c r="AA13" s="54"/>
      <c r="AB13" s="658"/>
      <c r="AC13" s="658"/>
      <c r="AD13" s="453"/>
      <c r="AE13" s="453"/>
      <c r="AF13" s="48">
        <f t="shared" si="6"/>
        <v>0</v>
      </c>
      <c r="AG13" s="457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68"/>
      <c r="J14" s="46"/>
      <c r="K14" s="44"/>
      <c r="L14" s="47"/>
      <c r="M14" s="62"/>
      <c r="N14" s="44"/>
      <c r="O14" s="47"/>
      <c r="P14" s="48"/>
      <c r="Q14" s="49"/>
      <c r="R14" s="457"/>
      <c r="S14" s="673"/>
      <c r="T14" s="63"/>
      <c r="U14" s="63"/>
      <c r="V14" s="468"/>
      <c r="W14" s="466">
        <f t="shared" si="8"/>
        <v>0</v>
      </c>
      <c r="X14" s="64"/>
      <c r="Y14" s="64"/>
      <c r="Z14" s="54"/>
      <c r="AA14" s="54"/>
      <c r="AB14" s="658"/>
      <c r="AC14" s="658"/>
      <c r="AD14" s="453"/>
      <c r="AE14" s="453"/>
      <c r="AF14" s="65"/>
      <c r="AG14" s="458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68"/>
      <c r="J15" s="46"/>
      <c r="K15" s="44"/>
      <c r="L15" s="47"/>
      <c r="M15" s="62"/>
      <c r="N15" s="68"/>
      <c r="O15" s="47"/>
      <c r="P15" s="48"/>
      <c r="Q15" s="49"/>
      <c r="R15" s="457"/>
      <c r="S15" s="673"/>
      <c r="T15" s="63"/>
      <c r="U15" s="63"/>
      <c r="V15" s="468"/>
      <c r="W15" s="466">
        <f t="shared" si="8"/>
        <v>0</v>
      </c>
      <c r="X15" s="64"/>
      <c r="Y15" s="64"/>
      <c r="Z15" s="54"/>
      <c r="AA15" s="54"/>
      <c r="AB15" s="658"/>
      <c r="AC15" s="658"/>
      <c r="AD15" s="453"/>
      <c r="AE15" s="453"/>
      <c r="AF15" s="65"/>
      <c r="AG15" s="458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68"/>
      <c r="J16" s="46"/>
      <c r="K16" s="44"/>
      <c r="L16" s="47"/>
      <c r="M16" s="62"/>
      <c r="N16" s="68"/>
      <c r="O16" s="47"/>
      <c r="P16" s="48"/>
      <c r="Q16" s="49"/>
      <c r="R16" s="457"/>
      <c r="S16" s="673"/>
      <c r="T16" s="63"/>
      <c r="U16" s="63"/>
      <c r="V16" s="468"/>
      <c r="W16" s="466">
        <f t="shared" si="8"/>
        <v>0</v>
      </c>
      <c r="X16" s="64"/>
      <c r="Y16" s="64"/>
      <c r="Z16" s="54"/>
      <c r="AA16" s="54"/>
      <c r="AB16" s="658"/>
      <c r="AC16" s="658"/>
      <c r="AD16" s="453"/>
      <c r="AE16" s="453"/>
      <c r="AF16" s="65"/>
      <c r="AG16" s="458"/>
      <c r="AH16" s="673"/>
    </row>
    <row r="17" spans="1:34" ht="19.2" customHeight="1">
      <c r="A17" s="671"/>
      <c r="B17" s="69">
        <v>0</v>
      </c>
      <c r="C17" s="69" t="s">
        <v>497</v>
      </c>
      <c r="D17" s="678" t="s">
        <v>498</v>
      </c>
      <c r="E17" s="678"/>
      <c r="F17" s="362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2429.6500886225149</v>
      </c>
      <c r="O17" s="73">
        <f t="shared" si="9"/>
        <v>123.64361769221968</v>
      </c>
      <c r="P17" s="65">
        <f t="shared" ref="P17:P24" si="10">M17-J17</f>
        <v>0.66666666666666785</v>
      </c>
      <c r="Q17" s="74">
        <f t="shared" ref="Q17:Q24" si="11">O17-L17</f>
        <v>-10.11856554364779</v>
      </c>
      <c r="R17" s="75">
        <f>O17/L17</f>
        <v>0.92435406406453924</v>
      </c>
      <c r="S17" s="673"/>
      <c r="T17" s="63"/>
      <c r="U17" s="63"/>
      <c r="V17" s="46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0</v>
      </c>
      <c r="AE17" s="79">
        <f>SUM(AE5:AE16)</f>
        <v>0</v>
      </c>
      <c r="AF17" s="65">
        <f t="shared" si="6"/>
        <v>-103.6832447108186</v>
      </c>
      <c r="AG17" s="458">
        <f t="shared" si="7"/>
        <v>0.95907240340362421</v>
      </c>
      <c r="AH17" s="673"/>
    </row>
    <row r="18" spans="1:34" ht="19.2" customHeight="1">
      <c r="A18" s="680" t="s">
        <v>499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2352</v>
      </c>
      <c r="H18" s="84">
        <f t="shared" ref="H18:H29" si="12">F18*G18</f>
        <v>86694.720000000001</v>
      </c>
      <c r="I18" s="45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2138.181818181818</v>
      </c>
      <c r="O18" s="86">
        <f t="shared" ref="O18:O24" si="14">N18/M18</f>
        <v>118.78787878787878</v>
      </c>
      <c r="P18" s="54">
        <f t="shared" si="10"/>
        <v>1</v>
      </c>
      <c r="Q18" s="88">
        <f t="shared" si="11"/>
        <v>-13.565062388591798</v>
      </c>
      <c r="R18" s="454">
        <f t="shared" ref="R18:R24" si="15">O18/L18</f>
        <v>0.89750841750841748</v>
      </c>
      <c r="S18" s="681">
        <f>R30</f>
        <v>0.87398013778437178</v>
      </c>
      <c r="T18" s="89">
        <v>0.16666666666666666</v>
      </c>
      <c r="U18" s="89">
        <v>0.21249999999999999</v>
      </c>
      <c r="V18" s="453">
        <v>5</v>
      </c>
      <c r="W18" s="90">
        <f>(U18-T18)*24*60</f>
        <v>66</v>
      </c>
      <c r="X18" s="86"/>
      <c r="Y18" s="86"/>
      <c r="Z18" s="54"/>
      <c r="AA18" s="54"/>
      <c r="AB18" s="658"/>
      <c r="AC18" s="658"/>
      <c r="AD18" s="453">
        <v>1</v>
      </c>
      <c r="AE18" s="453"/>
      <c r="AF18" s="91">
        <f t="shared" si="6"/>
        <v>-111.81818181818198</v>
      </c>
      <c r="AG18" s="92">
        <f t="shared" si="7"/>
        <v>0.95030303030303021</v>
      </c>
      <c r="AH18" s="682">
        <f>AG30</f>
        <v>0.90751331893494325</v>
      </c>
    </row>
    <row r="19" spans="1:34" ht="19.2" customHeight="1">
      <c r="A19" s="680"/>
      <c r="B19" s="463" t="s">
        <v>180</v>
      </c>
      <c r="C19" s="462"/>
      <c r="D19" s="82" t="s">
        <v>72</v>
      </c>
      <c r="E19" s="83"/>
      <c r="F19" s="361">
        <v>38.630952380952372</v>
      </c>
      <c r="G19" s="57">
        <v>995.2</v>
      </c>
      <c r="H19" s="84">
        <f t="shared" si="12"/>
        <v>38445.523809523802</v>
      </c>
      <c r="I19" s="453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2388.4800000000009</v>
      </c>
      <c r="O19" s="95">
        <f t="shared" si="14"/>
        <v>125.70947368421058</v>
      </c>
      <c r="P19" s="54">
        <f t="shared" si="10"/>
        <v>1</v>
      </c>
      <c r="Q19" s="88">
        <f t="shared" si="11"/>
        <v>-18.734970760233878</v>
      </c>
      <c r="R19" s="454">
        <f t="shared" si="15"/>
        <v>0.87029635627530388</v>
      </c>
      <c r="S19" s="681"/>
      <c r="T19" s="89">
        <v>0.21736111111111112</v>
      </c>
      <c r="U19" s="89">
        <v>0.23472222222222222</v>
      </c>
      <c r="V19" s="453">
        <v>7</v>
      </c>
      <c r="W19" s="90">
        <f>(U19-T19)*24*60</f>
        <v>24.999999999999993</v>
      </c>
      <c r="X19" s="96"/>
      <c r="Y19" s="96"/>
      <c r="Z19" s="54"/>
      <c r="AA19" s="54"/>
      <c r="AB19" s="658"/>
      <c r="AC19" s="658"/>
      <c r="AD19" s="453">
        <v>1</v>
      </c>
      <c r="AE19" s="453"/>
      <c r="AF19" s="48">
        <f t="shared" si="6"/>
        <v>-211.51999999999907</v>
      </c>
      <c r="AG19" s="457">
        <f t="shared" si="7"/>
        <v>0.91864615384615422</v>
      </c>
      <c r="AH19" s="683"/>
    </row>
    <row r="20" spans="1:34" ht="19.2" customHeight="1">
      <c r="A20" s="680"/>
      <c r="B20" s="463" t="s">
        <v>182</v>
      </c>
      <c r="C20" s="55"/>
      <c r="D20" s="42" t="s">
        <v>80</v>
      </c>
      <c r="E20" s="83"/>
      <c r="F20" s="361">
        <v>38.39</v>
      </c>
      <c r="G20" s="57">
        <v>2083</v>
      </c>
      <c r="H20" s="84">
        <f t="shared" si="12"/>
        <v>79966.37</v>
      </c>
      <c r="I20" s="453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1420.2272727272727</v>
      </c>
      <c r="O20" s="95">
        <f t="shared" si="14"/>
        <v>83.542780748663105</v>
      </c>
      <c r="P20" s="54">
        <f t="shared" si="10"/>
        <v>1</v>
      </c>
      <c r="Q20" s="88">
        <f t="shared" si="11"/>
        <v>-18.707219251336895</v>
      </c>
      <c r="R20" s="454">
        <f t="shared" si="15"/>
        <v>0.81704431050037263</v>
      </c>
      <c r="S20" s="681"/>
      <c r="T20" s="89">
        <v>0.25</v>
      </c>
      <c r="U20" s="89">
        <v>0.31111111111111112</v>
      </c>
      <c r="V20" s="453">
        <v>22</v>
      </c>
      <c r="W20" s="90">
        <f t="shared" ref="W20:W29" si="16">(U20-T20)*24*60</f>
        <v>88</v>
      </c>
      <c r="X20" s="96">
        <v>0.23819444444444446</v>
      </c>
      <c r="Y20" s="96">
        <v>0.24722222222222223</v>
      </c>
      <c r="Z20" s="54"/>
      <c r="AA20" s="54"/>
      <c r="AB20" s="658"/>
      <c r="AC20" s="658"/>
      <c r="AD20" s="453"/>
      <c r="AE20" s="453"/>
      <c r="AF20" s="91">
        <f t="shared" si="6"/>
        <v>-215.77272727272725</v>
      </c>
      <c r="AG20" s="92">
        <f t="shared" si="7"/>
        <v>0.86810957990664595</v>
      </c>
      <c r="AH20" s="683"/>
    </row>
    <row r="21" spans="1:34" ht="19.2" customHeight="1">
      <c r="A21" s="680"/>
      <c r="B21" s="463" t="s">
        <v>183</v>
      </c>
      <c r="C21" s="97"/>
      <c r="D21" s="98" t="s">
        <v>79</v>
      </c>
      <c r="E21" s="43"/>
      <c r="F21" s="361">
        <v>43.14</v>
      </c>
      <c r="G21" s="44">
        <v>1600</v>
      </c>
      <c r="H21" s="84">
        <f t="shared" si="12"/>
        <v>69024</v>
      </c>
      <c r="I21" s="455"/>
      <c r="J21" s="93">
        <v>16</v>
      </c>
      <c r="K21" s="44">
        <v>1440</v>
      </c>
      <c r="L21" s="47">
        <v>90</v>
      </c>
      <c r="M21" s="467">
        <v>16</v>
      </c>
      <c r="N21" s="94">
        <f t="shared" si="13"/>
        <v>1371.4285714285716</v>
      </c>
      <c r="O21" s="95">
        <f t="shared" si="14"/>
        <v>85.714285714285722</v>
      </c>
      <c r="P21" s="54">
        <f t="shared" si="10"/>
        <v>0</v>
      </c>
      <c r="Q21" s="88">
        <f t="shared" si="11"/>
        <v>-4.2857142857142776</v>
      </c>
      <c r="R21" s="454">
        <f t="shared" si="15"/>
        <v>0.95238095238095244</v>
      </c>
      <c r="S21" s="681"/>
      <c r="T21" s="89">
        <v>0.31597222222222221</v>
      </c>
      <c r="U21" s="89">
        <v>0.36458333333333331</v>
      </c>
      <c r="V21" s="453">
        <v>7</v>
      </c>
      <c r="W21" s="90">
        <f t="shared" si="16"/>
        <v>69.999999999999986</v>
      </c>
      <c r="X21" s="96"/>
      <c r="Y21" s="96"/>
      <c r="Z21" s="54"/>
      <c r="AA21" s="54"/>
      <c r="AB21" s="658"/>
      <c r="AC21" s="658"/>
      <c r="AD21" s="453"/>
      <c r="AE21" s="453"/>
      <c r="AF21" s="48">
        <f t="shared" si="6"/>
        <v>-68.571428571428442</v>
      </c>
      <c r="AG21" s="457">
        <f t="shared" si="7"/>
        <v>0.95238095238095244</v>
      </c>
      <c r="AH21" s="684"/>
    </row>
    <row r="22" spans="1:34" ht="19.2" customHeight="1">
      <c r="A22" s="680"/>
      <c r="B22" s="463" t="s">
        <v>182</v>
      </c>
      <c r="C22" s="97"/>
      <c r="D22" s="42" t="s">
        <v>198</v>
      </c>
      <c r="E22" s="43"/>
      <c r="F22" s="361">
        <v>38.1</v>
      </c>
      <c r="G22" s="44">
        <v>822</v>
      </c>
      <c r="H22" s="84">
        <f t="shared" si="12"/>
        <v>31318.2</v>
      </c>
      <c r="I22" s="455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1297.8947368421043</v>
      </c>
      <c r="O22" s="95">
        <f t="shared" si="14"/>
        <v>81.118421052631518</v>
      </c>
      <c r="P22" s="54">
        <f t="shared" si="10"/>
        <v>-1</v>
      </c>
      <c r="Q22" s="88">
        <f t="shared" si="11"/>
        <v>-7.1168730650155396</v>
      </c>
      <c r="R22" s="454">
        <f t="shared" si="15"/>
        <v>0.91934210526315718</v>
      </c>
      <c r="S22" s="681"/>
      <c r="T22" s="89">
        <v>0.36944444444444441</v>
      </c>
      <c r="U22" s="89">
        <v>0.39583333333333331</v>
      </c>
      <c r="V22" s="453">
        <v>7</v>
      </c>
      <c r="W22" s="90">
        <f t="shared" si="16"/>
        <v>38.000000000000028</v>
      </c>
      <c r="X22" s="96"/>
      <c r="Y22" s="96"/>
      <c r="Z22" s="54"/>
      <c r="AA22" s="54"/>
      <c r="AB22" s="658"/>
      <c r="AC22" s="658"/>
      <c r="AD22" s="453"/>
      <c r="AE22" s="453"/>
      <c r="AF22" s="91">
        <f t="shared" si="6"/>
        <v>-202.10526315789571</v>
      </c>
      <c r="AG22" s="92">
        <f t="shared" si="7"/>
        <v>0.86526315789473618</v>
      </c>
      <c r="AH22" s="684"/>
    </row>
    <row r="23" spans="1:34" ht="19.2" customHeight="1">
      <c r="A23" s="680"/>
      <c r="B23" s="463" t="s">
        <v>180</v>
      </c>
      <c r="C23" s="97"/>
      <c r="D23" s="42" t="s">
        <v>72</v>
      </c>
      <c r="E23" s="43"/>
      <c r="F23" s="361">
        <v>38.630952380952372</v>
      </c>
      <c r="G23" s="44">
        <v>3980.8</v>
      </c>
      <c r="H23" s="84">
        <f t="shared" si="12"/>
        <v>153782.09523809521</v>
      </c>
      <c r="I23" s="455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2388.4799999999991</v>
      </c>
      <c r="O23" s="95">
        <f t="shared" si="14"/>
        <v>125.70947368421048</v>
      </c>
      <c r="P23" s="54">
        <f t="shared" si="10"/>
        <v>1</v>
      </c>
      <c r="Q23" s="88">
        <f t="shared" si="11"/>
        <v>-18.734970760233978</v>
      </c>
      <c r="R23" s="454">
        <f t="shared" si="15"/>
        <v>0.87029635627530322</v>
      </c>
      <c r="S23" s="681"/>
      <c r="T23" s="89">
        <v>0.43611111111111106</v>
      </c>
      <c r="U23" s="89">
        <v>0.50555555555555554</v>
      </c>
      <c r="V23" s="453">
        <v>5</v>
      </c>
      <c r="W23" s="90">
        <f t="shared" si="16"/>
        <v>100.00000000000004</v>
      </c>
      <c r="X23" s="96"/>
      <c r="Y23" s="96"/>
      <c r="Z23" s="54"/>
      <c r="AA23" s="54"/>
      <c r="AB23" s="658"/>
      <c r="AC23" s="658"/>
      <c r="AD23" s="453"/>
      <c r="AE23" s="453"/>
      <c r="AF23" s="48">
        <f t="shared" si="6"/>
        <v>-211.52000000000089</v>
      </c>
      <c r="AG23" s="457">
        <f t="shared" si="7"/>
        <v>0.91864615384615356</v>
      </c>
      <c r="AH23" s="684"/>
    </row>
    <row r="24" spans="1:34" ht="19.2" customHeight="1">
      <c r="A24" s="680"/>
      <c r="B24" s="463" t="s">
        <v>180</v>
      </c>
      <c r="C24" s="81"/>
      <c r="D24" s="82" t="s">
        <v>78</v>
      </c>
      <c r="E24" s="83"/>
      <c r="F24" s="361">
        <v>36.86</v>
      </c>
      <c r="G24" s="57">
        <v>1008</v>
      </c>
      <c r="H24" s="84">
        <f t="shared" si="12"/>
        <v>37154.879999999997</v>
      </c>
      <c r="I24" s="90"/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1950.9677419354809</v>
      </c>
      <c r="O24" s="95">
        <f t="shared" si="14"/>
        <v>108.38709677419338</v>
      </c>
      <c r="P24" s="54">
        <f t="shared" si="10"/>
        <v>1</v>
      </c>
      <c r="Q24" s="88">
        <f t="shared" si="11"/>
        <v>-23.965844402277199</v>
      </c>
      <c r="R24" s="454">
        <f t="shared" si="15"/>
        <v>0.81892473118279452</v>
      </c>
      <c r="S24" s="681"/>
      <c r="T24" s="89">
        <v>0.51111111111111107</v>
      </c>
      <c r="U24" s="89">
        <v>0.53263888888888888</v>
      </c>
      <c r="V24" s="453">
        <v>8</v>
      </c>
      <c r="W24" s="90">
        <f t="shared" si="16"/>
        <v>31.00000000000005</v>
      </c>
      <c r="X24" s="453"/>
      <c r="Y24" s="453"/>
      <c r="Z24" s="54"/>
      <c r="AA24" s="54"/>
      <c r="AB24" s="658"/>
      <c r="AC24" s="658"/>
      <c r="AD24" s="453"/>
      <c r="AE24" s="453"/>
      <c r="AF24" s="91">
        <f t="shared" si="6"/>
        <v>-299.03225806451906</v>
      </c>
      <c r="AG24" s="92">
        <f t="shared" si="7"/>
        <v>0.86709677419354714</v>
      </c>
      <c r="AH24" s="684"/>
    </row>
    <row r="25" spans="1:34" ht="19.2" customHeight="1">
      <c r="A25" s="680"/>
      <c r="B25" s="463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54"/>
      <c r="S25" s="681"/>
      <c r="T25" s="89"/>
      <c r="U25" s="89"/>
      <c r="V25" s="453"/>
      <c r="W25" s="90">
        <f t="shared" si="16"/>
        <v>0</v>
      </c>
      <c r="X25" s="453"/>
      <c r="Y25" s="453"/>
      <c r="Z25" s="54"/>
      <c r="AA25" s="54"/>
      <c r="AB25" s="658"/>
      <c r="AC25" s="658"/>
      <c r="AD25" s="453"/>
      <c r="AE25" s="453"/>
      <c r="AF25" s="48">
        <f t="shared" si="6"/>
        <v>0</v>
      </c>
      <c r="AG25" s="457" t="e">
        <f t="shared" si="7"/>
        <v>#DIV/0!</v>
      </c>
      <c r="AH25" s="684"/>
    </row>
    <row r="26" spans="1:34" ht="19.2" customHeight="1">
      <c r="A26" s="680"/>
      <c r="B26" s="463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4"/>
      <c r="S26" s="681"/>
      <c r="T26" s="89"/>
      <c r="U26" s="89"/>
      <c r="V26" s="453"/>
      <c r="W26" s="90">
        <f t="shared" si="16"/>
        <v>0</v>
      </c>
      <c r="X26" s="453"/>
      <c r="Y26" s="453"/>
      <c r="Z26" s="54"/>
      <c r="AA26" s="54"/>
      <c r="AB26" s="658"/>
      <c r="AC26" s="658"/>
      <c r="AD26" s="453"/>
      <c r="AE26" s="453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4"/>
      <c r="S27" s="681"/>
      <c r="T27" s="89"/>
      <c r="U27" s="89"/>
      <c r="V27" s="453"/>
      <c r="W27" s="90">
        <f t="shared" si="16"/>
        <v>0</v>
      </c>
      <c r="X27" s="453"/>
      <c r="Y27" s="453"/>
      <c r="Z27" s="54"/>
      <c r="AA27" s="54"/>
      <c r="AB27" s="658"/>
      <c r="AC27" s="658"/>
      <c r="AD27" s="453"/>
      <c r="AE27" s="453"/>
      <c r="AF27" s="48">
        <f t="shared" si="6"/>
        <v>0</v>
      </c>
      <c r="AG27" s="457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4"/>
      <c r="S28" s="681"/>
      <c r="T28" s="89"/>
      <c r="U28" s="89"/>
      <c r="V28" s="453"/>
      <c r="W28" s="90">
        <f t="shared" si="16"/>
        <v>0</v>
      </c>
      <c r="X28" s="453"/>
      <c r="Y28" s="453"/>
      <c r="Z28" s="54"/>
      <c r="AA28" s="54"/>
      <c r="AB28" s="658"/>
      <c r="AC28" s="658"/>
      <c r="AD28" s="453"/>
      <c r="AE28" s="453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4"/>
      <c r="S29" s="681"/>
      <c r="T29" s="89"/>
      <c r="U29" s="89"/>
      <c r="V29" s="453"/>
      <c r="W29" s="90">
        <f t="shared" si="16"/>
        <v>0</v>
      </c>
      <c r="X29" s="453"/>
      <c r="Y29" s="453"/>
      <c r="Z29" s="54"/>
      <c r="AA29" s="54"/>
      <c r="AB29" s="658"/>
      <c r="AC29" s="658"/>
      <c r="AD29" s="453"/>
      <c r="AE29" s="453"/>
      <c r="AF29" s="48">
        <f t="shared" si="6"/>
        <v>0</v>
      </c>
      <c r="AG29" s="457"/>
      <c r="AH29" s="684"/>
    </row>
    <row r="30" spans="1:34" ht="19.2" customHeight="1">
      <c r="A30" s="680"/>
      <c r="B30" s="99">
        <v>0</v>
      </c>
      <c r="C30" s="100" t="s">
        <v>500</v>
      </c>
      <c r="D30" s="679" t="s">
        <v>501</v>
      </c>
      <c r="E30" s="679"/>
      <c r="F30" s="365"/>
      <c r="G30" s="101"/>
      <c r="H30" s="102"/>
      <c r="I30" s="103"/>
      <c r="J30" s="101">
        <v>17</v>
      </c>
      <c r="K30" s="101">
        <v>2039.4285714285713</v>
      </c>
      <c r="L30" s="104">
        <v>119.15429505135388</v>
      </c>
      <c r="M30" s="101">
        <f t="shared" ref="M30:O30" si="17">AVERAGE(M18:M29)</f>
        <v>17.571428571428573</v>
      </c>
      <c r="N30" s="101">
        <f t="shared" si="17"/>
        <v>1850.8085915878928</v>
      </c>
      <c r="O30" s="104">
        <f t="shared" si="17"/>
        <v>104.13848720658196</v>
      </c>
      <c r="P30" s="54">
        <f t="shared" ref="P30:P34" si="18">M30-J30</f>
        <v>0.57142857142857295</v>
      </c>
      <c r="Q30" s="88">
        <f t="shared" ref="Q30:Q34" si="19">O30-L30</f>
        <v>-15.015807844771928</v>
      </c>
      <c r="R30" s="105">
        <f t="shared" ref="R30:R34" si="20">O30/L30</f>
        <v>0.87398013778437178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2</v>
      </c>
      <c r="AE30" s="107">
        <f>SUM(AE18:AE29)</f>
        <v>0</v>
      </c>
      <c r="AF30" s="108">
        <f t="shared" si="6"/>
        <v>-188.61997984067852</v>
      </c>
      <c r="AG30" s="109">
        <f t="shared" ref="AG30" si="21">N30/K30</f>
        <v>0.90751331893494325</v>
      </c>
      <c r="AH30" s="685"/>
    </row>
    <row r="31" spans="1:34" ht="19.2" customHeight="1">
      <c r="A31" s="688" t="s">
        <v>502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1822</v>
      </c>
      <c r="H31" s="113">
        <f t="shared" ref="H31:H40" si="22">F31*G31</f>
        <v>64371.259999999995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1852.8813559322036</v>
      </c>
      <c r="O31" s="116">
        <f t="shared" ref="O31:O34" si="24">N31/M31</f>
        <v>154.40677966101697</v>
      </c>
      <c r="P31" s="117">
        <f t="shared" si="18"/>
        <v>0</v>
      </c>
      <c r="Q31" s="118">
        <f t="shared" si="19"/>
        <v>-22.093220338983031</v>
      </c>
      <c r="R31" s="456">
        <f t="shared" si="20"/>
        <v>0.87482594708791483</v>
      </c>
      <c r="S31" s="690">
        <f>R43</f>
        <v>0.8490958081562785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-265.11864406779637</v>
      </c>
      <c r="AG31" s="121">
        <f t="shared" si="7"/>
        <v>0.87482594708791483</v>
      </c>
      <c r="AH31" s="686">
        <f>AG43</f>
        <v>0.85326358918491185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1663</v>
      </c>
      <c r="H32" s="84">
        <f t="shared" si="22"/>
        <v>56924.49</v>
      </c>
      <c r="I32" s="46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1847.7777777777774</v>
      </c>
      <c r="O32" s="47">
        <f t="shared" si="24"/>
        <v>153.98148148148144</v>
      </c>
      <c r="P32" s="48">
        <f t="shared" si="18"/>
        <v>0</v>
      </c>
      <c r="Q32" s="49">
        <f t="shared" si="19"/>
        <v>-22.518518518518562</v>
      </c>
      <c r="R32" s="457">
        <f t="shared" si="20"/>
        <v>0.87241632567411576</v>
      </c>
      <c r="S32" s="681"/>
      <c r="T32" s="89">
        <v>0.21319444444444444</v>
      </c>
      <c r="U32" s="89">
        <v>0.25069444444444444</v>
      </c>
      <c r="V32" s="453">
        <v>8</v>
      </c>
      <c r="W32" s="90">
        <f t="shared" si="25"/>
        <v>54.000000000000007</v>
      </c>
      <c r="X32" s="124"/>
      <c r="Y32" s="124"/>
      <c r="Z32" s="125"/>
      <c r="AA32" s="125"/>
      <c r="AB32" s="658"/>
      <c r="AC32" s="658"/>
      <c r="AD32" s="453"/>
      <c r="AE32" s="453"/>
      <c r="AF32" s="48">
        <f t="shared" si="6"/>
        <v>-270.22222222222263</v>
      </c>
      <c r="AG32" s="457">
        <f t="shared" si="7"/>
        <v>0.87241632567411587</v>
      </c>
      <c r="AH32" s="672"/>
    </row>
    <row r="33" spans="1:34" ht="19.2" customHeight="1">
      <c r="A33" s="689"/>
      <c r="B33" s="122" t="s">
        <v>184</v>
      </c>
      <c r="C33" s="453"/>
      <c r="D33" s="82" t="s">
        <v>82</v>
      </c>
      <c r="E33" s="83"/>
      <c r="F33" s="361">
        <v>36.409999999999997</v>
      </c>
      <c r="G33" s="57">
        <v>1931.2</v>
      </c>
      <c r="H33" s="84">
        <f t="shared" si="22"/>
        <v>70314.991999999998</v>
      </c>
      <c r="I33" s="453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2228.3076923076937</v>
      </c>
      <c r="O33" s="47">
        <f t="shared" si="24"/>
        <v>222.83076923076936</v>
      </c>
      <c r="P33" s="48">
        <f t="shared" si="18"/>
        <v>0</v>
      </c>
      <c r="Q33" s="49">
        <f t="shared" si="19"/>
        <v>-54.069230769230614</v>
      </c>
      <c r="R33" s="457">
        <f t="shared" si="20"/>
        <v>0.80473372781065144</v>
      </c>
      <c r="S33" s="681"/>
      <c r="T33" s="89">
        <v>0.26527777777777778</v>
      </c>
      <c r="U33" s="89">
        <v>0.30138888888888887</v>
      </c>
      <c r="V33" s="453">
        <v>21</v>
      </c>
      <c r="W33" s="90">
        <f t="shared" si="25"/>
        <v>51.999999999999972</v>
      </c>
      <c r="X33" s="124">
        <v>0.25416666666666665</v>
      </c>
      <c r="Y33" s="124">
        <v>0.26250000000000001</v>
      </c>
      <c r="Z33" s="125"/>
      <c r="AA33" s="125"/>
      <c r="AB33" s="658"/>
      <c r="AC33" s="658"/>
      <c r="AD33" s="453"/>
      <c r="AE33" s="453"/>
      <c r="AF33" s="48">
        <f t="shared" si="6"/>
        <v>-540.69230769230626</v>
      </c>
      <c r="AG33" s="126">
        <f t="shared" si="7"/>
        <v>0.80473372781065144</v>
      </c>
      <c r="AH33" s="672"/>
    </row>
    <row r="34" spans="1:34" ht="19.2" customHeight="1">
      <c r="A34" s="689"/>
      <c r="B34" s="122" t="s">
        <v>182</v>
      </c>
      <c r="C34" s="127"/>
      <c r="D34" s="82" t="s">
        <v>503</v>
      </c>
      <c r="E34" s="83"/>
      <c r="F34" s="361">
        <v>47.6</v>
      </c>
      <c r="G34" s="57">
        <v>4980.1499999999996</v>
      </c>
      <c r="H34" s="84">
        <f t="shared" si="22"/>
        <v>237055.13999999998</v>
      </c>
      <c r="I34" s="453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1328.0399999999997</v>
      </c>
      <c r="O34" s="47">
        <f t="shared" si="24"/>
        <v>88.535999999999987</v>
      </c>
      <c r="P34" s="48">
        <f t="shared" si="18"/>
        <v>0</v>
      </c>
      <c r="Q34" s="49">
        <f t="shared" si="19"/>
        <v>-11.464000000000013</v>
      </c>
      <c r="R34" s="457">
        <f t="shared" si="20"/>
        <v>0.88535999999999992</v>
      </c>
      <c r="S34" s="681"/>
      <c r="T34" s="89">
        <v>0.30624999999999997</v>
      </c>
      <c r="U34" s="89">
        <v>0.46249999999999997</v>
      </c>
      <c r="V34" s="453">
        <v>7</v>
      </c>
      <c r="W34" s="90">
        <f t="shared" si="25"/>
        <v>225</v>
      </c>
      <c r="X34" s="124"/>
      <c r="Y34" s="124"/>
      <c r="Z34" s="125"/>
      <c r="AA34" s="125"/>
      <c r="AB34" s="658"/>
      <c r="AC34" s="658"/>
      <c r="AD34" s="453"/>
      <c r="AE34" s="453"/>
      <c r="AF34" s="48">
        <f t="shared" si="6"/>
        <v>-171.96000000000026</v>
      </c>
      <c r="AG34" s="126">
        <f t="shared" si="7"/>
        <v>0.88535999999999981</v>
      </c>
      <c r="AH34" s="672"/>
    </row>
    <row r="35" spans="1:34" ht="19.2" customHeight="1">
      <c r="A35" s="689"/>
      <c r="B35" s="122">
        <v>0</v>
      </c>
      <c r="C35" s="41"/>
      <c r="D35" s="42"/>
      <c r="E35" s="43"/>
      <c r="F35" s="361" t="s">
        <v>186</v>
      </c>
      <c r="G35" s="128"/>
      <c r="H35" s="84">
        <f t="shared" si="22"/>
        <v>0</v>
      </c>
      <c r="I35" s="455"/>
      <c r="J35" s="46"/>
      <c r="K35" s="44"/>
      <c r="L35" s="47"/>
      <c r="M35" s="46"/>
      <c r="N35" s="44"/>
      <c r="O35" s="47"/>
      <c r="P35" s="48"/>
      <c r="Q35" s="49"/>
      <c r="R35" s="457"/>
      <c r="S35" s="681"/>
      <c r="T35" s="89"/>
      <c r="U35" s="89"/>
      <c r="V35" s="453"/>
      <c r="W35" s="90">
        <f t="shared" si="25"/>
        <v>0</v>
      </c>
      <c r="X35" s="124"/>
      <c r="Y35" s="124"/>
      <c r="Z35" s="125"/>
      <c r="AA35" s="125"/>
      <c r="AB35" s="658"/>
      <c r="AC35" s="658"/>
      <c r="AD35" s="453"/>
      <c r="AE35" s="453"/>
      <c r="AF35" s="117">
        <f t="shared" si="6"/>
        <v>0</v>
      </c>
      <c r="AG35" s="121" t="e">
        <f t="shared" si="7"/>
        <v>#DIV/0!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453"/>
      <c r="J36" s="46"/>
      <c r="K36" s="44"/>
      <c r="L36" s="47"/>
      <c r="M36" s="46"/>
      <c r="N36" s="44"/>
      <c r="O36" s="47"/>
      <c r="P36" s="48"/>
      <c r="Q36" s="49"/>
      <c r="R36" s="457"/>
      <c r="S36" s="681"/>
      <c r="T36" s="89"/>
      <c r="U36" s="89"/>
      <c r="V36" s="453"/>
      <c r="W36" s="90">
        <f t="shared" si="25"/>
        <v>0</v>
      </c>
      <c r="X36" s="124"/>
      <c r="Y36" s="124"/>
      <c r="Z36" s="125"/>
      <c r="AA36" s="125"/>
      <c r="AB36" s="658"/>
      <c r="AC36" s="658"/>
      <c r="AD36" s="453"/>
      <c r="AE36" s="453"/>
      <c r="AF36" s="48">
        <f t="shared" si="6"/>
        <v>0</v>
      </c>
      <c r="AG36" s="457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453"/>
      <c r="J37" s="46"/>
      <c r="K37" s="44"/>
      <c r="L37" s="47"/>
      <c r="M37" s="46"/>
      <c r="N37" s="44"/>
      <c r="O37" s="47"/>
      <c r="P37" s="48"/>
      <c r="Q37" s="49"/>
      <c r="R37" s="457"/>
      <c r="S37" s="681"/>
      <c r="T37" s="89"/>
      <c r="U37" s="89"/>
      <c r="V37" s="453"/>
      <c r="W37" s="90">
        <f t="shared" si="25"/>
        <v>0</v>
      </c>
      <c r="X37" s="124"/>
      <c r="Y37" s="124"/>
      <c r="Z37" s="125"/>
      <c r="AA37" s="125"/>
      <c r="AB37" s="658"/>
      <c r="AC37" s="658"/>
      <c r="AD37" s="453"/>
      <c r="AE37" s="453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453"/>
      <c r="J38" s="46"/>
      <c r="K38" s="44"/>
      <c r="L38" s="47"/>
      <c r="M38" s="464"/>
      <c r="N38" s="44"/>
      <c r="O38" s="47"/>
      <c r="P38" s="48"/>
      <c r="Q38" s="49"/>
      <c r="R38" s="457"/>
      <c r="S38" s="681"/>
      <c r="T38" s="89"/>
      <c r="U38" s="89"/>
      <c r="V38" s="453"/>
      <c r="W38" s="90">
        <f t="shared" si="25"/>
        <v>0</v>
      </c>
      <c r="X38" s="124"/>
      <c r="Y38" s="124"/>
      <c r="Z38" s="125"/>
      <c r="AA38" s="125"/>
      <c r="AB38" s="658"/>
      <c r="AC38" s="658"/>
      <c r="AD38" s="453"/>
      <c r="AE38" s="453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453"/>
      <c r="J39" s="46"/>
      <c r="K39" s="44"/>
      <c r="L39" s="47"/>
      <c r="M39" s="464"/>
      <c r="N39" s="44"/>
      <c r="O39" s="47"/>
      <c r="P39" s="48"/>
      <c r="Q39" s="49"/>
      <c r="R39" s="457"/>
      <c r="S39" s="681"/>
      <c r="T39" s="89"/>
      <c r="U39" s="89"/>
      <c r="V39" s="453"/>
      <c r="W39" s="90">
        <f t="shared" si="25"/>
        <v>0</v>
      </c>
      <c r="X39" s="124"/>
      <c r="Y39" s="124"/>
      <c r="Z39" s="125"/>
      <c r="AA39" s="125"/>
      <c r="AB39" s="658"/>
      <c r="AC39" s="658"/>
      <c r="AD39" s="453"/>
      <c r="AE39" s="453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55"/>
      <c r="J40" s="132"/>
      <c r="K40" s="133"/>
      <c r="L40" s="134"/>
      <c r="M40" s="467"/>
      <c r="N40" s="44"/>
      <c r="O40" s="47"/>
      <c r="P40" s="48"/>
      <c r="Q40" s="49"/>
      <c r="R40" s="457"/>
      <c r="S40" s="681"/>
      <c r="T40" s="89"/>
      <c r="U40" s="89"/>
      <c r="V40" s="453"/>
      <c r="W40" s="90">
        <f t="shared" si="25"/>
        <v>0</v>
      </c>
      <c r="X40" s="124"/>
      <c r="Y40" s="124"/>
      <c r="Z40" s="125"/>
      <c r="AA40" s="125"/>
      <c r="AB40" s="658"/>
      <c r="AC40" s="658"/>
      <c r="AD40" s="453"/>
      <c r="AE40" s="453"/>
      <c r="AF40" s="48">
        <f t="shared" si="6"/>
        <v>0</v>
      </c>
      <c r="AG40" s="457" t="e">
        <f t="shared" si="7"/>
        <v>#DIV/0!</v>
      </c>
      <c r="AH40" s="673"/>
    </row>
    <row r="41" spans="1:34" ht="19.2" customHeight="1">
      <c r="A41" s="689"/>
      <c r="B41" s="453">
        <v>0</v>
      </c>
      <c r="C41" s="55"/>
      <c r="D41" s="82"/>
      <c r="E41" s="83"/>
      <c r="F41" s="361" t="s">
        <v>186</v>
      </c>
      <c r="G41" s="57"/>
      <c r="H41" s="84"/>
      <c r="I41" s="453"/>
      <c r="J41" s="87"/>
      <c r="K41" s="57"/>
      <c r="L41" s="86"/>
      <c r="M41" s="464"/>
      <c r="N41" s="57"/>
      <c r="O41" s="86"/>
      <c r="P41" s="54"/>
      <c r="Q41" s="88"/>
      <c r="R41" s="454"/>
      <c r="S41" s="681"/>
      <c r="T41" s="89"/>
      <c r="U41" s="89"/>
      <c r="V41" s="453"/>
      <c r="W41" s="90">
        <f t="shared" si="25"/>
        <v>0</v>
      </c>
      <c r="X41" s="124"/>
      <c r="Y41" s="124"/>
      <c r="Z41" s="125"/>
      <c r="AA41" s="125"/>
      <c r="AB41" s="658"/>
      <c r="AC41" s="658"/>
      <c r="AD41" s="453"/>
      <c r="AE41" s="453"/>
      <c r="AF41" s="48"/>
      <c r="AG41" s="130"/>
      <c r="AH41" s="673"/>
    </row>
    <row r="42" spans="1:34" ht="19.2" customHeight="1">
      <c r="A42" s="689"/>
      <c r="B42" s="453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453"/>
      <c r="J42" s="87"/>
      <c r="K42" s="57"/>
      <c r="L42" s="86"/>
      <c r="M42" s="464"/>
      <c r="N42" s="57"/>
      <c r="O42" s="86"/>
      <c r="P42" s="54"/>
      <c r="Q42" s="88"/>
      <c r="R42" s="454"/>
      <c r="S42" s="681"/>
      <c r="T42" s="89"/>
      <c r="U42" s="89"/>
      <c r="V42" s="453"/>
      <c r="W42" s="90">
        <f t="shared" si="25"/>
        <v>0</v>
      </c>
      <c r="X42" s="124"/>
      <c r="Y42" s="124"/>
      <c r="Z42" s="125"/>
      <c r="AA42" s="125"/>
      <c r="AB42" s="658"/>
      <c r="AC42" s="658"/>
      <c r="AD42" s="453"/>
      <c r="AE42" s="453"/>
      <c r="AF42" s="48"/>
      <c r="AG42" s="130"/>
      <c r="AH42" s="673"/>
    </row>
    <row r="43" spans="1:34" ht="19.2" customHeight="1">
      <c r="A43" s="689"/>
      <c r="B43" s="122">
        <v>0</v>
      </c>
      <c r="C43" s="100" t="s">
        <v>504</v>
      </c>
      <c r="D43" s="687" t="s">
        <v>498</v>
      </c>
      <c r="E43" s="687"/>
      <c r="F43" s="365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M43:O43" si="26">AVERAGE(M31:M42)</f>
        <v>12.25</v>
      </c>
      <c r="N43" s="101">
        <f t="shared" si="26"/>
        <v>1814.2517065044187</v>
      </c>
      <c r="O43" s="104">
        <f t="shared" si="26"/>
        <v>154.93875759331692</v>
      </c>
      <c r="P43" s="54">
        <f>M43-J43</f>
        <v>0</v>
      </c>
      <c r="Q43" s="88">
        <f>N43-K43</f>
        <v>-311.99829349558127</v>
      </c>
      <c r="R43" s="105">
        <f t="shared" ref="R43:R49" si="27">O43/L43</f>
        <v>0.8490958081562785</v>
      </c>
      <c r="S43" s="681"/>
      <c r="T43" s="89"/>
      <c r="U43" s="89"/>
      <c r="V43" s="453"/>
      <c r="W43" s="453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0</v>
      </c>
      <c r="AE43" s="107">
        <f>SUM(AE31:AE42)</f>
        <v>0</v>
      </c>
      <c r="AF43" s="48">
        <f t="shared" ref="AF43:AF54" si="28">N43-K43</f>
        <v>-311.99829349558127</v>
      </c>
      <c r="AG43" s="458">
        <f t="shared" si="7"/>
        <v>0.85326358918491185</v>
      </c>
      <c r="AH43" s="673"/>
    </row>
    <row r="44" spans="1:34" s="148" customFormat="1" ht="19.2" customHeight="1">
      <c r="A44" s="691" t="s">
        <v>505</v>
      </c>
      <c r="B44" s="97" t="s">
        <v>184</v>
      </c>
      <c r="C44" s="136"/>
      <c r="D44" s="42" t="s">
        <v>98</v>
      </c>
      <c r="E44" s="43"/>
      <c r="F44" s="368">
        <v>24.73</v>
      </c>
      <c r="G44" s="137">
        <v>1818</v>
      </c>
      <c r="H44" s="45">
        <f>F44*G44</f>
        <v>44959.14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2138.823529411764</v>
      </c>
      <c r="O44" s="141">
        <f t="shared" ref="O44:O49" si="30">N44/M44</f>
        <v>427.76470588235281</v>
      </c>
      <c r="P44" s="51">
        <f t="shared" ref="P44:P49" si="31">M44-J44</f>
        <v>1</v>
      </c>
      <c r="Q44" s="142">
        <f t="shared" ref="Q44:Q49" si="32">O44-L44</f>
        <v>-72.235294117647186</v>
      </c>
      <c r="R44" s="143">
        <f t="shared" si="27"/>
        <v>0.85552941176470565</v>
      </c>
      <c r="S44" s="672">
        <f>R56</f>
        <v>0.88559699252856594</v>
      </c>
      <c r="T44" s="144">
        <v>0.16666666666666666</v>
      </c>
      <c r="U44" s="144">
        <v>0.20208333333333334</v>
      </c>
      <c r="V44" s="145">
        <v>5</v>
      </c>
      <c r="W44" s="146">
        <f t="shared" ref="W44:W56" si="33">(U44-T44)*24*60</f>
        <v>51.000000000000021</v>
      </c>
      <c r="X44" s="124"/>
      <c r="Y44" s="124"/>
      <c r="Z44" s="125"/>
      <c r="AA44" s="125"/>
      <c r="AB44" s="658"/>
      <c r="AC44" s="658"/>
      <c r="AD44" s="453"/>
      <c r="AE44" s="453"/>
      <c r="AF44" s="147">
        <f t="shared" si="28"/>
        <v>138.82352941176396</v>
      </c>
      <c r="AG44" s="461">
        <f t="shared" si="7"/>
        <v>1.0694117647058821</v>
      </c>
      <c r="AH44" s="694">
        <f>AG56</f>
        <v>1.0174023186879111</v>
      </c>
    </row>
    <row r="45" spans="1:34" s="148" customFormat="1" ht="19.2" customHeight="1">
      <c r="A45" s="692"/>
      <c r="B45" s="97" t="s">
        <v>184</v>
      </c>
      <c r="C45" s="136"/>
      <c r="D45" s="42" t="s">
        <v>99</v>
      </c>
      <c r="E45" s="43"/>
      <c r="F45" s="368">
        <v>24.73</v>
      </c>
      <c r="G45" s="137">
        <v>1611</v>
      </c>
      <c r="H45" s="45">
        <f>F45*G45</f>
        <v>39840.03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2148</v>
      </c>
      <c r="O45" s="141">
        <f t="shared" si="30"/>
        <v>429.6</v>
      </c>
      <c r="P45" s="51">
        <f t="shared" si="31"/>
        <v>1</v>
      </c>
      <c r="Q45" s="142">
        <f t="shared" si="32"/>
        <v>-70.399999999999977</v>
      </c>
      <c r="R45" s="143">
        <f t="shared" si="27"/>
        <v>0.85920000000000007</v>
      </c>
      <c r="S45" s="672"/>
      <c r="T45" s="144">
        <v>0.20555555555555555</v>
      </c>
      <c r="U45" s="144">
        <v>0.23680555555555555</v>
      </c>
      <c r="V45" s="145">
        <v>5</v>
      </c>
      <c r="W45" s="146">
        <f t="shared" si="33"/>
        <v>45</v>
      </c>
      <c r="X45" s="124"/>
      <c r="Y45" s="124"/>
      <c r="Z45" s="125"/>
      <c r="AA45" s="125"/>
      <c r="AB45" s="658"/>
      <c r="AC45" s="658"/>
      <c r="AD45" s="453"/>
      <c r="AE45" s="453"/>
      <c r="AF45" s="147">
        <f t="shared" si="28"/>
        <v>148</v>
      </c>
      <c r="AG45" s="461">
        <f t="shared" si="7"/>
        <v>1.0740000000000001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199</v>
      </c>
      <c r="E46" s="43"/>
      <c r="F46" s="368">
        <v>21.92</v>
      </c>
      <c r="G46" s="137">
        <v>807</v>
      </c>
      <c r="H46" s="45">
        <f t="shared" ref="H46:H50" si="34">F46*G46</f>
        <v>17689.440000000002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2105.217391304348</v>
      </c>
      <c r="O46" s="141">
        <f t="shared" si="30"/>
        <v>421.04347826086962</v>
      </c>
      <c r="P46" s="51">
        <f t="shared" si="31"/>
        <v>1</v>
      </c>
      <c r="Q46" s="142">
        <f t="shared" si="32"/>
        <v>-78.95652173913038</v>
      </c>
      <c r="R46" s="143">
        <f t="shared" si="27"/>
        <v>0.84208695652173926</v>
      </c>
      <c r="S46" s="672"/>
      <c r="T46" s="144">
        <v>0.24027777777777776</v>
      </c>
      <c r="U46" s="144">
        <v>0.25624999999999998</v>
      </c>
      <c r="V46" s="145">
        <v>5</v>
      </c>
      <c r="W46" s="146">
        <f t="shared" si="33"/>
        <v>23</v>
      </c>
      <c r="X46" s="124"/>
      <c r="Y46" s="124"/>
      <c r="Z46" s="125"/>
      <c r="AA46" s="125"/>
      <c r="AB46" s="658"/>
      <c r="AC46" s="658"/>
      <c r="AD46" s="453"/>
      <c r="AE46" s="453"/>
      <c r="AF46" s="147">
        <f t="shared" si="28"/>
        <v>105.21739130434798</v>
      </c>
      <c r="AG46" s="461">
        <f t="shared" si="7"/>
        <v>1.0526086956521741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86</v>
      </c>
      <c r="E47" s="151"/>
      <c r="F47" s="368">
        <v>31.43</v>
      </c>
      <c r="G47" s="140">
        <v>1846</v>
      </c>
      <c r="H47" s="45">
        <f t="shared" si="34"/>
        <v>58019.78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1367.4074074074069</v>
      </c>
      <c r="O47" s="141">
        <f t="shared" si="30"/>
        <v>195.34391534391528</v>
      </c>
      <c r="P47" s="51">
        <f t="shared" si="31"/>
        <v>0</v>
      </c>
      <c r="Q47" s="142">
        <f t="shared" si="32"/>
        <v>-18.941798941798993</v>
      </c>
      <c r="R47" s="143">
        <f t="shared" si="27"/>
        <v>0.91160493827160471</v>
      </c>
      <c r="S47" s="672"/>
      <c r="T47" s="144">
        <v>0.27361111111111108</v>
      </c>
      <c r="U47" s="144">
        <v>0.3298611111111111</v>
      </c>
      <c r="V47" s="140">
        <v>25</v>
      </c>
      <c r="W47" s="146">
        <f t="shared" si="33"/>
        <v>81.000000000000028</v>
      </c>
      <c r="X47" s="124">
        <v>0.25972222222222224</v>
      </c>
      <c r="Y47" s="124">
        <v>0.27083333333333331</v>
      </c>
      <c r="Z47" s="125"/>
      <c r="AA47" s="125"/>
      <c r="AB47" s="658"/>
      <c r="AC47" s="658"/>
      <c r="AD47" s="453"/>
      <c r="AE47" s="453"/>
      <c r="AF47" s="147">
        <f t="shared" si="28"/>
        <v>-132.59259259259306</v>
      </c>
      <c r="AG47" s="461">
        <f t="shared" si="7"/>
        <v>0.9116049382716046</v>
      </c>
      <c r="AH47" s="694"/>
    </row>
    <row r="48" spans="1:34" s="148" customFormat="1" ht="19.2" customHeight="1">
      <c r="A48" s="692"/>
      <c r="B48" s="97" t="s">
        <v>183</v>
      </c>
      <c r="C48" s="136"/>
      <c r="D48" s="153" t="s">
        <v>471</v>
      </c>
      <c r="E48" s="151"/>
      <c r="F48" s="368">
        <v>11.26</v>
      </c>
      <c r="G48" s="140">
        <v>3840</v>
      </c>
      <c r="H48" s="45">
        <f t="shared" si="34"/>
        <v>43238.400000000001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1476.9230769230769</v>
      </c>
      <c r="O48" s="141">
        <f t="shared" si="30"/>
        <v>246.15384615384616</v>
      </c>
      <c r="P48" s="51">
        <f t="shared" si="31"/>
        <v>0</v>
      </c>
      <c r="Q48" s="142">
        <f t="shared" si="32"/>
        <v>-3.8461538461538396</v>
      </c>
      <c r="R48" s="143">
        <f t="shared" si="27"/>
        <v>0.98461538461538467</v>
      </c>
      <c r="S48" s="672"/>
      <c r="T48" s="154">
        <v>0.35069444444444442</v>
      </c>
      <c r="U48" s="154">
        <v>0.45902777777777776</v>
      </c>
      <c r="V48" s="137">
        <v>30</v>
      </c>
      <c r="W48" s="146">
        <f t="shared" si="33"/>
        <v>156</v>
      </c>
      <c r="X48" s="124">
        <v>0.33333333333333331</v>
      </c>
      <c r="Y48" s="124">
        <v>0.34791666666666665</v>
      </c>
      <c r="Z48" s="125"/>
      <c r="AA48" s="125"/>
      <c r="AB48" s="658"/>
      <c r="AC48" s="658"/>
      <c r="AD48" s="453"/>
      <c r="AE48" s="453"/>
      <c r="AF48" s="147">
        <f t="shared" si="28"/>
        <v>-23.076923076923094</v>
      </c>
      <c r="AG48" s="461">
        <f t="shared" si="7"/>
        <v>0.98461538461538456</v>
      </c>
      <c r="AH48" s="694"/>
    </row>
    <row r="49" spans="1:34" s="148" customFormat="1" ht="19.2" customHeight="1">
      <c r="A49" s="692"/>
      <c r="B49" s="97" t="s">
        <v>185</v>
      </c>
      <c r="C49" s="136"/>
      <c r="D49" s="153" t="s">
        <v>85</v>
      </c>
      <c r="E49" s="151"/>
      <c r="F49" s="368">
        <v>10.09</v>
      </c>
      <c r="G49" s="137">
        <v>3688.2000000000003</v>
      </c>
      <c r="H49" s="45">
        <f t="shared" si="34"/>
        <v>37213.938000000002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1446.3529411764712</v>
      </c>
      <c r="O49" s="141">
        <f t="shared" si="30"/>
        <v>241.05882352941185</v>
      </c>
      <c r="P49" s="51">
        <f t="shared" si="31"/>
        <v>0</v>
      </c>
      <c r="Q49" s="142">
        <f t="shared" si="32"/>
        <v>-8.9411764705881467</v>
      </c>
      <c r="R49" s="143">
        <f t="shared" si="27"/>
        <v>0.96423529411764741</v>
      </c>
      <c r="S49" s="672"/>
      <c r="T49" s="154">
        <v>0.47986111111111107</v>
      </c>
      <c r="U49" s="154">
        <v>0.58611111111111103</v>
      </c>
      <c r="V49" s="137">
        <v>30</v>
      </c>
      <c r="W49" s="146">
        <f t="shared" si="33"/>
        <v>152.99999999999994</v>
      </c>
      <c r="X49" s="155">
        <v>0.46249999999999997</v>
      </c>
      <c r="Y49" s="155">
        <v>0.4770833333333333</v>
      </c>
      <c r="Z49" s="156"/>
      <c r="AA49" s="125"/>
      <c r="AB49" s="658"/>
      <c r="AC49" s="658"/>
      <c r="AD49" s="453"/>
      <c r="AE49" s="453"/>
      <c r="AF49" s="147">
        <f t="shared" si="28"/>
        <v>-53.647058823528823</v>
      </c>
      <c r="AG49" s="461">
        <f t="shared" si="7"/>
        <v>0.96423529411764741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453"/>
      <c r="AE50" s="453"/>
      <c r="AF50" s="147">
        <f t="shared" si="28"/>
        <v>0</v>
      </c>
      <c r="AG50" s="461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453"/>
      <c r="AE51" s="453"/>
      <c r="AF51" s="147">
        <f t="shared" si="28"/>
        <v>0</v>
      </c>
      <c r="AG51" s="461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54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453"/>
      <c r="AE52" s="453"/>
      <c r="AF52" s="147">
        <f t="shared" si="28"/>
        <v>0</v>
      </c>
      <c r="AG52" s="461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54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453"/>
      <c r="AE53" s="453"/>
      <c r="AF53" s="147">
        <f t="shared" si="28"/>
        <v>0</v>
      </c>
      <c r="AG53" s="461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54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453"/>
      <c r="AE54" s="453"/>
      <c r="AF54" s="147">
        <f t="shared" si="28"/>
        <v>0</v>
      </c>
      <c r="AG54" s="461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54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453"/>
      <c r="AE55" s="453"/>
      <c r="AF55" s="147"/>
      <c r="AG55" s="461"/>
      <c r="AH55" s="694"/>
    </row>
    <row r="56" spans="1:34" ht="19.2" customHeight="1">
      <c r="A56" s="693"/>
      <c r="B56" s="160">
        <v>0</v>
      </c>
      <c r="C56" s="100" t="s">
        <v>18</v>
      </c>
      <c r="D56" s="687" t="s">
        <v>245</v>
      </c>
      <c r="E56" s="687"/>
      <c r="F56" s="365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1780.4540577038442</v>
      </c>
      <c r="O56" s="104">
        <f t="shared" si="35"/>
        <v>326.82746152839934</v>
      </c>
      <c r="P56" s="161">
        <f>M56-J56</f>
        <v>0.5</v>
      </c>
      <c r="Q56" s="118">
        <f>N56-K56</f>
        <v>30.454057703844228</v>
      </c>
      <c r="R56" s="162">
        <f t="shared" ref="R56:R61" si="36">O56/L56</f>
        <v>0.88559699252856594</v>
      </c>
      <c r="S56" s="672"/>
      <c r="T56" s="163"/>
      <c r="U56" s="163"/>
      <c r="V56" s="46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0</v>
      </c>
      <c r="AE56" s="107">
        <f>SUM(AE44:AE55)</f>
        <v>0</v>
      </c>
      <c r="AF56" s="165">
        <f>N56-K56</f>
        <v>30.454057703844228</v>
      </c>
      <c r="AG56" s="454">
        <f>N56/K56</f>
        <v>1.0174023186879111</v>
      </c>
      <c r="AH56" s="694"/>
    </row>
    <row r="57" spans="1:34" ht="19.2" customHeight="1">
      <c r="A57" s="697" t="s">
        <v>273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1475</v>
      </c>
      <c r="H57" s="84">
        <f t="shared" ref="H57:H66" si="37">F57*G57</f>
        <v>41683.5</v>
      </c>
      <c r="I57" s="453"/>
      <c r="J57" s="87">
        <v>7</v>
      </c>
      <c r="K57" s="57">
        <v>1500</v>
      </c>
      <c r="L57" s="86">
        <v>214.28571428571428</v>
      </c>
      <c r="M57" s="464">
        <v>7</v>
      </c>
      <c r="N57" s="57">
        <f t="shared" ref="N57:N61" si="38">G57/W57*60</f>
        <v>1450.8196721311479</v>
      </c>
      <c r="O57" s="86">
        <f t="shared" ref="O57:O61" si="39">N57/M57</f>
        <v>207.25995316159256</v>
      </c>
      <c r="P57" s="168">
        <f t="shared" ref="P57:P61" si="40">M57-J57</f>
        <v>0</v>
      </c>
      <c r="Q57" s="49">
        <f t="shared" ref="Q57:Q61" si="41">O57-L57</f>
        <v>-7.0257611241217148</v>
      </c>
      <c r="R57" s="457">
        <f t="shared" si="36"/>
        <v>0.96721311475409866</v>
      </c>
      <c r="S57" s="672">
        <f>R69</f>
        <v>0.97681569998551088</v>
      </c>
      <c r="T57" s="144">
        <v>0.16666666666666666</v>
      </c>
      <c r="U57" s="144">
        <v>0.20902777777777776</v>
      </c>
      <c r="V57" s="455">
        <v>5</v>
      </c>
      <c r="W57" s="466">
        <f>(U57-T57)*24*60</f>
        <v>60.999999999999986</v>
      </c>
      <c r="X57" s="53"/>
      <c r="Y57" s="53"/>
      <c r="Z57" s="54"/>
      <c r="AA57" s="54"/>
      <c r="AB57" s="658"/>
      <c r="AC57" s="658"/>
      <c r="AD57" s="453"/>
      <c r="AE57" s="453"/>
      <c r="AF57" s="48">
        <f t="shared" si="6"/>
        <v>-49.180327868852146</v>
      </c>
      <c r="AG57" s="456">
        <f t="shared" si="7"/>
        <v>0.96721311475409855</v>
      </c>
      <c r="AH57" s="686">
        <f>AG69</f>
        <v>0.97740997507816652</v>
      </c>
    </row>
    <row r="58" spans="1:34" ht="19.2" customHeight="1">
      <c r="A58" s="654"/>
      <c r="B58" s="97" t="s">
        <v>183</v>
      </c>
      <c r="C58" s="462"/>
      <c r="D58" s="42" t="s">
        <v>88</v>
      </c>
      <c r="E58" s="43"/>
      <c r="F58" s="361">
        <v>27.88</v>
      </c>
      <c r="G58" s="137">
        <v>2070</v>
      </c>
      <c r="H58" s="45">
        <f t="shared" si="37"/>
        <v>57711.6</v>
      </c>
      <c r="I58" s="455"/>
      <c r="J58" s="46">
        <v>7</v>
      </c>
      <c r="K58" s="44">
        <v>1500</v>
      </c>
      <c r="L58" s="86">
        <v>214.28571428571428</v>
      </c>
      <c r="M58" s="467">
        <v>7</v>
      </c>
      <c r="N58" s="44">
        <f t="shared" si="38"/>
        <v>1478.5714285714282</v>
      </c>
      <c r="O58" s="47">
        <f t="shared" si="39"/>
        <v>211.22448979591832</v>
      </c>
      <c r="P58" s="168">
        <f t="shared" si="40"/>
        <v>0</v>
      </c>
      <c r="Q58" s="49">
        <f t="shared" si="41"/>
        <v>-3.0612244897959613</v>
      </c>
      <c r="R58" s="457">
        <f t="shared" si="36"/>
        <v>0.98571428571428554</v>
      </c>
      <c r="S58" s="672"/>
      <c r="T58" s="169">
        <v>0.22638888888888886</v>
      </c>
      <c r="U58" s="169">
        <v>0.28472222222222221</v>
      </c>
      <c r="V58" s="455">
        <v>25</v>
      </c>
      <c r="W58" s="466">
        <f>(U58-T58)*24*60</f>
        <v>84.000000000000028</v>
      </c>
      <c r="X58" s="53">
        <v>0.21249999999999999</v>
      </c>
      <c r="Y58" s="53">
        <v>0.22361111111111109</v>
      </c>
      <c r="Z58" s="54"/>
      <c r="AA58" s="54"/>
      <c r="AB58" s="695"/>
      <c r="AC58" s="696"/>
      <c r="AD58" s="453"/>
      <c r="AE58" s="453"/>
      <c r="AF58" s="48">
        <f t="shared" si="6"/>
        <v>-21.428571428571786</v>
      </c>
      <c r="AG58" s="457">
        <f t="shared" si="7"/>
        <v>0.98571428571428543</v>
      </c>
      <c r="AH58" s="672"/>
    </row>
    <row r="59" spans="1:34" ht="19.2" customHeight="1">
      <c r="A59" s="654"/>
      <c r="B59" s="97" t="s">
        <v>183</v>
      </c>
      <c r="C59" s="462"/>
      <c r="D59" s="42" t="s">
        <v>89</v>
      </c>
      <c r="E59" s="43"/>
      <c r="F59" s="361">
        <v>28</v>
      </c>
      <c r="G59" s="137">
        <v>2970</v>
      </c>
      <c r="H59" s="45">
        <f t="shared" si="37"/>
        <v>83160</v>
      </c>
      <c r="I59" s="455"/>
      <c r="J59" s="46">
        <v>7</v>
      </c>
      <c r="K59" s="44">
        <v>1500</v>
      </c>
      <c r="L59" s="86">
        <v>214.28571428571428</v>
      </c>
      <c r="M59" s="467">
        <v>7</v>
      </c>
      <c r="N59" s="44">
        <f t="shared" si="38"/>
        <v>1497.4789915966392</v>
      </c>
      <c r="O59" s="47">
        <f t="shared" si="39"/>
        <v>213.92557022809132</v>
      </c>
      <c r="P59" s="168">
        <f t="shared" si="40"/>
        <v>0</v>
      </c>
      <c r="Q59" s="49">
        <f t="shared" si="41"/>
        <v>-0.36014405762296064</v>
      </c>
      <c r="R59" s="457">
        <f t="shared" si="36"/>
        <v>0.99831932773109289</v>
      </c>
      <c r="S59" s="672"/>
      <c r="T59" s="169">
        <v>0.30208333333333331</v>
      </c>
      <c r="U59" s="169">
        <v>0.38472222222222219</v>
      </c>
      <c r="V59" s="145">
        <v>25</v>
      </c>
      <c r="W59" s="466">
        <f t="shared" ref="W59:W69" si="42">(U59-T59)*24*60</f>
        <v>118.99999999999997</v>
      </c>
      <c r="X59" s="53">
        <v>0.28819444444444448</v>
      </c>
      <c r="Y59" s="53">
        <v>0.29930555555555555</v>
      </c>
      <c r="Z59" s="54"/>
      <c r="AA59" s="54"/>
      <c r="AB59" s="658"/>
      <c r="AC59" s="658"/>
      <c r="AD59" s="453"/>
      <c r="AE59" s="453"/>
      <c r="AF59" s="48">
        <f t="shared" si="6"/>
        <v>-2.5210084033608382</v>
      </c>
      <c r="AG59" s="457">
        <f t="shared" si="7"/>
        <v>0.99831932773109278</v>
      </c>
      <c r="AH59" s="672"/>
    </row>
    <row r="60" spans="1:34" ht="19.2" customHeight="1">
      <c r="A60" s="654"/>
      <c r="B60" s="97" t="s">
        <v>185</v>
      </c>
      <c r="C60" s="462"/>
      <c r="D60" s="42" t="s">
        <v>85</v>
      </c>
      <c r="E60" s="43"/>
      <c r="F60" s="361">
        <v>10.09</v>
      </c>
      <c r="G60" s="137">
        <v>4781</v>
      </c>
      <c r="H60" s="45">
        <f t="shared" si="37"/>
        <v>48240.29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1441.5075376884422</v>
      </c>
      <c r="O60" s="47">
        <f t="shared" si="39"/>
        <v>240.25125628140702</v>
      </c>
      <c r="P60" s="168">
        <f t="shared" si="40"/>
        <v>0</v>
      </c>
      <c r="Q60" s="49">
        <f t="shared" si="41"/>
        <v>-9.7487437185929764</v>
      </c>
      <c r="R60" s="457">
        <f t="shared" si="36"/>
        <v>0.96100502512562813</v>
      </c>
      <c r="S60" s="672"/>
      <c r="T60" s="169">
        <v>0.4055555555555555</v>
      </c>
      <c r="U60" s="169">
        <v>0.54374999999999996</v>
      </c>
      <c r="V60" s="145">
        <v>30</v>
      </c>
      <c r="W60" s="466">
        <f t="shared" si="42"/>
        <v>199</v>
      </c>
      <c r="X60" s="53">
        <v>0.38819444444444445</v>
      </c>
      <c r="Y60" s="53">
        <v>0.40277777777777773</v>
      </c>
      <c r="Z60" s="54"/>
      <c r="AA60" s="54"/>
      <c r="AB60" s="658"/>
      <c r="AC60" s="658"/>
      <c r="AD60" s="453"/>
      <c r="AE60" s="453"/>
      <c r="AF60" s="48">
        <f t="shared" si="6"/>
        <v>-58.492462311557802</v>
      </c>
      <c r="AG60" s="456">
        <f t="shared" si="7"/>
        <v>0.96100502512562813</v>
      </c>
      <c r="AH60" s="672"/>
    </row>
    <row r="61" spans="1:34" ht="19.2" customHeight="1">
      <c r="A61" s="654"/>
      <c r="B61" s="97" t="s">
        <v>185</v>
      </c>
      <c r="C61" s="462"/>
      <c r="D61" s="42" t="s">
        <v>85</v>
      </c>
      <c r="E61" s="43"/>
      <c r="F61" s="361">
        <v>10.09</v>
      </c>
      <c r="G61" s="137">
        <v>5190.8</v>
      </c>
      <c r="H61" s="45">
        <f t="shared" si="37"/>
        <v>52375.171999999999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1462.1971830985913</v>
      </c>
      <c r="O61" s="47">
        <f t="shared" si="39"/>
        <v>243.69953051643188</v>
      </c>
      <c r="P61" s="168">
        <f t="shared" si="40"/>
        <v>0</v>
      </c>
      <c r="Q61" s="49">
        <f t="shared" si="41"/>
        <v>-6.3004694835681221</v>
      </c>
      <c r="R61" s="457">
        <f t="shared" si="36"/>
        <v>0.97479812206572747</v>
      </c>
      <c r="S61" s="672"/>
      <c r="T61" s="169">
        <v>0.56458333333333333</v>
      </c>
      <c r="U61" s="169">
        <v>0.71250000000000002</v>
      </c>
      <c r="V61" s="145">
        <v>30</v>
      </c>
      <c r="W61" s="466">
        <f t="shared" si="42"/>
        <v>213.00000000000006</v>
      </c>
      <c r="X61" s="53">
        <v>0.54722222222222217</v>
      </c>
      <c r="Y61" s="53">
        <v>0.56180555555555556</v>
      </c>
      <c r="Z61" s="54"/>
      <c r="AA61" s="54"/>
      <c r="AB61" s="658"/>
      <c r="AC61" s="658"/>
      <c r="AD61" s="453"/>
      <c r="AE61" s="453"/>
      <c r="AF61" s="48">
        <f t="shared" si="6"/>
        <v>-37.802816901408733</v>
      </c>
      <c r="AG61" s="457">
        <f t="shared" si="7"/>
        <v>0.97479812206572747</v>
      </c>
      <c r="AH61" s="672"/>
    </row>
    <row r="62" spans="1:34" ht="19.2" customHeight="1">
      <c r="A62" s="654"/>
      <c r="B62" s="97">
        <v>0</v>
      </c>
      <c r="C62" s="462"/>
      <c r="D62" s="42"/>
      <c r="E62" s="43"/>
      <c r="F62" s="361" t="s">
        <v>186</v>
      </c>
      <c r="G62" s="137"/>
      <c r="H62" s="45">
        <f t="shared" si="37"/>
        <v>0</v>
      </c>
      <c r="I62" s="455"/>
      <c r="J62" s="170"/>
      <c r="K62" s="61"/>
      <c r="L62" s="86"/>
      <c r="M62" s="62"/>
      <c r="N62" s="44"/>
      <c r="O62" s="47"/>
      <c r="P62" s="168"/>
      <c r="Q62" s="49"/>
      <c r="R62" s="457"/>
      <c r="S62" s="672"/>
      <c r="T62" s="169"/>
      <c r="U62" s="169"/>
      <c r="V62" s="145"/>
      <c r="W62" s="466">
        <f t="shared" si="42"/>
        <v>0</v>
      </c>
      <c r="X62" s="53"/>
      <c r="Y62" s="53"/>
      <c r="Z62" s="54"/>
      <c r="AA62" s="54"/>
      <c r="AB62" s="658"/>
      <c r="AC62" s="658"/>
      <c r="AD62" s="453"/>
      <c r="AE62" s="453"/>
      <c r="AF62" s="48">
        <f t="shared" si="6"/>
        <v>0</v>
      </c>
      <c r="AG62" s="457" t="e">
        <f t="shared" si="7"/>
        <v>#DIV/0!</v>
      </c>
      <c r="AH62" s="672"/>
    </row>
    <row r="63" spans="1:34" ht="19.2" customHeight="1">
      <c r="A63" s="654"/>
      <c r="B63" s="97">
        <v>0</v>
      </c>
      <c r="C63" s="462"/>
      <c r="D63" s="42"/>
      <c r="E63" s="43"/>
      <c r="F63" s="361" t="s">
        <v>186</v>
      </c>
      <c r="G63" s="137"/>
      <c r="H63" s="45">
        <f t="shared" si="37"/>
        <v>0</v>
      </c>
      <c r="I63" s="455"/>
      <c r="J63" s="46"/>
      <c r="K63" s="44"/>
      <c r="L63" s="86"/>
      <c r="M63" s="62"/>
      <c r="N63" s="44"/>
      <c r="O63" s="47"/>
      <c r="P63" s="168"/>
      <c r="Q63" s="49"/>
      <c r="R63" s="457"/>
      <c r="S63" s="672"/>
      <c r="T63" s="169"/>
      <c r="U63" s="169"/>
      <c r="V63" s="145"/>
      <c r="W63" s="466">
        <f t="shared" si="42"/>
        <v>0</v>
      </c>
      <c r="X63" s="53"/>
      <c r="Y63" s="53"/>
      <c r="Z63" s="54"/>
      <c r="AA63" s="54"/>
      <c r="AB63" s="658"/>
      <c r="AC63" s="658"/>
      <c r="AD63" s="453"/>
      <c r="AE63" s="453"/>
      <c r="AF63" s="48">
        <f t="shared" si="6"/>
        <v>0</v>
      </c>
      <c r="AG63" s="456" t="e">
        <f t="shared" si="7"/>
        <v>#DIV/0!</v>
      </c>
      <c r="AH63" s="672"/>
    </row>
    <row r="64" spans="1:34" ht="19.2" customHeight="1">
      <c r="A64" s="654"/>
      <c r="B64" s="97">
        <v>0</v>
      </c>
      <c r="C64" s="462"/>
      <c r="D64" s="42"/>
      <c r="E64" s="43"/>
      <c r="F64" s="361" t="s">
        <v>186</v>
      </c>
      <c r="G64" s="137"/>
      <c r="H64" s="45">
        <f t="shared" si="37"/>
        <v>0</v>
      </c>
      <c r="I64" s="455"/>
      <c r="J64" s="170"/>
      <c r="K64" s="61"/>
      <c r="L64" s="86"/>
      <c r="M64" s="62"/>
      <c r="N64" s="44"/>
      <c r="O64" s="47"/>
      <c r="P64" s="168"/>
      <c r="Q64" s="49"/>
      <c r="R64" s="457"/>
      <c r="S64" s="672"/>
      <c r="T64" s="169"/>
      <c r="U64" s="169"/>
      <c r="V64" s="145"/>
      <c r="W64" s="466">
        <f t="shared" si="42"/>
        <v>0</v>
      </c>
      <c r="X64" s="455"/>
      <c r="Y64" s="455"/>
      <c r="Z64" s="54"/>
      <c r="AA64" s="54"/>
      <c r="AB64" s="658"/>
      <c r="AC64" s="658"/>
      <c r="AD64" s="453"/>
      <c r="AE64" s="453"/>
      <c r="AF64" s="48">
        <f t="shared" si="6"/>
        <v>0</v>
      </c>
      <c r="AG64" s="457" t="e">
        <f t="shared" si="7"/>
        <v>#DIV/0!</v>
      </c>
      <c r="AH64" s="672"/>
    </row>
    <row r="65" spans="1:34" ht="19.2" customHeight="1">
      <c r="A65" s="654"/>
      <c r="B65" s="97">
        <v>0</v>
      </c>
      <c r="C65" s="462"/>
      <c r="D65" s="42"/>
      <c r="E65" s="43"/>
      <c r="F65" s="361" t="s">
        <v>186</v>
      </c>
      <c r="G65" s="137"/>
      <c r="H65" s="45">
        <f t="shared" si="37"/>
        <v>0</v>
      </c>
      <c r="I65" s="455"/>
      <c r="J65" s="170"/>
      <c r="K65" s="61"/>
      <c r="L65" s="86"/>
      <c r="M65" s="62"/>
      <c r="N65" s="61"/>
      <c r="O65" s="77"/>
      <c r="P65" s="48"/>
      <c r="Q65" s="49"/>
      <c r="R65" s="457"/>
      <c r="S65" s="672"/>
      <c r="T65" s="169"/>
      <c r="U65" s="169"/>
      <c r="V65" s="145"/>
      <c r="W65" s="466">
        <f t="shared" si="42"/>
        <v>0</v>
      </c>
      <c r="X65" s="455"/>
      <c r="Y65" s="455"/>
      <c r="Z65" s="54"/>
      <c r="AA65" s="54"/>
      <c r="AB65" s="658"/>
      <c r="AC65" s="658"/>
      <c r="AD65" s="453"/>
      <c r="AE65" s="453"/>
      <c r="AF65" s="48">
        <f t="shared" si="6"/>
        <v>0</v>
      </c>
      <c r="AG65" s="457" t="e">
        <f t="shared" si="7"/>
        <v>#DIV/0!</v>
      </c>
      <c r="AH65" s="672"/>
    </row>
    <row r="66" spans="1:34" ht="19.2" customHeight="1">
      <c r="A66" s="654"/>
      <c r="B66" s="97">
        <v>0</v>
      </c>
      <c r="C66" s="462"/>
      <c r="D66" s="42"/>
      <c r="E66" s="43"/>
      <c r="F66" s="361" t="s">
        <v>186</v>
      </c>
      <c r="G66" s="137"/>
      <c r="H66" s="45">
        <f t="shared" si="37"/>
        <v>0</v>
      </c>
      <c r="I66" s="455"/>
      <c r="J66" s="170"/>
      <c r="K66" s="61"/>
      <c r="L66" s="86"/>
      <c r="M66" s="62"/>
      <c r="N66" s="61"/>
      <c r="O66" s="77"/>
      <c r="P66" s="48"/>
      <c r="Q66" s="49"/>
      <c r="R66" s="457"/>
      <c r="S66" s="672"/>
      <c r="T66" s="169"/>
      <c r="U66" s="169"/>
      <c r="V66" s="145"/>
      <c r="W66" s="466">
        <f t="shared" si="42"/>
        <v>0</v>
      </c>
      <c r="X66" s="455"/>
      <c r="Y66" s="455"/>
      <c r="Z66" s="54"/>
      <c r="AA66" s="54"/>
      <c r="AB66" s="658"/>
      <c r="AC66" s="658"/>
      <c r="AD66" s="453"/>
      <c r="AE66" s="453"/>
      <c r="AF66" s="48">
        <f t="shared" si="6"/>
        <v>0</v>
      </c>
      <c r="AG66" s="456" t="e">
        <f t="shared" si="7"/>
        <v>#DIV/0!</v>
      </c>
      <c r="AH66" s="672"/>
    </row>
    <row r="67" spans="1:34" ht="19.2" customHeight="1">
      <c r="A67" s="654"/>
      <c r="B67" s="97">
        <v>0</v>
      </c>
      <c r="C67" s="462"/>
      <c r="D67" s="42"/>
      <c r="E67" s="43"/>
      <c r="F67" s="361" t="s">
        <v>186</v>
      </c>
      <c r="G67" s="137"/>
      <c r="H67" s="45">
        <f>F67*G67</f>
        <v>0</v>
      </c>
      <c r="I67" s="455"/>
      <c r="J67" s="170"/>
      <c r="K67" s="61"/>
      <c r="L67" s="86"/>
      <c r="M67" s="62"/>
      <c r="N67" s="61"/>
      <c r="O67" s="77"/>
      <c r="P67" s="48"/>
      <c r="Q67" s="49"/>
      <c r="R67" s="457"/>
      <c r="S67" s="672"/>
      <c r="T67" s="169"/>
      <c r="U67" s="169"/>
      <c r="V67" s="145"/>
      <c r="W67" s="466">
        <f t="shared" si="42"/>
        <v>0</v>
      </c>
      <c r="X67" s="455"/>
      <c r="Y67" s="455"/>
      <c r="Z67" s="54"/>
      <c r="AA67" s="54"/>
      <c r="AB67" s="658"/>
      <c r="AC67" s="658"/>
      <c r="AD67" s="453"/>
      <c r="AE67" s="453"/>
      <c r="AF67" s="48">
        <f t="shared" si="6"/>
        <v>0</v>
      </c>
      <c r="AG67" s="457" t="e">
        <f t="shared" si="7"/>
        <v>#DIV/0!</v>
      </c>
      <c r="AH67" s="672"/>
    </row>
    <row r="68" spans="1:34" ht="19.2" customHeight="1">
      <c r="A68" s="654"/>
      <c r="B68" s="455">
        <v>0</v>
      </c>
      <c r="C68" s="462"/>
      <c r="D68" s="42"/>
      <c r="E68" s="43"/>
      <c r="F68" s="368" t="s">
        <v>186</v>
      </c>
      <c r="G68" s="137"/>
      <c r="H68" s="45">
        <f>F68*G68</f>
        <v>0</v>
      </c>
      <c r="I68" s="455"/>
      <c r="J68" s="170"/>
      <c r="K68" s="61"/>
      <c r="L68" s="86"/>
      <c r="M68" s="62"/>
      <c r="N68" s="61"/>
      <c r="O68" s="77"/>
      <c r="P68" s="48"/>
      <c r="Q68" s="49"/>
      <c r="R68" s="457"/>
      <c r="S68" s="672"/>
      <c r="T68" s="169"/>
      <c r="U68" s="169"/>
      <c r="V68" s="145"/>
      <c r="W68" s="466">
        <f t="shared" si="42"/>
        <v>0</v>
      </c>
      <c r="X68" s="455"/>
      <c r="Y68" s="455"/>
      <c r="Z68" s="54"/>
      <c r="AA68" s="54"/>
      <c r="AB68" s="658"/>
      <c r="AC68" s="658"/>
      <c r="AD68" s="453"/>
      <c r="AE68" s="453"/>
      <c r="AF68" s="48"/>
      <c r="AG68" s="457"/>
      <c r="AH68" s="672"/>
    </row>
    <row r="69" spans="1:34" ht="19.2" customHeight="1">
      <c r="A69" s="654"/>
      <c r="B69" s="171">
        <v>0</v>
      </c>
      <c r="C69" s="6" t="s">
        <v>247</v>
      </c>
      <c r="D69" s="687" t="s">
        <v>245</v>
      </c>
      <c r="E69" s="687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1466.1149626172498</v>
      </c>
      <c r="O69" s="73">
        <f t="shared" si="43"/>
        <v>223.2721599966882</v>
      </c>
      <c r="P69" s="48">
        <f>M69-J69</f>
        <v>0</v>
      </c>
      <c r="Q69" s="49">
        <f>N69-K69</f>
        <v>-33.88503738275017</v>
      </c>
      <c r="R69" s="175">
        <f t="shared" ref="R69:R75" si="44">O69/L69</f>
        <v>0.97681569998551088</v>
      </c>
      <c r="S69" s="672"/>
      <c r="T69" s="144"/>
      <c r="U69" s="144"/>
      <c r="V69" s="44"/>
      <c r="W69" s="46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0</v>
      </c>
      <c r="AF69" s="48">
        <f t="shared" si="6"/>
        <v>-33.88503738275017</v>
      </c>
      <c r="AG69" s="457">
        <f t="shared" si="7"/>
        <v>0.97740997507816652</v>
      </c>
      <c r="AH69" s="672"/>
    </row>
    <row r="70" spans="1:34" ht="19.2" customHeight="1">
      <c r="A70" s="656" t="s">
        <v>90</v>
      </c>
      <c r="B70" s="455" t="s">
        <v>182</v>
      </c>
      <c r="C70" s="97"/>
      <c r="D70" s="42" t="s">
        <v>91</v>
      </c>
      <c r="E70" s="43"/>
      <c r="F70" s="361">
        <v>62.13</v>
      </c>
      <c r="G70" s="44">
        <v>399</v>
      </c>
      <c r="H70" s="45">
        <f>F70*G70</f>
        <v>24789.870000000003</v>
      </c>
      <c r="I70" s="455"/>
      <c r="J70" s="46">
        <v>14</v>
      </c>
      <c r="K70" s="44">
        <v>1500</v>
      </c>
      <c r="L70" s="47">
        <v>107.14285714285714</v>
      </c>
      <c r="M70" s="467">
        <v>13</v>
      </c>
      <c r="N70" s="44">
        <f t="shared" ref="N70:N75" si="45">G70/W70*60</f>
        <v>1259.9999999999991</v>
      </c>
      <c r="O70" s="47">
        <f t="shared" ref="O70:O75" si="46">N70/M70</f>
        <v>96.923076923076849</v>
      </c>
      <c r="P70" s="48">
        <f t="shared" ref="P70:P75" si="47">M70-J70</f>
        <v>-1</v>
      </c>
      <c r="Q70" s="49">
        <f t="shared" ref="Q70:Q75" si="48">O70-L70</f>
        <v>-10.21978021978029</v>
      </c>
      <c r="R70" s="457">
        <f t="shared" si="44"/>
        <v>0.90461538461538393</v>
      </c>
      <c r="S70" s="672">
        <f>R82</f>
        <v>0.88080644650751494</v>
      </c>
      <c r="T70" s="50">
        <v>0.29166666666666669</v>
      </c>
      <c r="U70" s="50">
        <v>0.30486111111111114</v>
      </c>
      <c r="V70" s="455">
        <v>5</v>
      </c>
      <c r="W70" s="466">
        <f>(U70-T70)*24*60</f>
        <v>19.000000000000014</v>
      </c>
      <c r="X70" s="455"/>
      <c r="Y70" s="455"/>
      <c r="Z70" s="54"/>
      <c r="AA70" s="54"/>
      <c r="AB70" s="658"/>
      <c r="AC70" s="658"/>
      <c r="AD70" s="453"/>
      <c r="AE70" s="453"/>
      <c r="AF70" s="48">
        <f t="shared" si="6"/>
        <v>-240.00000000000091</v>
      </c>
      <c r="AG70" s="457">
        <f t="shared" si="7"/>
        <v>0.83999999999999941</v>
      </c>
      <c r="AH70" s="672">
        <f>AG82</f>
        <v>0.86731460361232604</v>
      </c>
    </row>
    <row r="71" spans="1:34" ht="19.2" customHeight="1">
      <c r="A71" s="656"/>
      <c r="B71" s="455" t="s">
        <v>181</v>
      </c>
      <c r="C71" s="41"/>
      <c r="D71" s="176" t="s">
        <v>92</v>
      </c>
      <c r="E71" s="43"/>
      <c r="F71" s="361">
        <v>47.65</v>
      </c>
      <c r="G71" s="44">
        <v>1728</v>
      </c>
      <c r="H71" s="45">
        <f>F71*G71</f>
        <v>82339.199999999997</v>
      </c>
      <c r="I71" s="455"/>
      <c r="J71" s="46">
        <v>18</v>
      </c>
      <c r="K71" s="177">
        <v>1440</v>
      </c>
      <c r="L71" s="47">
        <v>80</v>
      </c>
      <c r="M71" s="464">
        <v>18</v>
      </c>
      <c r="N71" s="44">
        <f t="shared" si="45"/>
        <v>1346.4935064935069</v>
      </c>
      <c r="O71" s="47">
        <f t="shared" si="46"/>
        <v>74.80519480519483</v>
      </c>
      <c r="P71" s="48">
        <f t="shared" si="47"/>
        <v>0</v>
      </c>
      <c r="Q71" s="49">
        <f t="shared" si="48"/>
        <v>-5.1948051948051699</v>
      </c>
      <c r="R71" s="457">
        <f t="shared" si="44"/>
        <v>0.93506493506493538</v>
      </c>
      <c r="S71" s="672"/>
      <c r="T71" s="50">
        <v>0.30972222222222223</v>
      </c>
      <c r="U71" s="50">
        <v>0.36319444444444443</v>
      </c>
      <c r="V71" s="455">
        <v>7</v>
      </c>
      <c r="W71" s="466">
        <f t="shared" ref="W71:W81" si="49">(U71-T71)*24*60</f>
        <v>76.999999999999972</v>
      </c>
      <c r="X71" s="53"/>
      <c r="Y71" s="53"/>
      <c r="Z71" s="54"/>
      <c r="AA71" s="54"/>
      <c r="AB71" s="658"/>
      <c r="AC71" s="658"/>
      <c r="AD71" s="453"/>
      <c r="AE71" s="453"/>
      <c r="AF71" s="48">
        <f>N71-K71</f>
        <v>-93.506493506493143</v>
      </c>
      <c r="AG71" s="457">
        <f>N71/K71</f>
        <v>0.93506493506493527</v>
      </c>
      <c r="AH71" s="672"/>
    </row>
    <row r="72" spans="1:34" ht="19.2" customHeight="1">
      <c r="A72" s="656"/>
      <c r="B72" s="455" t="s">
        <v>185</v>
      </c>
      <c r="C72" s="66"/>
      <c r="D72" s="176" t="s">
        <v>200</v>
      </c>
      <c r="E72" s="43"/>
      <c r="F72" s="361">
        <v>56.85</v>
      </c>
      <c r="G72" s="57">
        <v>1921</v>
      </c>
      <c r="H72" s="45">
        <f t="shared" ref="H72:H80" si="50">F72*G72</f>
        <v>109208.85</v>
      </c>
      <c r="I72" s="455"/>
      <c r="J72" s="87">
        <v>18</v>
      </c>
      <c r="K72" s="57">
        <v>1636</v>
      </c>
      <c r="L72" s="86">
        <v>90.888888888888886</v>
      </c>
      <c r="M72" s="467">
        <v>18</v>
      </c>
      <c r="N72" s="44">
        <f t="shared" si="45"/>
        <v>1200.6250000000002</v>
      </c>
      <c r="O72" s="47">
        <f t="shared" si="46"/>
        <v>66.7013888888889</v>
      </c>
      <c r="P72" s="48">
        <f t="shared" si="47"/>
        <v>0</v>
      </c>
      <c r="Q72" s="49">
        <f t="shared" si="48"/>
        <v>-24.187499999999986</v>
      </c>
      <c r="R72" s="457">
        <f t="shared" si="44"/>
        <v>0.73387836185819089</v>
      </c>
      <c r="S72" s="672"/>
      <c r="T72" s="50">
        <v>0.37847222222222221</v>
      </c>
      <c r="U72" s="50">
        <v>0.44513888888888886</v>
      </c>
      <c r="V72" s="455">
        <v>22</v>
      </c>
      <c r="W72" s="466">
        <f t="shared" si="49"/>
        <v>95.999999999999972</v>
      </c>
      <c r="X72" s="53">
        <v>0.3666666666666667</v>
      </c>
      <c r="Y72" s="53">
        <v>0.3756944444444445</v>
      </c>
      <c r="Z72" s="54"/>
      <c r="AA72" s="54"/>
      <c r="AB72" s="658"/>
      <c r="AC72" s="658"/>
      <c r="AD72" s="453"/>
      <c r="AE72" s="453">
        <v>1</v>
      </c>
      <c r="AF72" s="48">
        <f>N72-K72</f>
        <v>-435.37499999999977</v>
      </c>
      <c r="AG72" s="457">
        <f>N72/K72</f>
        <v>0.73387836185819089</v>
      </c>
      <c r="AH72" s="672"/>
    </row>
    <row r="73" spans="1:34" ht="19.2" customHeight="1">
      <c r="A73" s="656"/>
      <c r="B73" s="455" t="s">
        <v>181</v>
      </c>
      <c r="C73" s="178"/>
      <c r="D73" s="179" t="s">
        <v>94</v>
      </c>
      <c r="E73" s="180"/>
      <c r="F73" s="361">
        <v>53.76</v>
      </c>
      <c r="G73" s="57">
        <v>1769</v>
      </c>
      <c r="H73" s="45">
        <f t="shared" si="50"/>
        <v>95101.440000000002</v>
      </c>
      <c r="I73" s="453"/>
      <c r="J73" s="181">
        <v>16</v>
      </c>
      <c r="K73" s="182">
        <v>1440</v>
      </c>
      <c r="L73" s="86">
        <v>90</v>
      </c>
      <c r="M73" s="464">
        <v>16</v>
      </c>
      <c r="N73" s="44">
        <f t="shared" si="45"/>
        <v>1343.5443037974678</v>
      </c>
      <c r="O73" s="47">
        <f t="shared" si="46"/>
        <v>83.971518987341739</v>
      </c>
      <c r="P73" s="48">
        <f t="shared" si="47"/>
        <v>0</v>
      </c>
      <c r="Q73" s="49">
        <f t="shared" si="48"/>
        <v>-6.0284810126582613</v>
      </c>
      <c r="R73" s="457">
        <f t="shared" si="44"/>
        <v>0.93301687763713048</v>
      </c>
      <c r="S73" s="672"/>
      <c r="T73" s="50">
        <v>0.48541666666666661</v>
      </c>
      <c r="U73" s="50">
        <v>0.54027777777777775</v>
      </c>
      <c r="V73" s="455">
        <v>5</v>
      </c>
      <c r="W73" s="466">
        <f t="shared" si="49"/>
        <v>79.000000000000043</v>
      </c>
      <c r="X73" s="183"/>
      <c r="Y73" s="183"/>
      <c r="Z73" s="125"/>
      <c r="AA73" s="125"/>
      <c r="AB73" s="658"/>
      <c r="AC73" s="658"/>
      <c r="AD73" s="453"/>
      <c r="AE73" s="453"/>
      <c r="AF73" s="48">
        <f>N73-K73</f>
        <v>-96.455696202532181</v>
      </c>
      <c r="AG73" s="457">
        <f>N73/K73</f>
        <v>0.93301687763713048</v>
      </c>
      <c r="AH73" s="672"/>
    </row>
    <row r="74" spans="1:34" ht="19.2" customHeight="1">
      <c r="A74" s="656"/>
      <c r="B74" s="455" t="s">
        <v>181</v>
      </c>
      <c r="C74" s="178"/>
      <c r="D74" s="179" t="s">
        <v>95</v>
      </c>
      <c r="E74" s="180"/>
      <c r="F74" s="361">
        <v>47.51</v>
      </c>
      <c r="G74" s="177">
        <v>2236</v>
      </c>
      <c r="H74" s="45">
        <f t="shared" si="50"/>
        <v>106232.36</v>
      </c>
      <c r="I74" s="455"/>
      <c r="J74" s="46">
        <v>17</v>
      </c>
      <c r="K74" s="177">
        <v>1440</v>
      </c>
      <c r="L74" s="47">
        <v>84.705882352941174</v>
      </c>
      <c r="M74" s="467">
        <v>17</v>
      </c>
      <c r="N74" s="44">
        <f t="shared" si="45"/>
        <v>1341.6000000000004</v>
      </c>
      <c r="O74" s="47">
        <f t="shared" si="46"/>
        <v>78.917647058823547</v>
      </c>
      <c r="P74" s="48">
        <f t="shared" si="47"/>
        <v>0</v>
      </c>
      <c r="Q74" s="49">
        <f t="shared" si="48"/>
        <v>-5.7882352941176265</v>
      </c>
      <c r="R74" s="457">
        <f t="shared" si="44"/>
        <v>0.93166666666666687</v>
      </c>
      <c r="S74" s="672"/>
      <c r="T74" s="50">
        <v>0.55624999999999991</v>
      </c>
      <c r="U74" s="50">
        <v>0.62569444444444433</v>
      </c>
      <c r="V74" s="455">
        <v>23</v>
      </c>
      <c r="W74" s="466">
        <f t="shared" si="49"/>
        <v>99.999999999999972</v>
      </c>
      <c r="X74" s="183">
        <v>0.54375000000000007</v>
      </c>
      <c r="Y74" s="183">
        <v>0.55347222222222225</v>
      </c>
      <c r="Z74" s="125"/>
      <c r="AA74" s="125"/>
      <c r="AB74" s="658"/>
      <c r="AC74" s="658"/>
      <c r="AD74" s="453"/>
      <c r="AE74" s="453"/>
      <c r="AF74" s="48">
        <f t="shared" ref="AF74:AF80" si="51">N74-K74</f>
        <v>-98.399999999999636</v>
      </c>
      <c r="AG74" s="457">
        <f t="shared" ref="AG74:AG80" si="52">N74/K74</f>
        <v>0.93166666666666687</v>
      </c>
      <c r="AH74" s="672"/>
    </row>
    <row r="75" spans="1:34" ht="19.2" customHeight="1">
      <c r="A75" s="656"/>
      <c r="B75" s="455" t="s">
        <v>185</v>
      </c>
      <c r="C75" s="66"/>
      <c r="D75" s="176" t="s">
        <v>270</v>
      </c>
      <c r="E75" s="43"/>
      <c r="F75" s="361">
        <v>54.09</v>
      </c>
      <c r="G75" s="57">
        <v>1254.1500000000001</v>
      </c>
      <c r="H75" s="45">
        <f t="shared" si="50"/>
        <v>67836.973500000007</v>
      </c>
      <c r="I75" s="455"/>
      <c r="J75" s="181">
        <v>18</v>
      </c>
      <c r="K75" s="182">
        <v>1500</v>
      </c>
      <c r="L75" s="86">
        <v>83.333333333333329</v>
      </c>
      <c r="M75" s="467">
        <v>18</v>
      </c>
      <c r="N75" s="44">
        <f t="shared" si="45"/>
        <v>1275.4067796610179</v>
      </c>
      <c r="O75" s="47">
        <f t="shared" si="46"/>
        <v>70.855932203389884</v>
      </c>
      <c r="P75" s="48">
        <f t="shared" si="47"/>
        <v>0</v>
      </c>
      <c r="Q75" s="49">
        <f t="shared" si="48"/>
        <v>-12.477401129943445</v>
      </c>
      <c r="R75" s="457">
        <f t="shared" si="44"/>
        <v>0.85027118644067867</v>
      </c>
      <c r="S75" s="672"/>
      <c r="T75" s="50">
        <v>0.63124999999999987</v>
      </c>
      <c r="U75" s="50">
        <v>0.67222222222222205</v>
      </c>
      <c r="V75" s="455">
        <v>8</v>
      </c>
      <c r="W75" s="466">
        <f t="shared" si="49"/>
        <v>58.99999999999995</v>
      </c>
      <c r="X75" s="183"/>
      <c r="Y75" s="183"/>
      <c r="Z75" s="125"/>
      <c r="AA75" s="125"/>
      <c r="AB75" s="658"/>
      <c r="AC75" s="658"/>
      <c r="AD75" s="453"/>
      <c r="AE75" s="453"/>
      <c r="AF75" s="48">
        <f t="shared" si="51"/>
        <v>-224.59322033898206</v>
      </c>
      <c r="AG75" s="457">
        <f t="shared" si="52"/>
        <v>0.85027118644067867</v>
      </c>
      <c r="AH75" s="672"/>
    </row>
    <row r="76" spans="1:34" ht="19.2" customHeight="1">
      <c r="A76" s="656"/>
      <c r="B76" s="455">
        <v>0</v>
      </c>
      <c r="C76" s="178"/>
      <c r="D76" s="179"/>
      <c r="E76" s="180"/>
      <c r="F76" s="361" t="s">
        <v>186</v>
      </c>
      <c r="G76" s="177"/>
      <c r="H76" s="45">
        <f t="shared" si="50"/>
        <v>0</v>
      </c>
      <c r="I76" s="455"/>
      <c r="J76" s="181"/>
      <c r="K76" s="182"/>
      <c r="L76" s="86"/>
      <c r="M76" s="464"/>
      <c r="N76" s="44"/>
      <c r="O76" s="47"/>
      <c r="P76" s="48"/>
      <c r="Q76" s="49"/>
      <c r="R76" s="457"/>
      <c r="S76" s="672"/>
      <c r="T76" s="50"/>
      <c r="U76" s="50"/>
      <c r="V76" s="455"/>
      <c r="W76" s="466"/>
      <c r="X76" s="183"/>
      <c r="Y76" s="183"/>
      <c r="Z76" s="125"/>
      <c r="AA76" s="125"/>
      <c r="AB76" s="658"/>
      <c r="AC76" s="658"/>
      <c r="AD76" s="453"/>
      <c r="AE76" s="453"/>
      <c r="AF76" s="48">
        <f t="shared" si="51"/>
        <v>0</v>
      </c>
      <c r="AG76" s="457" t="e">
        <f t="shared" si="52"/>
        <v>#DIV/0!</v>
      </c>
      <c r="AH76" s="672"/>
    </row>
    <row r="77" spans="1:34" ht="19.2" customHeight="1">
      <c r="A77" s="656"/>
      <c r="B77" s="455">
        <v>0</v>
      </c>
      <c r="C77" s="462"/>
      <c r="D77" s="179"/>
      <c r="E77" s="43"/>
      <c r="F77" s="361" t="s">
        <v>186</v>
      </c>
      <c r="G77" s="177"/>
      <c r="H77" s="45">
        <f t="shared" si="50"/>
        <v>0</v>
      </c>
      <c r="I77" s="453"/>
      <c r="J77" s="181"/>
      <c r="K77" s="182"/>
      <c r="L77" s="86"/>
      <c r="M77" s="464" t="s">
        <v>30</v>
      </c>
      <c r="N77" s="44"/>
      <c r="O77" s="47"/>
      <c r="P77" s="48"/>
      <c r="Q77" s="49"/>
      <c r="R77" s="457"/>
      <c r="S77" s="672"/>
      <c r="T77" s="50"/>
      <c r="U77" s="50"/>
      <c r="V77" s="455"/>
      <c r="W77" s="466"/>
      <c r="X77" s="183"/>
      <c r="Y77" s="183"/>
      <c r="Z77" s="125"/>
      <c r="AA77" s="125"/>
      <c r="AB77" s="658"/>
      <c r="AC77" s="658"/>
      <c r="AD77" s="453"/>
      <c r="AE77" s="453"/>
      <c r="AF77" s="48">
        <f t="shared" si="51"/>
        <v>0</v>
      </c>
      <c r="AG77" s="457" t="e">
        <f t="shared" si="52"/>
        <v>#DIV/0!</v>
      </c>
      <c r="AH77" s="672"/>
    </row>
    <row r="78" spans="1:34" ht="19.2" customHeight="1">
      <c r="A78" s="656"/>
      <c r="B78" s="455">
        <v>0</v>
      </c>
      <c r="C78" s="462"/>
      <c r="D78" s="42"/>
      <c r="E78" s="43"/>
      <c r="F78" s="361" t="s">
        <v>186</v>
      </c>
      <c r="G78" s="57"/>
      <c r="H78" s="45">
        <f t="shared" si="50"/>
        <v>0</v>
      </c>
      <c r="I78" s="453"/>
      <c r="J78" s="87"/>
      <c r="K78" s="57"/>
      <c r="L78" s="86"/>
      <c r="M78" s="464"/>
      <c r="N78" s="44"/>
      <c r="O78" s="47"/>
      <c r="P78" s="48"/>
      <c r="Q78" s="49"/>
      <c r="R78" s="457"/>
      <c r="S78" s="672"/>
      <c r="T78" s="50"/>
      <c r="U78" s="50"/>
      <c r="V78" s="455"/>
      <c r="W78" s="466">
        <f t="shared" si="49"/>
        <v>0</v>
      </c>
      <c r="X78" s="183"/>
      <c r="Y78" s="183"/>
      <c r="Z78" s="125"/>
      <c r="AA78" s="125"/>
      <c r="AB78" s="658"/>
      <c r="AC78" s="658"/>
      <c r="AD78" s="453"/>
      <c r="AE78" s="453"/>
      <c r="AF78" s="48">
        <f t="shared" si="51"/>
        <v>0</v>
      </c>
      <c r="AG78" s="457" t="e">
        <f t="shared" si="52"/>
        <v>#DIV/0!</v>
      </c>
      <c r="AH78" s="672"/>
    </row>
    <row r="79" spans="1:34" ht="19.2" customHeight="1">
      <c r="A79" s="656"/>
      <c r="B79" s="455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453"/>
      <c r="J79" s="87"/>
      <c r="K79" s="57"/>
      <c r="L79" s="86"/>
      <c r="M79" s="464"/>
      <c r="N79" s="57"/>
      <c r="O79" s="184"/>
      <c r="P79" s="108"/>
      <c r="Q79" s="185"/>
      <c r="R79" s="109"/>
      <c r="S79" s="672"/>
      <c r="T79" s="50"/>
      <c r="U79" s="50"/>
      <c r="V79" s="455"/>
      <c r="W79" s="466">
        <f t="shared" si="49"/>
        <v>0</v>
      </c>
      <c r="X79" s="183"/>
      <c r="Y79" s="183"/>
      <c r="Z79" s="125"/>
      <c r="AA79" s="125"/>
      <c r="AB79" s="658"/>
      <c r="AC79" s="658"/>
      <c r="AD79" s="453"/>
      <c r="AE79" s="453"/>
      <c r="AF79" s="48">
        <f t="shared" si="51"/>
        <v>0</v>
      </c>
      <c r="AG79" s="457" t="e">
        <f t="shared" si="52"/>
        <v>#DIV/0!</v>
      </c>
      <c r="AH79" s="672"/>
    </row>
    <row r="80" spans="1:34" ht="19.2" customHeight="1">
      <c r="A80" s="656"/>
      <c r="B80" s="455">
        <v>0</v>
      </c>
      <c r="C80" s="462"/>
      <c r="D80" s="42"/>
      <c r="E80" s="43"/>
      <c r="F80" s="361"/>
      <c r="G80" s="57"/>
      <c r="H80" s="45">
        <f t="shared" si="50"/>
        <v>0</v>
      </c>
      <c r="I80" s="453"/>
      <c r="J80" s="87"/>
      <c r="K80" s="57"/>
      <c r="L80" s="86"/>
      <c r="M80" s="464"/>
      <c r="N80" s="57"/>
      <c r="O80" s="186"/>
      <c r="P80" s="54"/>
      <c r="Q80" s="88"/>
      <c r="R80" s="459"/>
      <c r="S80" s="672"/>
      <c r="T80" s="50"/>
      <c r="U80" s="50"/>
      <c r="V80" s="455"/>
      <c r="W80" s="466">
        <f t="shared" si="49"/>
        <v>0</v>
      </c>
      <c r="X80" s="183"/>
      <c r="Y80" s="183"/>
      <c r="Z80" s="125"/>
      <c r="AA80" s="125"/>
      <c r="AB80" s="658"/>
      <c r="AC80" s="658"/>
      <c r="AD80" s="453"/>
      <c r="AE80" s="453"/>
      <c r="AF80" s="48">
        <f t="shared" si="51"/>
        <v>0</v>
      </c>
      <c r="AG80" s="457" t="e">
        <f t="shared" si="52"/>
        <v>#DIV/0!</v>
      </c>
      <c r="AH80" s="672"/>
    </row>
    <row r="81" spans="1:34" ht="19.2" customHeight="1">
      <c r="A81" s="656"/>
      <c r="B81" s="455">
        <v>0</v>
      </c>
      <c r="C81" s="462"/>
      <c r="D81" s="42"/>
      <c r="E81" s="43"/>
      <c r="F81" s="368"/>
      <c r="G81" s="57"/>
      <c r="H81" s="84"/>
      <c r="I81" s="453"/>
      <c r="J81" s="87"/>
      <c r="K81" s="57"/>
      <c r="L81" s="86"/>
      <c r="M81" s="464"/>
      <c r="N81" s="57"/>
      <c r="O81" s="186"/>
      <c r="P81" s="54"/>
      <c r="Q81" s="88"/>
      <c r="R81" s="459"/>
      <c r="S81" s="672"/>
      <c r="T81" s="50"/>
      <c r="U81" s="50"/>
      <c r="V81" s="455"/>
      <c r="W81" s="466">
        <f t="shared" si="49"/>
        <v>0</v>
      </c>
      <c r="X81" s="183"/>
      <c r="Y81" s="183"/>
      <c r="Z81" s="125"/>
      <c r="AA81" s="125"/>
      <c r="AB81" s="658"/>
      <c r="AC81" s="658"/>
      <c r="AD81" s="453"/>
      <c r="AE81" s="453"/>
      <c r="AF81" s="48"/>
      <c r="AG81" s="126"/>
      <c r="AH81" s="672"/>
    </row>
    <row r="82" spans="1:34" ht="19.2" customHeight="1">
      <c r="A82" s="698"/>
      <c r="B82" s="171">
        <v>0</v>
      </c>
      <c r="C82" s="100" t="s">
        <v>19</v>
      </c>
      <c r="D82" s="687" t="s">
        <v>245</v>
      </c>
      <c r="E82" s="687"/>
      <c r="F82" s="371"/>
      <c r="G82" s="101"/>
      <c r="H82" s="102"/>
      <c r="I82" s="103"/>
      <c r="J82" s="101">
        <v>16.833333333333332</v>
      </c>
      <c r="K82" s="101">
        <v>1492.6666666666667</v>
      </c>
      <c r="L82" s="104">
        <v>89.34516028633675</v>
      </c>
      <c r="M82" s="101">
        <f t="shared" ref="M82:O82" si="53">AVERAGE(M70:M81)</f>
        <v>16.666666666666668</v>
      </c>
      <c r="N82" s="101">
        <f t="shared" si="53"/>
        <v>1294.6115983253321</v>
      </c>
      <c r="O82" s="187">
        <f t="shared" si="53"/>
        <v>78.695793144452622</v>
      </c>
      <c r="P82" s="117">
        <f>M82-J82</f>
        <v>-0.1666666666666643</v>
      </c>
      <c r="Q82" s="118">
        <f>N82-K82</f>
        <v>-198.05506834133462</v>
      </c>
      <c r="R82" s="175">
        <f>O82/L82</f>
        <v>0.88080644650751494</v>
      </c>
      <c r="S82" s="672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0</v>
      </c>
      <c r="AE82" s="107">
        <f>SUM(AE70:AE81)</f>
        <v>1</v>
      </c>
      <c r="AF82" s="48">
        <f>N82-K82</f>
        <v>-198.05506834133462</v>
      </c>
      <c r="AG82" s="457">
        <f>N82/K82</f>
        <v>0.86731460361232604</v>
      </c>
      <c r="AH82" s="672"/>
    </row>
    <row r="83" spans="1:34" ht="19.2" customHeight="1">
      <c r="A83" s="699" t="s">
        <v>248</v>
      </c>
      <c r="B83" s="110" t="s">
        <v>185</v>
      </c>
      <c r="C83" s="66"/>
      <c r="D83" s="377" t="s">
        <v>270</v>
      </c>
      <c r="E83" s="43"/>
      <c r="F83" s="368">
        <v>54.09</v>
      </c>
      <c r="G83" s="57">
        <v>1532.8500000000001</v>
      </c>
      <c r="H83" s="84">
        <f t="shared" ref="H83:H94" si="54">F83*G83</f>
        <v>82911.856500000009</v>
      </c>
      <c r="I83" s="453"/>
      <c r="J83" s="87">
        <v>18</v>
      </c>
      <c r="K83" s="57">
        <v>1500</v>
      </c>
      <c r="L83" s="86">
        <v>83.333333333333329</v>
      </c>
      <c r="M83" s="464">
        <v>18</v>
      </c>
      <c r="N83" s="57">
        <f t="shared" ref="N83:N88" si="55">G83/W83*60</f>
        <v>1352.5147058823529</v>
      </c>
      <c r="O83" s="186">
        <f t="shared" ref="O83:O88" si="56">N83/M83</f>
        <v>75.139705882352942</v>
      </c>
      <c r="P83" s="54">
        <f t="shared" ref="P83:P88" si="57">M83-J83</f>
        <v>0</v>
      </c>
      <c r="Q83" s="88">
        <f t="shared" ref="Q83:Q88" si="58">O83-L83</f>
        <v>-8.1936274509803866</v>
      </c>
      <c r="R83" s="188">
        <f t="shared" ref="R83:R88" si="59">O83/L83</f>
        <v>0.9016764705882353</v>
      </c>
      <c r="S83" s="672">
        <f>R95</f>
        <v>0.8898322773138001</v>
      </c>
      <c r="T83" s="50">
        <v>0.33333333333333331</v>
      </c>
      <c r="U83" s="50">
        <v>0.38055555555555554</v>
      </c>
      <c r="V83" s="455">
        <v>5</v>
      </c>
      <c r="W83" s="466">
        <f t="shared" ref="W83:W93" si="60">(U83-T83)*24*60</f>
        <v>68</v>
      </c>
      <c r="X83" s="53"/>
      <c r="Y83" s="53"/>
      <c r="Z83" s="54"/>
      <c r="AA83" s="54"/>
      <c r="AB83" s="658"/>
      <c r="AC83" s="658"/>
      <c r="AD83" s="453"/>
      <c r="AE83" s="453"/>
      <c r="AF83" s="48">
        <f t="shared" ref="AF83:AF173" si="61">N83-K83</f>
        <v>-147.48529411764707</v>
      </c>
      <c r="AG83" s="457">
        <f t="shared" ref="AG83:AG173" si="62">N83/K83</f>
        <v>0.9016764705882353</v>
      </c>
      <c r="AH83" s="672">
        <f>AG95</f>
        <v>0.8810234004758829</v>
      </c>
    </row>
    <row r="84" spans="1:34" ht="19.2" customHeight="1">
      <c r="A84" s="700"/>
      <c r="B84" s="110" t="s">
        <v>181</v>
      </c>
      <c r="C84" s="462"/>
      <c r="D84" s="189" t="s">
        <v>93</v>
      </c>
      <c r="E84" s="43"/>
      <c r="F84" s="368">
        <v>53.36</v>
      </c>
      <c r="G84" s="44">
        <v>3126.66</v>
      </c>
      <c r="H84" s="84">
        <f t="shared" si="54"/>
        <v>166838.57759999999</v>
      </c>
      <c r="I84" s="455"/>
      <c r="J84" s="87">
        <v>19</v>
      </c>
      <c r="K84" s="57">
        <v>1440</v>
      </c>
      <c r="L84" s="86">
        <v>75.78947368421052</v>
      </c>
      <c r="M84" s="464">
        <v>19</v>
      </c>
      <c r="N84" s="57">
        <f t="shared" si="55"/>
        <v>1330.4936170212768</v>
      </c>
      <c r="O84" s="186">
        <f t="shared" si="56"/>
        <v>70.025979843225102</v>
      </c>
      <c r="P84" s="54">
        <f t="shared" si="57"/>
        <v>0</v>
      </c>
      <c r="Q84" s="88">
        <f t="shared" si="58"/>
        <v>-5.7634938409854186</v>
      </c>
      <c r="R84" s="188">
        <f t="shared" si="59"/>
        <v>0.92395390070922012</v>
      </c>
      <c r="S84" s="672"/>
      <c r="T84" s="50">
        <v>0.39583333333333331</v>
      </c>
      <c r="U84" s="50">
        <v>0.49374999999999997</v>
      </c>
      <c r="V84" s="455">
        <v>22</v>
      </c>
      <c r="W84" s="466">
        <f t="shared" si="60"/>
        <v>140.99999999999997</v>
      </c>
      <c r="X84" s="53">
        <v>0.3840277777777778</v>
      </c>
      <c r="Y84" s="53">
        <v>0.39305555555555555</v>
      </c>
      <c r="Z84" s="54"/>
      <c r="AA84" s="54"/>
      <c r="AB84" s="658"/>
      <c r="AC84" s="658"/>
      <c r="AD84" s="453"/>
      <c r="AE84" s="453"/>
      <c r="AF84" s="48">
        <f t="shared" si="61"/>
        <v>-109.5063829787232</v>
      </c>
      <c r="AG84" s="457">
        <f t="shared" si="62"/>
        <v>0.92395390070922001</v>
      </c>
      <c r="AH84" s="672"/>
    </row>
    <row r="85" spans="1:34" ht="19.2" customHeight="1">
      <c r="A85" s="700"/>
      <c r="B85" s="110" t="s">
        <v>181</v>
      </c>
      <c r="C85" s="123"/>
      <c r="D85" s="189" t="s">
        <v>77</v>
      </c>
      <c r="E85" s="43"/>
      <c r="F85" s="368">
        <v>59.54</v>
      </c>
      <c r="G85" s="44">
        <v>1229</v>
      </c>
      <c r="H85" s="84">
        <f t="shared" si="54"/>
        <v>73174.66</v>
      </c>
      <c r="I85" s="455"/>
      <c r="J85" s="87">
        <v>18</v>
      </c>
      <c r="K85" s="57">
        <v>1385</v>
      </c>
      <c r="L85" s="86">
        <v>76.944444444444443</v>
      </c>
      <c r="M85" s="464">
        <v>18</v>
      </c>
      <c r="N85" s="57">
        <f t="shared" si="55"/>
        <v>1271.3793103448284</v>
      </c>
      <c r="O85" s="186">
        <f t="shared" si="56"/>
        <v>70.632183908046017</v>
      </c>
      <c r="P85" s="54">
        <f t="shared" si="57"/>
        <v>0</v>
      </c>
      <c r="Q85" s="88">
        <f t="shared" si="58"/>
        <v>-6.3122605363984263</v>
      </c>
      <c r="R85" s="188">
        <f t="shared" si="59"/>
        <v>0.91796340097099516</v>
      </c>
      <c r="S85" s="672"/>
      <c r="T85" s="50">
        <v>0.53402777777777766</v>
      </c>
      <c r="U85" s="50">
        <v>0.5743055555555554</v>
      </c>
      <c r="V85" s="455">
        <v>5</v>
      </c>
      <c r="W85" s="466">
        <f t="shared" si="60"/>
        <v>57.999999999999957</v>
      </c>
      <c r="X85" s="53"/>
      <c r="Y85" s="53"/>
      <c r="Z85" s="54"/>
      <c r="AA85" s="54"/>
      <c r="AB85" s="658"/>
      <c r="AC85" s="658"/>
      <c r="AD85" s="453"/>
      <c r="AE85" s="453"/>
      <c r="AF85" s="48">
        <f t="shared" si="61"/>
        <v>-113.62068965517165</v>
      </c>
      <c r="AG85" s="457">
        <f t="shared" si="62"/>
        <v>0.91796340097099516</v>
      </c>
      <c r="AH85" s="672"/>
    </row>
    <row r="86" spans="1:34" ht="19.2" customHeight="1">
      <c r="A86" s="700"/>
      <c r="B86" s="110" t="s">
        <v>181</v>
      </c>
      <c r="C86" s="97"/>
      <c r="D86" s="189" t="s">
        <v>360</v>
      </c>
      <c r="E86" s="43"/>
      <c r="F86" s="368">
        <v>73.94</v>
      </c>
      <c r="G86" s="44">
        <v>1226.42</v>
      </c>
      <c r="H86" s="84">
        <f t="shared" si="54"/>
        <v>90681.4948</v>
      </c>
      <c r="I86" s="455"/>
      <c r="J86" s="87">
        <v>19</v>
      </c>
      <c r="K86" s="57">
        <v>1440</v>
      </c>
      <c r="L86" s="86">
        <v>75.78947368421052</v>
      </c>
      <c r="M86" s="464">
        <v>18</v>
      </c>
      <c r="N86" s="57">
        <f t="shared" si="55"/>
        <v>1314.0214285714296</v>
      </c>
      <c r="O86" s="186">
        <f t="shared" si="56"/>
        <v>73.00119047619053</v>
      </c>
      <c r="P86" s="54">
        <f t="shared" si="57"/>
        <v>-1</v>
      </c>
      <c r="Q86" s="88">
        <f t="shared" si="58"/>
        <v>-2.7882832080199904</v>
      </c>
      <c r="R86" s="188">
        <f t="shared" si="59"/>
        <v>0.96321015211640293</v>
      </c>
      <c r="S86" s="672"/>
      <c r="T86" s="50">
        <v>0.59027777777777768</v>
      </c>
      <c r="U86" s="50">
        <v>0.62916666666666654</v>
      </c>
      <c r="V86" s="455">
        <v>23</v>
      </c>
      <c r="W86" s="466">
        <f t="shared" si="60"/>
        <v>55.999999999999957</v>
      </c>
      <c r="X86" s="53">
        <v>0.57777777777777783</v>
      </c>
      <c r="Y86" s="53">
        <v>0.58750000000000002</v>
      </c>
      <c r="Z86" s="54"/>
      <c r="AA86" s="54"/>
      <c r="AB86" s="658"/>
      <c r="AC86" s="658"/>
      <c r="AD86" s="453"/>
      <c r="AE86" s="453"/>
      <c r="AF86" s="48">
        <f t="shared" si="61"/>
        <v>-125.97857142857038</v>
      </c>
      <c r="AG86" s="457">
        <f t="shared" si="62"/>
        <v>0.91251488095238165</v>
      </c>
      <c r="AH86" s="672"/>
    </row>
    <row r="87" spans="1:34" ht="19.2" customHeight="1">
      <c r="A87" s="700"/>
      <c r="B87" s="110" t="s">
        <v>181</v>
      </c>
      <c r="C87" s="97"/>
      <c r="D87" s="189" t="s">
        <v>93</v>
      </c>
      <c r="E87" s="43"/>
      <c r="F87" s="368">
        <v>53.36</v>
      </c>
      <c r="G87" s="44">
        <v>686.33999999999992</v>
      </c>
      <c r="H87" s="84">
        <f t="shared" si="54"/>
        <v>36623.102399999996</v>
      </c>
      <c r="I87" s="455">
        <v>1</v>
      </c>
      <c r="J87" s="87">
        <v>19</v>
      </c>
      <c r="K87" s="57">
        <v>1440</v>
      </c>
      <c r="L87" s="86">
        <v>75.78947368421052</v>
      </c>
      <c r="M87" s="464">
        <v>19</v>
      </c>
      <c r="N87" s="57">
        <f t="shared" si="55"/>
        <v>1211.1882352941161</v>
      </c>
      <c r="O87" s="186">
        <f t="shared" si="56"/>
        <v>63.746749226006109</v>
      </c>
      <c r="P87" s="54">
        <f t="shared" si="57"/>
        <v>0</v>
      </c>
      <c r="Q87" s="88">
        <f t="shared" si="58"/>
        <v>-12.042724458204411</v>
      </c>
      <c r="R87" s="188">
        <f t="shared" si="59"/>
        <v>0.84110294117646955</v>
      </c>
      <c r="S87" s="672"/>
      <c r="T87" s="50">
        <v>0.63402777777777763</v>
      </c>
      <c r="U87" s="50">
        <v>0.65763888888888877</v>
      </c>
      <c r="V87" s="455">
        <v>7</v>
      </c>
      <c r="W87" s="466">
        <f t="shared" si="60"/>
        <v>34.000000000000043</v>
      </c>
      <c r="X87" s="53"/>
      <c r="Y87" s="53"/>
      <c r="Z87" s="54"/>
      <c r="AA87" s="54"/>
      <c r="AB87" s="658"/>
      <c r="AC87" s="658"/>
      <c r="AD87" s="453"/>
      <c r="AE87" s="453"/>
      <c r="AF87" s="48">
        <f t="shared" si="61"/>
        <v>-228.81176470588389</v>
      </c>
      <c r="AG87" s="457">
        <f t="shared" si="62"/>
        <v>0.84110294117646955</v>
      </c>
      <c r="AH87" s="672"/>
    </row>
    <row r="88" spans="1:34" ht="19.2" customHeight="1">
      <c r="A88" s="700"/>
      <c r="B88" s="110" t="s">
        <v>181</v>
      </c>
      <c r="C88" s="462"/>
      <c r="D88" s="189" t="s">
        <v>360</v>
      </c>
      <c r="E88" s="43"/>
      <c r="F88" s="368">
        <v>73.94</v>
      </c>
      <c r="G88" s="57">
        <v>151.58000000000001</v>
      </c>
      <c r="H88" s="84">
        <f t="shared" si="54"/>
        <v>11207.825200000001</v>
      </c>
      <c r="I88" s="455">
        <v>1</v>
      </c>
      <c r="J88" s="87">
        <v>19</v>
      </c>
      <c r="K88" s="57">
        <v>1440</v>
      </c>
      <c r="L88" s="86">
        <v>75.78947368421052</v>
      </c>
      <c r="M88" s="464">
        <v>19</v>
      </c>
      <c r="N88" s="57">
        <f t="shared" si="55"/>
        <v>1136.8500000000042</v>
      </c>
      <c r="O88" s="186">
        <f t="shared" si="56"/>
        <v>59.834210526316014</v>
      </c>
      <c r="P88" s="54">
        <f t="shared" si="57"/>
        <v>0</v>
      </c>
      <c r="Q88" s="88">
        <f t="shared" si="58"/>
        <v>-15.955263157894507</v>
      </c>
      <c r="R88" s="188">
        <f t="shared" si="59"/>
        <v>0.78947916666666973</v>
      </c>
      <c r="S88" s="672"/>
      <c r="T88" s="50">
        <v>0.66180555555555542</v>
      </c>
      <c r="U88" s="50">
        <v>0.66736111111111096</v>
      </c>
      <c r="V88" s="455">
        <v>6</v>
      </c>
      <c r="W88" s="466">
        <f t="shared" si="60"/>
        <v>7.9999999999999716</v>
      </c>
      <c r="X88" s="53"/>
      <c r="Y88" s="53"/>
      <c r="Z88" s="54"/>
      <c r="AA88" s="54"/>
      <c r="AB88" s="658"/>
      <c r="AC88" s="658"/>
      <c r="AD88" s="453"/>
      <c r="AE88" s="453">
        <v>1</v>
      </c>
      <c r="AF88" s="48">
        <f t="shared" si="61"/>
        <v>-303.14999999999577</v>
      </c>
      <c r="AG88" s="457">
        <f t="shared" si="62"/>
        <v>0.78947916666666962</v>
      </c>
      <c r="AH88" s="672"/>
    </row>
    <row r="89" spans="1:34" ht="19.2" customHeight="1">
      <c r="A89" s="700"/>
      <c r="B89" s="110">
        <v>0</v>
      </c>
      <c r="C89" s="462"/>
      <c r="D89" s="42"/>
      <c r="E89" s="43"/>
      <c r="F89" s="368" t="s">
        <v>186</v>
      </c>
      <c r="G89" s="115"/>
      <c r="H89" s="84">
        <f t="shared" si="54"/>
        <v>0</v>
      </c>
      <c r="I89" s="455"/>
      <c r="J89" s="87"/>
      <c r="K89" s="57"/>
      <c r="L89" s="86"/>
      <c r="M89" s="464"/>
      <c r="N89" s="57"/>
      <c r="O89" s="186"/>
      <c r="P89" s="54"/>
      <c r="Q89" s="88"/>
      <c r="R89" s="188"/>
      <c r="S89" s="672"/>
      <c r="T89" s="50"/>
      <c r="U89" s="50"/>
      <c r="V89" s="455"/>
      <c r="W89" s="466"/>
      <c r="X89" s="53"/>
      <c r="Y89" s="53"/>
      <c r="Z89" s="54"/>
      <c r="AA89" s="54"/>
      <c r="AB89" s="658"/>
      <c r="AC89" s="658"/>
      <c r="AD89" s="453"/>
      <c r="AE89" s="453"/>
      <c r="AF89" s="48">
        <f t="shared" si="61"/>
        <v>0</v>
      </c>
      <c r="AG89" s="457" t="e">
        <f t="shared" si="62"/>
        <v>#DIV/0!</v>
      </c>
      <c r="AH89" s="672"/>
    </row>
    <row r="90" spans="1:34" ht="19.2" customHeight="1">
      <c r="A90" s="700"/>
      <c r="B90" s="110">
        <v>0</v>
      </c>
      <c r="C90" s="462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64"/>
      <c r="N90" s="57"/>
      <c r="O90" s="186"/>
      <c r="P90" s="54"/>
      <c r="Q90" s="88"/>
      <c r="R90" s="188"/>
      <c r="S90" s="672"/>
      <c r="T90" s="50"/>
      <c r="U90" s="50"/>
      <c r="V90" s="455"/>
      <c r="W90" s="466"/>
      <c r="X90" s="191"/>
      <c r="Y90" s="191"/>
      <c r="Z90" s="54"/>
      <c r="AA90" s="54"/>
      <c r="AB90" s="658"/>
      <c r="AC90" s="658"/>
      <c r="AD90" s="453"/>
      <c r="AE90" s="453"/>
      <c r="AF90" s="48">
        <f t="shared" si="61"/>
        <v>0</v>
      </c>
      <c r="AG90" s="457" t="e">
        <f t="shared" si="62"/>
        <v>#DIV/0!</v>
      </c>
      <c r="AH90" s="672"/>
    </row>
    <row r="91" spans="1:34" ht="19.2" customHeight="1">
      <c r="A91" s="700"/>
      <c r="B91" s="110">
        <v>0</v>
      </c>
      <c r="C91" s="462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64" t="s">
        <v>30</v>
      </c>
      <c r="N91" s="57"/>
      <c r="O91" s="186"/>
      <c r="P91" s="54"/>
      <c r="Q91" s="88"/>
      <c r="R91" s="188"/>
      <c r="S91" s="673"/>
      <c r="T91" s="50"/>
      <c r="U91" s="50"/>
      <c r="V91" s="455"/>
      <c r="W91" s="466">
        <f t="shared" si="60"/>
        <v>0</v>
      </c>
      <c r="X91" s="116"/>
      <c r="Y91" s="116"/>
      <c r="Z91" s="54"/>
      <c r="AA91" s="54"/>
      <c r="AB91" s="658"/>
      <c r="AC91" s="658"/>
      <c r="AD91" s="453"/>
      <c r="AE91" s="453"/>
      <c r="AF91" s="48">
        <f t="shared" si="61"/>
        <v>0</v>
      </c>
      <c r="AG91" s="457" t="e">
        <f t="shared" si="62"/>
        <v>#DIV/0!</v>
      </c>
      <c r="AH91" s="673"/>
    </row>
    <row r="92" spans="1:34" ht="19.2" customHeight="1">
      <c r="A92" s="700"/>
      <c r="B92" s="110">
        <v>0</v>
      </c>
      <c r="C92" s="462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60"/>
      <c r="S92" s="673"/>
      <c r="T92" s="50"/>
      <c r="U92" s="50"/>
      <c r="V92" s="455"/>
      <c r="W92" s="466"/>
      <c r="X92" s="183"/>
      <c r="Y92" s="183"/>
      <c r="Z92" s="125"/>
      <c r="AA92" s="125"/>
      <c r="AB92" s="658"/>
      <c r="AC92" s="658"/>
      <c r="AD92" s="453"/>
      <c r="AE92" s="453"/>
      <c r="AF92" s="48">
        <f t="shared" si="61"/>
        <v>0</v>
      </c>
      <c r="AG92" s="457" t="e">
        <f t="shared" si="62"/>
        <v>#DIV/0!</v>
      </c>
      <c r="AH92" s="673"/>
    </row>
    <row r="93" spans="1:34" ht="19.2" customHeight="1">
      <c r="A93" s="700"/>
      <c r="B93" s="468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64"/>
      <c r="N93" s="57"/>
      <c r="O93" s="86"/>
      <c r="P93" s="54"/>
      <c r="Q93" s="88"/>
      <c r="R93" s="454"/>
      <c r="S93" s="701"/>
      <c r="T93" s="63"/>
      <c r="U93" s="63"/>
      <c r="V93" s="468"/>
      <c r="W93" s="466">
        <f t="shared" si="60"/>
        <v>0</v>
      </c>
      <c r="X93" s="200"/>
      <c r="Y93" s="200"/>
      <c r="Z93" s="125"/>
      <c r="AA93" s="125"/>
      <c r="AB93" s="658"/>
      <c r="AC93" s="658"/>
      <c r="AD93" s="453"/>
      <c r="AE93" s="453"/>
      <c r="AF93" s="48">
        <f t="shared" si="61"/>
        <v>0</v>
      </c>
      <c r="AG93" s="457" t="e">
        <f t="shared" si="62"/>
        <v>#DIV/0!</v>
      </c>
      <c r="AH93" s="673"/>
    </row>
    <row r="94" spans="1:34" ht="19.2" customHeight="1">
      <c r="A94" s="700"/>
      <c r="B94" s="468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54"/>
      <c r="S94" s="701"/>
      <c r="T94" s="63"/>
      <c r="U94" s="63"/>
      <c r="V94" s="468"/>
      <c r="W94" s="466">
        <f>(U94-T94)*24*60</f>
        <v>0</v>
      </c>
      <c r="X94" s="200"/>
      <c r="Y94" s="200"/>
      <c r="Z94" s="125"/>
      <c r="AA94" s="125"/>
      <c r="AB94" s="658"/>
      <c r="AC94" s="658"/>
      <c r="AD94" s="453"/>
      <c r="AE94" s="453"/>
      <c r="AF94" s="48">
        <f t="shared" si="61"/>
        <v>0</v>
      </c>
      <c r="AG94" s="457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20</v>
      </c>
      <c r="D95" s="687" t="s">
        <v>245</v>
      </c>
      <c r="E95" s="687"/>
      <c r="F95" s="362"/>
      <c r="G95" s="70"/>
      <c r="H95" s="204"/>
      <c r="I95" s="103"/>
      <c r="J95" s="205">
        <v>18.666666666666668</v>
      </c>
      <c r="K95" s="205">
        <v>1440.8333333333333</v>
      </c>
      <c r="L95" s="206">
        <v>77.239278752436647</v>
      </c>
      <c r="M95" s="205">
        <f t="shared" ref="M95:O95" si="63">AVERAGE(M83:M94)</f>
        <v>18.5</v>
      </c>
      <c r="N95" s="205">
        <f t="shared" si="63"/>
        <v>1269.4078828523345</v>
      </c>
      <c r="O95" s="206">
        <f t="shared" si="63"/>
        <v>68.730003310356111</v>
      </c>
      <c r="P95" s="207">
        <f>M95-J95</f>
        <v>-0.16666666666666785</v>
      </c>
      <c r="Q95" s="208">
        <f t="shared" ref="Q95:Q102" si="64">O95-L95</f>
        <v>-8.5092754420805363</v>
      </c>
      <c r="R95" s="209">
        <f>O95/L95</f>
        <v>0.8898322773138001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1</v>
      </c>
      <c r="AF95" s="65">
        <f t="shared" si="61"/>
        <v>-171.42545048099873</v>
      </c>
      <c r="AG95" s="458">
        <f t="shared" si="62"/>
        <v>0.8810234004758829</v>
      </c>
      <c r="AH95" s="673"/>
    </row>
    <row r="96" spans="1:34" ht="19.2" customHeight="1">
      <c r="A96" s="702" t="s">
        <v>249</v>
      </c>
      <c r="B96" s="455" t="s">
        <v>183</v>
      </c>
      <c r="C96" s="97"/>
      <c r="D96" s="42" t="s">
        <v>250</v>
      </c>
      <c r="E96" s="43"/>
      <c r="F96" s="361">
        <v>36.92</v>
      </c>
      <c r="G96" s="44">
        <v>1926</v>
      </c>
      <c r="H96" s="45">
        <f t="shared" ref="H96:H106" si="65">F96*G96</f>
        <v>71107.92</v>
      </c>
      <c r="I96" s="455"/>
      <c r="J96" s="46">
        <v>6</v>
      </c>
      <c r="K96" s="44">
        <v>1636</v>
      </c>
      <c r="L96" s="47">
        <v>272.66666666666669</v>
      </c>
      <c r="M96" s="467">
        <v>6</v>
      </c>
      <c r="N96" s="44">
        <f t="shared" ref="N96:N102" si="66">G96/W96*60</f>
        <v>1540.8000000000006</v>
      </c>
      <c r="O96" s="47">
        <f t="shared" ref="O96:O102" si="67">N96/M96</f>
        <v>256.80000000000013</v>
      </c>
      <c r="P96" s="48">
        <f t="shared" ref="P96:P102" si="68">M96-J96</f>
        <v>0</v>
      </c>
      <c r="Q96" s="49">
        <f t="shared" si="64"/>
        <v>-15.866666666666561</v>
      </c>
      <c r="R96" s="457">
        <f t="shared" ref="R96:R102" si="69">O96/L96</f>
        <v>0.9418092909535456</v>
      </c>
      <c r="S96" s="672">
        <f>R108</f>
        <v>0.90711790088062372</v>
      </c>
      <c r="T96" s="89">
        <v>0.33333333333333331</v>
      </c>
      <c r="U96" s="89">
        <v>0.38541666666666663</v>
      </c>
      <c r="V96" s="453">
        <v>5</v>
      </c>
      <c r="W96" s="90">
        <f t="shared" ref="W96:W122" si="70">(U96-T96)*24*60</f>
        <v>74.999999999999972</v>
      </c>
      <c r="X96" s="96"/>
      <c r="Y96" s="96"/>
      <c r="Z96" s="54"/>
      <c r="AA96" s="54"/>
      <c r="AB96" s="658"/>
      <c r="AC96" s="658"/>
      <c r="AD96" s="453"/>
      <c r="AE96" s="453"/>
      <c r="AF96" s="54">
        <f t="shared" si="61"/>
        <v>-95.199999999999363</v>
      </c>
      <c r="AG96" s="454">
        <f t="shared" si="62"/>
        <v>0.9418092909535456</v>
      </c>
      <c r="AH96" s="681">
        <f>AG108</f>
        <v>0.89745689771943782</v>
      </c>
    </row>
    <row r="97" spans="1:34" s="218" customFormat="1" ht="19.2" customHeight="1">
      <c r="A97" s="702"/>
      <c r="B97" s="455" t="s">
        <v>183</v>
      </c>
      <c r="C97" s="210"/>
      <c r="D97" s="211" t="s">
        <v>83</v>
      </c>
      <c r="E97" s="56"/>
      <c r="F97" s="372">
        <v>29.113149847094796</v>
      </c>
      <c r="G97" s="212">
        <v>2920.5</v>
      </c>
      <c r="H97" s="213">
        <f t="shared" si="65"/>
        <v>85024.954128440353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1436.3114754098365</v>
      </c>
      <c r="O97" s="47">
        <f t="shared" si="67"/>
        <v>71.815573770491824</v>
      </c>
      <c r="P97" s="48">
        <f t="shared" si="68"/>
        <v>0</v>
      </c>
      <c r="Q97" s="49">
        <f t="shared" si="64"/>
        <v>-3.1844262295081762</v>
      </c>
      <c r="R97" s="457">
        <f t="shared" si="69"/>
        <v>0.95754098360655771</v>
      </c>
      <c r="S97" s="672"/>
      <c r="T97" s="214">
        <v>0.40069444444444441</v>
      </c>
      <c r="U97" s="214">
        <v>0.48541666666666661</v>
      </c>
      <c r="V97" s="215">
        <v>22</v>
      </c>
      <c r="W97" s="90">
        <f t="shared" si="70"/>
        <v>121.99999999999997</v>
      </c>
      <c r="X97" s="53">
        <v>0.3888888888888889</v>
      </c>
      <c r="Y97" s="53">
        <v>0.3979166666666667</v>
      </c>
      <c r="Z97" s="54"/>
      <c r="AA97" s="54"/>
      <c r="AB97" s="658"/>
      <c r="AC97" s="658"/>
      <c r="AD97" s="215"/>
      <c r="AE97" s="215"/>
      <c r="AF97" s="216">
        <f t="shared" si="61"/>
        <v>-63.688524590163524</v>
      </c>
      <c r="AG97" s="217">
        <f t="shared" si="62"/>
        <v>0.95754098360655771</v>
      </c>
      <c r="AH97" s="681"/>
    </row>
    <row r="98" spans="1:34" s="221" customFormat="1" ht="19.2" customHeight="1">
      <c r="A98" s="702"/>
      <c r="B98" s="455" t="s">
        <v>181</v>
      </c>
      <c r="C98" s="55"/>
      <c r="D98" s="42" t="s">
        <v>76</v>
      </c>
      <c r="E98" s="83"/>
      <c r="F98" s="372">
        <v>77.34</v>
      </c>
      <c r="G98" s="57">
        <v>744</v>
      </c>
      <c r="H98" s="213">
        <f t="shared" si="65"/>
        <v>57540.959999999999</v>
      </c>
      <c r="I98" s="453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1275.4285714285702</v>
      </c>
      <c r="O98" s="47">
        <f t="shared" si="67"/>
        <v>70.85714285714279</v>
      </c>
      <c r="P98" s="48">
        <f t="shared" si="68"/>
        <v>0</v>
      </c>
      <c r="Q98" s="49">
        <f t="shared" si="64"/>
        <v>-9.1428571428572099</v>
      </c>
      <c r="R98" s="457">
        <f t="shared" si="69"/>
        <v>0.8857142857142849</v>
      </c>
      <c r="S98" s="672"/>
      <c r="T98" s="89">
        <v>0.52569444444444435</v>
      </c>
      <c r="U98" s="89">
        <v>0.54999999999999993</v>
      </c>
      <c r="V98" s="453">
        <v>5</v>
      </c>
      <c r="W98" s="90">
        <f t="shared" si="70"/>
        <v>35.000000000000036</v>
      </c>
      <c r="X98" s="219"/>
      <c r="Y98" s="219"/>
      <c r="Z98" s="220"/>
      <c r="AA98" s="220"/>
      <c r="AB98" s="658"/>
      <c r="AC98" s="658"/>
      <c r="AD98" s="453"/>
      <c r="AE98" s="453"/>
      <c r="AF98" s="54">
        <f t="shared" si="61"/>
        <v>-164.57142857142981</v>
      </c>
      <c r="AG98" s="454">
        <f t="shared" si="62"/>
        <v>0.8857142857142849</v>
      </c>
      <c r="AH98" s="681"/>
    </row>
    <row r="99" spans="1:34" ht="19.2" customHeight="1">
      <c r="A99" s="702"/>
      <c r="B99" s="455" t="s">
        <v>181</v>
      </c>
      <c r="C99" s="81"/>
      <c r="D99" s="82" t="s">
        <v>74</v>
      </c>
      <c r="E99" s="83"/>
      <c r="F99" s="372">
        <v>59.34</v>
      </c>
      <c r="G99" s="57">
        <v>834</v>
      </c>
      <c r="H99" s="213">
        <f t="shared" si="65"/>
        <v>49489.560000000005</v>
      </c>
      <c r="I99" s="453"/>
      <c r="J99" s="46">
        <v>17</v>
      </c>
      <c r="K99" s="44">
        <v>1440</v>
      </c>
      <c r="L99" s="47">
        <v>84.705882352941174</v>
      </c>
      <c r="M99" s="467">
        <v>17</v>
      </c>
      <c r="N99" s="44">
        <f t="shared" si="66"/>
        <v>1250.9999999999995</v>
      </c>
      <c r="O99" s="47">
        <f t="shared" si="67"/>
        <v>73.588235294117624</v>
      </c>
      <c r="P99" s="48">
        <f t="shared" si="68"/>
        <v>0</v>
      </c>
      <c r="Q99" s="49">
        <f t="shared" si="64"/>
        <v>-11.11764705882355</v>
      </c>
      <c r="R99" s="457">
        <f t="shared" si="69"/>
        <v>0.8687499999999998</v>
      </c>
      <c r="S99" s="672"/>
      <c r="T99" s="89">
        <v>0.55416666666666659</v>
      </c>
      <c r="U99" s="89">
        <v>0.58194444444444438</v>
      </c>
      <c r="V99" s="453">
        <v>6</v>
      </c>
      <c r="W99" s="90">
        <f t="shared" si="70"/>
        <v>40.000000000000014</v>
      </c>
      <c r="X99" s="183"/>
      <c r="Y99" s="183"/>
      <c r="Z99" s="125"/>
      <c r="AA99" s="125"/>
      <c r="AB99" s="658"/>
      <c r="AC99" s="658"/>
      <c r="AD99" s="453"/>
      <c r="AE99" s="453"/>
      <c r="AF99" s="216">
        <f t="shared" si="61"/>
        <v>-189.00000000000045</v>
      </c>
      <c r="AG99" s="217">
        <f t="shared" si="62"/>
        <v>0.86874999999999969</v>
      </c>
      <c r="AH99" s="681"/>
    </row>
    <row r="100" spans="1:34" s="221" customFormat="1" ht="19.2" customHeight="1">
      <c r="A100" s="702"/>
      <c r="B100" s="455" t="s">
        <v>181</v>
      </c>
      <c r="C100" s="55"/>
      <c r="D100" s="42" t="s">
        <v>75</v>
      </c>
      <c r="E100" s="83"/>
      <c r="F100" s="372">
        <v>71.55</v>
      </c>
      <c r="G100" s="57">
        <v>830</v>
      </c>
      <c r="H100" s="213">
        <f t="shared" si="65"/>
        <v>59386.5</v>
      </c>
      <c r="I100" s="453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1214.6341463414628</v>
      </c>
      <c r="O100" s="47">
        <f t="shared" si="67"/>
        <v>67.479674796747929</v>
      </c>
      <c r="P100" s="48">
        <f t="shared" si="68"/>
        <v>0</v>
      </c>
      <c r="Q100" s="49">
        <f t="shared" si="64"/>
        <v>-9.4647696476965137</v>
      </c>
      <c r="R100" s="457">
        <f t="shared" si="69"/>
        <v>0.87699216342343878</v>
      </c>
      <c r="S100" s="672"/>
      <c r="T100" s="214">
        <v>0.58680555555555547</v>
      </c>
      <c r="U100" s="214">
        <v>0.6152777777777777</v>
      </c>
      <c r="V100" s="215">
        <v>7</v>
      </c>
      <c r="W100" s="90">
        <f t="shared" si="70"/>
        <v>41.000000000000014</v>
      </c>
      <c r="X100" s="222"/>
      <c r="Y100" s="222"/>
      <c r="Z100" s="220"/>
      <c r="AA100" s="220"/>
      <c r="AB100" s="658"/>
      <c r="AC100" s="658"/>
      <c r="AD100" s="453"/>
      <c r="AE100" s="453"/>
      <c r="AF100" s="54">
        <f t="shared" si="61"/>
        <v>-170.36585365853716</v>
      </c>
      <c r="AG100" s="454">
        <f t="shared" si="62"/>
        <v>0.87699216342343889</v>
      </c>
      <c r="AH100" s="681"/>
    </row>
    <row r="101" spans="1:34" s="221" customFormat="1" ht="19.2" customHeight="1">
      <c r="A101" s="702"/>
      <c r="B101" s="455" t="s">
        <v>182</v>
      </c>
      <c r="C101" s="55"/>
      <c r="D101" s="82" t="s">
        <v>503</v>
      </c>
      <c r="E101" s="83"/>
      <c r="F101" s="372">
        <v>47.6</v>
      </c>
      <c r="G101" s="57">
        <v>878.85</v>
      </c>
      <c r="H101" s="213">
        <f t="shared" si="65"/>
        <v>41833.26</v>
      </c>
      <c r="I101" s="453">
        <v>1</v>
      </c>
      <c r="J101" s="46">
        <v>15</v>
      </c>
      <c r="K101" s="44">
        <v>1500</v>
      </c>
      <c r="L101" s="47">
        <v>100</v>
      </c>
      <c r="M101" s="87">
        <v>15</v>
      </c>
      <c r="N101" s="44">
        <f t="shared" si="66"/>
        <v>1318.2749999999996</v>
      </c>
      <c r="O101" s="47">
        <f t="shared" si="67"/>
        <v>87.884999999999977</v>
      </c>
      <c r="P101" s="48">
        <f t="shared" si="68"/>
        <v>0</v>
      </c>
      <c r="Q101" s="49">
        <f t="shared" si="64"/>
        <v>-12.115000000000023</v>
      </c>
      <c r="R101" s="457">
        <f t="shared" si="69"/>
        <v>0.8788499999999998</v>
      </c>
      <c r="S101" s="672"/>
      <c r="T101" s="214">
        <v>0.61944444444444435</v>
      </c>
      <c r="U101" s="89">
        <v>0.64722222222222214</v>
      </c>
      <c r="V101" s="215">
        <v>6</v>
      </c>
      <c r="W101" s="90">
        <f t="shared" si="70"/>
        <v>40.000000000000014</v>
      </c>
      <c r="X101" s="223"/>
      <c r="Y101" s="223"/>
      <c r="Z101" s="220"/>
      <c r="AA101" s="220"/>
      <c r="AB101" s="658"/>
      <c r="AC101" s="658"/>
      <c r="AD101" s="453"/>
      <c r="AE101" s="453"/>
      <c r="AF101" s="216">
        <f t="shared" si="61"/>
        <v>-181.72500000000036</v>
      </c>
      <c r="AG101" s="217">
        <f t="shared" si="62"/>
        <v>0.8788499999999998</v>
      </c>
      <c r="AH101" s="681"/>
    </row>
    <row r="102" spans="1:34" s="221" customFormat="1" ht="19.2" customHeight="1">
      <c r="A102" s="702"/>
      <c r="B102" s="455" t="s">
        <v>183</v>
      </c>
      <c r="C102" s="178"/>
      <c r="D102" s="179" t="s">
        <v>83</v>
      </c>
      <c r="E102" s="180"/>
      <c r="F102" s="372">
        <v>29.113149847094796</v>
      </c>
      <c r="G102" s="57">
        <v>324.5</v>
      </c>
      <c r="H102" s="213">
        <f t="shared" si="65"/>
        <v>9447.2171253822617</v>
      </c>
      <c r="I102" s="455">
        <v>1</v>
      </c>
      <c r="J102" s="46">
        <v>20</v>
      </c>
      <c r="K102" s="44">
        <v>1500</v>
      </c>
      <c r="L102" s="47">
        <v>75</v>
      </c>
      <c r="M102" s="87">
        <v>20</v>
      </c>
      <c r="N102" s="44">
        <f t="shared" si="66"/>
        <v>1298.0000000000045</v>
      </c>
      <c r="O102" s="47">
        <f t="shared" si="67"/>
        <v>64.900000000000233</v>
      </c>
      <c r="P102" s="48">
        <f t="shared" si="68"/>
        <v>0</v>
      </c>
      <c r="Q102" s="49">
        <f t="shared" si="64"/>
        <v>-10.099999999999767</v>
      </c>
      <c r="R102" s="457">
        <f t="shared" si="69"/>
        <v>0.8653333333333364</v>
      </c>
      <c r="S102" s="672"/>
      <c r="T102" s="214">
        <v>0.65208333333333324</v>
      </c>
      <c r="U102" s="214">
        <v>0.66249999999999987</v>
      </c>
      <c r="V102" s="215">
        <v>7</v>
      </c>
      <c r="W102" s="90">
        <f t="shared" si="70"/>
        <v>14.999999999999947</v>
      </c>
      <c r="X102" s="223"/>
      <c r="Y102" s="223"/>
      <c r="Z102" s="220"/>
      <c r="AA102" s="220"/>
      <c r="AB102" s="658"/>
      <c r="AC102" s="658"/>
      <c r="AD102" s="453"/>
      <c r="AE102" s="453"/>
      <c r="AF102" s="54">
        <f t="shared" si="61"/>
        <v>-201.99999999999545</v>
      </c>
      <c r="AG102" s="454">
        <f t="shared" si="62"/>
        <v>0.8653333333333364</v>
      </c>
      <c r="AH102" s="681"/>
    </row>
    <row r="103" spans="1:34" s="221" customFormat="1" ht="19.2" customHeight="1">
      <c r="A103" s="702"/>
      <c r="B103" s="455">
        <v>0</v>
      </c>
      <c r="C103" s="224"/>
      <c r="D103" s="82"/>
      <c r="E103" s="83"/>
      <c r="F103" s="372" t="s">
        <v>186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57"/>
      <c r="S103" s="672"/>
      <c r="T103" s="214"/>
      <c r="U103" s="214"/>
      <c r="V103" s="215"/>
      <c r="W103" s="90"/>
      <c r="X103" s="223"/>
      <c r="Y103" s="223"/>
      <c r="Z103" s="220"/>
      <c r="AA103" s="220"/>
      <c r="AB103" s="658"/>
      <c r="AC103" s="658"/>
      <c r="AD103" s="453"/>
      <c r="AE103" s="453"/>
      <c r="AF103" s="216">
        <f t="shared" si="61"/>
        <v>0</v>
      </c>
      <c r="AG103" s="217" t="e">
        <f t="shared" si="62"/>
        <v>#DIV/0!</v>
      </c>
      <c r="AH103" s="681"/>
    </row>
    <row r="104" spans="1:34" s="221" customFormat="1" ht="19.2" customHeight="1">
      <c r="A104" s="702"/>
      <c r="B104" s="455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57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453"/>
      <c r="AE104" s="453"/>
      <c r="AF104" s="54">
        <f t="shared" si="61"/>
        <v>0</v>
      </c>
      <c r="AG104" s="454" t="e">
        <f t="shared" si="62"/>
        <v>#DIV/0!</v>
      </c>
      <c r="AH104" s="681"/>
    </row>
    <row r="105" spans="1:34" s="221" customFormat="1" ht="19.2" customHeight="1">
      <c r="A105" s="702"/>
      <c r="B105" s="455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57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453"/>
      <c r="AE105" s="453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55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54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453"/>
      <c r="AE106" s="453"/>
      <c r="AF106" s="220"/>
      <c r="AG106" s="454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54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453"/>
      <c r="AE107" s="453"/>
      <c r="AF107" s="220"/>
      <c r="AG107" s="454"/>
      <c r="AH107" s="681"/>
    </row>
    <row r="108" spans="1:34" ht="19.2" customHeight="1">
      <c r="A108" s="702"/>
      <c r="B108" s="110">
        <v>0</v>
      </c>
      <c r="C108" s="100" t="s">
        <v>21</v>
      </c>
      <c r="D108" s="687" t="s">
        <v>245</v>
      </c>
      <c r="E108" s="687"/>
      <c r="F108" s="373"/>
      <c r="G108" s="101"/>
      <c r="H108" s="102"/>
      <c r="I108" s="103"/>
      <c r="J108" s="101">
        <v>16.285714285714285</v>
      </c>
      <c r="K108" s="101">
        <v>1485.8571428571429</v>
      </c>
      <c r="L108" s="104">
        <v>109.18814192343605</v>
      </c>
      <c r="M108" s="101">
        <f t="shared" ref="M108:O108" si="71">AVERAGE(M96:M107)</f>
        <v>16.285714285714285</v>
      </c>
      <c r="N108" s="101">
        <f t="shared" si="71"/>
        <v>1333.492741882839</v>
      </c>
      <c r="O108" s="104">
        <f t="shared" si="71"/>
        <v>99.046518102642935</v>
      </c>
      <c r="P108" s="54">
        <f t="shared" ref="P108:P116" si="72">M108-J108</f>
        <v>0</v>
      </c>
      <c r="Q108" s="88">
        <f t="shared" ref="Q108:Q116" si="73">O108-L108</f>
        <v>-10.141623820793114</v>
      </c>
      <c r="R108" s="105">
        <f t="shared" ref="R108:R116" si="74">O108/L108</f>
        <v>0.90711790088062372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0</v>
      </c>
      <c r="AE108" s="107">
        <f>SUM(AE96:AE107)</f>
        <v>0</v>
      </c>
      <c r="AF108" s="54">
        <f t="shared" si="61"/>
        <v>-152.36440097430386</v>
      </c>
      <c r="AG108" s="454">
        <f t="shared" si="62"/>
        <v>0.89745689771943782</v>
      </c>
      <c r="AH108" s="681"/>
    </row>
    <row r="109" spans="1:34" ht="19.2" customHeight="1">
      <c r="A109" s="703" t="s">
        <v>251</v>
      </c>
      <c r="B109" s="455" t="s">
        <v>185</v>
      </c>
      <c r="C109" s="462"/>
      <c r="D109" s="179" t="s">
        <v>104</v>
      </c>
      <c r="E109" s="43"/>
      <c r="F109" s="361">
        <v>51.75</v>
      </c>
      <c r="G109" s="44">
        <v>924</v>
      </c>
      <c r="H109" s="45">
        <f t="shared" ref="H109:H119" si="75">F109*G109</f>
        <v>47817</v>
      </c>
      <c r="I109" s="455"/>
      <c r="J109" s="46">
        <v>21</v>
      </c>
      <c r="K109" s="44">
        <v>1500</v>
      </c>
      <c r="L109" s="47">
        <v>71.428571428571431</v>
      </c>
      <c r="M109" s="467">
        <v>21</v>
      </c>
      <c r="N109" s="44">
        <f t="shared" ref="N109:N116" si="76">G109/W109*60</f>
        <v>1352.1951219512191</v>
      </c>
      <c r="O109" s="47">
        <f t="shared" ref="O109:O116" si="77">N109/M109</f>
        <v>64.390243902439011</v>
      </c>
      <c r="P109" s="48">
        <f t="shared" si="72"/>
        <v>0</v>
      </c>
      <c r="Q109" s="49">
        <f t="shared" si="73"/>
        <v>-7.0383275261324201</v>
      </c>
      <c r="R109" s="457">
        <f t="shared" si="74"/>
        <v>0.90146341463414614</v>
      </c>
      <c r="S109" s="706">
        <f>R121</f>
        <v>0.88029585229611806</v>
      </c>
      <c r="T109" s="230">
        <v>0.5</v>
      </c>
      <c r="U109" s="230">
        <v>0.52847222222222223</v>
      </c>
      <c r="V109" s="231">
        <v>5</v>
      </c>
      <c r="W109" s="466">
        <f t="shared" si="70"/>
        <v>41.000000000000014</v>
      </c>
      <c r="X109" s="53"/>
      <c r="Y109" s="53"/>
      <c r="Z109" s="54"/>
      <c r="AA109" s="54"/>
      <c r="AB109" s="658"/>
      <c r="AC109" s="658"/>
      <c r="AD109" s="453"/>
      <c r="AE109" s="453"/>
      <c r="AF109" s="48">
        <f t="shared" si="61"/>
        <v>-147.80487804878089</v>
      </c>
      <c r="AG109" s="126">
        <f t="shared" si="62"/>
        <v>0.90146341463414603</v>
      </c>
      <c r="AH109" s="681">
        <f>AG121</f>
        <v>0.88782814901613105</v>
      </c>
    </row>
    <row r="110" spans="1:34" ht="19.2" customHeight="1">
      <c r="A110" s="704"/>
      <c r="B110" s="455" t="s">
        <v>185</v>
      </c>
      <c r="C110" s="178"/>
      <c r="D110" s="42" t="s">
        <v>103</v>
      </c>
      <c r="E110" s="180"/>
      <c r="F110" s="361">
        <v>56.43</v>
      </c>
      <c r="G110" s="177">
        <v>884</v>
      </c>
      <c r="H110" s="45">
        <f t="shared" si="75"/>
        <v>49884.12</v>
      </c>
      <c r="I110" s="455"/>
      <c r="J110" s="46">
        <v>18</v>
      </c>
      <c r="K110" s="44">
        <v>1500</v>
      </c>
      <c r="L110" s="47">
        <v>83.333333333333329</v>
      </c>
      <c r="M110" s="467">
        <v>18</v>
      </c>
      <c r="N110" s="44">
        <f t="shared" si="76"/>
        <v>1325.9999999999995</v>
      </c>
      <c r="O110" s="47">
        <f t="shared" si="77"/>
        <v>73.666666666666643</v>
      </c>
      <c r="P110" s="48">
        <f t="shared" si="72"/>
        <v>0</v>
      </c>
      <c r="Q110" s="49">
        <f t="shared" si="73"/>
        <v>-9.6666666666666856</v>
      </c>
      <c r="R110" s="457">
        <f t="shared" si="74"/>
        <v>0.88399999999999979</v>
      </c>
      <c r="S110" s="707"/>
      <c r="T110" s="230">
        <v>0.53333333333333333</v>
      </c>
      <c r="U110" s="230">
        <v>0.56111111111111112</v>
      </c>
      <c r="V110" s="231">
        <v>7</v>
      </c>
      <c r="W110" s="466">
        <f t="shared" si="70"/>
        <v>40.000000000000014</v>
      </c>
      <c r="X110" s="191"/>
      <c r="Y110" s="191"/>
      <c r="Z110" s="54"/>
      <c r="AA110" s="54"/>
      <c r="AB110" s="658"/>
      <c r="AC110" s="658"/>
      <c r="AD110" s="453"/>
      <c r="AE110" s="453"/>
      <c r="AF110" s="48">
        <f t="shared" si="61"/>
        <v>-174.00000000000045</v>
      </c>
      <c r="AG110" s="126">
        <f t="shared" si="62"/>
        <v>0.88399999999999967</v>
      </c>
      <c r="AH110" s="681"/>
    </row>
    <row r="111" spans="1:34" ht="19.2" customHeight="1">
      <c r="A111" s="704"/>
      <c r="B111" s="455" t="s">
        <v>185</v>
      </c>
      <c r="C111" s="178"/>
      <c r="D111" s="42" t="s">
        <v>308</v>
      </c>
      <c r="E111" s="180"/>
      <c r="F111" s="361">
        <v>50.67</v>
      </c>
      <c r="G111" s="57">
        <v>2527</v>
      </c>
      <c r="H111" s="45">
        <f t="shared" si="75"/>
        <v>128043.09000000001</v>
      </c>
      <c r="I111" s="455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1329.9999999999993</v>
      </c>
      <c r="O111" s="47">
        <f t="shared" si="77"/>
        <v>73.888888888888857</v>
      </c>
      <c r="P111" s="48">
        <f t="shared" si="72"/>
        <v>0</v>
      </c>
      <c r="Q111" s="49">
        <f t="shared" si="73"/>
        <v>-9.4444444444444713</v>
      </c>
      <c r="R111" s="457">
        <f t="shared" si="74"/>
        <v>0.88666666666666638</v>
      </c>
      <c r="S111" s="707"/>
      <c r="T111" s="230">
        <v>0.56597222222222221</v>
      </c>
      <c r="U111" s="230">
        <v>0.64513888888888893</v>
      </c>
      <c r="V111" s="231">
        <v>7</v>
      </c>
      <c r="W111" s="466">
        <f t="shared" si="70"/>
        <v>114.00000000000007</v>
      </c>
      <c r="X111" s="53"/>
      <c r="Y111" s="53"/>
      <c r="Z111" s="54"/>
      <c r="AA111" s="54"/>
      <c r="AB111" s="658"/>
      <c r="AC111" s="658"/>
      <c r="AD111" s="453"/>
      <c r="AE111" s="453"/>
      <c r="AF111" s="48">
        <f t="shared" si="61"/>
        <v>-170.00000000000068</v>
      </c>
      <c r="AG111" s="126">
        <f t="shared" si="62"/>
        <v>0.88666666666666616</v>
      </c>
      <c r="AH111" s="681"/>
    </row>
    <row r="112" spans="1:34" ht="19.2" customHeight="1">
      <c r="A112" s="704"/>
      <c r="B112" s="455" t="s">
        <v>185</v>
      </c>
      <c r="C112" s="178"/>
      <c r="D112" s="179" t="s">
        <v>106</v>
      </c>
      <c r="E112" s="180"/>
      <c r="F112" s="361">
        <v>55.32</v>
      </c>
      <c r="G112" s="57">
        <v>634</v>
      </c>
      <c r="H112" s="45">
        <f t="shared" si="75"/>
        <v>35072.879999999997</v>
      </c>
      <c r="I112" s="453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1267.9999999999977</v>
      </c>
      <c r="O112" s="47">
        <f t="shared" si="77"/>
        <v>84.533333333333175</v>
      </c>
      <c r="P112" s="48">
        <f t="shared" si="72"/>
        <v>1</v>
      </c>
      <c r="Q112" s="49">
        <f t="shared" si="73"/>
        <v>-18.323809523809686</v>
      </c>
      <c r="R112" s="457">
        <f t="shared" si="74"/>
        <v>0.82185185185185028</v>
      </c>
      <c r="S112" s="707"/>
      <c r="T112" s="230">
        <v>0.70833333333333337</v>
      </c>
      <c r="U112" s="230">
        <v>0.72916666666666674</v>
      </c>
      <c r="V112" s="231">
        <v>5</v>
      </c>
      <c r="W112" s="466">
        <f t="shared" si="70"/>
        <v>30.000000000000053</v>
      </c>
      <c r="X112" s="53"/>
      <c r="Y112" s="53"/>
      <c r="Z112" s="54"/>
      <c r="AA112" s="54"/>
      <c r="AB112" s="658"/>
      <c r="AC112" s="658"/>
      <c r="AD112" s="453"/>
      <c r="AE112" s="453"/>
      <c r="AF112" s="48">
        <f t="shared" si="61"/>
        <v>-172.00000000000227</v>
      </c>
      <c r="AG112" s="126">
        <f t="shared" si="62"/>
        <v>0.88055555555555398</v>
      </c>
      <c r="AH112" s="681"/>
    </row>
    <row r="113" spans="1:34" s="221" customFormat="1" ht="19.2" customHeight="1">
      <c r="A113" s="704"/>
      <c r="B113" s="455" t="s">
        <v>185</v>
      </c>
      <c r="C113" s="178"/>
      <c r="D113" s="179" t="s">
        <v>107</v>
      </c>
      <c r="E113" s="180"/>
      <c r="F113" s="361">
        <v>55.56</v>
      </c>
      <c r="G113" s="57">
        <v>825</v>
      </c>
      <c r="H113" s="45">
        <f t="shared" si="75"/>
        <v>45837</v>
      </c>
      <c r="I113" s="453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1269.2307692307686</v>
      </c>
      <c r="O113" s="47">
        <f t="shared" si="77"/>
        <v>79.326923076923038</v>
      </c>
      <c r="P113" s="48">
        <f t="shared" si="72"/>
        <v>0</v>
      </c>
      <c r="Q113" s="49">
        <f t="shared" si="73"/>
        <v>-10.673076923076962</v>
      </c>
      <c r="R113" s="457">
        <f t="shared" si="74"/>
        <v>0.88141025641025594</v>
      </c>
      <c r="S113" s="707"/>
      <c r="T113" s="230">
        <v>0.73333333333333339</v>
      </c>
      <c r="U113" s="230">
        <v>0.76041666666666674</v>
      </c>
      <c r="V113" s="231">
        <v>6</v>
      </c>
      <c r="W113" s="466">
        <f t="shared" si="70"/>
        <v>39.000000000000021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-170.7692307692314</v>
      </c>
      <c r="AG113" s="126">
        <f t="shared" si="62"/>
        <v>0.88141025641025594</v>
      </c>
      <c r="AH113" s="681"/>
    </row>
    <row r="114" spans="1:34" s="221" customFormat="1" ht="19.2" customHeight="1">
      <c r="A114" s="704"/>
      <c r="B114" s="455" t="s">
        <v>185</v>
      </c>
      <c r="C114" s="178"/>
      <c r="D114" s="179" t="s">
        <v>105</v>
      </c>
      <c r="E114" s="180"/>
      <c r="F114" s="361">
        <v>54.29</v>
      </c>
      <c r="G114" s="57">
        <v>753</v>
      </c>
      <c r="H114" s="45">
        <f t="shared" si="75"/>
        <v>40880.370000000003</v>
      </c>
      <c r="I114" s="453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1254.9999999999991</v>
      </c>
      <c r="O114" s="47">
        <f t="shared" si="77"/>
        <v>83.6666666666666</v>
      </c>
      <c r="P114" s="48">
        <f t="shared" si="72"/>
        <v>0</v>
      </c>
      <c r="Q114" s="49">
        <f t="shared" si="73"/>
        <v>-12.3333333333334</v>
      </c>
      <c r="R114" s="457">
        <f t="shared" si="74"/>
        <v>0.87152777777777712</v>
      </c>
      <c r="S114" s="707"/>
      <c r="T114" s="230">
        <v>0.76458333333333339</v>
      </c>
      <c r="U114" s="230">
        <v>0.78958333333333341</v>
      </c>
      <c r="V114" s="231">
        <v>6</v>
      </c>
      <c r="W114" s="466">
        <f t="shared" si="70"/>
        <v>36.000000000000028</v>
      </c>
      <c r="X114" s="219"/>
      <c r="Y114" s="219"/>
      <c r="Z114" s="220"/>
      <c r="AA114" s="220"/>
      <c r="AB114" s="658"/>
      <c r="AC114" s="658"/>
      <c r="AD114" s="224"/>
      <c r="AE114" s="224"/>
      <c r="AF114" s="48">
        <f t="shared" si="61"/>
        <v>-185.00000000000091</v>
      </c>
      <c r="AG114" s="126">
        <f t="shared" si="62"/>
        <v>0.87152777777777712</v>
      </c>
      <c r="AH114" s="681"/>
    </row>
    <row r="115" spans="1:34" s="221" customFormat="1" ht="19.2" customHeight="1">
      <c r="A115" s="704"/>
      <c r="B115" s="455" t="s">
        <v>184</v>
      </c>
      <c r="C115" s="178"/>
      <c r="D115" s="179" t="s">
        <v>259</v>
      </c>
      <c r="E115" s="180"/>
      <c r="F115" s="361">
        <v>20.170000000000002</v>
      </c>
      <c r="G115" s="177">
        <v>363</v>
      </c>
      <c r="H115" s="45">
        <f t="shared" si="75"/>
        <v>7321.7100000000009</v>
      </c>
      <c r="I115" s="453"/>
      <c r="J115" s="46">
        <v>12</v>
      </c>
      <c r="K115" s="44">
        <v>1500</v>
      </c>
      <c r="L115" s="47">
        <v>125</v>
      </c>
      <c r="M115" s="467">
        <v>12</v>
      </c>
      <c r="N115" s="44">
        <f t="shared" si="76"/>
        <v>1361.250000000005</v>
      </c>
      <c r="O115" s="47">
        <f t="shared" si="77"/>
        <v>113.43750000000041</v>
      </c>
      <c r="P115" s="48">
        <f t="shared" si="72"/>
        <v>0</v>
      </c>
      <c r="Q115" s="49">
        <f t="shared" si="73"/>
        <v>-11.562499999999588</v>
      </c>
      <c r="R115" s="457">
        <f t="shared" si="74"/>
        <v>0.9075000000000033</v>
      </c>
      <c r="S115" s="707"/>
      <c r="T115" s="230">
        <v>0.80486111111111114</v>
      </c>
      <c r="U115" s="230">
        <v>0.81597222222222221</v>
      </c>
      <c r="V115" s="231">
        <v>22</v>
      </c>
      <c r="W115" s="466">
        <f t="shared" si="70"/>
        <v>15.999999999999943</v>
      </c>
      <c r="X115" s="219">
        <v>0.79305555555555562</v>
      </c>
      <c r="Y115" s="219">
        <v>0.80208333333333337</v>
      </c>
      <c r="Z115" s="220"/>
      <c r="AA115" s="220"/>
      <c r="AB115" s="658"/>
      <c r="AC115" s="658"/>
      <c r="AD115" s="224"/>
      <c r="AE115" s="224"/>
      <c r="AF115" s="48">
        <f t="shared" si="61"/>
        <v>-138.749999999995</v>
      </c>
      <c r="AG115" s="126">
        <f t="shared" si="62"/>
        <v>0.9075000000000033</v>
      </c>
      <c r="AH115" s="681"/>
    </row>
    <row r="116" spans="1:34" s="221" customFormat="1" ht="19.2" customHeight="1">
      <c r="A116" s="704"/>
      <c r="B116" s="455" t="s">
        <v>184</v>
      </c>
      <c r="C116" s="55"/>
      <c r="D116" s="82" t="s">
        <v>309</v>
      </c>
      <c r="E116" s="83"/>
      <c r="F116" s="361">
        <v>19.41</v>
      </c>
      <c r="G116" s="57">
        <v>2354</v>
      </c>
      <c r="H116" s="45">
        <f t="shared" si="75"/>
        <v>45691.14</v>
      </c>
      <c r="I116" s="453"/>
      <c r="J116" s="46">
        <v>12</v>
      </c>
      <c r="K116" s="44">
        <v>1500</v>
      </c>
      <c r="L116" s="47">
        <v>125</v>
      </c>
      <c r="M116" s="464">
        <v>12</v>
      </c>
      <c r="N116" s="44">
        <f t="shared" si="76"/>
        <v>1332.4528301886799</v>
      </c>
      <c r="O116" s="47">
        <f t="shared" si="77"/>
        <v>111.03773584905666</v>
      </c>
      <c r="P116" s="48">
        <f t="shared" si="72"/>
        <v>0</v>
      </c>
      <c r="Q116" s="49">
        <f t="shared" si="73"/>
        <v>-13.962264150943341</v>
      </c>
      <c r="R116" s="457">
        <f t="shared" si="74"/>
        <v>0.88830188679245325</v>
      </c>
      <c r="S116" s="707"/>
      <c r="T116" s="230">
        <v>0.8208333333333333</v>
      </c>
      <c r="U116" s="230">
        <v>0.89444444444444438</v>
      </c>
      <c r="V116" s="231">
        <v>7</v>
      </c>
      <c r="W116" s="466">
        <f t="shared" si="70"/>
        <v>105.99999999999994</v>
      </c>
      <c r="X116" s="219"/>
      <c r="Y116" s="219"/>
      <c r="Z116" s="220"/>
      <c r="AA116" s="220"/>
      <c r="AB116" s="658"/>
      <c r="AC116" s="658"/>
      <c r="AD116" s="224"/>
      <c r="AE116" s="224"/>
      <c r="AF116" s="48">
        <f t="shared" si="61"/>
        <v>-167.54716981132015</v>
      </c>
      <c r="AG116" s="126">
        <f t="shared" si="62"/>
        <v>0.88830188679245325</v>
      </c>
      <c r="AH116" s="681"/>
    </row>
    <row r="117" spans="1:34" s="221" customFormat="1" ht="19.2" customHeight="1">
      <c r="A117" s="704"/>
      <c r="B117" s="455">
        <v>0</v>
      </c>
      <c r="C117" s="55"/>
      <c r="D117" s="179"/>
      <c r="E117" s="83"/>
      <c r="F117" s="361" t="s">
        <v>186</v>
      </c>
      <c r="G117" s="57"/>
      <c r="H117" s="45">
        <f t="shared" si="75"/>
        <v>0</v>
      </c>
      <c r="I117" s="453"/>
      <c r="J117" s="46"/>
      <c r="K117" s="44"/>
      <c r="L117" s="47"/>
      <c r="M117" s="464"/>
      <c r="N117" s="44"/>
      <c r="O117" s="47"/>
      <c r="P117" s="48"/>
      <c r="Q117" s="49"/>
      <c r="R117" s="457"/>
      <c r="S117" s="707"/>
      <c r="T117" s="230"/>
      <c r="U117" s="230"/>
      <c r="V117" s="231"/>
      <c r="W117" s="466"/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0</v>
      </c>
      <c r="AG117" s="126" t="e">
        <f t="shared" si="62"/>
        <v>#DIV/0!</v>
      </c>
      <c r="AH117" s="681"/>
    </row>
    <row r="118" spans="1:34" s="221" customFormat="1" ht="19.2" customHeight="1">
      <c r="A118" s="704"/>
      <c r="B118" s="455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453"/>
      <c r="J118" s="46"/>
      <c r="K118" s="44"/>
      <c r="L118" s="47"/>
      <c r="M118" s="464"/>
      <c r="N118" s="44"/>
      <c r="O118" s="47"/>
      <c r="P118" s="48"/>
      <c r="Q118" s="49"/>
      <c r="R118" s="457"/>
      <c r="S118" s="707"/>
      <c r="T118" s="230"/>
      <c r="U118" s="230"/>
      <c r="V118" s="231"/>
      <c r="W118" s="466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453"/>
      <c r="J119" s="181"/>
      <c r="K119" s="235"/>
      <c r="L119" s="47"/>
      <c r="M119" s="464"/>
      <c r="N119" s="182"/>
      <c r="O119" s="228"/>
      <c r="P119" s="168"/>
      <c r="Q119" s="49"/>
      <c r="R119" s="457"/>
      <c r="S119" s="707"/>
      <c r="T119" s="230"/>
      <c r="U119" s="230"/>
      <c r="V119" s="231"/>
      <c r="W119" s="466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453"/>
      <c r="J120" s="181"/>
      <c r="K120" s="235"/>
      <c r="L120" s="47"/>
      <c r="M120" s="464"/>
      <c r="N120" s="182"/>
      <c r="O120" s="228"/>
      <c r="P120" s="168"/>
      <c r="Q120" s="49"/>
      <c r="R120" s="457"/>
      <c r="S120" s="707"/>
      <c r="T120" s="230"/>
      <c r="U120" s="230"/>
      <c r="V120" s="231"/>
      <c r="W120" s="466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22</v>
      </c>
      <c r="D121" s="236" t="s">
        <v>245</v>
      </c>
      <c r="E121" s="237"/>
      <c r="F121" s="370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M121:O121" si="78">AVERAGE(M109:M120)</f>
        <v>15.875</v>
      </c>
      <c r="N121" s="205">
        <f t="shared" si="78"/>
        <v>1311.7660901713336</v>
      </c>
      <c r="O121" s="206">
        <f t="shared" si="78"/>
        <v>85.493494797996803</v>
      </c>
      <c r="P121" s="48">
        <f t="shared" ref="P121:P129" si="79">M121-J121</f>
        <v>0.125</v>
      </c>
      <c r="Q121" s="49">
        <f t="shared" ref="Q121:Q129" si="80">O121-L121</f>
        <v>-11.625552821050817</v>
      </c>
      <c r="R121" s="175">
        <f t="shared" ref="R121:R129" si="81">O121/L121</f>
        <v>0.88029585229611806</v>
      </c>
      <c r="S121" s="686"/>
      <c r="T121" s="50"/>
      <c r="U121" s="50"/>
      <c r="V121" s="44"/>
      <c r="W121" s="46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0</v>
      </c>
      <c r="AE121" s="107">
        <f>SUM(AE109:AE120)</f>
        <v>0</v>
      </c>
      <c r="AF121" s="48">
        <f>N121-K121</f>
        <v>-165.73390982866636</v>
      </c>
      <c r="AG121" s="126">
        <f>N121/K121</f>
        <v>0.88782814901613105</v>
      </c>
      <c r="AH121" s="681"/>
    </row>
    <row r="122" spans="1:34" ht="19.2" customHeight="1">
      <c r="A122" s="708" t="s">
        <v>252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1419</v>
      </c>
      <c r="H122" s="45">
        <f t="shared" ref="H122:H132" si="82">F122*G122</f>
        <v>83252.73</v>
      </c>
      <c r="I122" s="455"/>
      <c r="J122" s="46">
        <v>19</v>
      </c>
      <c r="K122" s="44">
        <v>1440</v>
      </c>
      <c r="L122" s="47">
        <v>75.78947368421052</v>
      </c>
      <c r="M122" s="467">
        <v>19</v>
      </c>
      <c r="N122" s="177">
        <f t="shared" ref="N122:N129" si="83">G122/W122*60</f>
        <v>1330.3125000000016</v>
      </c>
      <c r="O122" s="241">
        <f t="shared" ref="O122:O129" si="84">N122/M122</f>
        <v>70.01644736842114</v>
      </c>
      <c r="P122" s="108">
        <f t="shared" si="79"/>
        <v>0</v>
      </c>
      <c r="Q122" s="185">
        <f t="shared" si="80"/>
        <v>-5.7730263157893802</v>
      </c>
      <c r="R122" s="109">
        <f t="shared" si="81"/>
        <v>0.92382812500000122</v>
      </c>
      <c r="S122" s="672">
        <f>R134</f>
        <v>0.88611514205789677</v>
      </c>
      <c r="T122" s="50">
        <v>0.5</v>
      </c>
      <c r="U122" s="50">
        <v>0.5444444444444444</v>
      </c>
      <c r="V122" s="231">
        <v>5</v>
      </c>
      <c r="W122" s="466">
        <f t="shared" si="70"/>
        <v>63.999999999999929</v>
      </c>
      <c r="X122" s="53"/>
      <c r="Y122" s="53"/>
      <c r="Z122" s="54"/>
      <c r="AA122" s="54"/>
      <c r="AB122" s="658"/>
      <c r="AC122" s="658"/>
      <c r="AD122" s="453"/>
      <c r="AE122" s="453"/>
      <c r="AF122" s="48">
        <f t="shared" si="61"/>
        <v>-109.68749999999841</v>
      </c>
      <c r="AG122" s="457">
        <f t="shared" si="62"/>
        <v>0.92382812500000111</v>
      </c>
      <c r="AH122" s="686">
        <f>AG134</f>
        <v>0.89961059606152849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1799</v>
      </c>
      <c r="H123" s="45">
        <f t="shared" si="82"/>
        <v>107076.48000000001</v>
      </c>
      <c r="I123" s="453"/>
      <c r="J123" s="87">
        <v>21</v>
      </c>
      <c r="K123" s="57">
        <v>1385</v>
      </c>
      <c r="L123" s="86">
        <v>65.952380952380949</v>
      </c>
      <c r="M123" s="464">
        <v>21</v>
      </c>
      <c r="N123" s="57">
        <f t="shared" si="83"/>
        <v>1284.9999999999995</v>
      </c>
      <c r="O123" s="86">
        <f t="shared" si="84"/>
        <v>61.190476190476168</v>
      </c>
      <c r="P123" s="54">
        <f t="shared" si="79"/>
        <v>0</v>
      </c>
      <c r="Q123" s="88">
        <f t="shared" si="80"/>
        <v>-4.7619047619047805</v>
      </c>
      <c r="R123" s="454">
        <f t="shared" si="81"/>
        <v>0.9277978339350178</v>
      </c>
      <c r="S123" s="672"/>
      <c r="T123" s="50">
        <v>0.55972222222222212</v>
      </c>
      <c r="U123" s="50">
        <v>0.61805555555555547</v>
      </c>
      <c r="V123" s="231">
        <v>22</v>
      </c>
      <c r="W123" s="466">
        <f>(U123-T123)*24*60</f>
        <v>84.000000000000028</v>
      </c>
      <c r="X123" s="53">
        <v>0.54791666666666672</v>
      </c>
      <c r="Y123" s="53">
        <v>0.55694444444444446</v>
      </c>
      <c r="Z123" s="54"/>
      <c r="AA123" s="54"/>
      <c r="AB123" s="658"/>
      <c r="AC123" s="658"/>
      <c r="AD123" s="453"/>
      <c r="AE123" s="453"/>
      <c r="AF123" s="48">
        <f t="shared" si="61"/>
        <v>-100.00000000000045</v>
      </c>
      <c r="AG123" s="457">
        <f t="shared" si="62"/>
        <v>0.92779783393501769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1230</v>
      </c>
      <c r="H124" s="45">
        <f t="shared" si="82"/>
        <v>69851.7</v>
      </c>
      <c r="I124" s="242"/>
      <c r="J124" s="87">
        <v>18</v>
      </c>
      <c r="K124" s="57">
        <v>1636</v>
      </c>
      <c r="L124" s="86">
        <v>90.888888888888886</v>
      </c>
      <c r="M124" s="467">
        <v>18</v>
      </c>
      <c r="N124" s="177">
        <f t="shared" si="83"/>
        <v>1537.5000000000005</v>
      </c>
      <c r="O124" s="241">
        <f t="shared" si="84"/>
        <v>85.416666666666686</v>
      </c>
      <c r="P124" s="108">
        <f t="shared" si="79"/>
        <v>0</v>
      </c>
      <c r="Q124" s="185">
        <f t="shared" si="80"/>
        <v>-5.4722222222222001</v>
      </c>
      <c r="R124" s="109">
        <f t="shared" si="81"/>
        <v>0.93979217603912002</v>
      </c>
      <c r="S124" s="709"/>
      <c r="T124" s="50">
        <v>0.70833333333333337</v>
      </c>
      <c r="U124" s="50">
        <v>0.7416666666666667</v>
      </c>
      <c r="V124" s="231">
        <v>5</v>
      </c>
      <c r="W124" s="243">
        <f>(U124-T124)*24*60</f>
        <v>47.999999999999986</v>
      </c>
      <c r="X124" s="191"/>
      <c r="Y124" s="191"/>
      <c r="Z124" s="54"/>
      <c r="AA124" s="54"/>
      <c r="AB124" s="658"/>
      <c r="AC124" s="658"/>
      <c r="AD124" s="453"/>
      <c r="AE124" s="453"/>
      <c r="AF124" s="108">
        <f t="shared" si="61"/>
        <v>-98.499999999999545</v>
      </c>
      <c r="AG124" s="109">
        <f t="shared" si="62"/>
        <v>0.93979217603912013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945</v>
      </c>
      <c r="H125" s="45">
        <f t="shared" si="82"/>
        <v>53742.149999999994</v>
      </c>
      <c r="I125" s="455"/>
      <c r="J125" s="87">
        <v>18</v>
      </c>
      <c r="K125" s="57">
        <v>1636</v>
      </c>
      <c r="L125" s="86">
        <v>90.888888888888886</v>
      </c>
      <c r="M125" s="467">
        <v>18</v>
      </c>
      <c r="N125" s="57">
        <f t="shared" si="83"/>
        <v>1492.1052631578937</v>
      </c>
      <c r="O125" s="86">
        <f t="shared" si="84"/>
        <v>82.894736842105203</v>
      </c>
      <c r="P125" s="54">
        <f t="shared" si="79"/>
        <v>0</v>
      </c>
      <c r="Q125" s="88">
        <f t="shared" si="80"/>
        <v>-7.9941520467836824</v>
      </c>
      <c r="R125" s="454">
        <f t="shared" si="81"/>
        <v>0.91204478188135307</v>
      </c>
      <c r="S125" s="709"/>
      <c r="T125" s="50">
        <v>0.74583333333333335</v>
      </c>
      <c r="U125" s="50">
        <v>0.77222222222222225</v>
      </c>
      <c r="V125" s="231">
        <v>6</v>
      </c>
      <c r="W125" s="243">
        <f t="shared" ref="W125:W133" si="85">(U125-T125)*24*60</f>
        <v>38.000000000000028</v>
      </c>
      <c r="X125" s="64"/>
      <c r="Y125" s="64"/>
      <c r="Z125" s="54"/>
      <c r="AA125" s="54"/>
      <c r="AB125" s="658"/>
      <c r="AC125" s="658"/>
      <c r="AD125" s="453"/>
      <c r="AE125" s="453"/>
      <c r="AF125" s="48">
        <f t="shared" si="61"/>
        <v>-143.89473684210634</v>
      </c>
      <c r="AG125" s="457">
        <f t="shared" si="62"/>
        <v>0.91204478188135307</v>
      </c>
      <c r="AH125" s="673"/>
    </row>
    <row r="126" spans="1:34" ht="19.2" customHeight="1">
      <c r="A126" s="708"/>
      <c r="B126" s="131" t="s">
        <v>185</v>
      </c>
      <c r="C126" s="453"/>
      <c r="D126" s="42" t="s">
        <v>113</v>
      </c>
      <c r="E126" s="180"/>
      <c r="F126" s="361">
        <v>54.09</v>
      </c>
      <c r="G126" s="57">
        <v>879</v>
      </c>
      <c r="H126" s="45">
        <f t="shared" si="82"/>
        <v>47545.11</v>
      </c>
      <c r="I126" s="453"/>
      <c r="J126" s="87">
        <v>17</v>
      </c>
      <c r="K126" s="57">
        <v>1565</v>
      </c>
      <c r="L126" s="86">
        <v>92.058823529411768</v>
      </c>
      <c r="M126" s="464">
        <v>18</v>
      </c>
      <c r="N126" s="57">
        <f t="shared" si="83"/>
        <v>1387.8947368421043</v>
      </c>
      <c r="O126" s="86">
        <f t="shared" si="84"/>
        <v>77.105263157894683</v>
      </c>
      <c r="P126" s="54">
        <f t="shared" si="79"/>
        <v>1</v>
      </c>
      <c r="Q126" s="88">
        <f t="shared" si="80"/>
        <v>-14.953560371517085</v>
      </c>
      <c r="R126" s="454">
        <f t="shared" si="81"/>
        <v>0.83756515890364824</v>
      </c>
      <c r="S126" s="709"/>
      <c r="T126" s="50">
        <v>0.77708333333333335</v>
      </c>
      <c r="U126" s="50">
        <v>0.80347222222222225</v>
      </c>
      <c r="V126" s="231">
        <v>7</v>
      </c>
      <c r="W126" s="243">
        <f t="shared" si="85"/>
        <v>38.000000000000028</v>
      </c>
      <c r="X126" s="64"/>
      <c r="Y126" s="64"/>
      <c r="Z126" s="54"/>
      <c r="AA126" s="54"/>
      <c r="AB126" s="658"/>
      <c r="AC126" s="658"/>
      <c r="AD126" s="453"/>
      <c r="AE126" s="453"/>
      <c r="AF126" s="108">
        <f t="shared" si="61"/>
        <v>-177.10526315789571</v>
      </c>
      <c r="AG126" s="109">
        <f t="shared" si="62"/>
        <v>0.88683369766268649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1211</v>
      </c>
      <c r="H127" s="45">
        <f t="shared" si="82"/>
        <v>57643.6</v>
      </c>
      <c r="I127" s="224"/>
      <c r="J127" s="87">
        <v>19</v>
      </c>
      <c r="K127" s="57">
        <v>1440</v>
      </c>
      <c r="L127" s="86">
        <v>75.78947368421052</v>
      </c>
      <c r="M127" s="467">
        <v>19</v>
      </c>
      <c r="N127" s="177">
        <f t="shared" si="83"/>
        <v>1345.5555555555563</v>
      </c>
      <c r="O127" s="241">
        <f t="shared" si="84"/>
        <v>70.818713450292435</v>
      </c>
      <c r="P127" s="108">
        <f t="shared" si="79"/>
        <v>0</v>
      </c>
      <c r="Q127" s="185">
        <f t="shared" si="80"/>
        <v>-4.9707602339180852</v>
      </c>
      <c r="R127" s="109">
        <f t="shared" si="81"/>
        <v>0.93441358024691412</v>
      </c>
      <c r="S127" s="709"/>
      <c r="T127" s="50">
        <v>0.81944444444444442</v>
      </c>
      <c r="U127" s="50">
        <v>0.8569444444444444</v>
      </c>
      <c r="V127" s="455">
        <v>23</v>
      </c>
      <c r="W127" s="243">
        <f t="shared" si="85"/>
        <v>53.999999999999972</v>
      </c>
      <c r="X127" s="64">
        <v>0.80694444444444446</v>
      </c>
      <c r="Y127" s="64">
        <v>0.81666666666666676</v>
      </c>
      <c r="Z127" s="54"/>
      <c r="AA127" s="54"/>
      <c r="AB127" s="658"/>
      <c r="AC127" s="658"/>
      <c r="AD127" s="453"/>
      <c r="AE127" s="453"/>
      <c r="AF127" s="108">
        <f t="shared" si="61"/>
        <v>-94.444444444443661</v>
      </c>
      <c r="AG127" s="109">
        <f t="shared" si="62"/>
        <v>0.93441358024691412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352</v>
      </c>
      <c r="H128" s="45">
        <f t="shared" si="82"/>
        <v>17835.84</v>
      </c>
      <c r="I128" s="453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1242.3529411764748</v>
      </c>
      <c r="O128" s="86">
        <f t="shared" si="84"/>
        <v>59.15966386554642</v>
      </c>
      <c r="P128" s="54">
        <f t="shared" si="79"/>
        <v>0</v>
      </c>
      <c r="Q128" s="88">
        <f t="shared" si="80"/>
        <v>-18.745098039215478</v>
      </c>
      <c r="R128" s="454">
        <f t="shared" si="81"/>
        <v>0.75938443837192848</v>
      </c>
      <c r="S128" s="709"/>
      <c r="T128" s="50">
        <v>0.86180555555555549</v>
      </c>
      <c r="U128" s="50">
        <v>0.87361111111111101</v>
      </c>
      <c r="V128" s="455">
        <v>7</v>
      </c>
      <c r="W128" s="243">
        <f t="shared" si="85"/>
        <v>16.99999999999994</v>
      </c>
      <c r="X128" s="64"/>
      <c r="Y128" s="64"/>
      <c r="Z128" s="54"/>
      <c r="AA128" s="54"/>
      <c r="AB128" s="658"/>
      <c r="AC128" s="658"/>
      <c r="AD128" s="453"/>
      <c r="AE128" s="453"/>
      <c r="AF128" s="108">
        <f t="shared" si="61"/>
        <v>-393.64705882352519</v>
      </c>
      <c r="AG128" s="109">
        <f t="shared" si="62"/>
        <v>0.75938443837192837</v>
      </c>
      <c r="AH128" s="673"/>
    </row>
    <row r="129" spans="1:34" ht="19.2" customHeight="1">
      <c r="A129" s="708"/>
      <c r="B129" s="131" t="s">
        <v>185</v>
      </c>
      <c r="C129" s="160"/>
      <c r="D129" s="59" t="s">
        <v>121</v>
      </c>
      <c r="E129" s="60"/>
      <c r="F129" s="361">
        <v>50.49</v>
      </c>
      <c r="G129" s="57">
        <v>1268</v>
      </c>
      <c r="H129" s="45">
        <f t="shared" si="82"/>
        <v>64021.32</v>
      </c>
      <c r="I129" s="453"/>
      <c r="J129" s="87">
        <v>14</v>
      </c>
      <c r="K129" s="57">
        <v>1440</v>
      </c>
      <c r="L129" s="86">
        <v>102.85714285714286</v>
      </c>
      <c r="M129" s="464">
        <v>15</v>
      </c>
      <c r="N129" s="57">
        <f t="shared" si="83"/>
        <v>1334.7368421052643</v>
      </c>
      <c r="O129" s="86">
        <f t="shared" si="84"/>
        <v>88.982456140350948</v>
      </c>
      <c r="P129" s="54">
        <f t="shared" si="79"/>
        <v>1</v>
      </c>
      <c r="Q129" s="88">
        <f t="shared" si="80"/>
        <v>-13.874686716791913</v>
      </c>
      <c r="R129" s="454">
        <f t="shared" si="81"/>
        <v>0.86510721247563416</v>
      </c>
      <c r="S129" s="709"/>
      <c r="T129" s="50">
        <v>0.87777777777777766</v>
      </c>
      <c r="U129" s="50">
        <v>0.91736111111111096</v>
      </c>
      <c r="V129" s="455">
        <v>6</v>
      </c>
      <c r="W129" s="243">
        <f t="shared" si="85"/>
        <v>56.999999999999957</v>
      </c>
      <c r="X129" s="64"/>
      <c r="Y129" s="64"/>
      <c r="Z129" s="54"/>
      <c r="AA129" s="54"/>
      <c r="AB129" s="658"/>
      <c r="AC129" s="658"/>
      <c r="AD129" s="453"/>
      <c r="AE129" s="453"/>
      <c r="AF129" s="108"/>
      <c r="AG129" s="109"/>
      <c r="AH129" s="673"/>
    </row>
    <row r="130" spans="1:34" ht="19.2" customHeight="1">
      <c r="A130" s="708"/>
      <c r="B130" s="203">
        <v>0</v>
      </c>
      <c r="C130" s="160"/>
      <c r="D130" s="59"/>
      <c r="E130" s="60"/>
      <c r="F130" s="361" t="s">
        <v>186</v>
      </c>
      <c r="G130" s="57"/>
      <c r="H130" s="45">
        <f t="shared" si="82"/>
        <v>0</v>
      </c>
      <c r="I130" s="453"/>
      <c r="J130" s="87"/>
      <c r="K130" s="57"/>
      <c r="L130" s="86"/>
      <c r="M130" s="464"/>
      <c r="N130" s="177"/>
      <c r="O130" s="241"/>
      <c r="P130" s="108"/>
      <c r="Q130" s="185"/>
      <c r="R130" s="109"/>
      <c r="S130" s="709"/>
      <c r="T130" s="50"/>
      <c r="U130" s="50"/>
      <c r="V130" s="455"/>
      <c r="W130" s="243"/>
      <c r="X130" s="64"/>
      <c r="Y130" s="64"/>
      <c r="Z130" s="54"/>
      <c r="AA130" s="54"/>
      <c r="AB130" s="658"/>
      <c r="AC130" s="658"/>
      <c r="AD130" s="453"/>
      <c r="AE130" s="453"/>
      <c r="AF130" s="65"/>
      <c r="AG130" s="458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54"/>
      <c r="S131" s="709"/>
      <c r="T131" s="50"/>
      <c r="U131" s="50"/>
      <c r="V131" s="455"/>
      <c r="W131" s="243"/>
      <c r="X131" s="64"/>
      <c r="Y131" s="64"/>
      <c r="Z131" s="54"/>
      <c r="AA131" s="54"/>
      <c r="AB131" s="658"/>
      <c r="AC131" s="658"/>
      <c r="AD131" s="453"/>
      <c r="AE131" s="453"/>
      <c r="AF131" s="65"/>
      <c r="AG131" s="458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453"/>
      <c r="J132" s="87"/>
      <c r="K132" s="57"/>
      <c r="L132" s="86"/>
      <c r="M132" s="464"/>
      <c r="N132" s="57"/>
      <c r="O132" s="86"/>
      <c r="P132" s="54"/>
      <c r="Q132" s="88"/>
      <c r="R132" s="454"/>
      <c r="S132" s="709"/>
      <c r="T132" s="50"/>
      <c r="U132" s="50"/>
      <c r="V132" s="455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453"/>
      <c r="AE132" s="453"/>
      <c r="AF132" s="65"/>
      <c r="AG132" s="458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453"/>
      <c r="J133" s="87"/>
      <c r="K133" s="57"/>
      <c r="L133" s="86"/>
      <c r="M133" s="464"/>
      <c r="N133" s="57"/>
      <c r="O133" s="86"/>
      <c r="P133" s="54"/>
      <c r="Q133" s="88"/>
      <c r="R133" s="454"/>
      <c r="S133" s="709"/>
      <c r="T133" s="50"/>
      <c r="U133" s="50"/>
      <c r="V133" s="455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453"/>
      <c r="AE133" s="453"/>
      <c r="AF133" s="65"/>
      <c r="AG133" s="458"/>
      <c r="AH133" s="673"/>
    </row>
    <row r="134" spans="1:34" ht="19.2" customHeight="1">
      <c r="A134" s="708"/>
      <c r="B134" s="171">
        <v>0</v>
      </c>
      <c r="C134" s="100" t="s">
        <v>23</v>
      </c>
      <c r="D134" s="687" t="s">
        <v>245</v>
      </c>
      <c r="E134" s="687"/>
      <c r="F134" s="371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1369.4322298546617</v>
      </c>
      <c r="O134" s="247">
        <f t="shared" si="86"/>
        <v>74.448052960219201</v>
      </c>
      <c r="P134" s="51">
        <f t="shared" ref="P134:P142" si="87">M134-J134</f>
        <v>0.25</v>
      </c>
      <c r="Q134" s="142">
        <f t="shared" ref="Q134:Q142" si="88">O134-L134</f>
        <v>-9.5681763385178442</v>
      </c>
      <c r="R134" s="248">
        <f t="shared" ref="R134:R142" si="89">O134/L134</f>
        <v>0.88611514205789677</v>
      </c>
      <c r="S134" s="672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0</v>
      </c>
      <c r="AE134" s="107">
        <f>SUM(AE122:AE133)</f>
        <v>0</v>
      </c>
      <c r="AF134" s="48">
        <f t="shared" si="61"/>
        <v>-152.81777014533827</v>
      </c>
      <c r="AG134" s="457">
        <f t="shared" si="62"/>
        <v>0.89961059606152849</v>
      </c>
      <c r="AH134" s="673"/>
    </row>
    <row r="135" spans="1:34" ht="19.2" customHeight="1">
      <c r="A135" s="710" t="s">
        <v>253</v>
      </c>
      <c r="B135" s="455" t="s">
        <v>185</v>
      </c>
      <c r="C135" s="453"/>
      <c r="D135" s="82" t="s">
        <v>101</v>
      </c>
      <c r="E135" s="83"/>
      <c r="F135" s="361">
        <v>53.68</v>
      </c>
      <c r="G135" s="57">
        <v>796</v>
      </c>
      <c r="H135" s="249">
        <f t="shared" ref="H135:H146" si="90">F135*G135</f>
        <v>42729.279999999999</v>
      </c>
      <c r="I135" s="453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1404.7058823529394</v>
      </c>
      <c r="O135" s="116">
        <f t="shared" ref="O135:O142" si="92">N135/M135</f>
        <v>87.794117647058712</v>
      </c>
      <c r="P135" s="54">
        <f t="shared" si="87"/>
        <v>0</v>
      </c>
      <c r="Q135" s="88">
        <f t="shared" si="88"/>
        <v>-5.9558823529412876</v>
      </c>
      <c r="R135" s="454">
        <f t="shared" si="89"/>
        <v>0.93647058823529294</v>
      </c>
      <c r="S135" s="707">
        <f>R147</f>
        <v>0.92842847793912553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69"/>
      <c r="Y135" s="469"/>
      <c r="Z135" s="54"/>
      <c r="AA135" s="54"/>
      <c r="AB135" s="658"/>
      <c r="AC135" s="658"/>
      <c r="AD135" s="453"/>
      <c r="AE135" s="453"/>
      <c r="AF135" s="117">
        <f t="shared" si="61"/>
        <v>-95.294117647060602</v>
      </c>
      <c r="AG135" s="121">
        <f t="shared" si="62"/>
        <v>0.93647058823529294</v>
      </c>
      <c r="AH135" s="681">
        <f>AG147</f>
        <v>0.92893925779031428</v>
      </c>
    </row>
    <row r="136" spans="1:34" ht="19.2" customHeight="1">
      <c r="A136" s="711"/>
      <c r="B136" s="455" t="s">
        <v>185</v>
      </c>
      <c r="C136" s="453"/>
      <c r="D136" s="82" t="s">
        <v>102</v>
      </c>
      <c r="E136" s="252"/>
      <c r="F136" s="361">
        <v>57.734999999999999</v>
      </c>
      <c r="G136" s="57">
        <v>1628</v>
      </c>
      <c r="H136" s="84">
        <f t="shared" si="90"/>
        <v>93992.58</v>
      </c>
      <c r="I136" s="453"/>
      <c r="J136" s="46">
        <v>16</v>
      </c>
      <c r="K136" s="57">
        <v>1565</v>
      </c>
      <c r="L136" s="86">
        <v>97.8125</v>
      </c>
      <c r="M136" s="464">
        <v>16</v>
      </c>
      <c r="N136" s="57">
        <f t="shared" si="91"/>
        <v>1395.4285714285702</v>
      </c>
      <c r="O136" s="86">
        <f t="shared" si="92"/>
        <v>87.214285714285637</v>
      </c>
      <c r="P136" s="54">
        <f t="shared" si="87"/>
        <v>0</v>
      </c>
      <c r="Q136" s="88">
        <f t="shared" si="88"/>
        <v>-10.598214285714363</v>
      </c>
      <c r="R136" s="454">
        <f t="shared" si="89"/>
        <v>0.89164764947512476</v>
      </c>
      <c r="S136" s="707"/>
      <c r="T136" s="250">
        <v>0.52847222222222223</v>
      </c>
      <c r="U136" s="50">
        <v>0.57708333333333339</v>
      </c>
      <c r="V136" s="145">
        <v>7</v>
      </c>
      <c r="W136" s="251">
        <f t="shared" si="93"/>
        <v>70.000000000000071</v>
      </c>
      <c r="X136" s="53"/>
      <c r="Y136" s="53"/>
      <c r="Z136" s="54"/>
      <c r="AA136" s="54"/>
      <c r="AB136" s="658"/>
      <c r="AC136" s="658"/>
      <c r="AD136" s="453"/>
      <c r="AE136" s="453"/>
      <c r="AF136" s="48">
        <f t="shared" si="61"/>
        <v>-169.57142857142981</v>
      </c>
      <c r="AG136" s="126">
        <f t="shared" si="62"/>
        <v>0.89164764947512476</v>
      </c>
      <c r="AH136" s="681"/>
    </row>
    <row r="137" spans="1:34" ht="19.2" customHeight="1">
      <c r="A137" s="711"/>
      <c r="B137" s="455" t="s">
        <v>185</v>
      </c>
      <c r="C137" s="453"/>
      <c r="D137" s="82" t="s">
        <v>116</v>
      </c>
      <c r="E137" s="83"/>
      <c r="F137" s="361">
        <v>50.67</v>
      </c>
      <c r="G137" s="212">
        <v>919</v>
      </c>
      <c r="H137" s="84">
        <f t="shared" si="90"/>
        <v>46565.73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1378.4999999999995</v>
      </c>
      <c r="O137" s="86">
        <f t="shared" si="92"/>
        <v>81.088235294117624</v>
      </c>
      <c r="P137" s="54">
        <f t="shared" si="87"/>
        <v>0</v>
      </c>
      <c r="Q137" s="88">
        <f t="shared" si="88"/>
        <v>-7.1470588235294343</v>
      </c>
      <c r="R137" s="454">
        <f t="shared" si="89"/>
        <v>0.91899999999999971</v>
      </c>
      <c r="S137" s="707"/>
      <c r="T137" s="50">
        <v>0.70833333333333337</v>
      </c>
      <c r="U137" s="50">
        <v>0.73611111111111116</v>
      </c>
      <c r="V137" s="253">
        <v>5</v>
      </c>
      <c r="W137" s="251">
        <f t="shared" si="93"/>
        <v>40.000000000000014</v>
      </c>
      <c r="X137" s="53"/>
      <c r="Y137" s="53"/>
      <c r="Z137" s="54"/>
      <c r="AA137" s="54"/>
      <c r="AB137" s="658"/>
      <c r="AC137" s="658"/>
      <c r="AD137" s="453"/>
      <c r="AE137" s="453"/>
      <c r="AF137" s="48">
        <f t="shared" si="61"/>
        <v>-121.50000000000045</v>
      </c>
      <c r="AG137" s="126">
        <f t="shared" si="62"/>
        <v>0.91899999999999971</v>
      </c>
      <c r="AH137" s="681"/>
    </row>
    <row r="138" spans="1:34" ht="19.2" customHeight="1">
      <c r="A138" s="711"/>
      <c r="B138" s="455" t="s">
        <v>185</v>
      </c>
      <c r="C138" s="226"/>
      <c r="D138" s="82" t="s">
        <v>117</v>
      </c>
      <c r="E138" s="83"/>
      <c r="F138" s="361">
        <v>50.98</v>
      </c>
      <c r="G138" s="57">
        <v>1673</v>
      </c>
      <c r="H138" s="84">
        <f t="shared" si="90"/>
        <v>85289.54</v>
      </c>
      <c r="I138" s="453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1356.4864864864855</v>
      </c>
      <c r="O138" s="86">
        <f t="shared" si="92"/>
        <v>67.82432432432428</v>
      </c>
      <c r="P138" s="54">
        <f t="shared" si="87"/>
        <v>0</v>
      </c>
      <c r="Q138" s="88">
        <f t="shared" si="88"/>
        <v>-4.1756756756757198</v>
      </c>
      <c r="R138" s="459">
        <f t="shared" si="89"/>
        <v>0.9420045045045039</v>
      </c>
      <c r="S138" s="707"/>
      <c r="T138" s="50">
        <v>0.74027777777777781</v>
      </c>
      <c r="U138" s="50">
        <v>0.79166666666666674</v>
      </c>
      <c r="V138" s="253">
        <v>6</v>
      </c>
      <c r="W138" s="251">
        <f t="shared" si="93"/>
        <v>74.000000000000057</v>
      </c>
      <c r="X138" s="53"/>
      <c r="Y138" s="53"/>
      <c r="Z138" s="54"/>
      <c r="AA138" s="54"/>
      <c r="AB138" s="658"/>
      <c r="AC138" s="658"/>
      <c r="AD138" s="453"/>
      <c r="AE138" s="453"/>
      <c r="AF138" s="48">
        <f t="shared" si="61"/>
        <v>-83.513513513514454</v>
      </c>
      <c r="AG138" s="126">
        <f t="shared" si="62"/>
        <v>0.9420045045045039</v>
      </c>
      <c r="AH138" s="681"/>
    </row>
    <row r="139" spans="1:34" ht="19.2" customHeight="1">
      <c r="A139" s="711"/>
      <c r="B139" s="455" t="s">
        <v>185</v>
      </c>
      <c r="C139" s="462"/>
      <c r="D139" s="42" t="s">
        <v>118</v>
      </c>
      <c r="E139" s="43"/>
      <c r="F139" s="361">
        <v>54.09</v>
      </c>
      <c r="G139" s="57">
        <v>859</v>
      </c>
      <c r="H139" s="84">
        <f t="shared" si="90"/>
        <v>46463.310000000005</v>
      </c>
      <c r="I139" s="453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1392.972972972972</v>
      </c>
      <c r="O139" s="86">
        <f t="shared" si="92"/>
        <v>73.314366998577469</v>
      </c>
      <c r="P139" s="54">
        <f t="shared" si="87"/>
        <v>0</v>
      </c>
      <c r="Q139" s="88">
        <f t="shared" si="88"/>
        <v>-5.6330014224751608</v>
      </c>
      <c r="R139" s="454">
        <f t="shared" si="89"/>
        <v>0.92864864864864793</v>
      </c>
      <c r="S139" s="707"/>
      <c r="T139" s="50">
        <v>0.79652777777777783</v>
      </c>
      <c r="U139" s="50">
        <v>0.8222222222222223</v>
      </c>
      <c r="V139" s="254">
        <v>7</v>
      </c>
      <c r="W139" s="251">
        <f t="shared" si="93"/>
        <v>37.000000000000028</v>
      </c>
      <c r="X139" s="53"/>
      <c r="Y139" s="53"/>
      <c r="Z139" s="54"/>
      <c r="AA139" s="54"/>
      <c r="AB139" s="658"/>
      <c r="AC139" s="658"/>
      <c r="AD139" s="453"/>
      <c r="AE139" s="453"/>
      <c r="AF139" s="48">
        <f t="shared" si="61"/>
        <v>-107.027027027028</v>
      </c>
      <c r="AG139" s="126">
        <f t="shared" si="62"/>
        <v>0.92864864864864805</v>
      </c>
      <c r="AH139" s="681"/>
    </row>
    <row r="140" spans="1:34" ht="19.2" customHeight="1">
      <c r="A140" s="712"/>
      <c r="B140" s="455" t="s">
        <v>185</v>
      </c>
      <c r="C140" s="462"/>
      <c r="D140" s="255" t="s">
        <v>119</v>
      </c>
      <c r="E140" s="83"/>
      <c r="F140" s="361">
        <v>50.92</v>
      </c>
      <c r="G140" s="57">
        <v>1818</v>
      </c>
      <c r="H140" s="84">
        <f t="shared" si="90"/>
        <v>92572.56</v>
      </c>
      <c r="I140" s="453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1330.2439024390239</v>
      </c>
      <c r="O140" s="86">
        <f t="shared" si="92"/>
        <v>70.01283697047495</v>
      </c>
      <c r="P140" s="54">
        <f t="shared" si="87"/>
        <v>0</v>
      </c>
      <c r="Q140" s="88">
        <f t="shared" si="88"/>
        <v>-5.7766367137355701</v>
      </c>
      <c r="R140" s="454">
        <f t="shared" si="89"/>
        <v>0.92378048780487787</v>
      </c>
      <c r="S140" s="714"/>
      <c r="T140" s="63">
        <v>0.83750000000000002</v>
      </c>
      <c r="U140" s="256">
        <v>0.89444444444444449</v>
      </c>
      <c r="V140" s="257">
        <v>22</v>
      </c>
      <c r="W140" s="251">
        <f t="shared" si="93"/>
        <v>82.000000000000028</v>
      </c>
      <c r="X140" s="53">
        <v>0.8256944444444444</v>
      </c>
      <c r="Y140" s="53">
        <v>0.83472222222222225</v>
      </c>
      <c r="Z140" s="54"/>
      <c r="AA140" s="54"/>
      <c r="AB140" s="658"/>
      <c r="AC140" s="658"/>
      <c r="AD140" s="453"/>
      <c r="AE140" s="453"/>
      <c r="AF140" s="48">
        <f t="shared" si="61"/>
        <v>-109.75609756097606</v>
      </c>
      <c r="AG140" s="126">
        <f t="shared" si="62"/>
        <v>0.92378048780487776</v>
      </c>
      <c r="AH140" s="681"/>
    </row>
    <row r="141" spans="1:34" ht="19.2" customHeight="1">
      <c r="A141" s="712"/>
      <c r="B141" s="455" t="s">
        <v>185</v>
      </c>
      <c r="C141" s="462"/>
      <c r="D141" s="42" t="s">
        <v>120</v>
      </c>
      <c r="E141" s="258"/>
      <c r="F141" s="361">
        <v>50.67</v>
      </c>
      <c r="G141" s="57">
        <v>869</v>
      </c>
      <c r="H141" s="84">
        <f t="shared" si="90"/>
        <v>44032.23</v>
      </c>
      <c r="I141" s="453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1372.1052631578937</v>
      </c>
      <c r="O141" s="86">
        <f t="shared" si="92"/>
        <v>80.712074303405515</v>
      </c>
      <c r="P141" s="54">
        <f t="shared" si="87"/>
        <v>0</v>
      </c>
      <c r="Q141" s="88">
        <f t="shared" si="88"/>
        <v>-3.9938080495356587</v>
      </c>
      <c r="R141" s="454">
        <f t="shared" si="89"/>
        <v>0.95285087719298178</v>
      </c>
      <c r="S141" s="714"/>
      <c r="T141" s="63">
        <v>0.89861111111111114</v>
      </c>
      <c r="U141" s="256">
        <v>0.92500000000000004</v>
      </c>
      <c r="V141" s="55">
        <v>6</v>
      </c>
      <c r="W141" s="251">
        <f t="shared" si="93"/>
        <v>38.000000000000028</v>
      </c>
      <c r="X141" s="53"/>
      <c r="Y141" s="53"/>
      <c r="Z141" s="54"/>
      <c r="AA141" s="54"/>
      <c r="AB141" s="658"/>
      <c r="AC141" s="658"/>
      <c r="AD141" s="453"/>
      <c r="AE141" s="453"/>
      <c r="AF141" s="48">
        <f t="shared" si="61"/>
        <v>-67.89473684210634</v>
      </c>
      <c r="AG141" s="126">
        <f t="shared" si="62"/>
        <v>0.95285087719298167</v>
      </c>
      <c r="AH141" s="681"/>
    </row>
    <row r="142" spans="1:34" ht="19.2" customHeight="1">
      <c r="A142" s="712"/>
      <c r="B142" s="455" t="s">
        <v>185</v>
      </c>
      <c r="C142" s="462"/>
      <c r="D142" s="42" t="s">
        <v>123</v>
      </c>
      <c r="E142" s="258"/>
      <c r="F142" s="361">
        <v>57.3</v>
      </c>
      <c r="G142" s="57">
        <v>1128</v>
      </c>
      <c r="H142" s="84">
        <f t="shared" si="90"/>
        <v>64634.399999999994</v>
      </c>
      <c r="I142" s="453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1410.0000000000005</v>
      </c>
      <c r="O142" s="86">
        <f t="shared" si="92"/>
        <v>78.333333333333357</v>
      </c>
      <c r="P142" s="54">
        <f t="shared" si="87"/>
        <v>0</v>
      </c>
      <c r="Q142" s="88">
        <f t="shared" si="88"/>
        <v>-4.9999999999999716</v>
      </c>
      <c r="R142" s="454">
        <f t="shared" si="89"/>
        <v>0.94000000000000039</v>
      </c>
      <c r="S142" s="714"/>
      <c r="T142" s="63">
        <v>0.92986111111111114</v>
      </c>
      <c r="U142" s="256">
        <v>0.96319444444444446</v>
      </c>
      <c r="V142" s="55">
        <v>7</v>
      </c>
      <c r="W142" s="251">
        <f t="shared" si="93"/>
        <v>47.999999999999986</v>
      </c>
      <c r="X142" s="53"/>
      <c r="Y142" s="53"/>
      <c r="Z142" s="54"/>
      <c r="AA142" s="54"/>
      <c r="AB142" s="658"/>
      <c r="AC142" s="658"/>
      <c r="AD142" s="453"/>
      <c r="AE142" s="453"/>
      <c r="AF142" s="48">
        <f t="shared" si="61"/>
        <v>-89.999999999999545</v>
      </c>
      <c r="AG142" s="126">
        <f t="shared" si="62"/>
        <v>0.94000000000000028</v>
      </c>
      <c r="AH142" s="681"/>
    </row>
    <row r="143" spans="1:34" ht="19.2" customHeight="1">
      <c r="A143" s="712"/>
      <c r="B143" s="455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453"/>
      <c r="J143" s="46"/>
      <c r="K143" s="44"/>
      <c r="L143" s="47"/>
      <c r="M143" s="232"/>
      <c r="N143" s="57"/>
      <c r="O143" s="86"/>
      <c r="P143" s="54"/>
      <c r="Q143" s="88"/>
      <c r="R143" s="454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453"/>
      <c r="AE143" s="453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55">
        <v>0</v>
      </c>
      <c r="C144" s="462"/>
      <c r="D144" s="42"/>
      <c r="E144" s="258"/>
      <c r="F144" s="361" t="s">
        <v>186</v>
      </c>
      <c r="G144" s="57"/>
      <c r="H144" s="84">
        <f t="shared" si="90"/>
        <v>0</v>
      </c>
      <c r="I144" s="453"/>
      <c r="J144" s="46"/>
      <c r="K144" s="57"/>
      <c r="L144" s="86"/>
      <c r="M144" s="464"/>
      <c r="N144" s="57"/>
      <c r="O144" s="86"/>
      <c r="P144" s="54"/>
      <c r="Q144" s="88"/>
      <c r="R144" s="459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453"/>
      <c r="AE144" s="453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55">
        <v>0</v>
      </c>
      <c r="C145" s="462"/>
      <c r="D145" s="42"/>
      <c r="E145" s="258"/>
      <c r="F145" s="361" t="s">
        <v>186</v>
      </c>
      <c r="G145" s="57"/>
      <c r="H145" s="84">
        <f t="shared" si="90"/>
        <v>0</v>
      </c>
      <c r="I145" s="453"/>
      <c r="J145" s="87"/>
      <c r="K145" s="57"/>
      <c r="L145" s="86"/>
      <c r="M145" s="464"/>
      <c r="N145" s="57"/>
      <c r="O145" s="86"/>
      <c r="P145" s="54"/>
      <c r="Q145" s="88"/>
      <c r="R145" s="454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453"/>
      <c r="AE145" s="453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69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453"/>
      <c r="J146" s="87"/>
      <c r="K146" s="57"/>
      <c r="L146" s="86"/>
      <c r="M146" s="464"/>
      <c r="N146" s="57"/>
      <c r="O146" s="86"/>
      <c r="P146" s="54"/>
      <c r="Q146" s="88"/>
      <c r="R146" s="454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453"/>
      <c r="AE146" s="453"/>
      <c r="AF146" s="54"/>
      <c r="AG146" s="454"/>
      <c r="AH146" s="681"/>
    </row>
    <row r="147" spans="1:34" ht="19.2" customHeight="1">
      <c r="A147" s="713"/>
      <c r="B147" s="261">
        <v>0</v>
      </c>
      <c r="C147" s="100" t="s">
        <v>24</v>
      </c>
      <c r="D147" s="687" t="s">
        <v>245</v>
      </c>
      <c r="E147" s="687"/>
      <c r="F147" s="375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1380.0553848547356</v>
      </c>
      <c r="O147" s="247">
        <f t="shared" si="94"/>
        <v>78.28669682319719</v>
      </c>
      <c r="P147" s="51">
        <f t="shared" ref="P147:P153" si="95">M147-J147</f>
        <v>0</v>
      </c>
      <c r="Q147" s="142">
        <f t="shared" ref="Q147:Q153" si="96">O147-L147</f>
        <v>-6.0350346654509082</v>
      </c>
      <c r="R147" s="262">
        <f t="shared" ref="R147:R153" si="97">O147/L147</f>
        <v>0.92842847793912553</v>
      </c>
      <c r="S147" s="715"/>
      <c r="T147" s="63"/>
      <c r="U147" s="63"/>
      <c r="V147" s="55"/>
      <c r="W147" s="466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0</v>
      </c>
      <c r="AE147" s="107">
        <f>SUM(AE135:AE146)</f>
        <v>0</v>
      </c>
      <c r="AF147" s="207">
        <f t="shared" si="61"/>
        <v>-105.56961514526438</v>
      </c>
      <c r="AG147" s="263">
        <f t="shared" si="62"/>
        <v>0.92893925779031428</v>
      </c>
      <c r="AH147" s="681"/>
    </row>
    <row r="148" spans="1:34" ht="19.2" customHeight="1">
      <c r="A148" s="717" t="s">
        <v>254</v>
      </c>
      <c r="B148" s="453" t="s">
        <v>185</v>
      </c>
      <c r="C148" s="122"/>
      <c r="D148" s="176" t="s">
        <v>201</v>
      </c>
      <c r="E148" s="43"/>
      <c r="F148" s="368">
        <v>44.98</v>
      </c>
      <c r="G148" s="57">
        <v>1078</v>
      </c>
      <c r="H148" s="84">
        <f t="shared" ref="H148:H172" si="98">F148*G148</f>
        <v>48488.439999999995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1243.8461538461545</v>
      </c>
      <c r="O148" s="47">
        <f t="shared" ref="O148:O153" si="100">N148/M148</f>
        <v>65.465587044534445</v>
      </c>
      <c r="P148" s="48">
        <f t="shared" si="95"/>
        <v>0</v>
      </c>
      <c r="Q148" s="49">
        <f t="shared" si="96"/>
        <v>-13.481781376518185</v>
      </c>
      <c r="R148" s="457">
        <f t="shared" si="97"/>
        <v>0.82923076923076966</v>
      </c>
      <c r="S148" s="718">
        <f>R160</f>
        <v>0.84041741772261735</v>
      </c>
      <c r="T148" s="250">
        <v>0.70833333333333337</v>
      </c>
      <c r="U148" s="50">
        <v>0.74444444444444446</v>
      </c>
      <c r="V148" s="455">
        <v>5</v>
      </c>
      <c r="W148" s="466">
        <f>(U148-T148)*24*60</f>
        <v>51.999999999999972</v>
      </c>
      <c r="X148" s="53"/>
      <c r="Y148" s="53"/>
      <c r="Z148" s="54"/>
      <c r="AA148" s="54"/>
      <c r="AB148" s="658"/>
      <c r="AC148" s="658"/>
      <c r="AD148" s="453"/>
      <c r="AE148" s="453"/>
      <c r="AF148" s="48">
        <f t="shared" si="61"/>
        <v>-256.15384615384551</v>
      </c>
      <c r="AG148" s="126">
        <f t="shared" si="62"/>
        <v>0.82923076923076966</v>
      </c>
      <c r="AH148" s="681">
        <f>AG160</f>
        <v>0.8464058504540376</v>
      </c>
    </row>
    <row r="149" spans="1:34" ht="19.2" customHeight="1">
      <c r="A149" s="717"/>
      <c r="B149" s="453" t="s">
        <v>185</v>
      </c>
      <c r="C149" s="224"/>
      <c r="D149" s="255" t="s">
        <v>97</v>
      </c>
      <c r="E149" s="60"/>
      <c r="F149" s="368">
        <v>53.68</v>
      </c>
      <c r="G149" s="57">
        <v>971</v>
      </c>
      <c r="H149" s="84">
        <f t="shared" si="98"/>
        <v>52123.28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1239.5744680851067</v>
      </c>
      <c r="O149" s="47">
        <f t="shared" si="100"/>
        <v>61.978723404255334</v>
      </c>
      <c r="P149" s="48">
        <f t="shared" si="95"/>
        <v>0</v>
      </c>
      <c r="Q149" s="49">
        <f t="shared" si="96"/>
        <v>-13.021276595744666</v>
      </c>
      <c r="R149" s="457">
        <f t="shared" si="97"/>
        <v>0.82638297872340449</v>
      </c>
      <c r="S149" s="719"/>
      <c r="T149" s="250">
        <v>0.74930555555555556</v>
      </c>
      <c r="U149" s="50">
        <v>0.78194444444444444</v>
      </c>
      <c r="V149" s="455">
        <v>7</v>
      </c>
      <c r="W149" s="466">
        <f t="shared" ref="W149:W159" si="101">(U149-T149)*24*60</f>
        <v>46.999999999999993</v>
      </c>
      <c r="X149" s="53"/>
      <c r="Y149" s="53"/>
      <c r="Z149" s="54"/>
      <c r="AA149" s="54"/>
      <c r="AB149" s="658"/>
      <c r="AC149" s="658"/>
      <c r="AD149" s="453"/>
      <c r="AE149" s="453"/>
      <c r="AF149" s="48">
        <f t="shared" si="61"/>
        <v>-260.42553191489333</v>
      </c>
      <c r="AG149" s="126">
        <f t="shared" si="62"/>
        <v>0.82638297872340449</v>
      </c>
      <c r="AH149" s="721"/>
    </row>
    <row r="150" spans="1:34" ht="19.2" customHeight="1">
      <c r="A150" s="717"/>
      <c r="B150" s="453" t="s">
        <v>185</v>
      </c>
      <c r="C150" s="224"/>
      <c r="D150" s="179" t="s">
        <v>96</v>
      </c>
      <c r="E150" s="60"/>
      <c r="F150" s="368">
        <v>58.17</v>
      </c>
      <c r="G150" s="57">
        <v>936</v>
      </c>
      <c r="H150" s="84">
        <f t="shared" si="98"/>
        <v>54447.12</v>
      </c>
      <c r="I150" s="264"/>
      <c r="J150" s="87">
        <v>19</v>
      </c>
      <c r="K150" s="57">
        <v>1385</v>
      </c>
      <c r="L150" s="86">
        <v>72.89473684210526</v>
      </c>
      <c r="M150" s="232">
        <v>20</v>
      </c>
      <c r="N150" s="44">
        <f t="shared" si="99"/>
        <v>1194.8936170212769</v>
      </c>
      <c r="O150" s="47">
        <f t="shared" si="100"/>
        <v>59.744680851063848</v>
      </c>
      <c r="P150" s="48">
        <f t="shared" si="95"/>
        <v>1</v>
      </c>
      <c r="Q150" s="49">
        <f t="shared" si="96"/>
        <v>-13.150055991041413</v>
      </c>
      <c r="R150" s="457">
        <f t="shared" si="97"/>
        <v>0.8196021199784933</v>
      </c>
      <c r="S150" s="719"/>
      <c r="T150" s="250">
        <v>0.78611111111111109</v>
      </c>
      <c r="U150" s="50">
        <v>0.81874999999999998</v>
      </c>
      <c r="V150" s="455">
        <v>6</v>
      </c>
      <c r="W150" s="466">
        <f t="shared" si="101"/>
        <v>46.999999999999993</v>
      </c>
      <c r="X150" s="219"/>
      <c r="Y150" s="219"/>
      <c r="Z150" s="220"/>
      <c r="AA150" s="220"/>
      <c r="AB150" s="658"/>
      <c r="AC150" s="658"/>
      <c r="AD150" s="453"/>
      <c r="AE150" s="453"/>
      <c r="AF150" s="48">
        <f t="shared" si="61"/>
        <v>-190.1063829787231</v>
      </c>
      <c r="AG150" s="126">
        <f t="shared" si="62"/>
        <v>0.86273907366157176</v>
      </c>
      <c r="AH150" s="721"/>
    </row>
    <row r="151" spans="1:34" s="221" customFormat="1" ht="19.2" customHeight="1">
      <c r="A151" s="717"/>
      <c r="B151" s="453" t="s">
        <v>185</v>
      </c>
      <c r="C151" s="224"/>
      <c r="D151" s="59" t="s">
        <v>108</v>
      </c>
      <c r="E151" s="60"/>
      <c r="F151" s="368">
        <v>57.73</v>
      </c>
      <c r="G151" s="57">
        <v>804</v>
      </c>
      <c r="H151" s="84">
        <f t="shared" si="98"/>
        <v>46414.92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9"/>
        <v>1205.9999999999995</v>
      </c>
      <c r="O151" s="47">
        <f t="shared" si="100"/>
        <v>75.374999999999972</v>
      </c>
      <c r="P151" s="48">
        <f t="shared" si="95"/>
        <v>0</v>
      </c>
      <c r="Q151" s="49">
        <f t="shared" si="96"/>
        <v>-14.625000000000028</v>
      </c>
      <c r="R151" s="457">
        <f t="shared" si="97"/>
        <v>0.83749999999999969</v>
      </c>
      <c r="S151" s="719"/>
      <c r="T151" s="250">
        <v>0.82361111111111107</v>
      </c>
      <c r="U151" s="50">
        <v>0.85138888888888886</v>
      </c>
      <c r="V151" s="455">
        <v>7</v>
      </c>
      <c r="W151" s="466">
        <f t="shared" si="101"/>
        <v>40.000000000000014</v>
      </c>
      <c r="X151" s="219"/>
      <c r="Y151" s="219"/>
      <c r="Z151" s="220"/>
      <c r="AA151" s="220"/>
      <c r="AB151" s="658"/>
      <c r="AC151" s="658"/>
      <c r="AD151" s="224"/>
      <c r="AE151" s="224"/>
      <c r="AF151" s="48">
        <f t="shared" si="61"/>
        <v>-234.00000000000045</v>
      </c>
      <c r="AG151" s="126">
        <f t="shared" si="62"/>
        <v>0.83749999999999969</v>
      </c>
      <c r="AH151" s="721"/>
    </row>
    <row r="152" spans="1:34" s="221" customFormat="1" ht="19.2" customHeight="1">
      <c r="A152" s="717"/>
      <c r="B152" s="453" t="s">
        <v>185</v>
      </c>
      <c r="C152" s="224"/>
      <c r="D152" s="255" t="s">
        <v>197</v>
      </c>
      <c r="E152" s="60"/>
      <c r="F152" s="368">
        <v>50.67</v>
      </c>
      <c r="G152" s="57">
        <v>1150</v>
      </c>
      <c r="H152" s="84">
        <f t="shared" si="98"/>
        <v>58270.5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1380.0000000000005</v>
      </c>
      <c r="O152" s="47">
        <f t="shared" si="100"/>
        <v>76.666666666666686</v>
      </c>
      <c r="P152" s="48">
        <f t="shared" si="95"/>
        <v>0</v>
      </c>
      <c r="Q152" s="49">
        <f t="shared" si="96"/>
        <v>-6.666666666666643</v>
      </c>
      <c r="R152" s="457">
        <f t="shared" si="97"/>
        <v>0.92000000000000026</v>
      </c>
      <c r="S152" s="719"/>
      <c r="T152" s="265">
        <v>0.86736111111111103</v>
      </c>
      <c r="U152" s="63">
        <v>0.90208333333333324</v>
      </c>
      <c r="V152" s="468">
        <v>23</v>
      </c>
      <c r="W152" s="466">
        <f t="shared" si="101"/>
        <v>49.999999999999986</v>
      </c>
      <c r="X152" s="222">
        <v>0.85486111111111107</v>
      </c>
      <c r="Y152" s="222">
        <v>0.86458333333333337</v>
      </c>
      <c r="Z152" s="220"/>
      <c r="AA152" s="220"/>
      <c r="AB152" s="658"/>
      <c r="AC152" s="658"/>
      <c r="AD152" s="224"/>
      <c r="AE152" s="224"/>
      <c r="AF152" s="48">
        <f t="shared" si="61"/>
        <v>-119.99999999999955</v>
      </c>
      <c r="AG152" s="126">
        <f t="shared" si="62"/>
        <v>0.92000000000000026</v>
      </c>
      <c r="AH152" s="721"/>
    </row>
    <row r="153" spans="1:34" s="221" customFormat="1" ht="19.2" customHeight="1">
      <c r="A153" s="717"/>
      <c r="B153" s="453" t="s">
        <v>185</v>
      </c>
      <c r="C153" s="224"/>
      <c r="D153" s="255" t="s">
        <v>201</v>
      </c>
      <c r="E153" s="60"/>
      <c r="F153" s="368">
        <v>44.98</v>
      </c>
      <c r="G153" s="57">
        <v>462</v>
      </c>
      <c r="H153" s="84">
        <f t="shared" si="98"/>
        <v>20780.759999999998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1205.2173913043437</v>
      </c>
      <c r="O153" s="47">
        <f t="shared" si="100"/>
        <v>63.432494279175984</v>
      </c>
      <c r="P153" s="48">
        <f t="shared" si="95"/>
        <v>0</v>
      </c>
      <c r="Q153" s="49">
        <f t="shared" si="96"/>
        <v>-15.514874141876646</v>
      </c>
      <c r="R153" s="457">
        <f t="shared" si="97"/>
        <v>0.80347826086956242</v>
      </c>
      <c r="S153" s="719"/>
      <c r="T153" s="265">
        <v>0.90694444444444433</v>
      </c>
      <c r="U153" s="63">
        <v>0.92291666666666661</v>
      </c>
      <c r="V153" s="468">
        <v>7</v>
      </c>
      <c r="W153" s="466">
        <f t="shared" si="101"/>
        <v>23.000000000000078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-294.78260869565634</v>
      </c>
      <c r="AG153" s="126">
        <f t="shared" si="62"/>
        <v>0.80347826086956242</v>
      </c>
      <c r="AH153" s="721"/>
    </row>
    <row r="154" spans="1:34" s="221" customFormat="1" ht="19.2" customHeight="1">
      <c r="A154" s="717"/>
      <c r="B154" s="453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68"/>
      <c r="W154" s="466">
        <f t="shared" si="101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453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68"/>
      <c r="W155" s="466">
        <f t="shared" si="101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68"/>
      <c r="W156" s="269">
        <f t="shared" si="101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68"/>
      <c r="W157" s="269">
        <f t="shared" si="101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68"/>
      <c r="W158" s="269">
        <f t="shared" si="101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64"/>
      <c r="N159" s="182"/>
      <c r="O159" s="228"/>
      <c r="P159" s="267"/>
      <c r="Q159" s="74"/>
      <c r="R159" s="130"/>
      <c r="S159" s="719"/>
      <c r="T159" s="265"/>
      <c r="U159" s="63"/>
      <c r="V159" s="468"/>
      <c r="W159" s="270">
        <f t="shared" si="101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25</v>
      </c>
      <c r="D160" s="716" t="s">
        <v>245</v>
      </c>
      <c r="E160" s="678"/>
      <c r="F160" s="362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18.666666666666668</v>
      </c>
      <c r="N160" s="273">
        <f t="shared" si="102"/>
        <v>1244.921938376147</v>
      </c>
      <c r="O160" s="274">
        <f t="shared" si="102"/>
        <v>67.110525374282702</v>
      </c>
      <c r="P160" s="65">
        <f t="shared" ref="P160:P165" si="103">M160-J160</f>
        <v>0.16666666666666785</v>
      </c>
      <c r="Q160" s="74">
        <f t="shared" ref="Q160:Q165" si="104">O160-L160</f>
        <v>-12.743275795307952</v>
      </c>
      <c r="R160" s="275">
        <f>O160/L160</f>
        <v>0.84041741772261735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0</v>
      </c>
      <c r="AF160" s="65">
        <f t="shared" si="61"/>
        <v>-225.9113949571863</v>
      </c>
      <c r="AG160" s="130">
        <f t="shared" si="62"/>
        <v>0.8464058504540376</v>
      </c>
      <c r="AH160" s="721"/>
    </row>
    <row r="161" spans="1:36" ht="19.2" customHeight="1">
      <c r="A161" s="680" t="s">
        <v>255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1792</v>
      </c>
      <c r="H161" s="84">
        <f t="shared" ref="H161:H170" si="105">F161*G161</f>
        <v>53698.164251207723</v>
      </c>
      <c r="I161" s="45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1221.8181818181818</v>
      </c>
      <c r="O161" s="86">
        <f t="shared" ref="O161:O165" si="107">N161/M161</f>
        <v>67.878787878787875</v>
      </c>
      <c r="P161" s="54">
        <f t="shared" si="103"/>
        <v>0</v>
      </c>
      <c r="Q161" s="88">
        <f t="shared" si="104"/>
        <v>1.2121212121212039</v>
      </c>
      <c r="R161" s="454">
        <f t="shared" ref="R161:R165" si="108">O161/L161</f>
        <v>1.0181818181818181</v>
      </c>
      <c r="S161" s="681">
        <f>R173</f>
        <v>0.94003204560285702</v>
      </c>
      <c r="T161" s="89">
        <v>0.16666666666666666</v>
      </c>
      <c r="U161" s="89">
        <v>0.22777777777777777</v>
      </c>
      <c r="V161" s="453">
        <v>5</v>
      </c>
      <c r="W161" s="90">
        <f t="shared" ref="W161:W172" si="109">(U161-T161)*24*60</f>
        <v>88</v>
      </c>
      <c r="X161" s="96"/>
      <c r="Y161" s="96"/>
      <c r="Z161" s="54"/>
      <c r="AA161" s="54"/>
      <c r="AB161" s="658"/>
      <c r="AC161" s="658"/>
      <c r="AD161" s="453"/>
      <c r="AE161" s="453"/>
      <c r="AF161" s="54">
        <f t="shared" si="61"/>
        <v>21.818181818181756</v>
      </c>
      <c r="AG161" s="454">
        <f t="shared" si="62"/>
        <v>1.0181818181818181</v>
      </c>
      <c r="AH161" s="681">
        <f>AG173</f>
        <v>0.94641922173337412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2660</v>
      </c>
      <c r="H162" s="84">
        <f t="shared" si="105"/>
        <v>91051.799999999988</v>
      </c>
      <c r="I162" s="45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2186.3013698630143</v>
      </c>
      <c r="O162" s="86">
        <f t="shared" si="107"/>
        <v>168.17702845100109</v>
      </c>
      <c r="P162" s="54">
        <f t="shared" si="103"/>
        <v>0</v>
      </c>
      <c r="Q162" s="88">
        <f t="shared" si="104"/>
        <v>-4.8998946259219736</v>
      </c>
      <c r="R162" s="454">
        <f t="shared" si="108"/>
        <v>0.97168949771689528</v>
      </c>
      <c r="S162" s="681"/>
      <c r="T162" s="89">
        <v>0.23333333333333334</v>
      </c>
      <c r="U162" s="89">
        <v>0.28402777777777777</v>
      </c>
      <c r="V162" s="453">
        <v>8</v>
      </c>
      <c r="W162" s="90">
        <f t="shared" si="109"/>
        <v>72.999999999999986</v>
      </c>
      <c r="X162" s="96"/>
      <c r="Y162" s="96"/>
      <c r="Z162" s="54"/>
      <c r="AA162" s="54"/>
      <c r="AB162" s="658"/>
      <c r="AC162" s="658"/>
      <c r="AD162" s="453">
        <v>1</v>
      </c>
      <c r="AE162" s="453"/>
      <c r="AF162" s="54">
        <f t="shared" si="61"/>
        <v>-63.698630136985685</v>
      </c>
      <c r="AG162" s="454">
        <f t="shared" si="62"/>
        <v>0.97168949771689528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3158</v>
      </c>
      <c r="H163" s="84">
        <f t="shared" si="105"/>
        <v>108098.34</v>
      </c>
      <c r="I163" s="453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2128.9887640449438</v>
      </c>
      <c r="O163" s="86">
        <f t="shared" si="107"/>
        <v>163.76836646499567</v>
      </c>
      <c r="P163" s="54">
        <f t="shared" si="103"/>
        <v>0</v>
      </c>
      <c r="Q163" s="88">
        <f t="shared" si="104"/>
        <v>-9.3085566119274006</v>
      </c>
      <c r="R163" s="454">
        <f t="shared" si="108"/>
        <v>0.94621722846441947</v>
      </c>
      <c r="S163" s="681"/>
      <c r="T163" s="89">
        <v>0.29930555555555555</v>
      </c>
      <c r="U163" s="89">
        <v>0.3611111111111111</v>
      </c>
      <c r="V163" s="453">
        <v>22</v>
      </c>
      <c r="W163" s="90">
        <f t="shared" si="109"/>
        <v>89</v>
      </c>
      <c r="X163" s="96">
        <v>0.28750000000000003</v>
      </c>
      <c r="Y163" s="96">
        <v>0.29652777777777778</v>
      </c>
      <c r="Z163" s="54"/>
      <c r="AA163" s="54"/>
      <c r="AB163" s="658"/>
      <c r="AC163" s="658"/>
      <c r="AD163" s="453"/>
      <c r="AE163" s="453"/>
      <c r="AF163" s="54">
        <f t="shared" si="61"/>
        <v>-121.01123595505624</v>
      </c>
      <c r="AG163" s="454">
        <f t="shared" si="62"/>
        <v>0.94621722846441947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4314</v>
      </c>
      <c r="H164" s="84">
        <f t="shared" si="105"/>
        <v>154570.62</v>
      </c>
      <c r="I164" s="45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2193.5593220338988</v>
      </c>
      <c r="O164" s="86">
        <f t="shared" si="107"/>
        <v>199.41448382126353</v>
      </c>
      <c r="P164" s="54">
        <f t="shared" si="103"/>
        <v>0</v>
      </c>
      <c r="Q164" s="88">
        <f t="shared" si="104"/>
        <v>-5.1309707241910019</v>
      </c>
      <c r="R164" s="454">
        <f t="shared" si="108"/>
        <v>0.97491525423728842</v>
      </c>
      <c r="S164" s="681"/>
      <c r="T164" s="89">
        <v>0.40138888888888885</v>
      </c>
      <c r="U164" s="89">
        <v>0.48333333333333328</v>
      </c>
      <c r="V164" s="453">
        <v>5</v>
      </c>
      <c r="W164" s="90">
        <f t="shared" si="109"/>
        <v>117.99999999999999</v>
      </c>
      <c r="X164" s="96"/>
      <c r="Y164" s="96"/>
      <c r="Z164" s="54"/>
      <c r="AA164" s="54"/>
      <c r="AB164" s="658"/>
      <c r="AC164" s="658"/>
      <c r="AD164" s="453"/>
      <c r="AE164" s="453"/>
      <c r="AF164" s="54">
        <f t="shared" si="61"/>
        <v>-56.440677966101248</v>
      </c>
      <c r="AG164" s="454">
        <f t="shared" si="62"/>
        <v>0.97491525423728831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2896.7999999999997</v>
      </c>
      <c r="H165" s="84">
        <f t="shared" si="105"/>
        <v>105472.48799999998</v>
      </c>
      <c r="I165" s="45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2414</v>
      </c>
      <c r="O165" s="86">
        <f t="shared" si="107"/>
        <v>241.4</v>
      </c>
      <c r="P165" s="54">
        <f t="shared" si="103"/>
        <v>0</v>
      </c>
      <c r="Q165" s="88">
        <f t="shared" si="104"/>
        <v>-35.499999999999972</v>
      </c>
      <c r="R165" s="454">
        <f t="shared" si="108"/>
        <v>0.87179487179487192</v>
      </c>
      <c r="S165" s="681"/>
      <c r="T165" s="89">
        <v>0.4993055555555555</v>
      </c>
      <c r="U165" s="89">
        <v>0.54930555555555549</v>
      </c>
      <c r="V165" s="453">
        <v>23</v>
      </c>
      <c r="W165" s="90">
        <f t="shared" si="109"/>
        <v>71.999999999999986</v>
      </c>
      <c r="X165" s="96">
        <v>0.48055555555555557</v>
      </c>
      <c r="Y165" s="96">
        <v>0.49652777777777773</v>
      </c>
      <c r="Z165" s="54"/>
      <c r="AA165" s="54"/>
      <c r="AB165" s="658"/>
      <c r="AC165" s="658"/>
      <c r="AD165" s="453"/>
      <c r="AE165" s="453"/>
      <c r="AF165" s="54">
        <f t="shared" si="61"/>
        <v>-355</v>
      </c>
      <c r="AG165" s="454">
        <f t="shared" si="62"/>
        <v>0.87179487179487181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5"/>
        <v>0</v>
      </c>
      <c r="I166" s="453"/>
      <c r="J166" s="87"/>
      <c r="K166" s="57"/>
      <c r="L166" s="86"/>
      <c r="M166" s="87"/>
      <c r="N166" s="57"/>
      <c r="O166" s="86"/>
      <c r="P166" s="54"/>
      <c r="Q166" s="88"/>
      <c r="R166" s="454"/>
      <c r="S166" s="681"/>
      <c r="T166" s="89"/>
      <c r="U166" s="89"/>
      <c r="V166" s="453"/>
      <c r="W166" s="90">
        <f t="shared" si="109"/>
        <v>0</v>
      </c>
      <c r="X166" s="96"/>
      <c r="Y166" s="96"/>
      <c r="Z166" s="54"/>
      <c r="AA166" s="54"/>
      <c r="AB166" s="658"/>
      <c r="AC166" s="658"/>
      <c r="AD166" s="453"/>
      <c r="AE166" s="453"/>
      <c r="AF166" s="54">
        <f t="shared" si="61"/>
        <v>0</v>
      </c>
      <c r="AG166" s="454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5"/>
        <v>0</v>
      </c>
      <c r="I167" s="453"/>
      <c r="J167" s="87"/>
      <c r="K167" s="57"/>
      <c r="L167" s="86"/>
      <c r="M167" s="87"/>
      <c r="N167" s="57"/>
      <c r="O167" s="86"/>
      <c r="P167" s="54"/>
      <c r="Q167" s="88"/>
      <c r="R167" s="454"/>
      <c r="S167" s="681"/>
      <c r="T167" s="89"/>
      <c r="U167" s="89"/>
      <c r="V167" s="453"/>
      <c r="W167" s="90">
        <f t="shared" si="109"/>
        <v>0</v>
      </c>
      <c r="X167" s="96"/>
      <c r="Y167" s="96"/>
      <c r="Z167" s="54"/>
      <c r="AA167" s="54"/>
      <c r="AB167" s="658"/>
      <c r="AC167" s="658"/>
      <c r="AD167" s="453"/>
      <c r="AE167" s="453"/>
      <c r="AF167" s="54">
        <f t="shared" si="61"/>
        <v>0</v>
      </c>
      <c r="AG167" s="454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5"/>
        <v>0</v>
      </c>
      <c r="I168" s="453"/>
      <c r="J168" s="87"/>
      <c r="K168" s="57"/>
      <c r="L168" s="86"/>
      <c r="M168" s="87"/>
      <c r="N168" s="57"/>
      <c r="O168" s="86"/>
      <c r="P168" s="54"/>
      <c r="Q168" s="88"/>
      <c r="R168" s="454"/>
      <c r="S168" s="681"/>
      <c r="T168" s="89"/>
      <c r="U168" s="89"/>
      <c r="V168" s="453"/>
      <c r="W168" s="90">
        <f t="shared" si="109"/>
        <v>0</v>
      </c>
      <c r="X168" s="96"/>
      <c r="Y168" s="96"/>
      <c r="Z168" s="54"/>
      <c r="AA168" s="54"/>
      <c r="AB168" s="658"/>
      <c r="AC168" s="658"/>
      <c r="AD168" s="453"/>
      <c r="AE168" s="453"/>
      <c r="AF168" s="54">
        <f t="shared" si="61"/>
        <v>0</v>
      </c>
      <c r="AG168" s="454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5"/>
        <v>0</v>
      </c>
      <c r="I169" s="453"/>
      <c r="J169" s="87"/>
      <c r="K169" s="57"/>
      <c r="L169" s="86"/>
      <c r="M169" s="87"/>
      <c r="N169" s="57"/>
      <c r="O169" s="86"/>
      <c r="P169" s="54"/>
      <c r="Q169" s="88"/>
      <c r="R169" s="454"/>
      <c r="S169" s="681"/>
      <c r="T169" s="89"/>
      <c r="U169" s="89"/>
      <c r="V169" s="453" t="s">
        <v>30</v>
      </c>
      <c r="W169" s="90">
        <f t="shared" si="109"/>
        <v>0</v>
      </c>
      <c r="X169" s="96"/>
      <c r="Y169" s="96"/>
      <c r="Z169" s="54"/>
      <c r="AA169" s="54"/>
      <c r="AB169" s="658"/>
      <c r="AC169" s="658"/>
      <c r="AD169" s="453"/>
      <c r="AE169" s="453"/>
      <c r="AF169" s="54">
        <f t="shared" si="61"/>
        <v>0</v>
      </c>
      <c r="AG169" s="454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5"/>
        <v>0</v>
      </c>
      <c r="I170" s="453"/>
      <c r="J170" s="87"/>
      <c r="K170" s="57"/>
      <c r="L170" s="86"/>
      <c r="M170" s="87"/>
      <c r="N170" s="57"/>
      <c r="O170" s="86"/>
      <c r="P170" s="54"/>
      <c r="Q170" s="88"/>
      <c r="R170" s="454"/>
      <c r="S170" s="681"/>
      <c r="T170" s="89"/>
      <c r="U170" s="89"/>
      <c r="V170" s="453"/>
      <c r="W170" s="90">
        <f t="shared" si="109"/>
        <v>0</v>
      </c>
      <c r="X170" s="96"/>
      <c r="Y170" s="96"/>
      <c r="Z170" s="54"/>
      <c r="AA170" s="54"/>
      <c r="AB170" s="658"/>
      <c r="AC170" s="658"/>
      <c r="AD170" s="453"/>
      <c r="AE170" s="453"/>
      <c r="AF170" s="54">
        <f t="shared" si="61"/>
        <v>0</v>
      </c>
      <c r="AG170" s="454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453"/>
      <c r="J171" s="87"/>
      <c r="K171" s="57"/>
      <c r="L171" s="86"/>
      <c r="M171" s="87"/>
      <c r="N171" s="57"/>
      <c r="O171" s="86"/>
      <c r="P171" s="54"/>
      <c r="Q171" s="88"/>
      <c r="R171" s="454"/>
      <c r="S171" s="681"/>
      <c r="T171" s="89"/>
      <c r="U171" s="89"/>
      <c r="V171" s="453"/>
      <c r="W171" s="90">
        <f t="shared" si="109"/>
        <v>0</v>
      </c>
      <c r="X171" s="96"/>
      <c r="Y171" s="96"/>
      <c r="Z171" s="54"/>
      <c r="AA171" s="54"/>
      <c r="AB171" s="658"/>
      <c r="AC171" s="658"/>
      <c r="AD171" s="453"/>
      <c r="AE171" s="453"/>
      <c r="AF171" s="54"/>
      <c r="AG171" s="454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453"/>
      <c r="J172" s="87"/>
      <c r="K172" s="57"/>
      <c r="L172" s="86"/>
      <c r="M172" s="87"/>
      <c r="N172" s="57"/>
      <c r="O172" s="86"/>
      <c r="P172" s="54"/>
      <c r="Q172" s="88"/>
      <c r="R172" s="454"/>
      <c r="S172" s="681"/>
      <c r="T172" s="89"/>
      <c r="U172" s="89"/>
      <c r="V172" s="453"/>
      <c r="W172" s="90">
        <f t="shared" si="109"/>
        <v>0</v>
      </c>
      <c r="X172" s="96"/>
      <c r="Y172" s="96"/>
      <c r="Z172" s="54"/>
      <c r="AA172" s="54"/>
      <c r="AB172" s="658"/>
      <c r="AC172" s="658"/>
      <c r="AD172" s="453"/>
      <c r="AE172" s="453"/>
      <c r="AF172" s="54"/>
      <c r="AG172" s="454"/>
      <c r="AH172" s="681"/>
    </row>
    <row r="173" spans="1:36" ht="19.2" customHeight="1">
      <c r="A173" s="680"/>
      <c r="B173" s="122">
        <v>0</v>
      </c>
      <c r="C173" s="100" t="s">
        <v>26</v>
      </c>
      <c r="D173" s="687" t="s">
        <v>245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2028.9335275520075</v>
      </c>
      <c r="O173" s="104">
        <f t="shared" si="110"/>
        <v>168.12773332320961</v>
      </c>
      <c r="P173" s="54">
        <f>M173-J173</f>
        <v>0</v>
      </c>
      <c r="Q173" s="88">
        <f>O173-L173</f>
        <v>-10.72546014998386</v>
      </c>
      <c r="R173" s="105">
        <f>O173/L173</f>
        <v>0.94003204560285702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1</v>
      </c>
      <c r="AE173" s="107">
        <f>SUM(AE161:AE172)</f>
        <v>0</v>
      </c>
      <c r="AF173" s="54">
        <f t="shared" si="61"/>
        <v>-114.86647244799269</v>
      </c>
      <c r="AG173" s="454">
        <f t="shared" si="62"/>
        <v>0.94641922173337412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256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257</v>
      </c>
    </row>
    <row r="186" spans="23:36">
      <c r="W186" s="33"/>
      <c r="AJ186" s="279" t="s">
        <v>275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13035" priority="3256" operator="lessThan">
      <formula>0</formula>
    </cfRule>
  </conditionalFormatting>
  <conditionalFormatting sqref="AH57 AH70 S43 S123 S95 AH95 S5:S9 AH5:AH9 S134 AH17:AH18 S17:S18 S32 S82 AH82 S57:S70">
    <cfRule type="cellIs" dxfId="13034" priority="3255" operator="lessThan">
      <formula>0.8</formula>
    </cfRule>
  </conditionalFormatting>
  <conditionalFormatting sqref="R147 R173 R30 R121 R95 R43 R134 R82 R154:R159 R17:R18 R109:R117 R57:R70">
    <cfRule type="cellIs" dxfId="13033" priority="3253" operator="lessThan">
      <formula>0.8</formula>
    </cfRule>
    <cfRule type="cellIs" dxfId="13032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13031" priority="3251" operator="greaterThan">
      <formula>1</formula>
    </cfRule>
    <cfRule type="cellIs" dxfId="13030" priority="3252" operator="lessThan">
      <formula>0.8</formula>
    </cfRule>
  </conditionalFormatting>
  <conditionalFormatting sqref="P147 P30 P121 P95 P43 P134 P82 P154:P159 P17:P18 P109:P117 P57:P70">
    <cfRule type="cellIs" dxfId="13029" priority="3250" operator="greaterThan">
      <formula>0</formula>
    </cfRule>
  </conditionalFormatting>
  <conditionalFormatting sqref="S161">
    <cfRule type="cellIs" dxfId="13028" priority="3249" operator="lessThan">
      <formula>0.8</formula>
    </cfRule>
  </conditionalFormatting>
  <conditionalFormatting sqref="Q161:Q166">
    <cfRule type="cellIs" dxfId="13027" priority="3248" operator="lessThan">
      <formula>0</formula>
    </cfRule>
  </conditionalFormatting>
  <conditionalFormatting sqref="R161:R166">
    <cfRule type="cellIs" dxfId="13026" priority="3246" operator="lessThan">
      <formula>0.8</formula>
    </cfRule>
    <cfRule type="cellIs" dxfId="13025" priority="3247" operator="greaterThan">
      <formula>1</formula>
    </cfRule>
  </conditionalFormatting>
  <conditionalFormatting sqref="R161:R166">
    <cfRule type="cellIs" dxfId="13024" priority="3244" operator="greaterThan">
      <formula>1</formula>
    </cfRule>
    <cfRule type="cellIs" dxfId="13023" priority="3245" operator="lessThan">
      <formula>0.8</formula>
    </cfRule>
  </conditionalFormatting>
  <conditionalFormatting sqref="P161:P166">
    <cfRule type="cellIs" dxfId="13022" priority="3243" operator="greaterThan">
      <formula>0</formula>
    </cfRule>
  </conditionalFormatting>
  <conditionalFormatting sqref="Q169:Q172 AF161:AF172">
    <cfRule type="cellIs" dxfId="13021" priority="3242" operator="lessThan">
      <formula>0</formula>
    </cfRule>
  </conditionalFormatting>
  <conditionalFormatting sqref="R169:R172">
    <cfRule type="cellIs" dxfId="13020" priority="3240" operator="lessThan">
      <formula>0.8</formula>
    </cfRule>
    <cfRule type="cellIs" dxfId="13019" priority="3241" operator="greaterThan">
      <formula>1</formula>
    </cfRule>
  </conditionalFormatting>
  <conditionalFormatting sqref="R169:R172 AG161:AG172">
    <cfRule type="cellIs" dxfId="13018" priority="3238" operator="greaterThan">
      <formula>1</formula>
    </cfRule>
    <cfRule type="cellIs" dxfId="13017" priority="3239" operator="lessThan">
      <formula>0.8</formula>
    </cfRule>
  </conditionalFormatting>
  <conditionalFormatting sqref="P169:P172">
    <cfRule type="cellIs" dxfId="13016" priority="3237" operator="greaterThan">
      <formula>0</formula>
    </cfRule>
  </conditionalFormatting>
  <conditionalFormatting sqref="AF145">
    <cfRule type="cellIs" dxfId="13015" priority="3236" operator="lessThan">
      <formula>0</formula>
    </cfRule>
  </conditionalFormatting>
  <conditionalFormatting sqref="AG145">
    <cfRule type="cellIs" dxfId="13014" priority="3234" operator="greaterThan">
      <formula>1</formula>
    </cfRule>
    <cfRule type="cellIs" dxfId="13013" priority="3235" operator="lessThan">
      <formula>0.8</formula>
    </cfRule>
  </conditionalFormatting>
  <conditionalFormatting sqref="AF44:AF54">
    <cfRule type="cellIs" dxfId="13012" priority="3233" operator="lessThan">
      <formula>0</formula>
    </cfRule>
  </conditionalFormatting>
  <conditionalFormatting sqref="AG44:AG54">
    <cfRule type="cellIs" dxfId="13011" priority="3231" operator="greaterThan">
      <formula>1</formula>
    </cfRule>
    <cfRule type="cellIs" dxfId="13010" priority="3232" operator="lessThan">
      <formula>0.8</formula>
    </cfRule>
  </conditionalFormatting>
  <conditionalFormatting sqref="AF83:AF94">
    <cfRule type="cellIs" dxfId="13009" priority="3230" operator="lessThan">
      <formula>0</formula>
    </cfRule>
  </conditionalFormatting>
  <conditionalFormatting sqref="AH83">
    <cfRule type="cellIs" dxfId="13008" priority="3229" operator="lessThan">
      <formula>0.8</formula>
    </cfRule>
  </conditionalFormatting>
  <conditionalFormatting sqref="AG83:AG94">
    <cfRule type="cellIs" dxfId="13007" priority="3227" operator="greaterThan">
      <formula>1</formula>
    </cfRule>
    <cfRule type="cellIs" dxfId="13006" priority="3228" operator="lessThan">
      <formula>0.8</formula>
    </cfRule>
  </conditionalFormatting>
  <conditionalFormatting sqref="S83">
    <cfRule type="cellIs" dxfId="13005" priority="3226" operator="lessThan">
      <formula>0.8</formula>
    </cfRule>
  </conditionalFormatting>
  <conditionalFormatting sqref="AH84">
    <cfRule type="cellIs" dxfId="13004" priority="3225" operator="lessThan">
      <formula>0.8</formula>
    </cfRule>
  </conditionalFormatting>
  <conditionalFormatting sqref="S84">
    <cfRule type="cellIs" dxfId="13003" priority="3224" operator="lessThan">
      <formula>0.8</formula>
    </cfRule>
  </conditionalFormatting>
  <conditionalFormatting sqref="S90">
    <cfRule type="cellIs" dxfId="13002" priority="3223" operator="lessThan">
      <formula>0.8</formula>
    </cfRule>
  </conditionalFormatting>
  <conditionalFormatting sqref="AH90">
    <cfRule type="cellIs" dxfId="13001" priority="3222" operator="lessThan">
      <formula>0.8</formula>
    </cfRule>
  </conditionalFormatting>
  <conditionalFormatting sqref="AF122">
    <cfRule type="cellIs" dxfId="13000" priority="3221" operator="lessThan">
      <formula>0</formula>
    </cfRule>
  </conditionalFormatting>
  <conditionalFormatting sqref="S122">
    <cfRule type="cellIs" dxfId="12999" priority="3220" operator="lessThan">
      <formula>0.8</formula>
    </cfRule>
  </conditionalFormatting>
  <conditionalFormatting sqref="AG122">
    <cfRule type="cellIs" dxfId="12998" priority="3218" operator="greaterThan">
      <formula>1</formula>
    </cfRule>
    <cfRule type="cellIs" dxfId="12997" priority="3219" operator="lessThan">
      <formula>0.8</formula>
    </cfRule>
  </conditionalFormatting>
  <conditionalFormatting sqref="P162:P168">
    <cfRule type="cellIs" dxfId="12996" priority="3212" operator="greaterThan">
      <formula>0</formula>
    </cfRule>
  </conditionalFormatting>
  <conditionalFormatting sqref="R162:R168">
    <cfRule type="cellIs" dxfId="12995" priority="3215" operator="lessThan">
      <formula>0.8</formula>
    </cfRule>
    <cfRule type="cellIs" dxfId="12994" priority="3216" operator="greaterThan">
      <formula>1</formula>
    </cfRule>
  </conditionalFormatting>
  <conditionalFormatting sqref="R162:R168">
    <cfRule type="cellIs" dxfId="12993" priority="3213" operator="greaterThan">
      <formula>1</formula>
    </cfRule>
    <cfRule type="cellIs" dxfId="12992" priority="3214" operator="lessThan">
      <formula>0.8</formula>
    </cfRule>
  </conditionalFormatting>
  <conditionalFormatting sqref="Q162:Q168">
    <cfRule type="cellIs" dxfId="12991" priority="3217" operator="lessThan">
      <formula>0</formula>
    </cfRule>
  </conditionalFormatting>
  <conditionalFormatting sqref="P132:P133">
    <cfRule type="cellIs" dxfId="12990" priority="3205" operator="greaterThan">
      <formula>0</formula>
    </cfRule>
  </conditionalFormatting>
  <conditionalFormatting sqref="AF124 Q132:Q133 AF126:AF133">
    <cfRule type="cellIs" dxfId="12989" priority="3211" operator="lessThan">
      <formula>0</formula>
    </cfRule>
  </conditionalFormatting>
  <conditionalFormatting sqref="S124:S133">
    <cfRule type="cellIs" dxfId="12988" priority="3210" operator="lessThan">
      <formula>0.8</formula>
    </cfRule>
  </conditionalFormatting>
  <conditionalFormatting sqref="R132:R133">
    <cfRule type="cellIs" dxfId="12987" priority="3208" operator="lessThan">
      <formula>0.8</formula>
    </cfRule>
    <cfRule type="cellIs" dxfId="12986" priority="3209" operator="greaterThan">
      <formula>1</formula>
    </cfRule>
  </conditionalFormatting>
  <conditionalFormatting sqref="AG124 R132:R133 AG126:AG133">
    <cfRule type="cellIs" dxfId="12985" priority="3206" operator="greaterThan">
      <formula>1</formula>
    </cfRule>
    <cfRule type="cellIs" dxfId="12984" priority="3207" operator="lessThan">
      <formula>0.8</formula>
    </cfRule>
  </conditionalFormatting>
  <conditionalFormatting sqref="AH109">
    <cfRule type="cellIs" dxfId="12983" priority="3204" operator="lessThan">
      <formula>0.8</formula>
    </cfRule>
  </conditionalFormatting>
  <conditionalFormatting sqref="R160 AG160">
    <cfRule type="cellIs" dxfId="12982" priority="3199" operator="greaterThan">
      <formula>1</formula>
    </cfRule>
    <cfRule type="cellIs" dxfId="12981" priority="3200" operator="lessThan">
      <formula>0.8</formula>
    </cfRule>
  </conditionalFormatting>
  <conditionalFormatting sqref="R160">
    <cfRule type="cellIs" dxfId="12980" priority="3201" operator="lessThan">
      <formula>0.8</formula>
    </cfRule>
    <cfRule type="cellIs" dxfId="12979" priority="3202" operator="greaterThan">
      <formula>1</formula>
    </cfRule>
  </conditionalFormatting>
  <conditionalFormatting sqref="P160">
    <cfRule type="cellIs" dxfId="12978" priority="3198" operator="greaterThan">
      <formula>0</formula>
    </cfRule>
  </conditionalFormatting>
  <conditionalFormatting sqref="AH148">
    <cfRule type="cellIs" dxfId="12977" priority="3197" operator="lessThan">
      <formula>0.8</formula>
    </cfRule>
  </conditionalFormatting>
  <conditionalFormatting sqref="Q160 AF160">
    <cfRule type="cellIs" dxfId="12976" priority="3203" operator="lessThan">
      <formula>0</formula>
    </cfRule>
  </conditionalFormatting>
  <conditionalFormatting sqref="AF148:AF154">
    <cfRule type="cellIs" dxfId="12975" priority="3196" operator="lessThan">
      <formula>0</formula>
    </cfRule>
  </conditionalFormatting>
  <conditionalFormatting sqref="S148">
    <cfRule type="cellIs" dxfId="12974" priority="3195" operator="lessThan">
      <formula>0.8</formula>
    </cfRule>
  </conditionalFormatting>
  <conditionalFormatting sqref="AG148:AG154">
    <cfRule type="cellIs" dxfId="12973" priority="3193" operator="greaterThan">
      <formula>1</formula>
    </cfRule>
    <cfRule type="cellIs" dxfId="12972" priority="3194" operator="lessThan">
      <formula>0.8</formula>
    </cfRule>
  </conditionalFormatting>
  <conditionalFormatting sqref="S86">
    <cfRule type="cellIs" dxfId="12971" priority="3192" operator="lessThan">
      <formula>0.8</formula>
    </cfRule>
  </conditionalFormatting>
  <conditionalFormatting sqref="S88 AH88">
    <cfRule type="cellIs" dxfId="12970" priority="3187" operator="lessThan">
      <formula>0.8</formula>
    </cfRule>
  </conditionalFormatting>
  <conditionalFormatting sqref="AH86">
    <cfRule type="cellIs" dxfId="12969" priority="3191" operator="lessThan">
      <formula>0.8</formula>
    </cfRule>
  </conditionalFormatting>
  <conditionalFormatting sqref="S87">
    <cfRule type="cellIs" dxfId="12968" priority="3190" operator="lessThan">
      <formula>0.8</formula>
    </cfRule>
  </conditionalFormatting>
  <conditionalFormatting sqref="AH87">
    <cfRule type="cellIs" dxfId="12967" priority="3189" operator="lessThan">
      <formula>0.8</formula>
    </cfRule>
  </conditionalFormatting>
  <conditionalFormatting sqref="S89 AH89">
    <cfRule type="cellIs" dxfId="12966" priority="3188" operator="lessThan">
      <formula>0.8</formula>
    </cfRule>
  </conditionalFormatting>
  <conditionalFormatting sqref="AF31 AF35 AF39">
    <cfRule type="cellIs" dxfId="12965" priority="3186" operator="lessThan">
      <formula>0</formula>
    </cfRule>
  </conditionalFormatting>
  <conditionalFormatting sqref="AH31 S31">
    <cfRule type="cellIs" dxfId="12964" priority="3185" operator="lessThan">
      <formula>0.8</formula>
    </cfRule>
  </conditionalFormatting>
  <conditionalFormatting sqref="AG31 AG35 AG39">
    <cfRule type="cellIs" dxfId="12963" priority="3183" operator="greaterThan">
      <formula>1</formula>
    </cfRule>
    <cfRule type="cellIs" dxfId="12962" priority="3184" operator="lessThan">
      <formula>0.8</formula>
    </cfRule>
  </conditionalFormatting>
  <conditionalFormatting sqref="AF135">
    <cfRule type="cellIs" dxfId="12961" priority="3182" operator="lessThan">
      <formula>0</formula>
    </cfRule>
  </conditionalFormatting>
  <conditionalFormatting sqref="AH135 S135">
    <cfRule type="cellIs" dxfId="12960" priority="3181" operator="lessThan">
      <formula>0.8</formula>
    </cfRule>
  </conditionalFormatting>
  <conditionalFormatting sqref="AG135">
    <cfRule type="cellIs" dxfId="12959" priority="3179" operator="greaterThan">
      <formula>1</formula>
    </cfRule>
    <cfRule type="cellIs" dxfId="12958" priority="3180" operator="lessThan">
      <formula>0.8</formula>
    </cfRule>
  </conditionalFormatting>
  <conditionalFormatting sqref="AF108 Q108">
    <cfRule type="cellIs" dxfId="12957" priority="3178" operator="lessThan">
      <formula>0</formula>
    </cfRule>
  </conditionalFormatting>
  <conditionalFormatting sqref="R108">
    <cfRule type="cellIs" dxfId="12956" priority="3176" operator="lessThan">
      <formula>0.8</formula>
    </cfRule>
    <cfRule type="cellIs" dxfId="12955" priority="3177" operator="greaterThan">
      <formula>1</formula>
    </cfRule>
  </conditionalFormatting>
  <conditionalFormatting sqref="AG108 R108">
    <cfRule type="cellIs" dxfId="12954" priority="3174" operator="greaterThan">
      <formula>1</formula>
    </cfRule>
    <cfRule type="cellIs" dxfId="12953" priority="3175" operator="lessThan">
      <formula>0.8</formula>
    </cfRule>
  </conditionalFormatting>
  <conditionalFormatting sqref="P108">
    <cfRule type="cellIs" dxfId="12952" priority="3173" operator="greaterThan">
      <formula>0</formula>
    </cfRule>
  </conditionalFormatting>
  <conditionalFormatting sqref="AH97">
    <cfRule type="cellIs" dxfId="12951" priority="3168" operator="lessThan">
      <formula>0.8</formula>
    </cfRule>
  </conditionalFormatting>
  <conditionalFormatting sqref="AG96 AG98 AG100 AG102 AG104">
    <cfRule type="cellIs" dxfId="12950" priority="3170" operator="greaterThan">
      <formula>1</formula>
    </cfRule>
    <cfRule type="cellIs" dxfId="12949" priority="3171" operator="lessThan">
      <formula>0.8</formula>
    </cfRule>
  </conditionalFormatting>
  <conditionalFormatting sqref="AF96 AF98 AF100 AF102 AF104">
    <cfRule type="cellIs" dxfId="12948" priority="3172" operator="lessThan">
      <formula>0</formula>
    </cfRule>
  </conditionalFormatting>
  <conditionalFormatting sqref="AG97 AG99 AG101 AG103 AG105">
    <cfRule type="cellIs" dxfId="12947" priority="3166" operator="greaterThan">
      <formula>1</formula>
    </cfRule>
    <cfRule type="cellIs" dxfId="12946" priority="3167" operator="lessThan">
      <formula>0.8</formula>
    </cfRule>
  </conditionalFormatting>
  <conditionalFormatting sqref="AF97 AF99 AF101 AF103 AF105">
    <cfRule type="cellIs" dxfId="12945" priority="3169" operator="lessThan">
      <formula>0</formula>
    </cfRule>
  </conditionalFormatting>
  <conditionalFormatting sqref="AF71 AF73 AF75 AF79 AF77">
    <cfRule type="cellIs" dxfId="12944" priority="3163" operator="lessThan">
      <formula>0</formula>
    </cfRule>
  </conditionalFormatting>
  <conditionalFormatting sqref="S71 AH71">
    <cfRule type="cellIs" dxfId="12943" priority="3162" operator="lessThan">
      <formula>0.8</formula>
    </cfRule>
  </conditionalFormatting>
  <conditionalFormatting sqref="AG71 AG73 AG75 AG79 AG77">
    <cfRule type="cellIs" dxfId="12942" priority="3160" operator="greaterThan">
      <formula>1</formula>
    </cfRule>
    <cfRule type="cellIs" dxfId="12941" priority="3161" operator="lessThan">
      <formula>0.8</formula>
    </cfRule>
  </conditionalFormatting>
  <conditionalFormatting sqref="AF72 AF76 AF80">
    <cfRule type="cellIs" dxfId="12940" priority="3159" operator="lessThan">
      <formula>0</formula>
    </cfRule>
  </conditionalFormatting>
  <conditionalFormatting sqref="S72 AH72">
    <cfRule type="cellIs" dxfId="12939" priority="3158" operator="lessThan">
      <formula>0.8</formula>
    </cfRule>
  </conditionalFormatting>
  <conditionalFormatting sqref="S11">
    <cfRule type="cellIs" dxfId="12938" priority="3165" operator="lessThan">
      <formula>0.8</formula>
    </cfRule>
  </conditionalFormatting>
  <conditionalFormatting sqref="S10">
    <cfRule type="cellIs" dxfId="12937" priority="3164" operator="lessThan">
      <formula>0.8</formula>
    </cfRule>
  </conditionalFormatting>
  <conditionalFormatting sqref="AG72 AG76 AG80">
    <cfRule type="cellIs" dxfId="12936" priority="3156" operator="greaterThan">
      <formula>1</formula>
    </cfRule>
    <cfRule type="cellIs" dxfId="12935" priority="3157" operator="lessThan">
      <formula>0.8</formula>
    </cfRule>
  </conditionalFormatting>
  <conditionalFormatting sqref="AF14:AF16 Q15:Q16">
    <cfRule type="cellIs" dxfId="12934" priority="3155" operator="lessThan">
      <formula>0</formula>
    </cfRule>
  </conditionalFormatting>
  <conditionalFormatting sqref="R15:R16">
    <cfRule type="cellIs" dxfId="12933" priority="3153" operator="lessThan">
      <formula>0.8</formula>
    </cfRule>
    <cfRule type="cellIs" dxfId="12932" priority="3154" operator="greaterThan">
      <formula>1</formula>
    </cfRule>
  </conditionalFormatting>
  <conditionalFormatting sqref="AG14:AG16 R15:R16">
    <cfRule type="cellIs" dxfId="12931" priority="3151" operator="greaterThan">
      <formula>1</formula>
    </cfRule>
    <cfRule type="cellIs" dxfId="12930" priority="3152" operator="lessThan">
      <formula>0.8</formula>
    </cfRule>
  </conditionalFormatting>
  <conditionalFormatting sqref="P15:P16">
    <cfRule type="cellIs" dxfId="12929" priority="3150" operator="greaterThan">
      <formula>0</formula>
    </cfRule>
  </conditionalFormatting>
  <conditionalFormatting sqref="AH98">
    <cfRule type="cellIs" dxfId="12928" priority="3149" operator="lessThan">
      <formula>0.8</formula>
    </cfRule>
  </conditionalFormatting>
  <conditionalFormatting sqref="AF33 AF37">
    <cfRule type="cellIs" dxfId="12927" priority="3148" operator="lessThan">
      <formula>0</formula>
    </cfRule>
  </conditionalFormatting>
  <conditionalFormatting sqref="AG33 AG37">
    <cfRule type="cellIs" dxfId="12926" priority="3146" operator="greaterThan">
      <formula>1</formula>
    </cfRule>
    <cfRule type="cellIs" dxfId="12925" priority="3147" operator="lessThan">
      <formula>0.8</formula>
    </cfRule>
  </conditionalFormatting>
  <conditionalFormatting sqref="P41:P42">
    <cfRule type="cellIs" dxfId="12924" priority="3140" operator="greaterThan">
      <formula>0</formula>
    </cfRule>
  </conditionalFormatting>
  <conditionalFormatting sqref="Q41:Q42 AF34 AF41:AF42 AF38">
    <cfRule type="cellIs" dxfId="12923" priority="3145" operator="lessThan">
      <formula>0</formula>
    </cfRule>
  </conditionalFormatting>
  <conditionalFormatting sqref="R41:R42">
    <cfRule type="cellIs" dxfId="12922" priority="3143" operator="lessThan">
      <formula>0.8</formula>
    </cfRule>
    <cfRule type="cellIs" dxfId="12921" priority="3144" operator="greaterThan">
      <formula>1</formula>
    </cfRule>
  </conditionalFormatting>
  <conditionalFormatting sqref="R41:R42 AG34 AG41:AG42 AG38">
    <cfRule type="cellIs" dxfId="12920" priority="3141" operator="greaterThan">
      <formula>1</formula>
    </cfRule>
    <cfRule type="cellIs" dxfId="12919" priority="3142" operator="lessThan">
      <formula>0.8</formula>
    </cfRule>
  </conditionalFormatting>
  <conditionalFormatting sqref="AF137:AF144">
    <cfRule type="cellIs" dxfId="12918" priority="3139" operator="lessThan">
      <formula>0</formula>
    </cfRule>
  </conditionalFormatting>
  <conditionalFormatting sqref="AH137 S137">
    <cfRule type="cellIs" dxfId="12917" priority="3138" operator="lessThan">
      <formula>0.8</formula>
    </cfRule>
  </conditionalFormatting>
  <conditionalFormatting sqref="AG137:AG144">
    <cfRule type="cellIs" dxfId="12916" priority="3136" operator="greaterThan">
      <formula>1</formula>
    </cfRule>
    <cfRule type="cellIs" dxfId="12915" priority="3137" operator="lessThan">
      <formula>0.8</formula>
    </cfRule>
  </conditionalFormatting>
  <conditionalFormatting sqref="AF55">
    <cfRule type="cellIs" dxfId="12914" priority="3135" operator="lessThan">
      <formula>0</formula>
    </cfRule>
  </conditionalFormatting>
  <conditionalFormatting sqref="AG55">
    <cfRule type="cellIs" dxfId="12913" priority="3133" operator="greaterThan">
      <formula>1</formula>
    </cfRule>
    <cfRule type="cellIs" dxfId="12912" priority="3134" operator="lessThan">
      <formula>0.8</formula>
    </cfRule>
  </conditionalFormatting>
  <conditionalFormatting sqref="AF56 Q56">
    <cfRule type="cellIs" dxfId="12911" priority="3132" operator="lessThan">
      <formula>0</formula>
    </cfRule>
  </conditionalFormatting>
  <conditionalFormatting sqref="R56">
    <cfRule type="cellIs" dxfId="12910" priority="3130" operator="lessThan">
      <formula>0.8</formula>
    </cfRule>
    <cfRule type="cellIs" dxfId="12909" priority="3131" operator="greaterThan">
      <formula>1</formula>
    </cfRule>
  </conditionalFormatting>
  <conditionalFormatting sqref="AG56 R56">
    <cfRule type="cellIs" dxfId="12908" priority="3128" operator="greaterThan">
      <formula>1</formula>
    </cfRule>
    <cfRule type="cellIs" dxfId="12907" priority="3129" operator="lessThan">
      <formula>0.8</formula>
    </cfRule>
  </conditionalFormatting>
  <conditionalFormatting sqref="P56">
    <cfRule type="cellIs" dxfId="12906" priority="3127" operator="greaterThan">
      <formula>0</formula>
    </cfRule>
  </conditionalFormatting>
  <conditionalFormatting sqref="P52:P55">
    <cfRule type="cellIs" dxfId="12905" priority="3121" operator="greaterThan">
      <formula>0</formula>
    </cfRule>
  </conditionalFormatting>
  <conditionalFormatting sqref="Q52:Q55">
    <cfRule type="cellIs" dxfId="12904" priority="3126" operator="lessThan">
      <formula>0</formula>
    </cfRule>
  </conditionalFormatting>
  <conditionalFormatting sqref="R52:R55">
    <cfRule type="cellIs" dxfId="12903" priority="3124" operator="lessThan">
      <formula>0.8</formula>
    </cfRule>
    <cfRule type="cellIs" dxfId="12902" priority="3125" operator="greaterThan">
      <formula>1</formula>
    </cfRule>
  </conditionalFormatting>
  <conditionalFormatting sqref="R52:R55">
    <cfRule type="cellIs" dxfId="12901" priority="3122" operator="greaterThan">
      <formula>1</formula>
    </cfRule>
    <cfRule type="cellIs" dxfId="12900" priority="3123" operator="lessThan">
      <formula>0.8</formula>
    </cfRule>
  </conditionalFormatting>
  <conditionalFormatting sqref="P80:P81">
    <cfRule type="cellIs" dxfId="12899" priority="3115" operator="greaterThan">
      <formula>0</formula>
    </cfRule>
  </conditionalFormatting>
  <conditionalFormatting sqref="AF81 Q80:Q81">
    <cfRule type="cellIs" dxfId="12898" priority="3120" operator="lessThan">
      <formula>0</formula>
    </cfRule>
  </conditionalFormatting>
  <conditionalFormatting sqref="R80:R81">
    <cfRule type="cellIs" dxfId="12897" priority="3118" operator="lessThan">
      <formula>0.8</formula>
    </cfRule>
    <cfRule type="cellIs" dxfId="12896" priority="3119" operator="greaterThan">
      <formula>1</formula>
    </cfRule>
  </conditionalFormatting>
  <conditionalFormatting sqref="AG81 R80:R81">
    <cfRule type="cellIs" dxfId="12895" priority="3116" operator="greaterThan">
      <formula>1</formula>
    </cfRule>
    <cfRule type="cellIs" dxfId="12894" priority="3117" operator="lessThan">
      <formula>0.8</formula>
    </cfRule>
  </conditionalFormatting>
  <conditionalFormatting sqref="AH85">
    <cfRule type="cellIs" dxfId="12893" priority="3114" operator="lessThan">
      <formula>0.8</formula>
    </cfRule>
  </conditionalFormatting>
  <conditionalFormatting sqref="S85">
    <cfRule type="cellIs" dxfId="12892" priority="3113" operator="lessThan">
      <formula>0.8</formula>
    </cfRule>
  </conditionalFormatting>
  <conditionalFormatting sqref="AF106:AF107">
    <cfRule type="cellIs" dxfId="12891" priority="3112" operator="lessThan">
      <formula>0</formula>
    </cfRule>
  </conditionalFormatting>
  <conditionalFormatting sqref="AH100:AH107">
    <cfRule type="cellIs" dxfId="12890" priority="3111" operator="lessThan">
      <formula>0.8</formula>
    </cfRule>
  </conditionalFormatting>
  <conditionalFormatting sqref="AG106:AG107">
    <cfRule type="cellIs" dxfId="12889" priority="3109" operator="greaterThan">
      <formula>1</formula>
    </cfRule>
    <cfRule type="cellIs" dxfId="12888" priority="3110" operator="lessThan">
      <formula>0.8</formula>
    </cfRule>
  </conditionalFormatting>
  <conditionalFormatting sqref="P106:P107">
    <cfRule type="cellIs" dxfId="12887" priority="3103" operator="greaterThan">
      <formula>0</formula>
    </cfRule>
  </conditionalFormatting>
  <conditionalFormatting sqref="Q106:Q107">
    <cfRule type="cellIs" dxfId="12886" priority="3108" operator="lessThan">
      <formula>0</formula>
    </cfRule>
  </conditionalFormatting>
  <conditionalFormatting sqref="R106:R107">
    <cfRule type="cellIs" dxfId="12885" priority="3106" operator="lessThan">
      <formula>0.8</formula>
    </cfRule>
    <cfRule type="cellIs" dxfId="12884" priority="3107" operator="greaterThan">
      <formula>1</formula>
    </cfRule>
  </conditionalFormatting>
  <conditionalFormatting sqref="R106:R107">
    <cfRule type="cellIs" dxfId="12883" priority="3104" operator="greaterThan">
      <formula>1</formula>
    </cfRule>
    <cfRule type="cellIs" dxfId="12882" priority="3105" operator="lessThan">
      <formula>0.8</formula>
    </cfRule>
  </conditionalFormatting>
  <conditionalFormatting sqref="AF109:AF120">
    <cfRule type="cellIs" dxfId="12881" priority="3102" operator="lessThan">
      <formula>0</formula>
    </cfRule>
  </conditionalFormatting>
  <conditionalFormatting sqref="S109">
    <cfRule type="cellIs" dxfId="12880" priority="3101" operator="lessThan">
      <formula>0.8</formula>
    </cfRule>
  </conditionalFormatting>
  <conditionalFormatting sqref="AG109:AG120">
    <cfRule type="cellIs" dxfId="12879" priority="3099" operator="greaterThan">
      <formula>1</formula>
    </cfRule>
    <cfRule type="cellIs" dxfId="12878" priority="3100" operator="lessThan">
      <formula>0.8</formula>
    </cfRule>
  </conditionalFormatting>
  <conditionalFormatting sqref="S150">
    <cfRule type="cellIs" dxfId="12877" priority="3098" operator="lessThan">
      <formula>0.8</formula>
    </cfRule>
  </conditionalFormatting>
  <conditionalFormatting sqref="AH150">
    <cfRule type="cellIs" dxfId="12876" priority="3097" operator="lessThan">
      <formula>0.8</formula>
    </cfRule>
  </conditionalFormatting>
  <conditionalFormatting sqref="S149">
    <cfRule type="cellIs" dxfId="12875" priority="3096" operator="lessThan">
      <formula>0.8</formula>
    </cfRule>
  </conditionalFormatting>
  <conditionalFormatting sqref="Q26:Q29">
    <cfRule type="cellIs" dxfId="12874" priority="3095" operator="lessThan">
      <formula>0</formula>
    </cfRule>
  </conditionalFormatting>
  <conditionalFormatting sqref="S21:S29 AH21:AH29">
    <cfRule type="cellIs" dxfId="12873" priority="3094" operator="lessThan">
      <formula>0.8</formula>
    </cfRule>
  </conditionalFormatting>
  <conditionalFormatting sqref="R26:R29">
    <cfRule type="cellIs" dxfId="12872" priority="3092" operator="lessThan">
      <formula>0.8</formula>
    </cfRule>
    <cfRule type="cellIs" dxfId="12871" priority="3093" operator="greaterThan">
      <formula>1</formula>
    </cfRule>
  </conditionalFormatting>
  <conditionalFormatting sqref="R26:R29">
    <cfRule type="cellIs" dxfId="12870" priority="3090" operator="greaterThan">
      <formula>1</formula>
    </cfRule>
    <cfRule type="cellIs" dxfId="12869" priority="3091" operator="lessThan">
      <formula>0.8</formula>
    </cfRule>
  </conditionalFormatting>
  <conditionalFormatting sqref="P26:P29">
    <cfRule type="cellIs" dxfId="12868" priority="3089" operator="greaterThan">
      <formula>0</formula>
    </cfRule>
  </conditionalFormatting>
  <conditionalFormatting sqref="AH91 S91">
    <cfRule type="cellIs" dxfId="12867" priority="3088" operator="lessThan">
      <formula>0.8</formula>
    </cfRule>
  </conditionalFormatting>
  <conditionalFormatting sqref="P92:P94">
    <cfRule type="cellIs" dxfId="12866" priority="3082" operator="greaterThan">
      <formula>0</formula>
    </cfRule>
  </conditionalFormatting>
  <conditionalFormatting sqref="Q92:Q94">
    <cfRule type="cellIs" dxfId="12865" priority="3087" operator="lessThan">
      <formula>0</formula>
    </cfRule>
  </conditionalFormatting>
  <conditionalFormatting sqref="R92:R94">
    <cfRule type="cellIs" dxfId="12864" priority="3085" operator="lessThan">
      <formula>0.8</formula>
    </cfRule>
    <cfRule type="cellIs" dxfId="12863" priority="3086" operator="greaterThan">
      <formula>1</formula>
    </cfRule>
  </conditionalFormatting>
  <conditionalFormatting sqref="R92:R94">
    <cfRule type="cellIs" dxfId="12862" priority="3083" operator="greaterThan">
      <formula>1</formula>
    </cfRule>
    <cfRule type="cellIs" dxfId="12861" priority="3084" operator="lessThan">
      <formula>0.8</formula>
    </cfRule>
  </conditionalFormatting>
  <conditionalFormatting sqref="AF146 Q145:Q146">
    <cfRule type="cellIs" dxfId="12860" priority="3081" operator="lessThan">
      <formula>0</formula>
    </cfRule>
  </conditionalFormatting>
  <conditionalFormatting sqref="AH139:AH146 S139:S146">
    <cfRule type="cellIs" dxfId="12859" priority="3080" operator="lessThan">
      <formula>0.8</formula>
    </cfRule>
  </conditionalFormatting>
  <conditionalFormatting sqref="R145:R146">
    <cfRule type="cellIs" dxfId="12858" priority="3078" operator="lessThan">
      <formula>0.8</formula>
    </cfRule>
    <cfRule type="cellIs" dxfId="12857" priority="3079" operator="greaterThan">
      <formula>1</formula>
    </cfRule>
  </conditionalFormatting>
  <conditionalFormatting sqref="AG146 R145:R146">
    <cfRule type="cellIs" dxfId="12856" priority="3076" operator="greaterThan">
      <formula>1</formula>
    </cfRule>
    <cfRule type="cellIs" dxfId="12855" priority="3077" operator="lessThan">
      <formula>0.8</formula>
    </cfRule>
  </conditionalFormatting>
  <conditionalFormatting sqref="P145:P146">
    <cfRule type="cellIs" dxfId="12854" priority="3075" operator="greaterThan">
      <formula>0</formula>
    </cfRule>
  </conditionalFormatting>
  <conditionalFormatting sqref="Q119:Q120">
    <cfRule type="cellIs" dxfId="12853" priority="3074" operator="lessThan">
      <formula>0</formula>
    </cfRule>
  </conditionalFormatting>
  <conditionalFormatting sqref="R119:R120">
    <cfRule type="cellIs" dxfId="12852" priority="3072" operator="lessThan">
      <formula>0.8</formula>
    </cfRule>
    <cfRule type="cellIs" dxfId="12851" priority="3073" operator="greaterThan">
      <formula>1</formula>
    </cfRule>
  </conditionalFormatting>
  <conditionalFormatting sqref="R119:R120">
    <cfRule type="cellIs" dxfId="12850" priority="3070" operator="greaterThan">
      <formula>1</formula>
    </cfRule>
    <cfRule type="cellIs" dxfId="12849" priority="3071" operator="lessThan">
      <formula>0.8</formula>
    </cfRule>
  </conditionalFormatting>
  <conditionalFormatting sqref="P119:P120">
    <cfRule type="cellIs" dxfId="12848" priority="3069" operator="greaterThan">
      <formula>0</formula>
    </cfRule>
  </conditionalFormatting>
  <conditionalFormatting sqref="S44:S56">
    <cfRule type="cellIs" dxfId="12847" priority="3068" operator="lessThan">
      <formula>0.8</formula>
    </cfRule>
  </conditionalFormatting>
  <conditionalFormatting sqref="S108">
    <cfRule type="cellIs" dxfId="12846" priority="3067" operator="lessThan">
      <formula>0.8</formula>
    </cfRule>
  </conditionalFormatting>
  <conditionalFormatting sqref="S96">
    <cfRule type="cellIs" dxfId="12845" priority="3066" operator="lessThan">
      <formula>0.8</formula>
    </cfRule>
  </conditionalFormatting>
  <conditionalFormatting sqref="S97">
    <cfRule type="cellIs" dxfId="12844" priority="3065" operator="lessThan">
      <formula>0.8</formula>
    </cfRule>
  </conditionalFormatting>
  <conditionalFormatting sqref="S103">
    <cfRule type="cellIs" dxfId="12843" priority="3064" operator="lessThan">
      <formula>0.8</formula>
    </cfRule>
  </conditionalFormatting>
  <conditionalFormatting sqref="S99">
    <cfRule type="cellIs" dxfId="12842" priority="3063" operator="lessThan">
      <formula>0.8</formula>
    </cfRule>
  </conditionalFormatting>
  <conditionalFormatting sqref="S101">
    <cfRule type="cellIs" dxfId="12841" priority="3060" operator="lessThan">
      <formula>0.8</formula>
    </cfRule>
  </conditionalFormatting>
  <conditionalFormatting sqref="S100">
    <cfRule type="cellIs" dxfId="12840" priority="3062" operator="lessThan">
      <formula>0.8</formula>
    </cfRule>
  </conditionalFormatting>
  <conditionalFormatting sqref="S102">
    <cfRule type="cellIs" dxfId="12839" priority="3061" operator="lessThan">
      <formula>0.8</formula>
    </cfRule>
  </conditionalFormatting>
  <conditionalFormatting sqref="S98">
    <cfRule type="cellIs" dxfId="12838" priority="3059" operator="lessThan">
      <formula>0.8</formula>
    </cfRule>
  </conditionalFormatting>
  <conditionalFormatting sqref="S104">
    <cfRule type="cellIs" dxfId="12837" priority="3058" operator="lessThan">
      <formula>0.8</formula>
    </cfRule>
  </conditionalFormatting>
  <conditionalFormatting sqref="P118">
    <cfRule type="cellIs" dxfId="12836" priority="3052" operator="greaterThan">
      <formula>0</formula>
    </cfRule>
  </conditionalFormatting>
  <conditionalFormatting sqref="Q118">
    <cfRule type="cellIs" dxfId="12835" priority="3057" operator="lessThan">
      <formula>0</formula>
    </cfRule>
  </conditionalFormatting>
  <conditionalFormatting sqref="R118">
    <cfRule type="cellIs" dxfId="12834" priority="3055" operator="lessThan">
      <formula>0.8</formula>
    </cfRule>
    <cfRule type="cellIs" dxfId="12833" priority="3056" operator="greaterThan">
      <formula>1</formula>
    </cfRule>
  </conditionalFormatting>
  <conditionalFormatting sqref="R118">
    <cfRule type="cellIs" dxfId="12832" priority="3053" operator="greaterThan">
      <formula>1</formula>
    </cfRule>
    <cfRule type="cellIs" dxfId="12831" priority="3054" operator="lessThan">
      <formula>0.8</formula>
    </cfRule>
  </conditionalFormatting>
  <conditionalFormatting sqref="Q162:Q166">
    <cfRule type="cellIs" dxfId="12830" priority="3051" operator="lessThan">
      <formula>0</formula>
    </cfRule>
  </conditionalFormatting>
  <conditionalFormatting sqref="R162:R166">
    <cfRule type="cellIs" dxfId="12829" priority="3049" operator="lessThan">
      <formula>0.8</formula>
    </cfRule>
    <cfRule type="cellIs" dxfId="12828" priority="3050" operator="greaterThan">
      <formula>1</formula>
    </cfRule>
  </conditionalFormatting>
  <conditionalFormatting sqref="R162:R166">
    <cfRule type="cellIs" dxfId="12827" priority="3047" operator="greaterThan">
      <formula>1</formula>
    </cfRule>
    <cfRule type="cellIs" dxfId="12826" priority="3048" operator="lessThan">
      <formula>0.8</formula>
    </cfRule>
  </conditionalFormatting>
  <conditionalFormatting sqref="P162:P166">
    <cfRule type="cellIs" dxfId="12825" priority="3046" operator="greaterThan">
      <formula>0</formula>
    </cfRule>
  </conditionalFormatting>
  <conditionalFormatting sqref="P167:P168">
    <cfRule type="cellIs" dxfId="12824" priority="3040" operator="greaterThan">
      <formula>0</formula>
    </cfRule>
  </conditionalFormatting>
  <conditionalFormatting sqref="R167:R168">
    <cfRule type="cellIs" dxfId="12823" priority="3043" operator="lessThan">
      <formula>0.8</formula>
    </cfRule>
    <cfRule type="cellIs" dxfId="12822" priority="3044" operator="greaterThan">
      <formula>1</formula>
    </cfRule>
  </conditionalFormatting>
  <conditionalFormatting sqref="R167:R168">
    <cfRule type="cellIs" dxfId="12821" priority="3041" operator="greaterThan">
      <formula>1</formula>
    </cfRule>
    <cfRule type="cellIs" dxfId="12820" priority="3042" operator="lessThan">
      <formula>0.8</formula>
    </cfRule>
  </conditionalFormatting>
  <conditionalFormatting sqref="Q167:Q168">
    <cfRule type="cellIs" dxfId="12819" priority="3045" operator="lessThan">
      <formula>0</formula>
    </cfRule>
  </conditionalFormatting>
  <conditionalFormatting sqref="Q83">
    <cfRule type="cellIs" dxfId="12818" priority="3039" operator="lessThan">
      <formula>0</formula>
    </cfRule>
  </conditionalFormatting>
  <conditionalFormatting sqref="R83">
    <cfRule type="cellIs" dxfId="12817" priority="3037" operator="lessThan">
      <formula>0.8</formula>
    </cfRule>
    <cfRule type="cellIs" dxfId="12816" priority="3038" operator="greaterThan">
      <formula>1</formula>
    </cfRule>
  </conditionalFormatting>
  <conditionalFormatting sqref="R83">
    <cfRule type="cellIs" dxfId="12815" priority="3035" operator="greaterThan">
      <formula>1</formula>
    </cfRule>
    <cfRule type="cellIs" dxfId="12814" priority="3036" operator="lessThan">
      <formula>0.8</formula>
    </cfRule>
  </conditionalFormatting>
  <conditionalFormatting sqref="P83">
    <cfRule type="cellIs" dxfId="12813" priority="3034" operator="greaterThan">
      <formula>0</formula>
    </cfRule>
  </conditionalFormatting>
  <conditionalFormatting sqref="Q83">
    <cfRule type="cellIs" dxfId="12812" priority="3033" operator="lessThan">
      <formula>0</formula>
    </cfRule>
  </conditionalFormatting>
  <conditionalFormatting sqref="R83">
    <cfRule type="cellIs" dxfId="12811" priority="3031" operator="lessThan">
      <formula>0.8</formula>
    </cfRule>
    <cfRule type="cellIs" dxfId="12810" priority="3032" operator="greaterThan">
      <formula>1</formula>
    </cfRule>
  </conditionalFormatting>
  <conditionalFormatting sqref="R83">
    <cfRule type="cellIs" dxfId="12809" priority="3029" operator="greaterThan">
      <formula>1</formula>
    </cfRule>
    <cfRule type="cellIs" dxfId="12808" priority="3030" operator="lessThan">
      <formula>0.8</formula>
    </cfRule>
  </conditionalFormatting>
  <conditionalFormatting sqref="P83">
    <cfRule type="cellIs" dxfId="12807" priority="3028" operator="greaterThan">
      <formula>0</formula>
    </cfRule>
  </conditionalFormatting>
  <conditionalFormatting sqref="Q83">
    <cfRule type="cellIs" dxfId="12806" priority="3027" operator="lessThan">
      <formula>0</formula>
    </cfRule>
  </conditionalFormatting>
  <conditionalFormatting sqref="R83">
    <cfRule type="cellIs" dxfId="12805" priority="3025" operator="lessThan">
      <formula>0.8</formula>
    </cfRule>
    <cfRule type="cellIs" dxfId="12804" priority="3026" operator="greaterThan">
      <formula>1</formula>
    </cfRule>
  </conditionalFormatting>
  <conditionalFormatting sqref="R83">
    <cfRule type="cellIs" dxfId="12803" priority="3023" operator="greaterThan">
      <formula>1</formula>
    </cfRule>
    <cfRule type="cellIs" dxfId="12802" priority="3024" operator="lessThan">
      <formula>0.8</formula>
    </cfRule>
  </conditionalFormatting>
  <conditionalFormatting sqref="P83">
    <cfRule type="cellIs" dxfId="12801" priority="3022" operator="greaterThan">
      <formula>0</formula>
    </cfRule>
  </conditionalFormatting>
  <conditionalFormatting sqref="Q83">
    <cfRule type="cellIs" dxfId="12800" priority="3021" operator="lessThan">
      <formula>0</formula>
    </cfRule>
  </conditionalFormatting>
  <conditionalFormatting sqref="R83">
    <cfRule type="cellIs" dxfId="12799" priority="3019" operator="lessThan">
      <formula>0.8</formula>
    </cfRule>
    <cfRule type="cellIs" dxfId="12798" priority="3020" operator="greaterThan">
      <formula>1</formula>
    </cfRule>
  </conditionalFormatting>
  <conditionalFormatting sqref="R83">
    <cfRule type="cellIs" dxfId="12797" priority="3017" operator="greaterThan">
      <formula>1</formula>
    </cfRule>
    <cfRule type="cellIs" dxfId="12796" priority="3018" operator="lessThan">
      <formula>0.8</formula>
    </cfRule>
  </conditionalFormatting>
  <conditionalFormatting sqref="P83">
    <cfRule type="cellIs" dxfId="12795" priority="3016" operator="greaterThan">
      <formula>0</formula>
    </cfRule>
  </conditionalFormatting>
  <conditionalFormatting sqref="P83">
    <cfRule type="cellIs" dxfId="12794" priority="3010" operator="greaterThan">
      <formula>0</formula>
    </cfRule>
  </conditionalFormatting>
  <conditionalFormatting sqref="Q83">
    <cfRule type="cellIs" dxfId="12793" priority="3015" operator="lessThan">
      <formula>0</formula>
    </cfRule>
  </conditionalFormatting>
  <conditionalFormatting sqref="R83">
    <cfRule type="cellIs" dxfId="12792" priority="3013" operator="lessThan">
      <formula>0.8</formula>
    </cfRule>
    <cfRule type="cellIs" dxfId="12791" priority="3014" operator="greaterThan">
      <formula>1</formula>
    </cfRule>
  </conditionalFormatting>
  <conditionalFormatting sqref="R83">
    <cfRule type="cellIs" dxfId="12790" priority="3011" operator="greaterThan">
      <formula>1</formula>
    </cfRule>
    <cfRule type="cellIs" dxfId="12789" priority="3012" operator="lessThan">
      <formula>0.8</formula>
    </cfRule>
  </conditionalFormatting>
  <conditionalFormatting sqref="P83">
    <cfRule type="cellIs" dxfId="12788" priority="3004" operator="greaterThan">
      <formula>0</formula>
    </cfRule>
  </conditionalFormatting>
  <conditionalFormatting sqref="Q83">
    <cfRule type="cellIs" dxfId="12787" priority="3009" operator="lessThan">
      <formula>0</formula>
    </cfRule>
  </conditionalFormatting>
  <conditionalFormatting sqref="R83">
    <cfRule type="cellIs" dxfId="12786" priority="3007" operator="lessThan">
      <formula>0.8</formula>
    </cfRule>
    <cfRule type="cellIs" dxfId="12785" priority="3008" operator="greaterThan">
      <formula>1</formula>
    </cfRule>
  </conditionalFormatting>
  <conditionalFormatting sqref="R83">
    <cfRule type="cellIs" dxfId="12784" priority="3005" operator="greaterThan">
      <formula>1</formula>
    </cfRule>
    <cfRule type="cellIs" dxfId="12783" priority="3006" operator="lessThan">
      <formula>0.8</formula>
    </cfRule>
  </conditionalFormatting>
  <conditionalFormatting sqref="R83">
    <cfRule type="cellIs" dxfId="12782" priority="3001" operator="lessThan">
      <formula>0.8</formula>
    </cfRule>
    <cfRule type="cellIs" dxfId="12781" priority="3002" operator="greaterThan">
      <formula>1</formula>
    </cfRule>
  </conditionalFormatting>
  <conditionalFormatting sqref="R83">
    <cfRule type="cellIs" dxfId="12780" priority="2999" operator="greaterThan">
      <formula>1</formula>
    </cfRule>
    <cfRule type="cellIs" dxfId="12779" priority="3000" operator="lessThan">
      <formula>0.8</formula>
    </cfRule>
  </conditionalFormatting>
  <conditionalFormatting sqref="P83">
    <cfRule type="cellIs" dxfId="12778" priority="2998" operator="greaterThan">
      <formula>0</formula>
    </cfRule>
  </conditionalFormatting>
  <conditionalFormatting sqref="Q83">
    <cfRule type="cellIs" dxfId="12777" priority="3003" operator="lessThan">
      <formula>0</formula>
    </cfRule>
  </conditionalFormatting>
  <conditionalFormatting sqref="Q83">
    <cfRule type="cellIs" dxfId="12776" priority="2997" operator="lessThan">
      <formula>0</formula>
    </cfRule>
  </conditionalFormatting>
  <conditionalFormatting sqref="R83">
    <cfRule type="cellIs" dxfId="12775" priority="2995" operator="lessThan">
      <formula>0.8</formula>
    </cfRule>
    <cfRule type="cellIs" dxfId="12774" priority="2996" operator="greaterThan">
      <formula>1</formula>
    </cfRule>
  </conditionalFormatting>
  <conditionalFormatting sqref="R83">
    <cfRule type="cellIs" dxfId="12773" priority="2993" operator="greaterThan">
      <formula>1</formula>
    </cfRule>
    <cfRule type="cellIs" dxfId="12772" priority="2994" operator="lessThan">
      <formula>0.8</formula>
    </cfRule>
  </conditionalFormatting>
  <conditionalFormatting sqref="P83">
    <cfRule type="cellIs" dxfId="12771" priority="2992" operator="greaterThan">
      <formula>0</formula>
    </cfRule>
  </conditionalFormatting>
  <conditionalFormatting sqref="P83">
    <cfRule type="cellIs" dxfId="12770" priority="2986" operator="greaterThan">
      <formula>0</formula>
    </cfRule>
  </conditionalFormatting>
  <conditionalFormatting sqref="Q83">
    <cfRule type="cellIs" dxfId="12769" priority="2991" operator="lessThan">
      <formula>0</formula>
    </cfRule>
  </conditionalFormatting>
  <conditionalFormatting sqref="R83">
    <cfRule type="cellIs" dxfId="12768" priority="2989" operator="lessThan">
      <formula>0.8</formula>
    </cfRule>
    <cfRule type="cellIs" dxfId="12767" priority="2990" operator="greaterThan">
      <formula>1</formula>
    </cfRule>
  </conditionalFormatting>
  <conditionalFormatting sqref="R83">
    <cfRule type="cellIs" dxfId="12766" priority="2987" operator="greaterThan">
      <formula>1</formula>
    </cfRule>
    <cfRule type="cellIs" dxfId="12765" priority="2988" operator="lessThan">
      <formula>0.8</formula>
    </cfRule>
  </conditionalFormatting>
  <conditionalFormatting sqref="P83">
    <cfRule type="cellIs" dxfId="12764" priority="2980" operator="greaterThan">
      <formula>0</formula>
    </cfRule>
  </conditionalFormatting>
  <conditionalFormatting sqref="Q83">
    <cfRule type="cellIs" dxfId="12763" priority="2985" operator="lessThan">
      <formula>0</formula>
    </cfRule>
  </conditionalFormatting>
  <conditionalFormatting sqref="R83">
    <cfRule type="cellIs" dxfId="12762" priority="2983" operator="lessThan">
      <formula>0.8</formula>
    </cfRule>
    <cfRule type="cellIs" dxfId="12761" priority="2984" operator="greaterThan">
      <formula>1</formula>
    </cfRule>
  </conditionalFormatting>
  <conditionalFormatting sqref="R83">
    <cfRule type="cellIs" dxfId="12760" priority="2981" operator="greaterThan">
      <formula>1</formula>
    </cfRule>
    <cfRule type="cellIs" dxfId="12759" priority="2982" operator="lessThan">
      <formula>0.8</formula>
    </cfRule>
  </conditionalFormatting>
  <conditionalFormatting sqref="R83">
    <cfRule type="cellIs" dxfId="12758" priority="2977" operator="lessThan">
      <formula>0.8</formula>
    </cfRule>
    <cfRule type="cellIs" dxfId="12757" priority="2978" operator="greaterThan">
      <formula>1</formula>
    </cfRule>
  </conditionalFormatting>
  <conditionalFormatting sqref="R83">
    <cfRule type="cellIs" dxfId="12756" priority="2975" operator="greaterThan">
      <formula>1</formula>
    </cfRule>
    <cfRule type="cellIs" dxfId="12755" priority="2976" operator="lessThan">
      <formula>0.8</formula>
    </cfRule>
  </conditionalFormatting>
  <conditionalFormatting sqref="P83">
    <cfRule type="cellIs" dxfId="12754" priority="2974" operator="greaterThan">
      <formula>0</formula>
    </cfRule>
  </conditionalFormatting>
  <conditionalFormatting sqref="Q83">
    <cfRule type="cellIs" dxfId="12753" priority="2979" operator="lessThan">
      <formula>0</formula>
    </cfRule>
  </conditionalFormatting>
  <conditionalFormatting sqref="P83">
    <cfRule type="cellIs" dxfId="12752" priority="2968" operator="greaterThan">
      <formula>0</formula>
    </cfRule>
  </conditionalFormatting>
  <conditionalFormatting sqref="Q83">
    <cfRule type="cellIs" dxfId="12751" priority="2973" operator="lessThan">
      <formula>0</formula>
    </cfRule>
  </conditionalFormatting>
  <conditionalFormatting sqref="R83">
    <cfRule type="cellIs" dxfId="12750" priority="2971" operator="lessThan">
      <formula>0.8</formula>
    </cfRule>
    <cfRule type="cellIs" dxfId="12749" priority="2972" operator="greaterThan">
      <formula>1</formula>
    </cfRule>
  </conditionalFormatting>
  <conditionalFormatting sqref="R83">
    <cfRule type="cellIs" dxfId="12748" priority="2969" operator="greaterThan">
      <formula>1</formula>
    </cfRule>
    <cfRule type="cellIs" dxfId="12747" priority="2970" operator="lessThan">
      <formula>0.8</formula>
    </cfRule>
  </conditionalFormatting>
  <conditionalFormatting sqref="R83">
    <cfRule type="cellIs" dxfId="12746" priority="2965" operator="lessThan">
      <formula>0.8</formula>
    </cfRule>
    <cfRule type="cellIs" dxfId="12745" priority="2966" operator="greaterThan">
      <formula>1</formula>
    </cfRule>
  </conditionalFormatting>
  <conditionalFormatting sqref="R83">
    <cfRule type="cellIs" dxfId="12744" priority="2963" operator="greaterThan">
      <formula>1</formula>
    </cfRule>
    <cfRule type="cellIs" dxfId="12743" priority="2964" operator="lessThan">
      <formula>0.8</formula>
    </cfRule>
  </conditionalFormatting>
  <conditionalFormatting sqref="P83">
    <cfRule type="cellIs" dxfId="12742" priority="2962" operator="greaterThan">
      <formula>0</formula>
    </cfRule>
  </conditionalFormatting>
  <conditionalFormatting sqref="Q83">
    <cfRule type="cellIs" dxfId="12741" priority="2967" operator="lessThan">
      <formula>0</formula>
    </cfRule>
  </conditionalFormatting>
  <conditionalFormatting sqref="R83">
    <cfRule type="cellIs" dxfId="12740" priority="2959" operator="lessThan">
      <formula>0.8</formula>
    </cfRule>
    <cfRule type="cellIs" dxfId="12739" priority="2960" operator="greaterThan">
      <formula>1</formula>
    </cfRule>
  </conditionalFormatting>
  <conditionalFormatting sqref="R83">
    <cfRule type="cellIs" dxfId="12738" priority="2957" operator="greaterThan">
      <formula>1</formula>
    </cfRule>
    <cfRule type="cellIs" dxfId="12737" priority="2958" operator="lessThan">
      <formula>0.8</formula>
    </cfRule>
  </conditionalFormatting>
  <conditionalFormatting sqref="P83">
    <cfRule type="cellIs" dxfId="12736" priority="2956" operator="greaterThan">
      <formula>0</formula>
    </cfRule>
  </conditionalFormatting>
  <conditionalFormatting sqref="Q83">
    <cfRule type="cellIs" dxfId="12735" priority="2961" operator="lessThan">
      <formula>0</formula>
    </cfRule>
  </conditionalFormatting>
  <conditionalFormatting sqref="Q83">
    <cfRule type="cellIs" dxfId="12734" priority="2955" operator="lessThan">
      <formula>0</formula>
    </cfRule>
  </conditionalFormatting>
  <conditionalFormatting sqref="R83">
    <cfRule type="cellIs" dxfId="12733" priority="2953" operator="lessThan">
      <formula>0.8</formula>
    </cfRule>
    <cfRule type="cellIs" dxfId="12732" priority="2954" operator="greaterThan">
      <formula>1</formula>
    </cfRule>
  </conditionalFormatting>
  <conditionalFormatting sqref="R83">
    <cfRule type="cellIs" dxfId="12731" priority="2951" operator="greaterThan">
      <formula>1</formula>
    </cfRule>
    <cfRule type="cellIs" dxfId="12730" priority="2952" operator="lessThan">
      <formula>0.8</formula>
    </cfRule>
  </conditionalFormatting>
  <conditionalFormatting sqref="P83">
    <cfRule type="cellIs" dxfId="12729" priority="2950" operator="greaterThan">
      <formula>0</formula>
    </cfRule>
  </conditionalFormatting>
  <conditionalFormatting sqref="Q83">
    <cfRule type="cellIs" dxfId="12728" priority="2944" operator="lessThan">
      <formula>0</formula>
    </cfRule>
  </conditionalFormatting>
  <conditionalFormatting sqref="R83">
    <cfRule type="cellIs" dxfId="12727" priority="2948" operator="lessThan">
      <formula>0.8</formula>
    </cfRule>
    <cfRule type="cellIs" dxfId="12726" priority="2949" operator="greaterThan">
      <formula>1</formula>
    </cfRule>
  </conditionalFormatting>
  <conditionalFormatting sqref="R83">
    <cfRule type="cellIs" dxfId="12725" priority="2946" operator="greaterThan">
      <formula>1</formula>
    </cfRule>
    <cfRule type="cellIs" dxfId="12724" priority="2947" operator="lessThan">
      <formula>0.8</formula>
    </cfRule>
  </conditionalFormatting>
  <conditionalFormatting sqref="P83">
    <cfRule type="cellIs" dxfId="12723" priority="2945" operator="greaterThan">
      <formula>0</formula>
    </cfRule>
  </conditionalFormatting>
  <conditionalFormatting sqref="Q83">
    <cfRule type="cellIs" dxfId="12722" priority="2943" operator="lessThan">
      <formula>0</formula>
    </cfRule>
  </conditionalFormatting>
  <conditionalFormatting sqref="R83">
    <cfRule type="cellIs" dxfId="12721" priority="2941" operator="lessThan">
      <formula>0.8</formula>
    </cfRule>
    <cfRule type="cellIs" dxfId="12720" priority="2942" operator="greaterThan">
      <formula>1</formula>
    </cfRule>
  </conditionalFormatting>
  <conditionalFormatting sqref="R83">
    <cfRule type="cellIs" dxfId="12719" priority="2939" operator="greaterThan">
      <formula>1</formula>
    </cfRule>
    <cfRule type="cellIs" dxfId="12718" priority="2940" operator="lessThan">
      <formula>0.8</formula>
    </cfRule>
  </conditionalFormatting>
  <conditionalFormatting sqref="P83">
    <cfRule type="cellIs" dxfId="12717" priority="2938" operator="greaterThan">
      <formula>0</formula>
    </cfRule>
  </conditionalFormatting>
  <conditionalFormatting sqref="Q83">
    <cfRule type="cellIs" dxfId="12716" priority="2937" operator="lessThan">
      <formula>0</formula>
    </cfRule>
  </conditionalFormatting>
  <conditionalFormatting sqref="R83">
    <cfRule type="cellIs" dxfId="12715" priority="2935" operator="lessThan">
      <formula>0.8</formula>
    </cfRule>
    <cfRule type="cellIs" dxfId="12714" priority="2936" operator="greaterThan">
      <formula>1</formula>
    </cfRule>
  </conditionalFormatting>
  <conditionalFormatting sqref="R83">
    <cfRule type="cellIs" dxfId="12713" priority="2933" operator="greaterThan">
      <formula>1</formula>
    </cfRule>
    <cfRule type="cellIs" dxfId="12712" priority="2934" operator="lessThan">
      <formula>0.8</formula>
    </cfRule>
  </conditionalFormatting>
  <conditionalFormatting sqref="P83">
    <cfRule type="cellIs" dxfId="12711" priority="2932" operator="greaterThan">
      <formula>0</formula>
    </cfRule>
  </conditionalFormatting>
  <conditionalFormatting sqref="Q83">
    <cfRule type="cellIs" dxfId="12710" priority="2931" operator="lessThan">
      <formula>0</formula>
    </cfRule>
  </conditionalFormatting>
  <conditionalFormatting sqref="R83">
    <cfRule type="cellIs" dxfId="12709" priority="2929" operator="lessThan">
      <formula>0.8</formula>
    </cfRule>
    <cfRule type="cellIs" dxfId="12708" priority="2930" operator="greaterThan">
      <formula>1</formula>
    </cfRule>
  </conditionalFormatting>
  <conditionalFormatting sqref="R83">
    <cfRule type="cellIs" dxfId="12707" priority="2927" operator="greaterThan">
      <formula>1</formula>
    </cfRule>
    <cfRule type="cellIs" dxfId="12706" priority="2928" operator="lessThan">
      <formula>0.8</formula>
    </cfRule>
  </conditionalFormatting>
  <conditionalFormatting sqref="P83">
    <cfRule type="cellIs" dxfId="12705" priority="2926" operator="greaterThan">
      <formula>0</formula>
    </cfRule>
  </conditionalFormatting>
  <conditionalFormatting sqref="Q83">
    <cfRule type="cellIs" dxfId="12704" priority="2925" operator="lessThan">
      <formula>0</formula>
    </cfRule>
  </conditionalFormatting>
  <conditionalFormatting sqref="R83">
    <cfRule type="cellIs" dxfId="12703" priority="2923" operator="lessThan">
      <formula>0.8</formula>
    </cfRule>
    <cfRule type="cellIs" dxfId="12702" priority="2924" operator="greaterThan">
      <formula>1</formula>
    </cfRule>
  </conditionalFormatting>
  <conditionalFormatting sqref="R83">
    <cfRule type="cellIs" dxfId="12701" priority="2921" operator="greaterThan">
      <formula>1</formula>
    </cfRule>
    <cfRule type="cellIs" dxfId="12700" priority="2922" operator="lessThan">
      <formula>0.8</formula>
    </cfRule>
  </conditionalFormatting>
  <conditionalFormatting sqref="P83">
    <cfRule type="cellIs" dxfId="12699" priority="2920" operator="greaterThan">
      <formula>0</formula>
    </cfRule>
  </conditionalFormatting>
  <conditionalFormatting sqref="Q83">
    <cfRule type="cellIs" dxfId="12698" priority="2919" operator="lessThan">
      <formula>0</formula>
    </cfRule>
  </conditionalFormatting>
  <conditionalFormatting sqref="R83">
    <cfRule type="cellIs" dxfId="12697" priority="2917" operator="lessThan">
      <formula>0.8</formula>
    </cfRule>
    <cfRule type="cellIs" dxfId="12696" priority="2918" operator="greaterThan">
      <formula>1</formula>
    </cfRule>
  </conditionalFormatting>
  <conditionalFormatting sqref="R83">
    <cfRule type="cellIs" dxfId="12695" priority="2915" operator="greaterThan">
      <formula>1</formula>
    </cfRule>
    <cfRule type="cellIs" dxfId="12694" priority="2916" operator="lessThan">
      <formula>0.8</formula>
    </cfRule>
  </conditionalFormatting>
  <conditionalFormatting sqref="P83">
    <cfRule type="cellIs" dxfId="12693" priority="2914" operator="greaterThan">
      <formula>0</formula>
    </cfRule>
  </conditionalFormatting>
  <conditionalFormatting sqref="P83">
    <cfRule type="cellIs" dxfId="12692" priority="2908" operator="greaterThan">
      <formula>0</formula>
    </cfRule>
  </conditionalFormatting>
  <conditionalFormatting sqref="Q83">
    <cfRule type="cellIs" dxfId="12691" priority="2913" operator="lessThan">
      <formula>0</formula>
    </cfRule>
  </conditionalFormatting>
  <conditionalFormatting sqref="R83">
    <cfRule type="cellIs" dxfId="12690" priority="2911" operator="lessThan">
      <formula>0.8</formula>
    </cfRule>
    <cfRule type="cellIs" dxfId="12689" priority="2912" operator="greaterThan">
      <formula>1</formula>
    </cfRule>
  </conditionalFormatting>
  <conditionalFormatting sqref="R83">
    <cfRule type="cellIs" dxfId="12688" priority="2909" operator="greaterThan">
      <formula>1</formula>
    </cfRule>
    <cfRule type="cellIs" dxfId="12687" priority="2910" operator="lessThan">
      <formula>0.8</formula>
    </cfRule>
  </conditionalFormatting>
  <conditionalFormatting sqref="P83">
    <cfRule type="cellIs" dxfId="12686" priority="2902" operator="greaterThan">
      <formula>0</formula>
    </cfRule>
  </conditionalFormatting>
  <conditionalFormatting sqref="Q83">
    <cfRule type="cellIs" dxfId="12685" priority="2907" operator="lessThan">
      <formula>0</formula>
    </cfRule>
  </conditionalFormatting>
  <conditionalFormatting sqref="R83">
    <cfRule type="cellIs" dxfId="12684" priority="2905" operator="lessThan">
      <formula>0.8</formula>
    </cfRule>
    <cfRule type="cellIs" dxfId="12683" priority="2906" operator="greaterThan">
      <formula>1</formula>
    </cfRule>
  </conditionalFormatting>
  <conditionalFormatting sqref="R83">
    <cfRule type="cellIs" dxfId="12682" priority="2903" operator="greaterThan">
      <formula>1</formula>
    </cfRule>
    <cfRule type="cellIs" dxfId="12681" priority="2904" operator="lessThan">
      <formula>0.8</formula>
    </cfRule>
  </conditionalFormatting>
  <conditionalFormatting sqref="R83">
    <cfRule type="cellIs" dxfId="12680" priority="2899" operator="lessThan">
      <formula>0.8</formula>
    </cfRule>
    <cfRule type="cellIs" dxfId="12679" priority="2900" operator="greaterThan">
      <formula>1</formula>
    </cfRule>
  </conditionalFormatting>
  <conditionalFormatting sqref="R83">
    <cfRule type="cellIs" dxfId="12678" priority="2897" operator="greaterThan">
      <formula>1</formula>
    </cfRule>
    <cfRule type="cellIs" dxfId="12677" priority="2898" operator="lessThan">
      <formula>0.8</formula>
    </cfRule>
  </conditionalFormatting>
  <conditionalFormatting sqref="P83">
    <cfRule type="cellIs" dxfId="12676" priority="2896" operator="greaterThan">
      <formula>0</formula>
    </cfRule>
  </conditionalFormatting>
  <conditionalFormatting sqref="Q83">
    <cfRule type="cellIs" dxfId="12675" priority="2901" operator="lessThan">
      <formula>0</formula>
    </cfRule>
  </conditionalFormatting>
  <conditionalFormatting sqref="Q83">
    <cfRule type="cellIs" dxfId="12674" priority="2895" operator="lessThan">
      <formula>0</formula>
    </cfRule>
  </conditionalFormatting>
  <conditionalFormatting sqref="R83">
    <cfRule type="cellIs" dxfId="12673" priority="2893" operator="lessThan">
      <formula>0.8</formula>
    </cfRule>
    <cfRule type="cellIs" dxfId="12672" priority="2894" operator="greaterThan">
      <formula>1</formula>
    </cfRule>
  </conditionalFormatting>
  <conditionalFormatting sqref="R83">
    <cfRule type="cellIs" dxfId="12671" priority="2891" operator="greaterThan">
      <formula>1</formula>
    </cfRule>
    <cfRule type="cellIs" dxfId="12670" priority="2892" operator="lessThan">
      <formula>0.8</formula>
    </cfRule>
  </conditionalFormatting>
  <conditionalFormatting sqref="P83">
    <cfRule type="cellIs" dxfId="12669" priority="2890" operator="greaterThan">
      <formula>0</formula>
    </cfRule>
  </conditionalFormatting>
  <conditionalFormatting sqref="Q83">
    <cfRule type="cellIs" dxfId="12668" priority="2889" operator="lessThan">
      <formula>0</formula>
    </cfRule>
  </conditionalFormatting>
  <conditionalFormatting sqref="R83">
    <cfRule type="cellIs" dxfId="12667" priority="2887" operator="lessThan">
      <formula>0.8</formula>
    </cfRule>
    <cfRule type="cellIs" dxfId="12666" priority="2888" operator="greaterThan">
      <formula>1</formula>
    </cfRule>
  </conditionalFormatting>
  <conditionalFormatting sqref="R83">
    <cfRule type="cellIs" dxfId="12665" priority="2885" operator="greaterThan">
      <formula>1</formula>
    </cfRule>
    <cfRule type="cellIs" dxfId="12664" priority="2886" operator="lessThan">
      <formula>0.8</formula>
    </cfRule>
  </conditionalFormatting>
  <conditionalFormatting sqref="P83">
    <cfRule type="cellIs" dxfId="12663" priority="2884" operator="greaterThan">
      <formula>0</formula>
    </cfRule>
  </conditionalFormatting>
  <conditionalFormatting sqref="Q83">
    <cfRule type="cellIs" dxfId="12662" priority="2883" operator="lessThan">
      <formula>0</formula>
    </cfRule>
  </conditionalFormatting>
  <conditionalFormatting sqref="R83">
    <cfRule type="cellIs" dxfId="12661" priority="2881" operator="lessThan">
      <formula>0.8</formula>
    </cfRule>
    <cfRule type="cellIs" dxfId="12660" priority="2882" operator="greaterThan">
      <formula>1</formula>
    </cfRule>
  </conditionalFormatting>
  <conditionalFormatting sqref="R83">
    <cfRule type="cellIs" dxfId="12659" priority="2879" operator="greaterThan">
      <formula>1</formula>
    </cfRule>
    <cfRule type="cellIs" dxfId="12658" priority="2880" operator="lessThan">
      <formula>0.8</formula>
    </cfRule>
  </conditionalFormatting>
  <conditionalFormatting sqref="P83">
    <cfRule type="cellIs" dxfId="12657" priority="2878" operator="greaterThan">
      <formula>0</formula>
    </cfRule>
  </conditionalFormatting>
  <conditionalFormatting sqref="Q83">
    <cfRule type="cellIs" dxfId="12656" priority="2877" operator="lessThan">
      <formula>0</formula>
    </cfRule>
  </conditionalFormatting>
  <conditionalFormatting sqref="R83">
    <cfRule type="cellIs" dxfId="12655" priority="2875" operator="lessThan">
      <formula>0.8</formula>
    </cfRule>
    <cfRule type="cellIs" dxfId="12654" priority="2876" operator="greaterThan">
      <formula>1</formula>
    </cfRule>
  </conditionalFormatting>
  <conditionalFormatting sqref="R83">
    <cfRule type="cellIs" dxfId="12653" priority="2873" operator="greaterThan">
      <formula>1</formula>
    </cfRule>
    <cfRule type="cellIs" dxfId="12652" priority="2874" operator="lessThan">
      <formula>0.8</formula>
    </cfRule>
  </conditionalFormatting>
  <conditionalFormatting sqref="P83">
    <cfRule type="cellIs" dxfId="12651" priority="2872" operator="greaterThan">
      <formula>0</formula>
    </cfRule>
  </conditionalFormatting>
  <conditionalFormatting sqref="P83">
    <cfRule type="cellIs" dxfId="12650" priority="2866" operator="greaterThan">
      <formula>0</formula>
    </cfRule>
  </conditionalFormatting>
  <conditionalFormatting sqref="Q83">
    <cfRule type="cellIs" dxfId="12649" priority="2871" operator="lessThan">
      <formula>0</formula>
    </cfRule>
  </conditionalFormatting>
  <conditionalFormatting sqref="R83">
    <cfRule type="cellIs" dxfId="12648" priority="2869" operator="lessThan">
      <formula>0.8</formula>
    </cfRule>
    <cfRule type="cellIs" dxfId="12647" priority="2870" operator="greaterThan">
      <formula>1</formula>
    </cfRule>
  </conditionalFormatting>
  <conditionalFormatting sqref="R83">
    <cfRule type="cellIs" dxfId="12646" priority="2867" operator="greaterThan">
      <formula>1</formula>
    </cfRule>
    <cfRule type="cellIs" dxfId="12645" priority="2868" operator="lessThan">
      <formula>0.8</formula>
    </cfRule>
  </conditionalFormatting>
  <conditionalFormatting sqref="P83">
    <cfRule type="cellIs" dxfId="12644" priority="2860" operator="greaterThan">
      <formula>0</formula>
    </cfRule>
  </conditionalFormatting>
  <conditionalFormatting sqref="Q83">
    <cfRule type="cellIs" dxfId="12643" priority="2865" operator="lessThan">
      <formula>0</formula>
    </cfRule>
  </conditionalFormatting>
  <conditionalFormatting sqref="R83">
    <cfRule type="cellIs" dxfId="12642" priority="2863" operator="lessThan">
      <formula>0.8</formula>
    </cfRule>
    <cfRule type="cellIs" dxfId="12641" priority="2864" operator="greaterThan">
      <formula>1</formula>
    </cfRule>
  </conditionalFormatting>
  <conditionalFormatting sqref="R83">
    <cfRule type="cellIs" dxfId="12640" priority="2861" operator="greaterThan">
      <formula>1</formula>
    </cfRule>
    <cfRule type="cellIs" dxfId="12639" priority="2862" operator="lessThan">
      <formula>0.8</formula>
    </cfRule>
  </conditionalFormatting>
  <conditionalFormatting sqref="R83">
    <cfRule type="cellIs" dxfId="12638" priority="2857" operator="lessThan">
      <formula>0.8</formula>
    </cfRule>
    <cfRule type="cellIs" dxfId="12637" priority="2858" operator="greaterThan">
      <formula>1</formula>
    </cfRule>
  </conditionalFormatting>
  <conditionalFormatting sqref="R83">
    <cfRule type="cellIs" dxfId="12636" priority="2855" operator="greaterThan">
      <formula>1</formula>
    </cfRule>
    <cfRule type="cellIs" dxfId="12635" priority="2856" operator="lessThan">
      <formula>0.8</formula>
    </cfRule>
  </conditionalFormatting>
  <conditionalFormatting sqref="P83">
    <cfRule type="cellIs" dxfId="12634" priority="2854" operator="greaterThan">
      <formula>0</formula>
    </cfRule>
  </conditionalFormatting>
  <conditionalFormatting sqref="Q83">
    <cfRule type="cellIs" dxfId="12633" priority="2859" operator="lessThan">
      <formula>0</formula>
    </cfRule>
  </conditionalFormatting>
  <conditionalFormatting sqref="Q83">
    <cfRule type="cellIs" dxfId="12632" priority="2853" operator="lessThan">
      <formula>0</formula>
    </cfRule>
  </conditionalFormatting>
  <conditionalFormatting sqref="R83">
    <cfRule type="cellIs" dxfId="12631" priority="2851" operator="lessThan">
      <formula>0.8</formula>
    </cfRule>
    <cfRule type="cellIs" dxfId="12630" priority="2852" operator="greaterThan">
      <formula>1</formula>
    </cfRule>
  </conditionalFormatting>
  <conditionalFormatting sqref="R83">
    <cfRule type="cellIs" dxfId="12629" priority="2849" operator="greaterThan">
      <formula>1</formula>
    </cfRule>
    <cfRule type="cellIs" dxfId="12628" priority="2850" operator="lessThan">
      <formula>0.8</formula>
    </cfRule>
  </conditionalFormatting>
  <conditionalFormatting sqref="P83">
    <cfRule type="cellIs" dxfId="12627" priority="2848" operator="greaterThan">
      <formula>0</formula>
    </cfRule>
  </conditionalFormatting>
  <conditionalFormatting sqref="P83">
    <cfRule type="cellIs" dxfId="12626" priority="2842" operator="greaterThan">
      <formula>0</formula>
    </cfRule>
  </conditionalFormatting>
  <conditionalFormatting sqref="Q83">
    <cfRule type="cellIs" dxfId="12625" priority="2847" operator="lessThan">
      <formula>0</formula>
    </cfRule>
  </conditionalFormatting>
  <conditionalFormatting sqref="R83">
    <cfRule type="cellIs" dxfId="12624" priority="2845" operator="lessThan">
      <formula>0.8</formula>
    </cfRule>
    <cfRule type="cellIs" dxfId="12623" priority="2846" operator="greaterThan">
      <formula>1</formula>
    </cfRule>
  </conditionalFormatting>
  <conditionalFormatting sqref="R83">
    <cfRule type="cellIs" dxfId="12622" priority="2843" operator="greaterThan">
      <formula>1</formula>
    </cfRule>
    <cfRule type="cellIs" dxfId="12621" priority="2844" operator="lessThan">
      <formula>0.8</formula>
    </cfRule>
  </conditionalFormatting>
  <conditionalFormatting sqref="P83">
    <cfRule type="cellIs" dxfId="12620" priority="2836" operator="greaterThan">
      <formula>0</formula>
    </cfRule>
  </conditionalFormatting>
  <conditionalFormatting sqref="Q83">
    <cfRule type="cellIs" dxfId="12619" priority="2841" operator="lessThan">
      <formula>0</formula>
    </cfRule>
  </conditionalFormatting>
  <conditionalFormatting sqref="R83">
    <cfRule type="cellIs" dxfId="12618" priority="2839" operator="lessThan">
      <formula>0.8</formula>
    </cfRule>
    <cfRule type="cellIs" dxfId="12617" priority="2840" operator="greaterThan">
      <formula>1</formula>
    </cfRule>
  </conditionalFormatting>
  <conditionalFormatting sqref="R83">
    <cfRule type="cellIs" dxfId="12616" priority="2837" operator="greaterThan">
      <formula>1</formula>
    </cfRule>
    <cfRule type="cellIs" dxfId="12615" priority="2838" operator="lessThan">
      <formula>0.8</formula>
    </cfRule>
  </conditionalFormatting>
  <conditionalFormatting sqref="R83">
    <cfRule type="cellIs" dxfId="12614" priority="2833" operator="lessThan">
      <formula>0.8</formula>
    </cfRule>
    <cfRule type="cellIs" dxfId="12613" priority="2834" operator="greaterThan">
      <formula>1</formula>
    </cfRule>
  </conditionalFormatting>
  <conditionalFormatting sqref="R83">
    <cfRule type="cellIs" dxfId="12612" priority="2831" operator="greaterThan">
      <formula>1</formula>
    </cfRule>
    <cfRule type="cellIs" dxfId="12611" priority="2832" operator="lessThan">
      <formula>0.8</formula>
    </cfRule>
  </conditionalFormatting>
  <conditionalFormatting sqref="P83">
    <cfRule type="cellIs" dxfId="12610" priority="2830" operator="greaterThan">
      <formula>0</formula>
    </cfRule>
  </conditionalFormatting>
  <conditionalFormatting sqref="Q83">
    <cfRule type="cellIs" dxfId="12609" priority="2835" operator="lessThan">
      <formula>0</formula>
    </cfRule>
  </conditionalFormatting>
  <conditionalFormatting sqref="P83">
    <cfRule type="cellIs" dxfId="12608" priority="2824" operator="greaterThan">
      <formula>0</formula>
    </cfRule>
  </conditionalFormatting>
  <conditionalFormatting sqref="Q83">
    <cfRule type="cellIs" dxfId="12607" priority="2829" operator="lessThan">
      <formula>0</formula>
    </cfRule>
  </conditionalFormatting>
  <conditionalFormatting sqref="R83">
    <cfRule type="cellIs" dxfId="12606" priority="2827" operator="lessThan">
      <formula>0.8</formula>
    </cfRule>
    <cfRule type="cellIs" dxfId="12605" priority="2828" operator="greaterThan">
      <formula>1</formula>
    </cfRule>
  </conditionalFormatting>
  <conditionalFormatting sqref="R83">
    <cfRule type="cellIs" dxfId="12604" priority="2825" operator="greaterThan">
      <formula>1</formula>
    </cfRule>
    <cfRule type="cellIs" dxfId="12603" priority="2826" operator="lessThan">
      <formula>0.8</formula>
    </cfRule>
  </conditionalFormatting>
  <conditionalFormatting sqref="R83">
    <cfRule type="cellIs" dxfId="12602" priority="2821" operator="lessThan">
      <formula>0.8</formula>
    </cfRule>
    <cfRule type="cellIs" dxfId="12601" priority="2822" operator="greaterThan">
      <formula>1</formula>
    </cfRule>
  </conditionalFormatting>
  <conditionalFormatting sqref="R83">
    <cfRule type="cellIs" dxfId="12600" priority="2819" operator="greaterThan">
      <formula>1</formula>
    </cfRule>
    <cfRule type="cellIs" dxfId="12599" priority="2820" operator="lessThan">
      <formula>0.8</formula>
    </cfRule>
  </conditionalFormatting>
  <conditionalFormatting sqref="P83">
    <cfRule type="cellIs" dxfId="12598" priority="2818" operator="greaterThan">
      <formula>0</formula>
    </cfRule>
  </conditionalFormatting>
  <conditionalFormatting sqref="Q83">
    <cfRule type="cellIs" dxfId="12597" priority="2823" operator="lessThan">
      <formula>0</formula>
    </cfRule>
  </conditionalFormatting>
  <conditionalFormatting sqref="R83">
    <cfRule type="cellIs" dxfId="12596" priority="2815" operator="lessThan">
      <formula>0.8</formula>
    </cfRule>
    <cfRule type="cellIs" dxfId="12595" priority="2816" operator="greaterThan">
      <formula>1</formula>
    </cfRule>
  </conditionalFormatting>
  <conditionalFormatting sqref="R83">
    <cfRule type="cellIs" dxfId="12594" priority="2813" operator="greaterThan">
      <formula>1</formula>
    </cfRule>
    <cfRule type="cellIs" dxfId="12593" priority="2814" operator="lessThan">
      <formula>0.8</formula>
    </cfRule>
  </conditionalFormatting>
  <conditionalFormatting sqref="P83">
    <cfRule type="cellIs" dxfId="12592" priority="2812" operator="greaterThan">
      <formula>0</formula>
    </cfRule>
  </conditionalFormatting>
  <conditionalFormatting sqref="Q83">
    <cfRule type="cellIs" dxfId="12591" priority="2817" operator="lessThan">
      <formula>0</formula>
    </cfRule>
  </conditionalFormatting>
  <conditionalFormatting sqref="Q83">
    <cfRule type="cellIs" dxfId="12590" priority="2811" operator="lessThan">
      <formula>0</formula>
    </cfRule>
  </conditionalFormatting>
  <conditionalFormatting sqref="R83">
    <cfRule type="cellIs" dxfId="12589" priority="2809" operator="lessThan">
      <formula>0.8</formula>
    </cfRule>
    <cfRule type="cellIs" dxfId="12588" priority="2810" operator="greaterThan">
      <formula>1</formula>
    </cfRule>
  </conditionalFormatting>
  <conditionalFormatting sqref="R83">
    <cfRule type="cellIs" dxfId="12587" priority="2807" operator="greaterThan">
      <formula>1</formula>
    </cfRule>
    <cfRule type="cellIs" dxfId="12586" priority="2808" operator="lessThan">
      <formula>0.8</formula>
    </cfRule>
  </conditionalFormatting>
  <conditionalFormatting sqref="P83">
    <cfRule type="cellIs" dxfId="12585" priority="2806" operator="greaterThan">
      <formula>0</formula>
    </cfRule>
  </conditionalFormatting>
  <conditionalFormatting sqref="Q83">
    <cfRule type="cellIs" dxfId="12584" priority="2800" operator="lessThan">
      <formula>0</formula>
    </cfRule>
  </conditionalFormatting>
  <conditionalFormatting sqref="R83">
    <cfRule type="cellIs" dxfId="12583" priority="2804" operator="lessThan">
      <formula>0.8</formula>
    </cfRule>
    <cfRule type="cellIs" dxfId="12582" priority="2805" operator="greaterThan">
      <formula>1</formula>
    </cfRule>
  </conditionalFormatting>
  <conditionalFormatting sqref="R83">
    <cfRule type="cellIs" dxfId="12581" priority="2802" operator="greaterThan">
      <formula>1</formula>
    </cfRule>
    <cfRule type="cellIs" dxfId="12580" priority="2803" operator="lessThan">
      <formula>0.8</formula>
    </cfRule>
  </conditionalFormatting>
  <conditionalFormatting sqref="P83">
    <cfRule type="cellIs" dxfId="12579" priority="2801" operator="greaterThan">
      <formula>0</formula>
    </cfRule>
  </conditionalFormatting>
  <conditionalFormatting sqref="Q83">
    <cfRule type="cellIs" dxfId="12578" priority="2799" operator="lessThan">
      <formula>0</formula>
    </cfRule>
  </conditionalFormatting>
  <conditionalFormatting sqref="R83">
    <cfRule type="cellIs" dxfId="12577" priority="2797" operator="lessThan">
      <formula>0.8</formula>
    </cfRule>
    <cfRule type="cellIs" dxfId="12576" priority="2798" operator="greaterThan">
      <formula>1</formula>
    </cfRule>
  </conditionalFormatting>
  <conditionalFormatting sqref="R83">
    <cfRule type="cellIs" dxfId="12575" priority="2795" operator="greaterThan">
      <formula>1</formula>
    </cfRule>
    <cfRule type="cellIs" dxfId="12574" priority="2796" operator="lessThan">
      <formula>0.8</formula>
    </cfRule>
  </conditionalFormatting>
  <conditionalFormatting sqref="P83">
    <cfRule type="cellIs" dxfId="12573" priority="2794" operator="greaterThan">
      <formula>0</formula>
    </cfRule>
  </conditionalFormatting>
  <conditionalFormatting sqref="Q83">
    <cfRule type="cellIs" dxfId="12572" priority="2793" operator="lessThan">
      <formula>0</formula>
    </cfRule>
  </conditionalFormatting>
  <conditionalFormatting sqref="R83">
    <cfRule type="cellIs" dxfId="12571" priority="2791" operator="lessThan">
      <formula>0.8</formula>
    </cfRule>
    <cfRule type="cellIs" dxfId="12570" priority="2792" operator="greaterThan">
      <formula>1</formula>
    </cfRule>
  </conditionalFormatting>
  <conditionalFormatting sqref="R83">
    <cfRule type="cellIs" dxfId="12569" priority="2789" operator="greaterThan">
      <formula>1</formula>
    </cfRule>
    <cfRule type="cellIs" dxfId="12568" priority="2790" operator="lessThan">
      <formula>0.8</formula>
    </cfRule>
  </conditionalFormatting>
  <conditionalFormatting sqref="P83">
    <cfRule type="cellIs" dxfId="12567" priority="2788" operator="greaterThan">
      <formula>0</formula>
    </cfRule>
  </conditionalFormatting>
  <conditionalFormatting sqref="Q83">
    <cfRule type="cellIs" dxfId="12566" priority="2787" operator="lessThan">
      <formula>0</formula>
    </cfRule>
  </conditionalFormatting>
  <conditionalFormatting sqref="R83">
    <cfRule type="cellIs" dxfId="12565" priority="2785" operator="lessThan">
      <formula>0.8</formula>
    </cfRule>
    <cfRule type="cellIs" dxfId="12564" priority="2786" operator="greaterThan">
      <formula>1</formula>
    </cfRule>
  </conditionalFormatting>
  <conditionalFormatting sqref="R83">
    <cfRule type="cellIs" dxfId="12563" priority="2783" operator="greaterThan">
      <formula>1</formula>
    </cfRule>
    <cfRule type="cellIs" dxfId="12562" priority="2784" operator="lessThan">
      <formula>0.8</formula>
    </cfRule>
  </conditionalFormatting>
  <conditionalFormatting sqref="P83">
    <cfRule type="cellIs" dxfId="12561" priority="2782" operator="greaterThan">
      <formula>0</formula>
    </cfRule>
  </conditionalFormatting>
  <conditionalFormatting sqref="Q83">
    <cfRule type="cellIs" dxfId="12560" priority="2781" operator="lessThan">
      <formula>0</formula>
    </cfRule>
  </conditionalFormatting>
  <conditionalFormatting sqref="R83">
    <cfRule type="cellIs" dxfId="12559" priority="2779" operator="lessThan">
      <formula>0.8</formula>
    </cfRule>
    <cfRule type="cellIs" dxfId="12558" priority="2780" operator="greaterThan">
      <formula>1</formula>
    </cfRule>
  </conditionalFormatting>
  <conditionalFormatting sqref="R83">
    <cfRule type="cellIs" dxfId="12557" priority="2777" operator="greaterThan">
      <formula>1</formula>
    </cfRule>
    <cfRule type="cellIs" dxfId="12556" priority="2778" operator="lessThan">
      <formula>0.8</formula>
    </cfRule>
  </conditionalFormatting>
  <conditionalFormatting sqref="P83">
    <cfRule type="cellIs" dxfId="12555" priority="2776" operator="greaterThan">
      <formula>0</formula>
    </cfRule>
  </conditionalFormatting>
  <conditionalFormatting sqref="Q83">
    <cfRule type="cellIs" dxfId="12554" priority="2775" operator="lessThan">
      <formula>0</formula>
    </cfRule>
  </conditionalFormatting>
  <conditionalFormatting sqref="R83">
    <cfRule type="cellIs" dxfId="12553" priority="2773" operator="lessThan">
      <formula>0.8</formula>
    </cfRule>
    <cfRule type="cellIs" dxfId="12552" priority="2774" operator="greaterThan">
      <formula>1</formula>
    </cfRule>
  </conditionalFormatting>
  <conditionalFormatting sqref="R83">
    <cfRule type="cellIs" dxfId="12551" priority="2771" operator="greaterThan">
      <formula>1</formula>
    </cfRule>
    <cfRule type="cellIs" dxfId="12550" priority="2772" operator="lessThan">
      <formula>0.8</formula>
    </cfRule>
  </conditionalFormatting>
  <conditionalFormatting sqref="P83">
    <cfRule type="cellIs" dxfId="12549" priority="2770" operator="greaterThan">
      <formula>0</formula>
    </cfRule>
  </conditionalFormatting>
  <conditionalFormatting sqref="P83">
    <cfRule type="cellIs" dxfId="12548" priority="2764" operator="greaterThan">
      <formula>0</formula>
    </cfRule>
  </conditionalFormatting>
  <conditionalFormatting sqref="Q83">
    <cfRule type="cellIs" dxfId="12547" priority="2769" operator="lessThan">
      <formula>0</formula>
    </cfRule>
  </conditionalFormatting>
  <conditionalFormatting sqref="R83">
    <cfRule type="cellIs" dxfId="12546" priority="2767" operator="lessThan">
      <formula>0.8</formula>
    </cfRule>
    <cfRule type="cellIs" dxfId="12545" priority="2768" operator="greaterThan">
      <formula>1</formula>
    </cfRule>
  </conditionalFormatting>
  <conditionalFormatting sqref="R83">
    <cfRule type="cellIs" dxfId="12544" priority="2765" operator="greaterThan">
      <formula>1</formula>
    </cfRule>
    <cfRule type="cellIs" dxfId="12543" priority="2766" operator="lessThan">
      <formula>0.8</formula>
    </cfRule>
  </conditionalFormatting>
  <conditionalFormatting sqref="P83">
    <cfRule type="cellIs" dxfId="12542" priority="2758" operator="greaterThan">
      <formula>0</formula>
    </cfRule>
  </conditionalFormatting>
  <conditionalFormatting sqref="Q83">
    <cfRule type="cellIs" dxfId="12541" priority="2763" operator="lessThan">
      <formula>0</formula>
    </cfRule>
  </conditionalFormatting>
  <conditionalFormatting sqref="R83">
    <cfRule type="cellIs" dxfId="12540" priority="2761" operator="lessThan">
      <formula>0.8</formula>
    </cfRule>
    <cfRule type="cellIs" dxfId="12539" priority="2762" operator="greaterThan">
      <formula>1</formula>
    </cfRule>
  </conditionalFormatting>
  <conditionalFormatting sqref="R83">
    <cfRule type="cellIs" dxfId="12538" priority="2759" operator="greaterThan">
      <formula>1</formula>
    </cfRule>
    <cfRule type="cellIs" dxfId="12537" priority="2760" operator="lessThan">
      <formula>0.8</formula>
    </cfRule>
  </conditionalFormatting>
  <conditionalFormatting sqref="R83">
    <cfRule type="cellIs" dxfId="12536" priority="2755" operator="lessThan">
      <formula>0.8</formula>
    </cfRule>
    <cfRule type="cellIs" dxfId="12535" priority="2756" operator="greaterThan">
      <formula>1</formula>
    </cfRule>
  </conditionalFormatting>
  <conditionalFormatting sqref="R83">
    <cfRule type="cellIs" dxfId="12534" priority="2753" operator="greaterThan">
      <formula>1</formula>
    </cfRule>
    <cfRule type="cellIs" dxfId="12533" priority="2754" operator="lessThan">
      <formula>0.8</formula>
    </cfRule>
  </conditionalFormatting>
  <conditionalFormatting sqref="P83">
    <cfRule type="cellIs" dxfId="12532" priority="2752" operator="greaterThan">
      <formula>0</formula>
    </cfRule>
  </conditionalFormatting>
  <conditionalFormatting sqref="Q83">
    <cfRule type="cellIs" dxfId="12531" priority="2757" operator="lessThan">
      <formula>0</formula>
    </cfRule>
  </conditionalFormatting>
  <conditionalFormatting sqref="Q83">
    <cfRule type="cellIs" dxfId="12530" priority="2746" operator="lessThan">
      <formula>0</formula>
    </cfRule>
  </conditionalFormatting>
  <conditionalFormatting sqref="P83">
    <cfRule type="cellIs" dxfId="12529" priority="2747" operator="greaterThan">
      <formula>0</formula>
    </cfRule>
  </conditionalFormatting>
  <conditionalFormatting sqref="R83">
    <cfRule type="cellIs" dxfId="12528" priority="2750" operator="lessThan">
      <formula>0.8</formula>
    </cfRule>
    <cfRule type="cellIs" dxfId="12527" priority="2751" operator="greaterThan">
      <formula>1</formula>
    </cfRule>
  </conditionalFormatting>
  <conditionalFormatting sqref="R83">
    <cfRule type="cellIs" dxfId="12526" priority="2748" operator="greaterThan">
      <formula>1</formula>
    </cfRule>
    <cfRule type="cellIs" dxfId="12525" priority="2749" operator="lessThan">
      <formula>0.8</formula>
    </cfRule>
  </conditionalFormatting>
  <conditionalFormatting sqref="Q83">
    <cfRule type="cellIs" dxfId="12524" priority="2740" operator="lessThan">
      <formula>0</formula>
    </cfRule>
  </conditionalFormatting>
  <conditionalFormatting sqref="R83">
    <cfRule type="cellIs" dxfId="12523" priority="2744" operator="lessThan">
      <formula>0.8</formula>
    </cfRule>
    <cfRule type="cellIs" dxfId="12522" priority="2745" operator="greaterThan">
      <formula>1</formula>
    </cfRule>
  </conditionalFormatting>
  <conditionalFormatting sqref="R83">
    <cfRule type="cellIs" dxfId="12521" priority="2742" operator="greaterThan">
      <formula>1</formula>
    </cfRule>
    <cfRule type="cellIs" dxfId="12520" priority="2743" operator="lessThan">
      <formula>0.8</formula>
    </cfRule>
  </conditionalFormatting>
  <conditionalFormatting sqref="P83">
    <cfRule type="cellIs" dxfId="12519" priority="2741" operator="greaterThan">
      <formula>0</formula>
    </cfRule>
  </conditionalFormatting>
  <conditionalFormatting sqref="Q83">
    <cfRule type="cellIs" dxfId="12518" priority="2739" operator="lessThan">
      <formula>0</formula>
    </cfRule>
  </conditionalFormatting>
  <conditionalFormatting sqref="R83">
    <cfRule type="cellIs" dxfId="12517" priority="2737" operator="lessThan">
      <formula>0.8</formula>
    </cfRule>
    <cfRule type="cellIs" dxfId="12516" priority="2738" operator="greaterThan">
      <formula>1</formula>
    </cfRule>
  </conditionalFormatting>
  <conditionalFormatting sqref="R83">
    <cfRule type="cellIs" dxfId="12515" priority="2735" operator="greaterThan">
      <formula>1</formula>
    </cfRule>
    <cfRule type="cellIs" dxfId="12514" priority="2736" operator="lessThan">
      <formula>0.8</formula>
    </cfRule>
  </conditionalFormatting>
  <conditionalFormatting sqref="P83">
    <cfRule type="cellIs" dxfId="12513" priority="2734" operator="greaterThan">
      <formula>0</formula>
    </cfRule>
  </conditionalFormatting>
  <conditionalFormatting sqref="Q83">
    <cfRule type="cellIs" dxfId="12512" priority="2733" operator="lessThan">
      <formula>0</formula>
    </cfRule>
  </conditionalFormatting>
  <conditionalFormatting sqref="R83">
    <cfRule type="cellIs" dxfId="12511" priority="2731" operator="lessThan">
      <formula>0.8</formula>
    </cfRule>
    <cfRule type="cellIs" dxfId="12510" priority="2732" operator="greaterThan">
      <formula>1</formula>
    </cfRule>
  </conditionalFormatting>
  <conditionalFormatting sqref="R83">
    <cfRule type="cellIs" dxfId="12509" priority="2729" operator="greaterThan">
      <formula>1</formula>
    </cfRule>
    <cfRule type="cellIs" dxfId="12508" priority="2730" operator="lessThan">
      <formula>0.8</formula>
    </cfRule>
  </conditionalFormatting>
  <conditionalFormatting sqref="P83">
    <cfRule type="cellIs" dxfId="12507" priority="2728" operator="greaterThan">
      <formula>0</formula>
    </cfRule>
  </conditionalFormatting>
  <conditionalFormatting sqref="Q83">
    <cfRule type="cellIs" dxfId="12506" priority="2727" operator="lessThan">
      <formula>0</formula>
    </cfRule>
  </conditionalFormatting>
  <conditionalFormatting sqref="R83">
    <cfRule type="cellIs" dxfId="12505" priority="2725" operator="lessThan">
      <formula>0.8</formula>
    </cfRule>
    <cfRule type="cellIs" dxfId="12504" priority="2726" operator="greaterThan">
      <formula>1</formula>
    </cfRule>
  </conditionalFormatting>
  <conditionalFormatting sqref="R83">
    <cfRule type="cellIs" dxfId="12503" priority="2723" operator="greaterThan">
      <formula>1</formula>
    </cfRule>
    <cfRule type="cellIs" dxfId="12502" priority="2724" operator="lessThan">
      <formula>0.8</formula>
    </cfRule>
  </conditionalFormatting>
  <conditionalFormatting sqref="P83">
    <cfRule type="cellIs" dxfId="12501" priority="2722" operator="greaterThan">
      <formula>0</formula>
    </cfRule>
  </conditionalFormatting>
  <conditionalFormatting sqref="Q83">
    <cfRule type="cellIs" dxfId="12500" priority="2721" operator="lessThan">
      <formula>0</formula>
    </cfRule>
  </conditionalFormatting>
  <conditionalFormatting sqref="R83">
    <cfRule type="cellIs" dxfId="12499" priority="2719" operator="lessThan">
      <formula>0.8</formula>
    </cfRule>
    <cfRule type="cellIs" dxfId="12498" priority="2720" operator="greaterThan">
      <formula>1</formula>
    </cfRule>
  </conditionalFormatting>
  <conditionalFormatting sqref="R83">
    <cfRule type="cellIs" dxfId="12497" priority="2717" operator="greaterThan">
      <formula>1</formula>
    </cfRule>
    <cfRule type="cellIs" dxfId="12496" priority="2718" operator="lessThan">
      <formula>0.8</formula>
    </cfRule>
  </conditionalFormatting>
  <conditionalFormatting sqref="P83">
    <cfRule type="cellIs" dxfId="12495" priority="2716" operator="greaterThan">
      <formula>0</formula>
    </cfRule>
  </conditionalFormatting>
  <conditionalFormatting sqref="Q83">
    <cfRule type="cellIs" dxfId="12494" priority="2715" operator="lessThan">
      <formula>0</formula>
    </cfRule>
  </conditionalFormatting>
  <conditionalFormatting sqref="R83">
    <cfRule type="cellIs" dxfId="12493" priority="2713" operator="lessThan">
      <formula>0.8</formula>
    </cfRule>
    <cfRule type="cellIs" dxfId="12492" priority="2714" operator="greaterThan">
      <formula>1</formula>
    </cfRule>
  </conditionalFormatting>
  <conditionalFormatting sqref="R83">
    <cfRule type="cellIs" dxfId="12491" priority="2711" operator="greaterThan">
      <formula>1</formula>
    </cfRule>
    <cfRule type="cellIs" dxfId="12490" priority="2712" operator="lessThan">
      <formula>0.8</formula>
    </cfRule>
  </conditionalFormatting>
  <conditionalFormatting sqref="P83">
    <cfRule type="cellIs" dxfId="12489" priority="2710" operator="greaterThan">
      <formula>0</formula>
    </cfRule>
  </conditionalFormatting>
  <conditionalFormatting sqref="Q83">
    <cfRule type="cellIs" dxfId="12488" priority="2709" operator="lessThan">
      <formula>0</formula>
    </cfRule>
  </conditionalFormatting>
  <conditionalFormatting sqref="R83">
    <cfRule type="cellIs" dxfId="12487" priority="2707" operator="lessThan">
      <formula>0.8</formula>
    </cfRule>
    <cfRule type="cellIs" dxfId="12486" priority="2708" operator="greaterThan">
      <formula>1</formula>
    </cfRule>
  </conditionalFormatting>
  <conditionalFormatting sqref="R83">
    <cfRule type="cellIs" dxfId="12485" priority="2705" operator="greaterThan">
      <formula>1</formula>
    </cfRule>
    <cfRule type="cellIs" dxfId="12484" priority="2706" operator="lessThan">
      <formula>0.8</formula>
    </cfRule>
  </conditionalFormatting>
  <conditionalFormatting sqref="P83">
    <cfRule type="cellIs" dxfId="12483" priority="2704" operator="greaterThan">
      <formula>0</formula>
    </cfRule>
  </conditionalFormatting>
  <conditionalFormatting sqref="Q83">
    <cfRule type="cellIs" dxfId="12482" priority="2703" operator="lessThan">
      <formula>0</formula>
    </cfRule>
  </conditionalFormatting>
  <conditionalFormatting sqref="R83">
    <cfRule type="cellIs" dxfId="12481" priority="2701" operator="lessThan">
      <formula>0.8</formula>
    </cfRule>
    <cfRule type="cellIs" dxfId="12480" priority="2702" operator="greaterThan">
      <formula>1</formula>
    </cfRule>
  </conditionalFormatting>
  <conditionalFormatting sqref="R83">
    <cfRule type="cellIs" dxfId="12479" priority="2699" operator="greaterThan">
      <formula>1</formula>
    </cfRule>
    <cfRule type="cellIs" dxfId="12478" priority="2700" operator="lessThan">
      <formula>0.8</formula>
    </cfRule>
  </conditionalFormatting>
  <conditionalFormatting sqref="P83">
    <cfRule type="cellIs" dxfId="12477" priority="2698" operator="greaterThan">
      <formula>0</formula>
    </cfRule>
  </conditionalFormatting>
  <conditionalFormatting sqref="P83">
    <cfRule type="cellIs" dxfId="12476" priority="2692" operator="greaterThan">
      <formula>0</formula>
    </cfRule>
  </conditionalFormatting>
  <conditionalFormatting sqref="Q83">
    <cfRule type="cellIs" dxfId="12475" priority="2697" operator="lessThan">
      <formula>0</formula>
    </cfRule>
  </conditionalFormatting>
  <conditionalFormatting sqref="R83">
    <cfRule type="cellIs" dxfId="12474" priority="2695" operator="lessThan">
      <formula>0.8</formula>
    </cfRule>
    <cfRule type="cellIs" dxfId="12473" priority="2696" operator="greaterThan">
      <formula>1</formula>
    </cfRule>
  </conditionalFormatting>
  <conditionalFormatting sqref="R83">
    <cfRule type="cellIs" dxfId="12472" priority="2693" operator="greaterThan">
      <formula>1</formula>
    </cfRule>
    <cfRule type="cellIs" dxfId="12471" priority="2694" operator="lessThan">
      <formula>0.8</formula>
    </cfRule>
  </conditionalFormatting>
  <conditionalFormatting sqref="P83">
    <cfRule type="cellIs" dxfId="12470" priority="2686" operator="greaterThan">
      <formula>0</formula>
    </cfRule>
  </conditionalFormatting>
  <conditionalFormatting sqref="Q83">
    <cfRule type="cellIs" dxfId="12469" priority="2691" operator="lessThan">
      <formula>0</formula>
    </cfRule>
  </conditionalFormatting>
  <conditionalFormatting sqref="R83">
    <cfRule type="cellIs" dxfId="12468" priority="2689" operator="lessThan">
      <formula>0.8</formula>
    </cfRule>
    <cfRule type="cellIs" dxfId="12467" priority="2690" operator="greaterThan">
      <formula>1</formula>
    </cfRule>
  </conditionalFormatting>
  <conditionalFormatting sqref="R83">
    <cfRule type="cellIs" dxfId="12466" priority="2687" operator="greaterThan">
      <formula>1</formula>
    </cfRule>
    <cfRule type="cellIs" dxfId="12465" priority="2688" operator="lessThan">
      <formula>0.8</formula>
    </cfRule>
  </conditionalFormatting>
  <conditionalFormatting sqref="R83">
    <cfRule type="cellIs" dxfId="12464" priority="2683" operator="lessThan">
      <formula>0.8</formula>
    </cfRule>
    <cfRule type="cellIs" dxfId="12463" priority="2684" operator="greaterThan">
      <formula>1</formula>
    </cfRule>
  </conditionalFormatting>
  <conditionalFormatting sqref="R83">
    <cfRule type="cellIs" dxfId="12462" priority="2681" operator="greaterThan">
      <formula>1</formula>
    </cfRule>
    <cfRule type="cellIs" dxfId="12461" priority="2682" operator="lessThan">
      <formula>0.8</formula>
    </cfRule>
  </conditionalFormatting>
  <conditionalFormatting sqref="P83">
    <cfRule type="cellIs" dxfId="12460" priority="2680" operator="greaterThan">
      <formula>0</formula>
    </cfRule>
  </conditionalFormatting>
  <conditionalFormatting sqref="Q83">
    <cfRule type="cellIs" dxfId="12459" priority="2685" operator="lessThan">
      <formula>0</formula>
    </cfRule>
  </conditionalFormatting>
  <conditionalFormatting sqref="Q83">
    <cfRule type="cellIs" dxfId="12458" priority="2679" operator="lessThan">
      <formula>0</formula>
    </cfRule>
  </conditionalFormatting>
  <conditionalFormatting sqref="R83">
    <cfRule type="cellIs" dxfId="12457" priority="2677" operator="lessThan">
      <formula>0.8</formula>
    </cfRule>
    <cfRule type="cellIs" dxfId="12456" priority="2678" operator="greaterThan">
      <formula>1</formula>
    </cfRule>
  </conditionalFormatting>
  <conditionalFormatting sqref="R83">
    <cfRule type="cellIs" dxfId="12455" priority="2675" operator="greaterThan">
      <formula>1</formula>
    </cfRule>
    <cfRule type="cellIs" dxfId="12454" priority="2676" operator="lessThan">
      <formula>0.8</formula>
    </cfRule>
  </conditionalFormatting>
  <conditionalFormatting sqref="P83">
    <cfRule type="cellIs" dxfId="12453" priority="2674" operator="greaterThan">
      <formula>0</formula>
    </cfRule>
  </conditionalFormatting>
  <conditionalFormatting sqref="P83">
    <cfRule type="cellIs" dxfId="12452" priority="2668" operator="greaterThan">
      <formula>0</formula>
    </cfRule>
  </conditionalFormatting>
  <conditionalFormatting sqref="Q83">
    <cfRule type="cellIs" dxfId="12451" priority="2673" operator="lessThan">
      <formula>0</formula>
    </cfRule>
  </conditionalFormatting>
  <conditionalFormatting sqref="R83">
    <cfRule type="cellIs" dxfId="12450" priority="2671" operator="lessThan">
      <formula>0.8</formula>
    </cfRule>
    <cfRule type="cellIs" dxfId="12449" priority="2672" operator="greaterThan">
      <formula>1</formula>
    </cfRule>
  </conditionalFormatting>
  <conditionalFormatting sqref="R83">
    <cfRule type="cellIs" dxfId="12448" priority="2669" operator="greaterThan">
      <formula>1</formula>
    </cfRule>
    <cfRule type="cellIs" dxfId="12447" priority="2670" operator="lessThan">
      <formula>0.8</formula>
    </cfRule>
  </conditionalFormatting>
  <conditionalFormatting sqref="P83">
    <cfRule type="cellIs" dxfId="12446" priority="2662" operator="greaterThan">
      <formula>0</formula>
    </cfRule>
  </conditionalFormatting>
  <conditionalFormatting sqref="Q83">
    <cfRule type="cellIs" dxfId="12445" priority="2667" operator="lessThan">
      <formula>0</formula>
    </cfRule>
  </conditionalFormatting>
  <conditionalFormatting sqref="R83">
    <cfRule type="cellIs" dxfId="12444" priority="2665" operator="lessThan">
      <formula>0.8</formula>
    </cfRule>
    <cfRule type="cellIs" dxfId="12443" priority="2666" operator="greaterThan">
      <formula>1</formula>
    </cfRule>
  </conditionalFormatting>
  <conditionalFormatting sqref="R83">
    <cfRule type="cellIs" dxfId="12442" priority="2663" operator="greaterThan">
      <formula>1</formula>
    </cfRule>
    <cfRule type="cellIs" dxfId="12441" priority="2664" operator="lessThan">
      <formula>0.8</formula>
    </cfRule>
  </conditionalFormatting>
  <conditionalFormatting sqref="R83">
    <cfRule type="cellIs" dxfId="12440" priority="2659" operator="lessThan">
      <formula>0.8</formula>
    </cfRule>
    <cfRule type="cellIs" dxfId="12439" priority="2660" operator="greaterThan">
      <formula>1</formula>
    </cfRule>
  </conditionalFormatting>
  <conditionalFormatting sqref="R83">
    <cfRule type="cellIs" dxfId="12438" priority="2657" operator="greaterThan">
      <formula>1</formula>
    </cfRule>
    <cfRule type="cellIs" dxfId="12437" priority="2658" operator="lessThan">
      <formula>0.8</formula>
    </cfRule>
  </conditionalFormatting>
  <conditionalFormatting sqref="P83">
    <cfRule type="cellIs" dxfId="12436" priority="2656" operator="greaterThan">
      <formula>0</formula>
    </cfRule>
  </conditionalFormatting>
  <conditionalFormatting sqref="Q83">
    <cfRule type="cellIs" dxfId="12435" priority="2661" operator="lessThan">
      <formula>0</formula>
    </cfRule>
  </conditionalFormatting>
  <conditionalFormatting sqref="P83">
    <cfRule type="cellIs" dxfId="12434" priority="2650" operator="greaterThan">
      <formula>0</formula>
    </cfRule>
  </conditionalFormatting>
  <conditionalFormatting sqref="Q83">
    <cfRule type="cellIs" dxfId="12433" priority="2655" operator="lessThan">
      <formula>0</formula>
    </cfRule>
  </conditionalFormatting>
  <conditionalFormatting sqref="R83">
    <cfRule type="cellIs" dxfId="12432" priority="2653" operator="lessThan">
      <formula>0.8</formula>
    </cfRule>
    <cfRule type="cellIs" dxfId="12431" priority="2654" operator="greaterThan">
      <formula>1</formula>
    </cfRule>
  </conditionalFormatting>
  <conditionalFormatting sqref="R83">
    <cfRule type="cellIs" dxfId="12430" priority="2651" operator="greaterThan">
      <formula>1</formula>
    </cfRule>
    <cfRule type="cellIs" dxfId="12429" priority="2652" operator="lessThan">
      <formula>0.8</formula>
    </cfRule>
  </conditionalFormatting>
  <conditionalFormatting sqref="R83">
    <cfRule type="cellIs" dxfId="12428" priority="2647" operator="lessThan">
      <formula>0.8</formula>
    </cfRule>
    <cfRule type="cellIs" dxfId="12427" priority="2648" operator="greaterThan">
      <formula>1</formula>
    </cfRule>
  </conditionalFormatting>
  <conditionalFormatting sqref="R83">
    <cfRule type="cellIs" dxfId="12426" priority="2645" operator="greaterThan">
      <formula>1</formula>
    </cfRule>
    <cfRule type="cellIs" dxfId="12425" priority="2646" operator="lessThan">
      <formula>0.8</formula>
    </cfRule>
  </conditionalFormatting>
  <conditionalFormatting sqref="P83">
    <cfRule type="cellIs" dxfId="12424" priority="2644" operator="greaterThan">
      <formula>0</formula>
    </cfRule>
  </conditionalFormatting>
  <conditionalFormatting sqref="Q83">
    <cfRule type="cellIs" dxfId="12423" priority="2649" operator="lessThan">
      <formula>0</formula>
    </cfRule>
  </conditionalFormatting>
  <conditionalFormatting sqref="R83">
    <cfRule type="cellIs" dxfId="12422" priority="2641" operator="lessThan">
      <formula>0.8</formula>
    </cfRule>
    <cfRule type="cellIs" dxfId="12421" priority="2642" operator="greaterThan">
      <formula>1</formula>
    </cfRule>
  </conditionalFormatting>
  <conditionalFormatting sqref="R83">
    <cfRule type="cellIs" dxfId="12420" priority="2639" operator="greaterThan">
      <formula>1</formula>
    </cfRule>
    <cfRule type="cellIs" dxfId="12419" priority="2640" operator="lessThan">
      <formula>0.8</formula>
    </cfRule>
  </conditionalFormatting>
  <conditionalFormatting sqref="P83">
    <cfRule type="cellIs" dxfId="12418" priority="2638" operator="greaterThan">
      <formula>0</formula>
    </cfRule>
  </conditionalFormatting>
  <conditionalFormatting sqref="Q83">
    <cfRule type="cellIs" dxfId="12417" priority="2643" operator="lessThan">
      <formula>0</formula>
    </cfRule>
  </conditionalFormatting>
  <conditionalFormatting sqref="Q83">
    <cfRule type="cellIs" dxfId="12416" priority="2637" operator="lessThan">
      <formula>0</formula>
    </cfRule>
  </conditionalFormatting>
  <conditionalFormatting sqref="R83">
    <cfRule type="cellIs" dxfId="12415" priority="2635" operator="lessThan">
      <formula>0.8</formula>
    </cfRule>
    <cfRule type="cellIs" dxfId="12414" priority="2636" operator="greaterThan">
      <formula>1</formula>
    </cfRule>
  </conditionalFormatting>
  <conditionalFormatting sqref="R83">
    <cfRule type="cellIs" dxfId="12413" priority="2633" operator="greaterThan">
      <formula>1</formula>
    </cfRule>
    <cfRule type="cellIs" dxfId="12412" priority="2634" operator="lessThan">
      <formula>0.8</formula>
    </cfRule>
  </conditionalFormatting>
  <conditionalFormatting sqref="P83">
    <cfRule type="cellIs" dxfId="12411" priority="2632" operator="greaterThan">
      <formula>0</formula>
    </cfRule>
  </conditionalFormatting>
  <conditionalFormatting sqref="Q83">
    <cfRule type="cellIs" dxfId="12410" priority="2626" operator="lessThan">
      <formula>0</formula>
    </cfRule>
  </conditionalFormatting>
  <conditionalFormatting sqref="R83">
    <cfRule type="cellIs" dxfId="12409" priority="2630" operator="lessThan">
      <formula>0.8</formula>
    </cfRule>
    <cfRule type="cellIs" dxfId="12408" priority="2631" operator="greaterThan">
      <formula>1</formula>
    </cfRule>
  </conditionalFormatting>
  <conditionalFormatting sqref="R83">
    <cfRule type="cellIs" dxfId="12407" priority="2628" operator="greaterThan">
      <formula>1</formula>
    </cfRule>
    <cfRule type="cellIs" dxfId="12406" priority="2629" operator="lessThan">
      <formula>0.8</formula>
    </cfRule>
  </conditionalFormatting>
  <conditionalFormatting sqref="P83">
    <cfRule type="cellIs" dxfId="12405" priority="2627" operator="greaterThan">
      <formula>0</formula>
    </cfRule>
  </conditionalFormatting>
  <conditionalFormatting sqref="Q83">
    <cfRule type="cellIs" dxfId="12404" priority="2625" operator="lessThan">
      <formula>0</formula>
    </cfRule>
  </conditionalFormatting>
  <conditionalFormatting sqref="R83">
    <cfRule type="cellIs" dxfId="12403" priority="2623" operator="lessThan">
      <formula>0.8</formula>
    </cfRule>
    <cfRule type="cellIs" dxfId="12402" priority="2624" operator="greaterThan">
      <formula>1</formula>
    </cfRule>
  </conditionalFormatting>
  <conditionalFormatting sqref="R83">
    <cfRule type="cellIs" dxfId="12401" priority="2621" operator="greaterThan">
      <formula>1</formula>
    </cfRule>
    <cfRule type="cellIs" dxfId="12400" priority="2622" operator="lessThan">
      <formula>0.8</formula>
    </cfRule>
  </conditionalFormatting>
  <conditionalFormatting sqref="P83">
    <cfRule type="cellIs" dxfId="12399" priority="2620" operator="greaterThan">
      <formula>0</formula>
    </cfRule>
  </conditionalFormatting>
  <conditionalFormatting sqref="Q83">
    <cfRule type="cellIs" dxfId="12398" priority="2619" operator="lessThan">
      <formula>0</formula>
    </cfRule>
  </conditionalFormatting>
  <conditionalFormatting sqref="R83">
    <cfRule type="cellIs" dxfId="12397" priority="2617" operator="lessThan">
      <formula>0.8</formula>
    </cfRule>
    <cfRule type="cellIs" dxfId="12396" priority="2618" operator="greaterThan">
      <formula>1</formula>
    </cfRule>
  </conditionalFormatting>
  <conditionalFormatting sqref="R83">
    <cfRule type="cellIs" dxfId="12395" priority="2615" operator="greaterThan">
      <formula>1</formula>
    </cfRule>
    <cfRule type="cellIs" dxfId="12394" priority="2616" operator="lessThan">
      <formula>0.8</formula>
    </cfRule>
  </conditionalFormatting>
  <conditionalFormatting sqref="P83">
    <cfRule type="cellIs" dxfId="12393" priority="2614" operator="greaterThan">
      <formula>0</formula>
    </cfRule>
  </conditionalFormatting>
  <conditionalFormatting sqref="Q83">
    <cfRule type="cellIs" dxfId="12392" priority="2613" operator="lessThan">
      <formula>0</formula>
    </cfRule>
  </conditionalFormatting>
  <conditionalFormatting sqref="R83">
    <cfRule type="cellIs" dxfId="12391" priority="2611" operator="lessThan">
      <formula>0.8</formula>
    </cfRule>
    <cfRule type="cellIs" dxfId="12390" priority="2612" operator="greaterThan">
      <formula>1</formula>
    </cfRule>
  </conditionalFormatting>
  <conditionalFormatting sqref="R83">
    <cfRule type="cellIs" dxfId="12389" priority="2609" operator="greaterThan">
      <formula>1</formula>
    </cfRule>
    <cfRule type="cellIs" dxfId="12388" priority="2610" operator="lessThan">
      <formula>0.8</formula>
    </cfRule>
  </conditionalFormatting>
  <conditionalFormatting sqref="P83">
    <cfRule type="cellIs" dxfId="12387" priority="2608" operator="greaterThan">
      <formula>0</formula>
    </cfRule>
  </conditionalFormatting>
  <conditionalFormatting sqref="Q83">
    <cfRule type="cellIs" dxfId="12386" priority="2607" operator="lessThan">
      <formula>0</formula>
    </cfRule>
  </conditionalFormatting>
  <conditionalFormatting sqref="R83">
    <cfRule type="cellIs" dxfId="12385" priority="2605" operator="lessThan">
      <formula>0.8</formula>
    </cfRule>
    <cfRule type="cellIs" dxfId="12384" priority="2606" operator="greaterThan">
      <formula>1</formula>
    </cfRule>
  </conditionalFormatting>
  <conditionalFormatting sqref="R83">
    <cfRule type="cellIs" dxfId="12383" priority="2603" operator="greaterThan">
      <formula>1</formula>
    </cfRule>
    <cfRule type="cellIs" dxfId="12382" priority="2604" operator="lessThan">
      <formula>0.8</formula>
    </cfRule>
  </conditionalFormatting>
  <conditionalFormatting sqref="P83">
    <cfRule type="cellIs" dxfId="12381" priority="2602" operator="greaterThan">
      <formula>0</formula>
    </cfRule>
  </conditionalFormatting>
  <conditionalFormatting sqref="Q83">
    <cfRule type="cellIs" dxfId="12380" priority="2601" operator="lessThan">
      <formula>0</formula>
    </cfRule>
  </conditionalFormatting>
  <conditionalFormatting sqref="R83">
    <cfRule type="cellIs" dxfId="12379" priority="2599" operator="lessThan">
      <formula>0.8</formula>
    </cfRule>
    <cfRule type="cellIs" dxfId="12378" priority="2600" operator="greaterThan">
      <formula>1</formula>
    </cfRule>
  </conditionalFormatting>
  <conditionalFormatting sqref="R83">
    <cfRule type="cellIs" dxfId="12377" priority="2597" operator="greaterThan">
      <formula>1</formula>
    </cfRule>
    <cfRule type="cellIs" dxfId="12376" priority="2598" operator="lessThan">
      <formula>0.8</formula>
    </cfRule>
  </conditionalFormatting>
  <conditionalFormatting sqref="P83">
    <cfRule type="cellIs" dxfId="12375" priority="2596" operator="greaterThan">
      <formula>0</formula>
    </cfRule>
  </conditionalFormatting>
  <conditionalFormatting sqref="P83">
    <cfRule type="cellIs" dxfId="12374" priority="2590" operator="greaterThan">
      <formula>0</formula>
    </cfRule>
  </conditionalFormatting>
  <conditionalFormatting sqref="Q83">
    <cfRule type="cellIs" dxfId="12373" priority="2595" operator="lessThan">
      <formula>0</formula>
    </cfRule>
  </conditionalFormatting>
  <conditionalFormatting sqref="R83">
    <cfRule type="cellIs" dxfId="12372" priority="2593" operator="lessThan">
      <formula>0.8</formula>
    </cfRule>
    <cfRule type="cellIs" dxfId="12371" priority="2594" operator="greaterThan">
      <formula>1</formula>
    </cfRule>
  </conditionalFormatting>
  <conditionalFormatting sqref="R83">
    <cfRule type="cellIs" dxfId="12370" priority="2591" operator="greaterThan">
      <formula>1</formula>
    </cfRule>
    <cfRule type="cellIs" dxfId="12369" priority="2592" operator="lessThan">
      <formula>0.8</formula>
    </cfRule>
  </conditionalFormatting>
  <conditionalFormatting sqref="P83">
    <cfRule type="cellIs" dxfId="12368" priority="2584" operator="greaterThan">
      <formula>0</formula>
    </cfRule>
  </conditionalFormatting>
  <conditionalFormatting sqref="Q83">
    <cfRule type="cellIs" dxfId="12367" priority="2589" operator="lessThan">
      <formula>0</formula>
    </cfRule>
  </conditionalFormatting>
  <conditionalFormatting sqref="R83">
    <cfRule type="cellIs" dxfId="12366" priority="2587" operator="lessThan">
      <formula>0.8</formula>
    </cfRule>
    <cfRule type="cellIs" dxfId="12365" priority="2588" operator="greaterThan">
      <formula>1</formula>
    </cfRule>
  </conditionalFormatting>
  <conditionalFormatting sqref="R83">
    <cfRule type="cellIs" dxfId="12364" priority="2585" operator="greaterThan">
      <formula>1</formula>
    </cfRule>
    <cfRule type="cellIs" dxfId="12363" priority="2586" operator="lessThan">
      <formula>0.8</formula>
    </cfRule>
  </conditionalFormatting>
  <conditionalFormatting sqref="R83">
    <cfRule type="cellIs" dxfId="12362" priority="2581" operator="lessThan">
      <formula>0.8</formula>
    </cfRule>
    <cfRule type="cellIs" dxfId="12361" priority="2582" operator="greaterThan">
      <formula>1</formula>
    </cfRule>
  </conditionalFormatting>
  <conditionalFormatting sqref="R83">
    <cfRule type="cellIs" dxfId="12360" priority="2579" operator="greaterThan">
      <formula>1</formula>
    </cfRule>
    <cfRule type="cellIs" dxfId="12359" priority="2580" operator="lessThan">
      <formula>0.8</formula>
    </cfRule>
  </conditionalFormatting>
  <conditionalFormatting sqref="P83">
    <cfRule type="cellIs" dxfId="12358" priority="2578" operator="greaterThan">
      <formula>0</formula>
    </cfRule>
  </conditionalFormatting>
  <conditionalFormatting sqref="Q83">
    <cfRule type="cellIs" dxfId="12357" priority="2583" operator="lessThan">
      <formula>0</formula>
    </cfRule>
  </conditionalFormatting>
  <conditionalFormatting sqref="P123 P125:P126 P131 P128:P129">
    <cfRule type="cellIs" dxfId="12356" priority="2572" operator="greaterThan">
      <formula>0</formula>
    </cfRule>
  </conditionalFormatting>
  <conditionalFormatting sqref="Q123 Q125:Q126 Q131 Q128:Q129">
    <cfRule type="cellIs" dxfId="12355" priority="2577" operator="lessThan">
      <formula>0</formula>
    </cfRule>
  </conditionalFormatting>
  <conditionalFormatting sqref="R123 R125:R126 R131 R128:R129">
    <cfRule type="cellIs" dxfId="12354" priority="2575" operator="lessThan">
      <formula>0.8</formula>
    </cfRule>
    <cfRule type="cellIs" dxfId="12353" priority="2576" operator="greaterThan">
      <formula>1</formula>
    </cfRule>
  </conditionalFormatting>
  <conditionalFormatting sqref="R123 R125:R126 R131 R128:R129">
    <cfRule type="cellIs" dxfId="12352" priority="2573" operator="greaterThan">
      <formula>1</formula>
    </cfRule>
    <cfRule type="cellIs" dxfId="12351" priority="2574" operator="lessThan">
      <formula>0.8</formula>
    </cfRule>
  </conditionalFormatting>
  <conditionalFormatting sqref="Q123 Q125:Q126 Q131 Q128:Q129">
    <cfRule type="cellIs" dxfId="12350" priority="2571" operator="lessThan">
      <formula>0</formula>
    </cfRule>
  </conditionalFormatting>
  <conditionalFormatting sqref="R123 R125:R126 R131 R128:R129">
    <cfRule type="cellIs" dxfId="12349" priority="2569" operator="lessThan">
      <formula>0.8</formula>
    </cfRule>
    <cfRule type="cellIs" dxfId="12348" priority="2570" operator="greaterThan">
      <formula>1</formula>
    </cfRule>
  </conditionalFormatting>
  <conditionalFormatting sqref="R123 R125:R126 R131 R128:R129">
    <cfRule type="cellIs" dxfId="12347" priority="2567" operator="greaterThan">
      <formula>1</formula>
    </cfRule>
    <cfRule type="cellIs" dxfId="12346" priority="2568" operator="lessThan">
      <formula>0.8</formula>
    </cfRule>
  </conditionalFormatting>
  <conditionalFormatting sqref="P123 P125:P126 P131 P128:P129">
    <cfRule type="cellIs" dxfId="12345" priority="2566" operator="greaterThan">
      <formula>0</formula>
    </cfRule>
  </conditionalFormatting>
  <conditionalFormatting sqref="Q31">
    <cfRule type="cellIs" dxfId="12344" priority="2565" operator="lessThan">
      <formula>0</formula>
    </cfRule>
  </conditionalFormatting>
  <conditionalFormatting sqref="R31">
    <cfRule type="cellIs" dxfId="12343" priority="2563" operator="lessThan">
      <formula>0.8</formula>
    </cfRule>
    <cfRule type="cellIs" dxfId="12342" priority="2564" operator="greaterThan">
      <formula>1</formula>
    </cfRule>
  </conditionalFormatting>
  <conditionalFormatting sqref="R31">
    <cfRule type="cellIs" dxfId="12341" priority="2561" operator="greaterThan">
      <formula>1</formula>
    </cfRule>
    <cfRule type="cellIs" dxfId="12340" priority="2562" operator="lessThan">
      <formula>0.8</formula>
    </cfRule>
  </conditionalFormatting>
  <conditionalFormatting sqref="P31">
    <cfRule type="cellIs" dxfId="12339" priority="2560" operator="greaterThan">
      <formula>0</formula>
    </cfRule>
  </conditionalFormatting>
  <conditionalFormatting sqref="Q31">
    <cfRule type="cellIs" dxfId="12338" priority="2559" operator="lessThan">
      <formula>0</formula>
    </cfRule>
  </conditionalFormatting>
  <conditionalFormatting sqref="R31">
    <cfRule type="cellIs" dxfId="12337" priority="2557" operator="lessThan">
      <formula>0.8</formula>
    </cfRule>
    <cfRule type="cellIs" dxfId="12336" priority="2558" operator="greaterThan">
      <formula>1</formula>
    </cfRule>
  </conditionalFormatting>
  <conditionalFormatting sqref="R31">
    <cfRule type="cellIs" dxfId="12335" priority="2555" operator="greaterThan">
      <formula>1</formula>
    </cfRule>
    <cfRule type="cellIs" dxfId="12334" priority="2556" operator="lessThan">
      <formula>0.8</formula>
    </cfRule>
  </conditionalFormatting>
  <conditionalFormatting sqref="P31">
    <cfRule type="cellIs" dxfId="12333" priority="2554" operator="greaterThan">
      <formula>0</formula>
    </cfRule>
  </conditionalFormatting>
  <conditionalFormatting sqref="Q31">
    <cfRule type="cellIs" dxfId="12332" priority="2553" operator="lessThan">
      <formula>0</formula>
    </cfRule>
  </conditionalFormatting>
  <conditionalFormatting sqref="R31">
    <cfRule type="cellIs" dxfId="12331" priority="2551" operator="lessThan">
      <formula>0.8</formula>
    </cfRule>
    <cfRule type="cellIs" dxfId="12330" priority="2552" operator="greaterThan">
      <formula>1</formula>
    </cfRule>
  </conditionalFormatting>
  <conditionalFormatting sqref="R31">
    <cfRule type="cellIs" dxfId="12329" priority="2549" operator="greaterThan">
      <formula>1</formula>
    </cfRule>
    <cfRule type="cellIs" dxfId="12328" priority="2550" operator="lessThan">
      <formula>0.8</formula>
    </cfRule>
  </conditionalFormatting>
  <conditionalFormatting sqref="P31">
    <cfRule type="cellIs" dxfId="12327" priority="2548" operator="greaterThan">
      <formula>0</formula>
    </cfRule>
  </conditionalFormatting>
  <conditionalFormatting sqref="Q31">
    <cfRule type="cellIs" dxfId="12326" priority="2547" operator="lessThan">
      <formula>0</formula>
    </cfRule>
  </conditionalFormatting>
  <conditionalFormatting sqref="R31">
    <cfRule type="cellIs" dxfId="12325" priority="2545" operator="lessThan">
      <formula>0.8</formula>
    </cfRule>
    <cfRule type="cellIs" dxfId="12324" priority="2546" operator="greaterThan">
      <formula>1</formula>
    </cfRule>
  </conditionalFormatting>
  <conditionalFormatting sqref="R31">
    <cfRule type="cellIs" dxfId="12323" priority="2543" operator="greaterThan">
      <formula>1</formula>
    </cfRule>
    <cfRule type="cellIs" dxfId="12322" priority="2544" operator="lessThan">
      <formula>0.8</formula>
    </cfRule>
  </conditionalFormatting>
  <conditionalFormatting sqref="P31">
    <cfRule type="cellIs" dxfId="12321" priority="2542" operator="greaterThan">
      <formula>0</formula>
    </cfRule>
  </conditionalFormatting>
  <conditionalFormatting sqref="P31">
    <cfRule type="cellIs" dxfId="12320" priority="2536" operator="greaterThan">
      <formula>0</formula>
    </cfRule>
  </conditionalFormatting>
  <conditionalFormatting sqref="Q31">
    <cfRule type="cellIs" dxfId="12319" priority="2541" operator="lessThan">
      <formula>0</formula>
    </cfRule>
  </conditionalFormatting>
  <conditionalFormatting sqref="R31">
    <cfRule type="cellIs" dxfId="12318" priority="2539" operator="lessThan">
      <formula>0.8</formula>
    </cfRule>
    <cfRule type="cellIs" dxfId="12317" priority="2540" operator="greaterThan">
      <formula>1</formula>
    </cfRule>
  </conditionalFormatting>
  <conditionalFormatting sqref="R31">
    <cfRule type="cellIs" dxfId="12316" priority="2537" operator="greaterThan">
      <formula>1</formula>
    </cfRule>
    <cfRule type="cellIs" dxfId="12315" priority="2538" operator="lessThan">
      <formula>0.8</formula>
    </cfRule>
  </conditionalFormatting>
  <conditionalFormatting sqref="P31">
    <cfRule type="cellIs" dxfId="12314" priority="2530" operator="greaterThan">
      <formula>0</formula>
    </cfRule>
  </conditionalFormatting>
  <conditionalFormatting sqref="Q31">
    <cfRule type="cellIs" dxfId="12313" priority="2535" operator="lessThan">
      <formula>0</formula>
    </cfRule>
  </conditionalFormatting>
  <conditionalFormatting sqref="R31">
    <cfRule type="cellIs" dxfId="12312" priority="2533" operator="lessThan">
      <formula>0.8</formula>
    </cfRule>
    <cfRule type="cellIs" dxfId="12311" priority="2534" operator="greaterThan">
      <formula>1</formula>
    </cfRule>
  </conditionalFormatting>
  <conditionalFormatting sqref="R31">
    <cfRule type="cellIs" dxfId="12310" priority="2531" operator="greaterThan">
      <formula>1</formula>
    </cfRule>
    <cfRule type="cellIs" dxfId="12309" priority="2532" operator="lessThan">
      <formula>0.8</formula>
    </cfRule>
  </conditionalFormatting>
  <conditionalFormatting sqref="R31">
    <cfRule type="cellIs" dxfId="12308" priority="2527" operator="lessThan">
      <formula>0.8</formula>
    </cfRule>
    <cfRule type="cellIs" dxfId="12307" priority="2528" operator="greaterThan">
      <formula>1</formula>
    </cfRule>
  </conditionalFormatting>
  <conditionalFormatting sqref="R31">
    <cfRule type="cellIs" dxfId="12306" priority="2525" operator="greaterThan">
      <formula>1</formula>
    </cfRule>
    <cfRule type="cellIs" dxfId="12305" priority="2526" operator="lessThan">
      <formula>0.8</formula>
    </cfRule>
  </conditionalFormatting>
  <conditionalFormatting sqref="P31">
    <cfRule type="cellIs" dxfId="12304" priority="2524" operator="greaterThan">
      <formula>0</formula>
    </cfRule>
  </conditionalFormatting>
  <conditionalFormatting sqref="Q31">
    <cfRule type="cellIs" dxfId="12303" priority="2529" operator="lessThan">
      <formula>0</formula>
    </cfRule>
  </conditionalFormatting>
  <conditionalFormatting sqref="Q31">
    <cfRule type="cellIs" dxfId="12302" priority="2523" operator="lessThan">
      <formula>0</formula>
    </cfRule>
  </conditionalFormatting>
  <conditionalFormatting sqref="R31">
    <cfRule type="cellIs" dxfId="12301" priority="2521" operator="lessThan">
      <formula>0.8</formula>
    </cfRule>
    <cfRule type="cellIs" dxfId="12300" priority="2522" operator="greaterThan">
      <formula>1</formula>
    </cfRule>
  </conditionalFormatting>
  <conditionalFormatting sqref="R31">
    <cfRule type="cellIs" dxfId="12299" priority="2519" operator="greaterThan">
      <formula>1</formula>
    </cfRule>
    <cfRule type="cellIs" dxfId="12298" priority="2520" operator="lessThan">
      <formula>0.8</formula>
    </cfRule>
  </conditionalFormatting>
  <conditionalFormatting sqref="P31">
    <cfRule type="cellIs" dxfId="12297" priority="2518" operator="greaterThan">
      <formula>0</formula>
    </cfRule>
  </conditionalFormatting>
  <conditionalFormatting sqref="P31">
    <cfRule type="cellIs" dxfId="12296" priority="2512" operator="greaterThan">
      <formula>0</formula>
    </cfRule>
  </conditionalFormatting>
  <conditionalFormatting sqref="Q31">
    <cfRule type="cellIs" dxfId="12295" priority="2517" operator="lessThan">
      <formula>0</formula>
    </cfRule>
  </conditionalFormatting>
  <conditionalFormatting sqref="R31">
    <cfRule type="cellIs" dxfId="12294" priority="2515" operator="lessThan">
      <formula>0.8</formula>
    </cfRule>
    <cfRule type="cellIs" dxfId="12293" priority="2516" operator="greaterThan">
      <formula>1</formula>
    </cfRule>
  </conditionalFormatting>
  <conditionalFormatting sqref="R31">
    <cfRule type="cellIs" dxfId="12292" priority="2513" operator="greaterThan">
      <formula>1</formula>
    </cfRule>
    <cfRule type="cellIs" dxfId="12291" priority="2514" operator="lessThan">
      <formula>0.8</formula>
    </cfRule>
  </conditionalFormatting>
  <conditionalFormatting sqref="P31">
    <cfRule type="cellIs" dxfId="12290" priority="2506" operator="greaterThan">
      <formula>0</formula>
    </cfRule>
  </conditionalFormatting>
  <conditionalFormatting sqref="Q31">
    <cfRule type="cellIs" dxfId="12289" priority="2511" operator="lessThan">
      <formula>0</formula>
    </cfRule>
  </conditionalFormatting>
  <conditionalFormatting sqref="R31">
    <cfRule type="cellIs" dxfId="12288" priority="2509" operator="lessThan">
      <formula>0.8</formula>
    </cfRule>
    <cfRule type="cellIs" dxfId="12287" priority="2510" operator="greaterThan">
      <formula>1</formula>
    </cfRule>
  </conditionalFormatting>
  <conditionalFormatting sqref="R31">
    <cfRule type="cellIs" dxfId="12286" priority="2507" operator="greaterThan">
      <formula>1</formula>
    </cfRule>
    <cfRule type="cellIs" dxfId="12285" priority="2508" operator="lessThan">
      <formula>0.8</formula>
    </cfRule>
  </conditionalFormatting>
  <conditionalFormatting sqref="R31">
    <cfRule type="cellIs" dxfId="12284" priority="2503" operator="lessThan">
      <formula>0.8</formula>
    </cfRule>
    <cfRule type="cellIs" dxfId="12283" priority="2504" operator="greaterThan">
      <formula>1</formula>
    </cfRule>
  </conditionalFormatting>
  <conditionalFormatting sqref="R31">
    <cfRule type="cellIs" dxfId="12282" priority="2501" operator="greaterThan">
      <formula>1</formula>
    </cfRule>
    <cfRule type="cellIs" dxfId="12281" priority="2502" operator="lessThan">
      <formula>0.8</formula>
    </cfRule>
  </conditionalFormatting>
  <conditionalFormatting sqref="P31">
    <cfRule type="cellIs" dxfId="12280" priority="2500" operator="greaterThan">
      <formula>0</formula>
    </cfRule>
  </conditionalFormatting>
  <conditionalFormatting sqref="Q31">
    <cfRule type="cellIs" dxfId="12279" priority="2505" operator="lessThan">
      <formula>0</formula>
    </cfRule>
  </conditionalFormatting>
  <conditionalFormatting sqref="P31">
    <cfRule type="cellIs" dxfId="12278" priority="2494" operator="greaterThan">
      <formula>0</formula>
    </cfRule>
  </conditionalFormatting>
  <conditionalFormatting sqref="Q31">
    <cfRule type="cellIs" dxfId="12277" priority="2499" operator="lessThan">
      <formula>0</formula>
    </cfRule>
  </conditionalFormatting>
  <conditionalFormatting sqref="R31">
    <cfRule type="cellIs" dxfId="12276" priority="2497" operator="lessThan">
      <formula>0.8</formula>
    </cfRule>
    <cfRule type="cellIs" dxfId="12275" priority="2498" operator="greaterThan">
      <formula>1</formula>
    </cfRule>
  </conditionalFormatting>
  <conditionalFormatting sqref="R31">
    <cfRule type="cellIs" dxfId="12274" priority="2495" operator="greaterThan">
      <formula>1</formula>
    </cfRule>
    <cfRule type="cellIs" dxfId="12273" priority="2496" operator="lessThan">
      <formula>0.8</formula>
    </cfRule>
  </conditionalFormatting>
  <conditionalFormatting sqref="R31">
    <cfRule type="cellIs" dxfId="12272" priority="2491" operator="lessThan">
      <formula>0.8</formula>
    </cfRule>
    <cfRule type="cellIs" dxfId="12271" priority="2492" operator="greaterThan">
      <formula>1</formula>
    </cfRule>
  </conditionalFormatting>
  <conditionalFormatting sqref="R31">
    <cfRule type="cellIs" dxfId="12270" priority="2489" operator="greaterThan">
      <formula>1</formula>
    </cfRule>
    <cfRule type="cellIs" dxfId="12269" priority="2490" operator="lessThan">
      <formula>0.8</formula>
    </cfRule>
  </conditionalFormatting>
  <conditionalFormatting sqref="P31">
    <cfRule type="cellIs" dxfId="12268" priority="2488" operator="greaterThan">
      <formula>0</formula>
    </cfRule>
  </conditionalFormatting>
  <conditionalFormatting sqref="Q31">
    <cfRule type="cellIs" dxfId="12267" priority="2493" operator="lessThan">
      <formula>0</formula>
    </cfRule>
  </conditionalFormatting>
  <conditionalFormatting sqref="R31">
    <cfRule type="cellIs" dxfId="12266" priority="2485" operator="lessThan">
      <formula>0.8</formula>
    </cfRule>
    <cfRule type="cellIs" dxfId="12265" priority="2486" operator="greaterThan">
      <formula>1</formula>
    </cfRule>
  </conditionalFormatting>
  <conditionalFormatting sqref="R31">
    <cfRule type="cellIs" dxfId="12264" priority="2483" operator="greaterThan">
      <formula>1</formula>
    </cfRule>
    <cfRule type="cellIs" dxfId="12263" priority="2484" operator="lessThan">
      <formula>0.8</formula>
    </cfRule>
  </conditionalFormatting>
  <conditionalFormatting sqref="P31">
    <cfRule type="cellIs" dxfId="12262" priority="2482" operator="greaterThan">
      <formula>0</formula>
    </cfRule>
  </conditionalFormatting>
  <conditionalFormatting sqref="Q31">
    <cfRule type="cellIs" dxfId="12261" priority="2487" operator="lessThan">
      <formula>0</formula>
    </cfRule>
  </conditionalFormatting>
  <conditionalFormatting sqref="Q31">
    <cfRule type="cellIs" dxfId="12260" priority="2481" operator="lessThan">
      <formula>0</formula>
    </cfRule>
  </conditionalFormatting>
  <conditionalFormatting sqref="R31">
    <cfRule type="cellIs" dxfId="12259" priority="2479" operator="lessThan">
      <formula>0.8</formula>
    </cfRule>
    <cfRule type="cellIs" dxfId="12258" priority="2480" operator="greaterThan">
      <formula>1</formula>
    </cfRule>
  </conditionalFormatting>
  <conditionalFormatting sqref="R31">
    <cfRule type="cellIs" dxfId="12257" priority="2477" operator="greaterThan">
      <formula>1</formula>
    </cfRule>
    <cfRule type="cellIs" dxfId="12256" priority="2478" operator="lessThan">
      <formula>0.8</formula>
    </cfRule>
  </conditionalFormatting>
  <conditionalFormatting sqref="P31">
    <cfRule type="cellIs" dxfId="12255" priority="2476" operator="greaterThan">
      <formula>0</formula>
    </cfRule>
  </conditionalFormatting>
  <conditionalFormatting sqref="Q31">
    <cfRule type="cellIs" dxfId="12254" priority="2470" operator="lessThan">
      <formula>0</formula>
    </cfRule>
  </conditionalFormatting>
  <conditionalFormatting sqref="R31">
    <cfRule type="cellIs" dxfId="12253" priority="2474" operator="lessThan">
      <formula>0.8</formula>
    </cfRule>
    <cfRule type="cellIs" dxfId="12252" priority="2475" operator="greaterThan">
      <formula>1</formula>
    </cfRule>
  </conditionalFormatting>
  <conditionalFormatting sqref="R31">
    <cfRule type="cellIs" dxfId="12251" priority="2472" operator="greaterThan">
      <formula>1</formula>
    </cfRule>
    <cfRule type="cellIs" dxfId="12250" priority="2473" operator="lessThan">
      <formula>0.8</formula>
    </cfRule>
  </conditionalFormatting>
  <conditionalFormatting sqref="P31">
    <cfRule type="cellIs" dxfId="12249" priority="2471" operator="greaterThan">
      <formula>0</formula>
    </cfRule>
  </conditionalFormatting>
  <conditionalFormatting sqref="Q31">
    <cfRule type="cellIs" dxfId="12248" priority="2469" operator="lessThan">
      <formula>0</formula>
    </cfRule>
  </conditionalFormatting>
  <conditionalFormatting sqref="R31">
    <cfRule type="cellIs" dxfId="12247" priority="2467" operator="lessThan">
      <formula>0.8</formula>
    </cfRule>
    <cfRule type="cellIs" dxfId="12246" priority="2468" operator="greaterThan">
      <formula>1</formula>
    </cfRule>
  </conditionalFormatting>
  <conditionalFormatting sqref="R31">
    <cfRule type="cellIs" dxfId="12245" priority="2465" operator="greaterThan">
      <formula>1</formula>
    </cfRule>
    <cfRule type="cellIs" dxfId="12244" priority="2466" operator="lessThan">
      <formula>0.8</formula>
    </cfRule>
  </conditionalFormatting>
  <conditionalFormatting sqref="P31">
    <cfRule type="cellIs" dxfId="12243" priority="2464" operator="greaterThan">
      <formula>0</formula>
    </cfRule>
  </conditionalFormatting>
  <conditionalFormatting sqref="Q31">
    <cfRule type="cellIs" dxfId="12242" priority="2463" operator="lessThan">
      <formula>0</formula>
    </cfRule>
  </conditionalFormatting>
  <conditionalFormatting sqref="R31">
    <cfRule type="cellIs" dxfId="12241" priority="2461" operator="lessThan">
      <formula>0.8</formula>
    </cfRule>
    <cfRule type="cellIs" dxfId="12240" priority="2462" operator="greaterThan">
      <formula>1</formula>
    </cfRule>
  </conditionalFormatting>
  <conditionalFormatting sqref="R31">
    <cfRule type="cellIs" dxfId="12239" priority="2459" operator="greaterThan">
      <formula>1</formula>
    </cfRule>
    <cfRule type="cellIs" dxfId="12238" priority="2460" operator="lessThan">
      <formula>0.8</formula>
    </cfRule>
  </conditionalFormatting>
  <conditionalFormatting sqref="P31">
    <cfRule type="cellIs" dxfId="12237" priority="2458" operator="greaterThan">
      <formula>0</formula>
    </cfRule>
  </conditionalFormatting>
  <conditionalFormatting sqref="Q31">
    <cfRule type="cellIs" dxfId="12236" priority="2457" operator="lessThan">
      <formula>0</formula>
    </cfRule>
  </conditionalFormatting>
  <conditionalFormatting sqref="R31">
    <cfRule type="cellIs" dxfId="12235" priority="2455" operator="lessThan">
      <formula>0.8</formula>
    </cfRule>
    <cfRule type="cellIs" dxfId="12234" priority="2456" operator="greaterThan">
      <formula>1</formula>
    </cfRule>
  </conditionalFormatting>
  <conditionalFormatting sqref="R31">
    <cfRule type="cellIs" dxfId="12233" priority="2453" operator="greaterThan">
      <formula>1</formula>
    </cfRule>
    <cfRule type="cellIs" dxfId="12232" priority="2454" operator="lessThan">
      <formula>0.8</formula>
    </cfRule>
  </conditionalFormatting>
  <conditionalFormatting sqref="P31">
    <cfRule type="cellIs" dxfId="12231" priority="2452" operator="greaterThan">
      <formula>0</formula>
    </cfRule>
  </conditionalFormatting>
  <conditionalFormatting sqref="Q31">
    <cfRule type="cellIs" dxfId="12230" priority="2451" operator="lessThan">
      <formula>0</formula>
    </cfRule>
  </conditionalFormatting>
  <conditionalFormatting sqref="R31">
    <cfRule type="cellIs" dxfId="12229" priority="2449" operator="lessThan">
      <formula>0.8</formula>
    </cfRule>
    <cfRule type="cellIs" dxfId="12228" priority="2450" operator="greaterThan">
      <formula>1</formula>
    </cfRule>
  </conditionalFormatting>
  <conditionalFormatting sqref="R31">
    <cfRule type="cellIs" dxfId="12227" priority="2447" operator="greaterThan">
      <formula>1</formula>
    </cfRule>
    <cfRule type="cellIs" dxfId="12226" priority="2448" operator="lessThan">
      <formula>0.8</formula>
    </cfRule>
  </conditionalFormatting>
  <conditionalFormatting sqref="P31">
    <cfRule type="cellIs" dxfId="12225" priority="2446" operator="greaterThan">
      <formula>0</formula>
    </cfRule>
  </conditionalFormatting>
  <conditionalFormatting sqref="Q31">
    <cfRule type="cellIs" dxfId="12224" priority="2445" operator="lessThan">
      <formula>0</formula>
    </cfRule>
  </conditionalFormatting>
  <conditionalFormatting sqref="R31">
    <cfRule type="cellIs" dxfId="12223" priority="2443" operator="lessThan">
      <formula>0.8</formula>
    </cfRule>
    <cfRule type="cellIs" dxfId="12222" priority="2444" operator="greaterThan">
      <formula>1</formula>
    </cfRule>
  </conditionalFormatting>
  <conditionalFormatting sqref="R31">
    <cfRule type="cellIs" dxfId="12221" priority="2441" operator="greaterThan">
      <formula>1</formula>
    </cfRule>
    <cfRule type="cellIs" dxfId="12220" priority="2442" operator="lessThan">
      <formula>0.8</formula>
    </cfRule>
  </conditionalFormatting>
  <conditionalFormatting sqref="P31">
    <cfRule type="cellIs" dxfId="12219" priority="2440" operator="greaterThan">
      <formula>0</formula>
    </cfRule>
  </conditionalFormatting>
  <conditionalFormatting sqref="P31">
    <cfRule type="cellIs" dxfId="12218" priority="2434" operator="greaterThan">
      <formula>0</formula>
    </cfRule>
  </conditionalFormatting>
  <conditionalFormatting sqref="Q31">
    <cfRule type="cellIs" dxfId="12217" priority="2439" operator="lessThan">
      <formula>0</formula>
    </cfRule>
  </conditionalFormatting>
  <conditionalFormatting sqref="R31">
    <cfRule type="cellIs" dxfId="12216" priority="2437" operator="lessThan">
      <formula>0.8</formula>
    </cfRule>
    <cfRule type="cellIs" dxfId="12215" priority="2438" operator="greaterThan">
      <formula>1</formula>
    </cfRule>
  </conditionalFormatting>
  <conditionalFormatting sqref="R31">
    <cfRule type="cellIs" dxfId="12214" priority="2435" operator="greaterThan">
      <formula>1</formula>
    </cfRule>
    <cfRule type="cellIs" dxfId="12213" priority="2436" operator="lessThan">
      <formula>0.8</formula>
    </cfRule>
  </conditionalFormatting>
  <conditionalFormatting sqref="P31">
    <cfRule type="cellIs" dxfId="12212" priority="2428" operator="greaterThan">
      <formula>0</formula>
    </cfRule>
  </conditionalFormatting>
  <conditionalFormatting sqref="Q31">
    <cfRule type="cellIs" dxfId="12211" priority="2433" operator="lessThan">
      <formula>0</formula>
    </cfRule>
  </conditionalFormatting>
  <conditionalFormatting sqref="R31">
    <cfRule type="cellIs" dxfId="12210" priority="2431" operator="lessThan">
      <formula>0.8</formula>
    </cfRule>
    <cfRule type="cellIs" dxfId="12209" priority="2432" operator="greaterThan">
      <formula>1</formula>
    </cfRule>
  </conditionalFormatting>
  <conditionalFormatting sqref="R31">
    <cfRule type="cellIs" dxfId="12208" priority="2429" operator="greaterThan">
      <formula>1</formula>
    </cfRule>
    <cfRule type="cellIs" dxfId="12207" priority="2430" operator="lessThan">
      <formula>0.8</formula>
    </cfRule>
  </conditionalFormatting>
  <conditionalFormatting sqref="R31">
    <cfRule type="cellIs" dxfId="12206" priority="2425" operator="lessThan">
      <formula>0.8</formula>
    </cfRule>
    <cfRule type="cellIs" dxfId="12205" priority="2426" operator="greaterThan">
      <formula>1</formula>
    </cfRule>
  </conditionalFormatting>
  <conditionalFormatting sqref="R31">
    <cfRule type="cellIs" dxfId="12204" priority="2423" operator="greaterThan">
      <formula>1</formula>
    </cfRule>
    <cfRule type="cellIs" dxfId="12203" priority="2424" operator="lessThan">
      <formula>0.8</formula>
    </cfRule>
  </conditionalFormatting>
  <conditionalFormatting sqref="P31">
    <cfRule type="cellIs" dxfId="12202" priority="2422" operator="greaterThan">
      <formula>0</formula>
    </cfRule>
  </conditionalFormatting>
  <conditionalFormatting sqref="Q31">
    <cfRule type="cellIs" dxfId="12201" priority="2427" operator="lessThan">
      <formula>0</formula>
    </cfRule>
  </conditionalFormatting>
  <conditionalFormatting sqref="Q31">
    <cfRule type="cellIs" dxfId="12200" priority="2421" operator="lessThan">
      <formula>0</formula>
    </cfRule>
  </conditionalFormatting>
  <conditionalFormatting sqref="R31">
    <cfRule type="cellIs" dxfId="12199" priority="2419" operator="lessThan">
      <formula>0.8</formula>
    </cfRule>
    <cfRule type="cellIs" dxfId="12198" priority="2420" operator="greaterThan">
      <formula>1</formula>
    </cfRule>
  </conditionalFormatting>
  <conditionalFormatting sqref="R31">
    <cfRule type="cellIs" dxfId="12197" priority="2417" operator="greaterThan">
      <formula>1</formula>
    </cfRule>
    <cfRule type="cellIs" dxfId="12196" priority="2418" operator="lessThan">
      <formula>0.8</formula>
    </cfRule>
  </conditionalFormatting>
  <conditionalFormatting sqref="P31">
    <cfRule type="cellIs" dxfId="12195" priority="2416" operator="greaterThan">
      <formula>0</formula>
    </cfRule>
  </conditionalFormatting>
  <conditionalFormatting sqref="Q31">
    <cfRule type="cellIs" dxfId="12194" priority="2415" operator="lessThan">
      <formula>0</formula>
    </cfRule>
  </conditionalFormatting>
  <conditionalFormatting sqref="R31">
    <cfRule type="cellIs" dxfId="12193" priority="2413" operator="lessThan">
      <formula>0.8</formula>
    </cfRule>
    <cfRule type="cellIs" dxfId="12192" priority="2414" operator="greaterThan">
      <formula>1</formula>
    </cfRule>
  </conditionalFormatting>
  <conditionalFormatting sqref="R31">
    <cfRule type="cellIs" dxfId="12191" priority="2411" operator="greaterThan">
      <formula>1</formula>
    </cfRule>
    <cfRule type="cellIs" dxfId="12190" priority="2412" operator="lessThan">
      <formula>0.8</formula>
    </cfRule>
  </conditionalFormatting>
  <conditionalFormatting sqref="P31">
    <cfRule type="cellIs" dxfId="12189" priority="2410" operator="greaterThan">
      <formula>0</formula>
    </cfRule>
  </conditionalFormatting>
  <conditionalFormatting sqref="Q31">
    <cfRule type="cellIs" dxfId="12188" priority="2409" operator="lessThan">
      <formula>0</formula>
    </cfRule>
  </conditionalFormatting>
  <conditionalFormatting sqref="R31">
    <cfRule type="cellIs" dxfId="12187" priority="2407" operator="lessThan">
      <formula>0.8</formula>
    </cfRule>
    <cfRule type="cellIs" dxfId="12186" priority="2408" operator="greaterThan">
      <formula>1</formula>
    </cfRule>
  </conditionalFormatting>
  <conditionalFormatting sqref="R31">
    <cfRule type="cellIs" dxfId="12185" priority="2405" operator="greaterThan">
      <formula>1</formula>
    </cfRule>
    <cfRule type="cellIs" dxfId="12184" priority="2406" operator="lessThan">
      <formula>0.8</formula>
    </cfRule>
  </conditionalFormatting>
  <conditionalFormatting sqref="P31">
    <cfRule type="cellIs" dxfId="12183" priority="2404" operator="greaterThan">
      <formula>0</formula>
    </cfRule>
  </conditionalFormatting>
  <conditionalFormatting sqref="Q31">
    <cfRule type="cellIs" dxfId="12182" priority="2403" operator="lessThan">
      <formula>0</formula>
    </cfRule>
  </conditionalFormatting>
  <conditionalFormatting sqref="R31">
    <cfRule type="cellIs" dxfId="12181" priority="2401" operator="lessThan">
      <formula>0.8</formula>
    </cfRule>
    <cfRule type="cellIs" dxfId="12180" priority="2402" operator="greaterThan">
      <formula>1</formula>
    </cfRule>
  </conditionalFormatting>
  <conditionalFormatting sqref="R31">
    <cfRule type="cellIs" dxfId="12179" priority="2399" operator="greaterThan">
      <formula>1</formula>
    </cfRule>
    <cfRule type="cellIs" dxfId="12178" priority="2400" operator="lessThan">
      <formula>0.8</formula>
    </cfRule>
  </conditionalFormatting>
  <conditionalFormatting sqref="P31">
    <cfRule type="cellIs" dxfId="12177" priority="2398" operator="greaterThan">
      <formula>0</formula>
    </cfRule>
  </conditionalFormatting>
  <conditionalFormatting sqref="P31">
    <cfRule type="cellIs" dxfId="12176" priority="2392" operator="greaterThan">
      <formula>0</formula>
    </cfRule>
  </conditionalFormatting>
  <conditionalFormatting sqref="Q31">
    <cfRule type="cellIs" dxfId="12175" priority="2397" operator="lessThan">
      <formula>0</formula>
    </cfRule>
  </conditionalFormatting>
  <conditionalFormatting sqref="R31">
    <cfRule type="cellIs" dxfId="12174" priority="2395" operator="lessThan">
      <formula>0.8</formula>
    </cfRule>
    <cfRule type="cellIs" dxfId="12173" priority="2396" operator="greaterThan">
      <formula>1</formula>
    </cfRule>
  </conditionalFormatting>
  <conditionalFormatting sqref="R31">
    <cfRule type="cellIs" dxfId="12172" priority="2393" operator="greaterThan">
      <formula>1</formula>
    </cfRule>
    <cfRule type="cellIs" dxfId="12171" priority="2394" operator="lessThan">
      <formula>0.8</formula>
    </cfRule>
  </conditionalFormatting>
  <conditionalFormatting sqref="P31">
    <cfRule type="cellIs" dxfId="12170" priority="2386" operator="greaterThan">
      <formula>0</formula>
    </cfRule>
  </conditionalFormatting>
  <conditionalFormatting sqref="Q31">
    <cfRule type="cellIs" dxfId="12169" priority="2391" operator="lessThan">
      <formula>0</formula>
    </cfRule>
  </conditionalFormatting>
  <conditionalFormatting sqref="R31">
    <cfRule type="cellIs" dxfId="12168" priority="2389" operator="lessThan">
      <formula>0.8</formula>
    </cfRule>
    <cfRule type="cellIs" dxfId="12167" priority="2390" operator="greaterThan">
      <formula>1</formula>
    </cfRule>
  </conditionalFormatting>
  <conditionalFormatting sqref="R31">
    <cfRule type="cellIs" dxfId="12166" priority="2387" operator="greaterThan">
      <formula>1</formula>
    </cfRule>
    <cfRule type="cellIs" dxfId="12165" priority="2388" operator="lessThan">
      <formula>0.8</formula>
    </cfRule>
  </conditionalFormatting>
  <conditionalFormatting sqref="R31">
    <cfRule type="cellIs" dxfId="12164" priority="2383" operator="lessThan">
      <formula>0.8</formula>
    </cfRule>
    <cfRule type="cellIs" dxfId="12163" priority="2384" operator="greaterThan">
      <formula>1</formula>
    </cfRule>
  </conditionalFormatting>
  <conditionalFormatting sqref="R31">
    <cfRule type="cellIs" dxfId="12162" priority="2381" operator="greaterThan">
      <formula>1</formula>
    </cfRule>
    <cfRule type="cellIs" dxfId="12161" priority="2382" operator="lessThan">
      <formula>0.8</formula>
    </cfRule>
  </conditionalFormatting>
  <conditionalFormatting sqref="P31">
    <cfRule type="cellIs" dxfId="12160" priority="2380" operator="greaterThan">
      <formula>0</formula>
    </cfRule>
  </conditionalFormatting>
  <conditionalFormatting sqref="Q31">
    <cfRule type="cellIs" dxfId="12159" priority="2385" operator="lessThan">
      <formula>0</formula>
    </cfRule>
  </conditionalFormatting>
  <conditionalFormatting sqref="Q31">
    <cfRule type="cellIs" dxfId="12158" priority="2379" operator="lessThan">
      <formula>0</formula>
    </cfRule>
  </conditionalFormatting>
  <conditionalFormatting sqref="R31">
    <cfRule type="cellIs" dxfId="12157" priority="2377" operator="lessThan">
      <formula>0.8</formula>
    </cfRule>
    <cfRule type="cellIs" dxfId="12156" priority="2378" operator="greaterThan">
      <formula>1</formula>
    </cfRule>
  </conditionalFormatting>
  <conditionalFormatting sqref="R31">
    <cfRule type="cellIs" dxfId="12155" priority="2375" operator="greaterThan">
      <formula>1</formula>
    </cfRule>
    <cfRule type="cellIs" dxfId="12154" priority="2376" operator="lessThan">
      <formula>0.8</formula>
    </cfRule>
  </conditionalFormatting>
  <conditionalFormatting sqref="P31">
    <cfRule type="cellIs" dxfId="12153" priority="2374" operator="greaterThan">
      <formula>0</formula>
    </cfRule>
  </conditionalFormatting>
  <conditionalFormatting sqref="P31">
    <cfRule type="cellIs" dxfId="12152" priority="2368" operator="greaterThan">
      <formula>0</formula>
    </cfRule>
  </conditionalFormatting>
  <conditionalFormatting sqref="Q31">
    <cfRule type="cellIs" dxfId="12151" priority="2373" operator="lessThan">
      <formula>0</formula>
    </cfRule>
  </conditionalFormatting>
  <conditionalFormatting sqref="R31">
    <cfRule type="cellIs" dxfId="12150" priority="2371" operator="lessThan">
      <formula>0.8</formula>
    </cfRule>
    <cfRule type="cellIs" dxfId="12149" priority="2372" operator="greaterThan">
      <formula>1</formula>
    </cfRule>
  </conditionalFormatting>
  <conditionalFormatting sqref="R31">
    <cfRule type="cellIs" dxfId="12148" priority="2369" operator="greaterThan">
      <formula>1</formula>
    </cfRule>
    <cfRule type="cellIs" dxfId="12147" priority="2370" operator="lessThan">
      <formula>0.8</formula>
    </cfRule>
  </conditionalFormatting>
  <conditionalFormatting sqref="P31">
    <cfRule type="cellIs" dxfId="12146" priority="2362" operator="greaterThan">
      <formula>0</formula>
    </cfRule>
  </conditionalFormatting>
  <conditionalFormatting sqref="Q31">
    <cfRule type="cellIs" dxfId="12145" priority="2367" operator="lessThan">
      <formula>0</formula>
    </cfRule>
  </conditionalFormatting>
  <conditionalFormatting sqref="R31">
    <cfRule type="cellIs" dxfId="12144" priority="2365" operator="lessThan">
      <formula>0.8</formula>
    </cfRule>
    <cfRule type="cellIs" dxfId="12143" priority="2366" operator="greaterThan">
      <formula>1</formula>
    </cfRule>
  </conditionalFormatting>
  <conditionalFormatting sqref="R31">
    <cfRule type="cellIs" dxfId="12142" priority="2363" operator="greaterThan">
      <formula>1</formula>
    </cfRule>
    <cfRule type="cellIs" dxfId="12141" priority="2364" operator="lessThan">
      <formula>0.8</formula>
    </cfRule>
  </conditionalFormatting>
  <conditionalFormatting sqref="R31">
    <cfRule type="cellIs" dxfId="12140" priority="2359" operator="lessThan">
      <formula>0.8</formula>
    </cfRule>
    <cfRule type="cellIs" dxfId="12139" priority="2360" operator="greaterThan">
      <formula>1</formula>
    </cfRule>
  </conditionalFormatting>
  <conditionalFormatting sqref="R31">
    <cfRule type="cellIs" dxfId="12138" priority="2357" operator="greaterThan">
      <formula>1</formula>
    </cfRule>
    <cfRule type="cellIs" dxfId="12137" priority="2358" operator="lessThan">
      <formula>0.8</formula>
    </cfRule>
  </conditionalFormatting>
  <conditionalFormatting sqref="P31">
    <cfRule type="cellIs" dxfId="12136" priority="2356" operator="greaterThan">
      <formula>0</formula>
    </cfRule>
  </conditionalFormatting>
  <conditionalFormatting sqref="Q31">
    <cfRule type="cellIs" dxfId="12135" priority="2361" operator="lessThan">
      <formula>0</formula>
    </cfRule>
  </conditionalFormatting>
  <conditionalFormatting sqref="P31">
    <cfRule type="cellIs" dxfId="12134" priority="2350" operator="greaterThan">
      <formula>0</formula>
    </cfRule>
  </conditionalFormatting>
  <conditionalFormatting sqref="Q31">
    <cfRule type="cellIs" dxfId="12133" priority="2355" operator="lessThan">
      <formula>0</formula>
    </cfRule>
  </conditionalFormatting>
  <conditionalFormatting sqref="R31">
    <cfRule type="cellIs" dxfId="12132" priority="2353" operator="lessThan">
      <formula>0.8</formula>
    </cfRule>
    <cfRule type="cellIs" dxfId="12131" priority="2354" operator="greaterThan">
      <formula>1</formula>
    </cfRule>
  </conditionalFormatting>
  <conditionalFormatting sqref="R31">
    <cfRule type="cellIs" dxfId="12130" priority="2351" operator="greaterThan">
      <formula>1</formula>
    </cfRule>
    <cfRule type="cellIs" dxfId="12129" priority="2352" operator="lessThan">
      <formula>0.8</formula>
    </cfRule>
  </conditionalFormatting>
  <conditionalFormatting sqref="R31">
    <cfRule type="cellIs" dxfId="12128" priority="2347" operator="lessThan">
      <formula>0.8</formula>
    </cfRule>
    <cfRule type="cellIs" dxfId="12127" priority="2348" operator="greaterThan">
      <formula>1</formula>
    </cfRule>
  </conditionalFormatting>
  <conditionalFormatting sqref="R31">
    <cfRule type="cellIs" dxfId="12126" priority="2345" operator="greaterThan">
      <formula>1</formula>
    </cfRule>
    <cfRule type="cellIs" dxfId="12125" priority="2346" operator="lessThan">
      <formula>0.8</formula>
    </cfRule>
  </conditionalFormatting>
  <conditionalFormatting sqref="P31">
    <cfRule type="cellIs" dxfId="12124" priority="2344" operator="greaterThan">
      <formula>0</formula>
    </cfRule>
  </conditionalFormatting>
  <conditionalFormatting sqref="Q31">
    <cfRule type="cellIs" dxfId="12123" priority="2349" operator="lessThan">
      <formula>0</formula>
    </cfRule>
  </conditionalFormatting>
  <conditionalFormatting sqref="R31">
    <cfRule type="cellIs" dxfId="12122" priority="2341" operator="lessThan">
      <formula>0.8</formula>
    </cfRule>
    <cfRule type="cellIs" dxfId="12121" priority="2342" operator="greaterThan">
      <formula>1</formula>
    </cfRule>
  </conditionalFormatting>
  <conditionalFormatting sqref="R31">
    <cfRule type="cellIs" dxfId="12120" priority="2339" operator="greaterThan">
      <formula>1</formula>
    </cfRule>
    <cfRule type="cellIs" dxfId="12119" priority="2340" operator="lessThan">
      <formula>0.8</formula>
    </cfRule>
  </conditionalFormatting>
  <conditionalFormatting sqref="P31">
    <cfRule type="cellIs" dxfId="12118" priority="2338" operator="greaterThan">
      <formula>0</formula>
    </cfRule>
  </conditionalFormatting>
  <conditionalFormatting sqref="Q31">
    <cfRule type="cellIs" dxfId="12117" priority="2343" operator="lessThan">
      <formula>0</formula>
    </cfRule>
  </conditionalFormatting>
  <conditionalFormatting sqref="Q31">
    <cfRule type="cellIs" dxfId="12116" priority="2337" operator="lessThan">
      <formula>0</formula>
    </cfRule>
  </conditionalFormatting>
  <conditionalFormatting sqref="R31">
    <cfRule type="cellIs" dxfId="12115" priority="2335" operator="lessThan">
      <formula>0.8</formula>
    </cfRule>
    <cfRule type="cellIs" dxfId="12114" priority="2336" operator="greaterThan">
      <formula>1</formula>
    </cfRule>
  </conditionalFormatting>
  <conditionalFormatting sqref="R31">
    <cfRule type="cellIs" dxfId="12113" priority="2333" operator="greaterThan">
      <formula>1</formula>
    </cfRule>
    <cfRule type="cellIs" dxfId="12112" priority="2334" operator="lessThan">
      <formula>0.8</formula>
    </cfRule>
  </conditionalFormatting>
  <conditionalFormatting sqref="P31">
    <cfRule type="cellIs" dxfId="12111" priority="2332" operator="greaterThan">
      <formula>0</formula>
    </cfRule>
  </conditionalFormatting>
  <conditionalFormatting sqref="Q31">
    <cfRule type="cellIs" dxfId="12110" priority="2326" operator="lessThan">
      <formula>0</formula>
    </cfRule>
  </conditionalFormatting>
  <conditionalFormatting sqref="R31">
    <cfRule type="cellIs" dxfId="12109" priority="2330" operator="lessThan">
      <formula>0.8</formula>
    </cfRule>
    <cfRule type="cellIs" dxfId="12108" priority="2331" operator="greaterThan">
      <formula>1</formula>
    </cfRule>
  </conditionalFormatting>
  <conditionalFormatting sqref="R31">
    <cfRule type="cellIs" dxfId="12107" priority="2328" operator="greaterThan">
      <formula>1</formula>
    </cfRule>
    <cfRule type="cellIs" dxfId="12106" priority="2329" operator="lessThan">
      <formula>0.8</formula>
    </cfRule>
  </conditionalFormatting>
  <conditionalFormatting sqref="P31">
    <cfRule type="cellIs" dxfId="12105" priority="2327" operator="greaterThan">
      <formula>0</formula>
    </cfRule>
  </conditionalFormatting>
  <conditionalFormatting sqref="Q31">
    <cfRule type="cellIs" dxfId="12104" priority="2325" operator="lessThan">
      <formula>0</formula>
    </cfRule>
  </conditionalFormatting>
  <conditionalFormatting sqref="R31">
    <cfRule type="cellIs" dxfId="12103" priority="2323" operator="lessThan">
      <formula>0.8</formula>
    </cfRule>
    <cfRule type="cellIs" dxfId="12102" priority="2324" operator="greaterThan">
      <formula>1</formula>
    </cfRule>
  </conditionalFormatting>
  <conditionalFormatting sqref="R31">
    <cfRule type="cellIs" dxfId="12101" priority="2321" operator="greaterThan">
      <formula>1</formula>
    </cfRule>
    <cfRule type="cellIs" dxfId="12100" priority="2322" operator="lessThan">
      <formula>0.8</formula>
    </cfRule>
  </conditionalFormatting>
  <conditionalFormatting sqref="P31">
    <cfRule type="cellIs" dxfId="12099" priority="2320" operator="greaterThan">
      <formula>0</formula>
    </cfRule>
  </conditionalFormatting>
  <conditionalFormatting sqref="Q31">
    <cfRule type="cellIs" dxfId="12098" priority="2319" operator="lessThan">
      <formula>0</formula>
    </cfRule>
  </conditionalFormatting>
  <conditionalFormatting sqref="R31">
    <cfRule type="cellIs" dxfId="12097" priority="2317" operator="lessThan">
      <formula>0.8</formula>
    </cfRule>
    <cfRule type="cellIs" dxfId="12096" priority="2318" operator="greaterThan">
      <formula>1</formula>
    </cfRule>
  </conditionalFormatting>
  <conditionalFormatting sqref="R31">
    <cfRule type="cellIs" dxfId="12095" priority="2315" operator="greaterThan">
      <formula>1</formula>
    </cfRule>
    <cfRule type="cellIs" dxfId="12094" priority="2316" operator="lessThan">
      <formula>0.8</formula>
    </cfRule>
  </conditionalFormatting>
  <conditionalFormatting sqref="P31">
    <cfRule type="cellIs" dxfId="12093" priority="2314" operator="greaterThan">
      <formula>0</formula>
    </cfRule>
  </conditionalFormatting>
  <conditionalFormatting sqref="Q31">
    <cfRule type="cellIs" dxfId="12092" priority="2313" operator="lessThan">
      <formula>0</formula>
    </cfRule>
  </conditionalFormatting>
  <conditionalFormatting sqref="R31">
    <cfRule type="cellIs" dxfId="12091" priority="2311" operator="lessThan">
      <formula>0.8</formula>
    </cfRule>
    <cfRule type="cellIs" dxfId="12090" priority="2312" operator="greaterThan">
      <formula>1</formula>
    </cfRule>
  </conditionalFormatting>
  <conditionalFormatting sqref="R31">
    <cfRule type="cellIs" dxfId="12089" priority="2309" operator="greaterThan">
      <formula>1</formula>
    </cfRule>
    <cfRule type="cellIs" dxfId="12088" priority="2310" operator="lessThan">
      <formula>0.8</formula>
    </cfRule>
  </conditionalFormatting>
  <conditionalFormatting sqref="P31">
    <cfRule type="cellIs" dxfId="12087" priority="2308" operator="greaterThan">
      <formula>0</formula>
    </cfRule>
  </conditionalFormatting>
  <conditionalFormatting sqref="Q31">
    <cfRule type="cellIs" dxfId="12086" priority="2307" operator="lessThan">
      <formula>0</formula>
    </cfRule>
  </conditionalFormatting>
  <conditionalFormatting sqref="R31">
    <cfRule type="cellIs" dxfId="12085" priority="2305" operator="lessThan">
      <formula>0.8</formula>
    </cfRule>
    <cfRule type="cellIs" dxfId="12084" priority="2306" operator="greaterThan">
      <formula>1</formula>
    </cfRule>
  </conditionalFormatting>
  <conditionalFormatting sqref="R31">
    <cfRule type="cellIs" dxfId="12083" priority="2303" operator="greaterThan">
      <formula>1</formula>
    </cfRule>
    <cfRule type="cellIs" dxfId="12082" priority="2304" operator="lessThan">
      <formula>0.8</formula>
    </cfRule>
  </conditionalFormatting>
  <conditionalFormatting sqref="P31">
    <cfRule type="cellIs" dxfId="12081" priority="2302" operator="greaterThan">
      <formula>0</formula>
    </cfRule>
  </conditionalFormatting>
  <conditionalFormatting sqref="Q31">
    <cfRule type="cellIs" dxfId="12080" priority="2301" operator="lessThan">
      <formula>0</formula>
    </cfRule>
  </conditionalFormatting>
  <conditionalFormatting sqref="R31">
    <cfRule type="cellIs" dxfId="12079" priority="2299" operator="lessThan">
      <formula>0.8</formula>
    </cfRule>
    <cfRule type="cellIs" dxfId="12078" priority="2300" operator="greaterThan">
      <formula>1</formula>
    </cfRule>
  </conditionalFormatting>
  <conditionalFormatting sqref="R31">
    <cfRule type="cellIs" dxfId="12077" priority="2297" operator="greaterThan">
      <formula>1</formula>
    </cfRule>
    <cfRule type="cellIs" dxfId="12076" priority="2298" operator="lessThan">
      <formula>0.8</formula>
    </cfRule>
  </conditionalFormatting>
  <conditionalFormatting sqref="P31">
    <cfRule type="cellIs" dxfId="12075" priority="2296" operator="greaterThan">
      <formula>0</formula>
    </cfRule>
  </conditionalFormatting>
  <conditionalFormatting sqref="P31">
    <cfRule type="cellIs" dxfId="12074" priority="2290" operator="greaterThan">
      <formula>0</formula>
    </cfRule>
  </conditionalFormatting>
  <conditionalFormatting sqref="Q31">
    <cfRule type="cellIs" dxfId="12073" priority="2295" operator="lessThan">
      <formula>0</formula>
    </cfRule>
  </conditionalFormatting>
  <conditionalFormatting sqref="R31">
    <cfRule type="cellIs" dxfId="12072" priority="2293" operator="lessThan">
      <formula>0.8</formula>
    </cfRule>
    <cfRule type="cellIs" dxfId="12071" priority="2294" operator="greaterThan">
      <formula>1</formula>
    </cfRule>
  </conditionalFormatting>
  <conditionalFormatting sqref="R31">
    <cfRule type="cellIs" dxfId="12070" priority="2291" operator="greaterThan">
      <formula>1</formula>
    </cfRule>
    <cfRule type="cellIs" dxfId="12069" priority="2292" operator="lessThan">
      <formula>0.8</formula>
    </cfRule>
  </conditionalFormatting>
  <conditionalFormatting sqref="P31">
    <cfRule type="cellIs" dxfId="12068" priority="2284" operator="greaterThan">
      <formula>0</formula>
    </cfRule>
  </conditionalFormatting>
  <conditionalFormatting sqref="Q31">
    <cfRule type="cellIs" dxfId="12067" priority="2289" operator="lessThan">
      <formula>0</formula>
    </cfRule>
  </conditionalFormatting>
  <conditionalFormatting sqref="R31">
    <cfRule type="cellIs" dxfId="12066" priority="2287" operator="lessThan">
      <formula>0.8</formula>
    </cfRule>
    <cfRule type="cellIs" dxfId="12065" priority="2288" operator="greaterThan">
      <formula>1</formula>
    </cfRule>
  </conditionalFormatting>
  <conditionalFormatting sqref="R31">
    <cfRule type="cellIs" dxfId="12064" priority="2285" operator="greaterThan">
      <formula>1</formula>
    </cfRule>
    <cfRule type="cellIs" dxfId="12063" priority="2286" operator="lessThan">
      <formula>0.8</formula>
    </cfRule>
  </conditionalFormatting>
  <conditionalFormatting sqref="R31">
    <cfRule type="cellIs" dxfId="12062" priority="2281" operator="lessThan">
      <formula>0.8</formula>
    </cfRule>
    <cfRule type="cellIs" dxfId="12061" priority="2282" operator="greaterThan">
      <formula>1</formula>
    </cfRule>
  </conditionalFormatting>
  <conditionalFormatting sqref="R31">
    <cfRule type="cellIs" dxfId="12060" priority="2279" operator="greaterThan">
      <formula>1</formula>
    </cfRule>
    <cfRule type="cellIs" dxfId="12059" priority="2280" operator="lessThan">
      <formula>0.8</formula>
    </cfRule>
  </conditionalFormatting>
  <conditionalFormatting sqref="P31">
    <cfRule type="cellIs" dxfId="12058" priority="2278" operator="greaterThan">
      <formula>0</formula>
    </cfRule>
  </conditionalFormatting>
  <conditionalFormatting sqref="Q31">
    <cfRule type="cellIs" dxfId="12057" priority="2283" operator="lessThan">
      <formula>0</formula>
    </cfRule>
  </conditionalFormatting>
  <conditionalFormatting sqref="P79">
    <cfRule type="cellIs" dxfId="12056" priority="2272" operator="greaterThan">
      <formula>0</formula>
    </cfRule>
  </conditionalFormatting>
  <conditionalFormatting sqref="Q79">
    <cfRule type="cellIs" dxfId="12055" priority="2277" operator="lessThan">
      <formula>0</formula>
    </cfRule>
  </conditionalFormatting>
  <conditionalFormatting sqref="R79">
    <cfRule type="cellIs" dxfId="12054" priority="2275" operator="lessThan">
      <formula>0.8</formula>
    </cfRule>
    <cfRule type="cellIs" dxfId="12053" priority="2276" operator="greaterThan">
      <formula>1</formula>
    </cfRule>
  </conditionalFormatting>
  <conditionalFormatting sqref="R79">
    <cfRule type="cellIs" dxfId="12052" priority="2273" operator="greaterThan">
      <formula>1</formula>
    </cfRule>
    <cfRule type="cellIs" dxfId="12051" priority="2274" operator="lessThan">
      <formula>0.8</formula>
    </cfRule>
  </conditionalFormatting>
  <conditionalFormatting sqref="Q79">
    <cfRule type="cellIs" dxfId="12050" priority="2271" operator="lessThan">
      <formula>0</formula>
    </cfRule>
  </conditionalFormatting>
  <conditionalFormatting sqref="R79">
    <cfRule type="cellIs" dxfId="12049" priority="2269" operator="lessThan">
      <formula>0.8</formula>
    </cfRule>
    <cfRule type="cellIs" dxfId="12048" priority="2270" operator="greaterThan">
      <formula>1</formula>
    </cfRule>
  </conditionalFormatting>
  <conditionalFormatting sqref="R79">
    <cfRule type="cellIs" dxfId="12047" priority="2267" operator="greaterThan">
      <formula>1</formula>
    </cfRule>
    <cfRule type="cellIs" dxfId="12046" priority="2268" operator="lessThan">
      <formula>0.8</formula>
    </cfRule>
  </conditionalFormatting>
  <conditionalFormatting sqref="P79">
    <cfRule type="cellIs" dxfId="12045" priority="2266" operator="greaterThan">
      <formula>0</formula>
    </cfRule>
  </conditionalFormatting>
  <conditionalFormatting sqref="P79">
    <cfRule type="cellIs" dxfId="12044" priority="2260" operator="greaterThan">
      <formula>0</formula>
    </cfRule>
  </conditionalFormatting>
  <conditionalFormatting sqref="Q79">
    <cfRule type="cellIs" dxfId="12043" priority="2265" operator="lessThan">
      <formula>0</formula>
    </cfRule>
  </conditionalFormatting>
  <conditionalFormatting sqref="R79">
    <cfRule type="cellIs" dxfId="12042" priority="2263" operator="lessThan">
      <formula>0.8</formula>
    </cfRule>
    <cfRule type="cellIs" dxfId="12041" priority="2264" operator="greaterThan">
      <formula>1</formula>
    </cfRule>
  </conditionalFormatting>
  <conditionalFormatting sqref="R79">
    <cfRule type="cellIs" dxfId="12040" priority="2261" operator="greaterThan">
      <formula>1</formula>
    </cfRule>
    <cfRule type="cellIs" dxfId="12039" priority="2262" operator="lessThan">
      <formula>0.8</formula>
    </cfRule>
  </conditionalFormatting>
  <conditionalFormatting sqref="Q79">
    <cfRule type="cellIs" dxfId="12038" priority="2254" operator="lessThan">
      <formula>0</formula>
    </cfRule>
  </conditionalFormatting>
  <conditionalFormatting sqref="P79">
    <cfRule type="cellIs" dxfId="12037" priority="2255" operator="greaterThan">
      <formula>0</formula>
    </cfRule>
  </conditionalFormatting>
  <conditionalFormatting sqref="R79">
    <cfRule type="cellIs" dxfId="12036" priority="2258" operator="lessThan">
      <formula>0.8</formula>
    </cfRule>
    <cfRule type="cellIs" dxfId="12035" priority="2259" operator="greaterThan">
      <formula>1</formula>
    </cfRule>
  </conditionalFormatting>
  <conditionalFormatting sqref="R79">
    <cfRule type="cellIs" dxfId="12034" priority="2256" operator="greaterThan">
      <formula>1</formula>
    </cfRule>
    <cfRule type="cellIs" dxfId="12033" priority="2257" operator="lessThan">
      <formula>0.8</formula>
    </cfRule>
  </conditionalFormatting>
  <conditionalFormatting sqref="Q79">
    <cfRule type="cellIs" dxfId="12032" priority="2248" operator="lessThan">
      <formula>0</formula>
    </cfRule>
  </conditionalFormatting>
  <conditionalFormatting sqref="R79">
    <cfRule type="cellIs" dxfId="12031" priority="2252" operator="lessThan">
      <formula>0.8</formula>
    </cfRule>
    <cfRule type="cellIs" dxfId="12030" priority="2253" operator="greaterThan">
      <formula>1</formula>
    </cfRule>
  </conditionalFormatting>
  <conditionalFormatting sqref="R79">
    <cfRule type="cellIs" dxfId="12029" priority="2250" operator="greaterThan">
      <formula>1</formula>
    </cfRule>
    <cfRule type="cellIs" dxfId="12028" priority="2251" operator="lessThan">
      <formula>0.8</formula>
    </cfRule>
  </conditionalFormatting>
  <conditionalFormatting sqref="P79">
    <cfRule type="cellIs" dxfId="12027" priority="2249" operator="greaterThan">
      <formula>0</formula>
    </cfRule>
  </conditionalFormatting>
  <conditionalFormatting sqref="Q79">
    <cfRule type="cellIs" dxfId="12026" priority="2247" operator="lessThan">
      <formula>0</formula>
    </cfRule>
  </conditionalFormatting>
  <conditionalFormatting sqref="R79">
    <cfRule type="cellIs" dxfId="12025" priority="2245" operator="lessThan">
      <formula>0.8</formula>
    </cfRule>
    <cfRule type="cellIs" dxfId="12024" priority="2246" operator="greaterThan">
      <formula>1</formula>
    </cfRule>
  </conditionalFormatting>
  <conditionalFormatting sqref="R79">
    <cfRule type="cellIs" dxfId="12023" priority="2243" operator="greaterThan">
      <formula>1</formula>
    </cfRule>
    <cfRule type="cellIs" dxfId="12022" priority="2244" operator="lessThan">
      <formula>0.8</formula>
    </cfRule>
  </conditionalFormatting>
  <conditionalFormatting sqref="P79">
    <cfRule type="cellIs" dxfId="12021" priority="2242" operator="greaterThan">
      <formula>0</formula>
    </cfRule>
  </conditionalFormatting>
  <conditionalFormatting sqref="Q79">
    <cfRule type="cellIs" dxfId="12020" priority="2241" operator="lessThan">
      <formula>0</formula>
    </cfRule>
  </conditionalFormatting>
  <conditionalFormatting sqref="R79">
    <cfRule type="cellIs" dxfId="12019" priority="2239" operator="lessThan">
      <formula>0.8</formula>
    </cfRule>
    <cfRule type="cellIs" dxfId="12018" priority="2240" operator="greaterThan">
      <formula>1</formula>
    </cfRule>
  </conditionalFormatting>
  <conditionalFormatting sqref="R79">
    <cfRule type="cellIs" dxfId="12017" priority="2237" operator="greaterThan">
      <formula>1</formula>
    </cfRule>
    <cfRule type="cellIs" dxfId="12016" priority="2238" operator="lessThan">
      <formula>0.8</formula>
    </cfRule>
  </conditionalFormatting>
  <conditionalFormatting sqref="P79">
    <cfRule type="cellIs" dxfId="12015" priority="2236" operator="greaterThan">
      <formula>0</formula>
    </cfRule>
  </conditionalFormatting>
  <conditionalFormatting sqref="P79">
    <cfRule type="cellIs" dxfId="12014" priority="2230" operator="greaterThan">
      <formula>0</formula>
    </cfRule>
  </conditionalFormatting>
  <conditionalFormatting sqref="Q79">
    <cfRule type="cellIs" dxfId="12013" priority="2235" operator="lessThan">
      <formula>0</formula>
    </cfRule>
  </conditionalFormatting>
  <conditionalFormatting sqref="R79">
    <cfRule type="cellIs" dxfId="12012" priority="2233" operator="lessThan">
      <formula>0.8</formula>
    </cfRule>
    <cfRule type="cellIs" dxfId="12011" priority="2234" operator="greaterThan">
      <formula>1</formula>
    </cfRule>
  </conditionalFormatting>
  <conditionalFormatting sqref="R79">
    <cfRule type="cellIs" dxfId="12010" priority="2231" operator="greaterThan">
      <formula>1</formula>
    </cfRule>
    <cfRule type="cellIs" dxfId="12009" priority="2232" operator="lessThan">
      <formula>0.8</formula>
    </cfRule>
  </conditionalFormatting>
  <conditionalFormatting sqref="P71:P78">
    <cfRule type="cellIs" dxfId="12008" priority="2224" operator="greaterThan">
      <formula>0</formula>
    </cfRule>
  </conditionalFormatting>
  <conditionalFormatting sqref="Q71:Q78">
    <cfRule type="cellIs" dxfId="12007" priority="2229" operator="lessThan">
      <formula>0</formula>
    </cfRule>
  </conditionalFormatting>
  <conditionalFormatting sqref="R71:R78">
    <cfRule type="cellIs" dxfId="12006" priority="2227" operator="lessThan">
      <formula>0.8</formula>
    </cfRule>
    <cfRule type="cellIs" dxfId="12005" priority="2228" operator="greaterThan">
      <formula>1</formula>
    </cfRule>
  </conditionalFormatting>
  <conditionalFormatting sqref="R71:R78">
    <cfRule type="cellIs" dxfId="12004" priority="2225" operator="greaterThan">
      <formula>1</formula>
    </cfRule>
    <cfRule type="cellIs" dxfId="12003" priority="2226" operator="lessThan">
      <formula>0.8</formula>
    </cfRule>
  </conditionalFormatting>
  <conditionalFormatting sqref="Q148:Q153">
    <cfRule type="cellIs" dxfId="12002" priority="2223" operator="lessThan">
      <formula>0</formula>
    </cfRule>
  </conditionalFormatting>
  <conditionalFormatting sqref="R148:R153">
    <cfRule type="cellIs" dxfId="12001" priority="2221" operator="lessThan">
      <formula>0.8</formula>
    </cfRule>
    <cfRule type="cellIs" dxfId="12000" priority="2222" operator="greaterThan">
      <formula>1</formula>
    </cfRule>
  </conditionalFormatting>
  <conditionalFormatting sqref="R148:R153">
    <cfRule type="cellIs" dxfId="11999" priority="2219" operator="greaterThan">
      <formula>1</formula>
    </cfRule>
    <cfRule type="cellIs" dxfId="11998" priority="2220" operator="lessThan">
      <formula>0.8</formula>
    </cfRule>
  </conditionalFormatting>
  <conditionalFormatting sqref="P148:P153">
    <cfRule type="cellIs" dxfId="11997" priority="2218" operator="greaterThan">
      <formula>0</formula>
    </cfRule>
  </conditionalFormatting>
  <conditionalFormatting sqref="Q148:Q153">
    <cfRule type="cellIs" dxfId="11996" priority="2217" operator="lessThan">
      <formula>0</formula>
    </cfRule>
  </conditionalFormatting>
  <conditionalFormatting sqref="R148:R153">
    <cfRule type="cellIs" dxfId="11995" priority="2215" operator="lessThan">
      <formula>0.8</formula>
    </cfRule>
    <cfRule type="cellIs" dxfId="11994" priority="2216" operator="greaterThan">
      <formula>1</formula>
    </cfRule>
  </conditionalFormatting>
  <conditionalFormatting sqref="R148:R153">
    <cfRule type="cellIs" dxfId="11993" priority="2213" operator="greaterThan">
      <formula>1</formula>
    </cfRule>
    <cfRule type="cellIs" dxfId="11992" priority="2214" operator="lessThan">
      <formula>0.8</formula>
    </cfRule>
  </conditionalFormatting>
  <conditionalFormatting sqref="P148:P153">
    <cfRule type="cellIs" dxfId="11991" priority="2212" operator="greaterThan">
      <formula>0</formula>
    </cfRule>
  </conditionalFormatting>
  <conditionalFormatting sqref="Q148:Q153">
    <cfRule type="cellIs" dxfId="11990" priority="2211" operator="lessThan">
      <formula>0</formula>
    </cfRule>
  </conditionalFormatting>
  <conditionalFormatting sqref="R148:R153">
    <cfRule type="cellIs" dxfId="11989" priority="2209" operator="lessThan">
      <formula>0.8</formula>
    </cfRule>
    <cfRule type="cellIs" dxfId="11988" priority="2210" operator="greaterThan">
      <formula>1</formula>
    </cfRule>
  </conditionalFormatting>
  <conditionalFormatting sqref="R148:R153">
    <cfRule type="cellIs" dxfId="11987" priority="2207" operator="greaterThan">
      <formula>1</formula>
    </cfRule>
    <cfRule type="cellIs" dxfId="11986" priority="2208" operator="lessThan">
      <formula>0.8</formula>
    </cfRule>
  </conditionalFormatting>
  <conditionalFormatting sqref="P148:P153">
    <cfRule type="cellIs" dxfId="11985" priority="2206" operator="greaterThan">
      <formula>0</formula>
    </cfRule>
  </conditionalFormatting>
  <conditionalFormatting sqref="Q148:Q153">
    <cfRule type="cellIs" dxfId="11984" priority="2205" operator="lessThan">
      <formula>0</formula>
    </cfRule>
  </conditionalFormatting>
  <conditionalFormatting sqref="R148:R153">
    <cfRule type="cellIs" dxfId="11983" priority="2203" operator="lessThan">
      <formula>0.8</formula>
    </cfRule>
    <cfRule type="cellIs" dxfId="11982" priority="2204" operator="greaterThan">
      <formula>1</formula>
    </cfRule>
  </conditionalFormatting>
  <conditionalFormatting sqref="R148:R153">
    <cfRule type="cellIs" dxfId="11981" priority="2201" operator="greaterThan">
      <formula>1</formula>
    </cfRule>
    <cfRule type="cellIs" dxfId="11980" priority="2202" operator="lessThan">
      <formula>0.8</formula>
    </cfRule>
  </conditionalFormatting>
  <conditionalFormatting sqref="P148:P153">
    <cfRule type="cellIs" dxfId="11979" priority="2200" operator="greaterThan">
      <formula>0</formula>
    </cfRule>
  </conditionalFormatting>
  <conditionalFormatting sqref="P148:P153">
    <cfRule type="cellIs" dxfId="11978" priority="2194" operator="greaterThan">
      <formula>0</formula>
    </cfRule>
  </conditionalFormatting>
  <conditionalFormatting sqref="Q148:Q153">
    <cfRule type="cellIs" dxfId="11977" priority="2199" operator="lessThan">
      <formula>0</formula>
    </cfRule>
  </conditionalFormatting>
  <conditionalFormatting sqref="R148:R153">
    <cfRule type="cellIs" dxfId="11976" priority="2197" operator="lessThan">
      <formula>0.8</formula>
    </cfRule>
    <cfRule type="cellIs" dxfId="11975" priority="2198" operator="greaterThan">
      <formula>1</formula>
    </cfRule>
  </conditionalFormatting>
  <conditionalFormatting sqref="R148:R153">
    <cfRule type="cellIs" dxfId="11974" priority="2195" operator="greaterThan">
      <formula>1</formula>
    </cfRule>
    <cfRule type="cellIs" dxfId="11973" priority="2196" operator="lessThan">
      <formula>0.8</formula>
    </cfRule>
  </conditionalFormatting>
  <conditionalFormatting sqref="P148:P153">
    <cfRule type="cellIs" dxfId="11972" priority="2188" operator="greaterThan">
      <formula>0</formula>
    </cfRule>
  </conditionalFormatting>
  <conditionalFormatting sqref="Q148:Q153">
    <cfRule type="cellIs" dxfId="11971" priority="2193" operator="lessThan">
      <formula>0</formula>
    </cfRule>
  </conditionalFormatting>
  <conditionalFormatting sqref="R148:R153">
    <cfRule type="cellIs" dxfId="11970" priority="2191" operator="lessThan">
      <formula>0.8</formula>
    </cfRule>
    <cfRule type="cellIs" dxfId="11969" priority="2192" operator="greaterThan">
      <formula>1</formula>
    </cfRule>
  </conditionalFormatting>
  <conditionalFormatting sqref="R148:R153">
    <cfRule type="cellIs" dxfId="11968" priority="2189" operator="greaterThan">
      <formula>1</formula>
    </cfRule>
    <cfRule type="cellIs" dxfId="11967" priority="2190" operator="lessThan">
      <formula>0.8</formula>
    </cfRule>
  </conditionalFormatting>
  <conditionalFormatting sqref="R148:R153">
    <cfRule type="cellIs" dxfId="11966" priority="2185" operator="lessThan">
      <formula>0.8</formula>
    </cfRule>
    <cfRule type="cellIs" dxfId="11965" priority="2186" operator="greaterThan">
      <formula>1</formula>
    </cfRule>
  </conditionalFormatting>
  <conditionalFormatting sqref="R148:R153">
    <cfRule type="cellIs" dxfId="11964" priority="2183" operator="greaterThan">
      <formula>1</formula>
    </cfRule>
    <cfRule type="cellIs" dxfId="11963" priority="2184" operator="lessThan">
      <formula>0.8</formula>
    </cfRule>
  </conditionalFormatting>
  <conditionalFormatting sqref="P148:P153">
    <cfRule type="cellIs" dxfId="11962" priority="2182" operator="greaterThan">
      <formula>0</formula>
    </cfRule>
  </conditionalFormatting>
  <conditionalFormatting sqref="Q148:Q153">
    <cfRule type="cellIs" dxfId="11961" priority="2187" operator="lessThan">
      <formula>0</formula>
    </cfRule>
  </conditionalFormatting>
  <conditionalFormatting sqref="Q148:Q153">
    <cfRule type="cellIs" dxfId="11960" priority="2181" operator="lessThan">
      <formula>0</formula>
    </cfRule>
  </conditionalFormatting>
  <conditionalFormatting sqref="R148:R153">
    <cfRule type="cellIs" dxfId="11959" priority="2179" operator="lessThan">
      <formula>0.8</formula>
    </cfRule>
    <cfRule type="cellIs" dxfId="11958" priority="2180" operator="greaterThan">
      <formula>1</formula>
    </cfRule>
  </conditionalFormatting>
  <conditionalFormatting sqref="R148:R153">
    <cfRule type="cellIs" dxfId="11957" priority="2177" operator="greaterThan">
      <formula>1</formula>
    </cfRule>
    <cfRule type="cellIs" dxfId="11956" priority="2178" operator="lessThan">
      <formula>0.8</formula>
    </cfRule>
  </conditionalFormatting>
  <conditionalFormatting sqref="P148:P153">
    <cfRule type="cellIs" dxfId="11955" priority="2176" operator="greaterThan">
      <formula>0</formula>
    </cfRule>
  </conditionalFormatting>
  <conditionalFormatting sqref="P148:P153">
    <cfRule type="cellIs" dxfId="11954" priority="2170" operator="greaterThan">
      <formula>0</formula>
    </cfRule>
  </conditionalFormatting>
  <conditionalFormatting sqref="Q148:Q153">
    <cfRule type="cellIs" dxfId="11953" priority="2175" operator="lessThan">
      <formula>0</formula>
    </cfRule>
  </conditionalFormatting>
  <conditionalFormatting sqref="R148:R153">
    <cfRule type="cellIs" dxfId="11952" priority="2173" operator="lessThan">
      <formula>0.8</formula>
    </cfRule>
    <cfRule type="cellIs" dxfId="11951" priority="2174" operator="greaterThan">
      <formula>1</formula>
    </cfRule>
  </conditionalFormatting>
  <conditionalFormatting sqref="R148:R153">
    <cfRule type="cellIs" dxfId="11950" priority="2171" operator="greaterThan">
      <formula>1</formula>
    </cfRule>
    <cfRule type="cellIs" dxfId="11949" priority="2172" operator="lessThan">
      <formula>0.8</formula>
    </cfRule>
  </conditionalFormatting>
  <conditionalFormatting sqref="P148:P153">
    <cfRule type="cellIs" dxfId="11948" priority="2164" operator="greaterThan">
      <formula>0</formula>
    </cfRule>
  </conditionalFormatting>
  <conditionalFormatting sqref="Q148:Q153">
    <cfRule type="cellIs" dxfId="11947" priority="2169" operator="lessThan">
      <formula>0</formula>
    </cfRule>
  </conditionalFormatting>
  <conditionalFormatting sqref="R148:R153">
    <cfRule type="cellIs" dxfId="11946" priority="2167" operator="lessThan">
      <formula>0.8</formula>
    </cfRule>
    <cfRule type="cellIs" dxfId="11945" priority="2168" operator="greaterThan">
      <formula>1</formula>
    </cfRule>
  </conditionalFormatting>
  <conditionalFormatting sqref="R148:R153">
    <cfRule type="cellIs" dxfId="11944" priority="2165" operator="greaterThan">
      <formula>1</formula>
    </cfRule>
    <cfRule type="cellIs" dxfId="11943" priority="2166" operator="lessThan">
      <formula>0.8</formula>
    </cfRule>
  </conditionalFormatting>
  <conditionalFormatting sqref="R148:R153">
    <cfRule type="cellIs" dxfId="11942" priority="2161" operator="lessThan">
      <formula>0.8</formula>
    </cfRule>
    <cfRule type="cellIs" dxfId="11941" priority="2162" operator="greaterThan">
      <formula>1</formula>
    </cfRule>
  </conditionalFormatting>
  <conditionalFormatting sqref="R148:R153">
    <cfRule type="cellIs" dxfId="11940" priority="2159" operator="greaterThan">
      <formula>1</formula>
    </cfRule>
    <cfRule type="cellIs" dxfId="11939" priority="2160" operator="lessThan">
      <formula>0.8</formula>
    </cfRule>
  </conditionalFormatting>
  <conditionalFormatting sqref="P148:P153">
    <cfRule type="cellIs" dxfId="11938" priority="2158" operator="greaterThan">
      <formula>0</formula>
    </cfRule>
  </conditionalFormatting>
  <conditionalFormatting sqref="Q148:Q153">
    <cfRule type="cellIs" dxfId="11937" priority="2163" operator="lessThan">
      <formula>0</formula>
    </cfRule>
  </conditionalFormatting>
  <conditionalFormatting sqref="P148:P153">
    <cfRule type="cellIs" dxfId="11936" priority="2152" operator="greaterThan">
      <formula>0</formula>
    </cfRule>
  </conditionalFormatting>
  <conditionalFormatting sqref="Q148:Q153">
    <cfRule type="cellIs" dxfId="11935" priority="2157" operator="lessThan">
      <formula>0</formula>
    </cfRule>
  </conditionalFormatting>
  <conditionalFormatting sqref="R148:R153">
    <cfRule type="cellIs" dxfId="11934" priority="2155" operator="lessThan">
      <formula>0.8</formula>
    </cfRule>
    <cfRule type="cellIs" dxfId="11933" priority="2156" operator="greaterThan">
      <formula>1</formula>
    </cfRule>
  </conditionalFormatting>
  <conditionalFormatting sqref="R148:R153">
    <cfRule type="cellIs" dxfId="11932" priority="2153" operator="greaterThan">
      <formula>1</formula>
    </cfRule>
    <cfRule type="cellIs" dxfId="11931" priority="2154" operator="lessThan">
      <formula>0.8</formula>
    </cfRule>
  </conditionalFormatting>
  <conditionalFormatting sqref="R148:R153">
    <cfRule type="cellIs" dxfId="11930" priority="2149" operator="lessThan">
      <formula>0.8</formula>
    </cfRule>
    <cfRule type="cellIs" dxfId="11929" priority="2150" operator="greaterThan">
      <formula>1</formula>
    </cfRule>
  </conditionalFormatting>
  <conditionalFormatting sqref="R148:R153">
    <cfRule type="cellIs" dxfId="11928" priority="2147" operator="greaterThan">
      <formula>1</formula>
    </cfRule>
    <cfRule type="cellIs" dxfId="11927" priority="2148" operator="lessThan">
      <formula>0.8</formula>
    </cfRule>
  </conditionalFormatting>
  <conditionalFormatting sqref="P148:P153">
    <cfRule type="cellIs" dxfId="11926" priority="2146" operator="greaterThan">
      <formula>0</formula>
    </cfRule>
  </conditionalFormatting>
  <conditionalFormatting sqref="Q148:Q153">
    <cfRule type="cellIs" dxfId="11925" priority="2151" operator="lessThan">
      <formula>0</formula>
    </cfRule>
  </conditionalFormatting>
  <conditionalFormatting sqref="R148:R153">
    <cfRule type="cellIs" dxfId="11924" priority="2143" operator="lessThan">
      <formula>0.8</formula>
    </cfRule>
    <cfRule type="cellIs" dxfId="11923" priority="2144" operator="greaterThan">
      <formula>1</formula>
    </cfRule>
  </conditionalFormatting>
  <conditionalFormatting sqref="R148:R153">
    <cfRule type="cellIs" dxfId="11922" priority="2141" operator="greaterThan">
      <formula>1</formula>
    </cfRule>
    <cfRule type="cellIs" dxfId="11921" priority="2142" operator="lessThan">
      <formula>0.8</formula>
    </cfRule>
  </conditionalFormatting>
  <conditionalFormatting sqref="P148:P153">
    <cfRule type="cellIs" dxfId="11920" priority="2140" operator="greaterThan">
      <formula>0</formula>
    </cfRule>
  </conditionalFormatting>
  <conditionalFormatting sqref="Q148:Q153">
    <cfRule type="cellIs" dxfId="11919" priority="2145" operator="lessThan">
      <formula>0</formula>
    </cfRule>
  </conditionalFormatting>
  <conditionalFormatting sqref="Q148:Q153">
    <cfRule type="cellIs" dxfId="11918" priority="2139" operator="lessThan">
      <formula>0</formula>
    </cfRule>
  </conditionalFormatting>
  <conditionalFormatting sqref="R148:R153">
    <cfRule type="cellIs" dxfId="11917" priority="2137" operator="lessThan">
      <formula>0.8</formula>
    </cfRule>
    <cfRule type="cellIs" dxfId="11916" priority="2138" operator="greaterThan">
      <formula>1</formula>
    </cfRule>
  </conditionalFormatting>
  <conditionalFormatting sqref="R148:R153">
    <cfRule type="cellIs" dxfId="11915" priority="2135" operator="greaterThan">
      <formula>1</formula>
    </cfRule>
    <cfRule type="cellIs" dxfId="11914" priority="2136" operator="lessThan">
      <formula>0.8</formula>
    </cfRule>
  </conditionalFormatting>
  <conditionalFormatting sqref="P148:P153">
    <cfRule type="cellIs" dxfId="11913" priority="2134" operator="greaterThan">
      <formula>0</formula>
    </cfRule>
  </conditionalFormatting>
  <conditionalFormatting sqref="Q148:Q153">
    <cfRule type="cellIs" dxfId="11912" priority="2128" operator="lessThan">
      <formula>0</formula>
    </cfRule>
  </conditionalFormatting>
  <conditionalFormatting sqref="R148:R153">
    <cfRule type="cellIs" dxfId="11911" priority="2132" operator="lessThan">
      <formula>0.8</formula>
    </cfRule>
    <cfRule type="cellIs" dxfId="11910" priority="2133" operator="greaterThan">
      <formula>1</formula>
    </cfRule>
  </conditionalFormatting>
  <conditionalFormatting sqref="R148:R153">
    <cfRule type="cellIs" dxfId="11909" priority="2130" operator="greaterThan">
      <formula>1</formula>
    </cfRule>
    <cfRule type="cellIs" dxfId="11908" priority="2131" operator="lessThan">
      <formula>0.8</formula>
    </cfRule>
  </conditionalFormatting>
  <conditionalFormatting sqref="P148:P153">
    <cfRule type="cellIs" dxfId="11907" priority="2129" operator="greaterThan">
      <formula>0</formula>
    </cfRule>
  </conditionalFormatting>
  <conditionalFormatting sqref="Q148:Q153">
    <cfRule type="cellIs" dxfId="11906" priority="2127" operator="lessThan">
      <formula>0</formula>
    </cfRule>
  </conditionalFormatting>
  <conditionalFormatting sqref="R148:R153">
    <cfRule type="cellIs" dxfId="11905" priority="2125" operator="lessThan">
      <formula>0.8</formula>
    </cfRule>
    <cfRule type="cellIs" dxfId="11904" priority="2126" operator="greaterThan">
      <formula>1</formula>
    </cfRule>
  </conditionalFormatting>
  <conditionalFormatting sqref="R148:R153">
    <cfRule type="cellIs" dxfId="11903" priority="2123" operator="greaterThan">
      <formula>1</formula>
    </cfRule>
    <cfRule type="cellIs" dxfId="11902" priority="2124" operator="lessThan">
      <formula>0.8</formula>
    </cfRule>
  </conditionalFormatting>
  <conditionalFormatting sqref="P148:P153">
    <cfRule type="cellIs" dxfId="11901" priority="2122" operator="greaterThan">
      <formula>0</formula>
    </cfRule>
  </conditionalFormatting>
  <conditionalFormatting sqref="Q148:Q153">
    <cfRule type="cellIs" dxfId="11900" priority="2121" operator="lessThan">
      <formula>0</formula>
    </cfRule>
  </conditionalFormatting>
  <conditionalFormatting sqref="R148:R153">
    <cfRule type="cellIs" dxfId="11899" priority="2119" operator="lessThan">
      <formula>0.8</formula>
    </cfRule>
    <cfRule type="cellIs" dxfId="11898" priority="2120" operator="greaterThan">
      <formula>1</formula>
    </cfRule>
  </conditionalFormatting>
  <conditionalFormatting sqref="R148:R153">
    <cfRule type="cellIs" dxfId="11897" priority="2117" operator="greaterThan">
      <formula>1</formula>
    </cfRule>
    <cfRule type="cellIs" dxfId="11896" priority="2118" operator="lessThan">
      <formula>0.8</formula>
    </cfRule>
  </conditionalFormatting>
  <conditionalFormatting sqref="P148:P153">
    <cfRule type="cellIs" dxfId="11895" priority="2116" operator="greaterThan">
      <formula>0</formula>
    </cfRule>
  </conditionalFormatting>
  <conditionalFormatting sqref="Q148:Q153">
    <cfRule type="cellIs" dxfId="11894" priority="2115" operator="lessThan">
      <formula>0</formula>
    </cfRule>
  </conditionalFormatting>
  <conditionalFormatting sqref="R148:R153">
    <cfRule type="cellIs" dxfId="11893" priority="2113" operator="lessThan">
      <formula>0.8</formula>
    </cfRule>
    <cfRule type="cellIs" dxfId="11892" priority="2114" operator="greaterThan">
      <formula>1</formula>
    </cfRule>
  </conditionalFormatting>
  <conditionalFormatting sqref="R148:R153">
    <cfRule type="cellIs" dxfId="11891" priority="2111" operator="greaterThan">
      <formula>1</formula>
    </cfRule>
    <cfRule type="cellIs" dxfId="11890" priority="2112" operator="lessThan">
      <formula>0.8</formula>
    </cfRule>
  </conditionalFormatting>
  <conditionalFormatting sqref="P148:P153">
    <cfRule type="cellIs" dxfId="11889" priority="2110" operator="greaterThan">
      <formula>0</formula>
    </cfRule>
  </conditionalFormatting>
  <conditionalFormatting sqref="Q148:Q153">
    <cfRule type="cellIs" dxfId="11888" priority="2109" operator="lessThan">
      <formula>0</formula>
    </cfRule>
  </conditionalFormatting>
  <conditionalFormatting sqref="R148:R153">
    <cfRule type="cellIs" dxfId="11887" priority="2107" operator="lessThan">
      <formula>0.8</formula>
    </cfRule>
    <cfRule type="cellIs" dxfId="11886" priority="2108" operator="greaterThan">
      <formula>1</formula>
    </cfRule>
  </conditionalFormatting>
  <conditionalFormatting sqref="R148:R153">
    <cfRule type="cellIs" dxfId="11885" priority="2105" operator="greaterThan">
      <formula>1</formula>
    </cfRule>
    <cfRule type="cellIs" dxfId="11884" priority="2106" operator="lessThan">
      <formula>0.8</formula>
    </cfRule>
  </conditionalFormatting>
  <conditionalFormatting sqref="P148:P153">
    <cfRule type="cellIs" dxfId="11883" priority="2104" operator="greaterThan">
      <formula>0</formula>
    </cfRule>
  </conditionalFormatting>
  <conditionalFormatting sqref="Q148:Q153">
    <cfRule type="cellIs" dxfId="11882" priority="2103" operator="lessThan">
      <formula>0</formula>
    </cfRule>
  </conditionalFormatting>
  <conditionalFormatting sqref="R148:R153">
    <cfRule type="cellIs" dxfId="11881" priority="2101" operator="lessThan">
      <formula>0.8</formula>
    </cfRule>
    <cfRule type="cellIs" dxfId="11880" priority="2102" operator="greaterThan">
      <formula>1</formula>
    </cfRule>
  </conditionalFormatting>
  <conditionalFormatting sqref="R148:R153">
    <cfRule type="cellIs" dxfId="11879" priority="2099" operator="greaterThan">
      <formula>1</formula>
    </cfRule>
    <cfRule type="cellIs" dxfId="11878" priority="2100" operator="lessThan">
      <formula>0.8</formula>
    </cfRule>
  </conditionalFormatting>
  <conditionalFormatting sqref="P148:P153">
    <cfRule type="cellIs" dxfId="11877" priority="2098" operator="greaterThan">
      <formula>0</formula>
    </cfRule>
  </conditionalFormatting>
  <conditionalFormatting sqref="P148:P153">
    <cfRule type="cellIs" dxfId="11876" priority="2092" operator="greaterThan">
      <formula>0</formula>
    </cfRule>
  </conditionalFormatting>
  <conditionalFormatting sqref="Q148:Q153">
    <cfRule type="cellIs" dxfId="11875" priority="2097" operator="lessThan">
      <formula>0</formula>
    </cfRule>
  </conditionalFormatting>
  <conditionalFormatting sqref="R148:R153">
    <cfRule type="cellIs" dxfId="11874" priority="2095" operator="lessThan">
      <formula>0.8</formula>
    </cfRule>
    <cfRule type="cellIs" dxfId="11873" priority="2096" operator="greaterThan">
      <formula>1</formula>
    </cfRule>
  </conditionalFormatting>
  <conditionalFormatting sqref="R148:R153">
    <cfRule type="cellIs" dxfId="11872" priority="2093" operator="greaterThan">
      <formula>1</formula>
    </cfRule>
    <cfRule type="cellIs" dxfId="11871" priority="2094" operator="lessThan">
      <formula>0.8</formula>
    </cfRule>
  </conditionalFormatting>
  <conditionalFormatting sqref="P148:P153">
    <cfRule type="cellIs" dxfId="11870" priority="2086" operator="greaterThan">
      <formula>0</formula>
    </cfRule>
  </conditionalFormatting>
  <conditionalFormatting sqref="Q148:Q153">
    <cfRule type="cellIs" dxfId="11869" priority="2091" operator="lessThan">
      <formula>0</formula>
    </cfRule>
  </conditionalFormatting>
  <conditionalFormatting sqref="R148:R153">
    <cfRule type="cellIs" dxfId="11868" priority="2089" operator="lessThan">
      <formula>0.8</formula>
    </cfRule>
    <cfRule type="cellIs" dxfId="11867" priority="2090" operator="greaterThan">
      <formula>1</formula>
    </cfRule>
  </conditionalFormatting>
  <conditionalFormatting sqref="R148:R153">
    <cfRule type="cellIs" dxfId="11866" priority="2087" operator="greaterThan">
      <formula>1</formula>
    </cfRule>
    <cfRule type="cellIs" dxfId="11865" priority="2088" operator="lessThan">
      <formula>0.8</formula>
    </cfRule>
  </conditionalFormatting>
  <conditionalFormatting sqref="R148:R153">
    <cfRule type="cellIs" dxfId="11864" priority="2083" operator="lessThan">
      <formula>0.8</formula>
    </cfRule>
    <cfRule type="cellIs" dxfId="11863" priority="2084" operator="greaterThan">
      <formula>1</formula>
    </cfRule>
  </conditionalFormatting>
  <conditionalFormatting sqref="R148:R153">
    <cfRule type="cellIs" dxfId="11862" priority="2081" operator="greaterThan">
      <formula>1</formula>
    </cfRule>
    <cfRule type="cellIs" dxfId="11861" priority="2082" operator="lessThan">
      <formula>0.8</formula>
    </cfRule>
  </conditionalFormatting>
  <conditionalFormatting sqref="P148:P153">
    <cfRule type="cellIs" dxfId="11860" priority="2080" operator="greaterThan">
      <formula>0</formula>
    </cfRule>
  </conditionalFormatting>
  <conditionalFormatting sqref="Q148:Q153">
    <cfRule type="cellIs" dxfId="11859" priority="2085" operator="lessThan">
      <formula>0</formula>
    </cfRule>
  </conditionalFormatting>
  <conditionalFormatting sqref="Q148:Q153">
    <cfRule type="cellIs" dxfId="11858" priority="2074" operator="lessThan">
      <formula>0</formula>
    </cfRule>
  </conditionalFormatting>
  <conditionalFormatting sqref="P148:P153">
    <cfRule type="cellIs" dxfId="11857" priority="2075" operator="greaterThan">
      <formula>0</formula>
    </cfRule>
  </conditionalFormatting>
  <conditionalFormatting sqref="R148:R153">
    <cfRule type="cellIs" dxfId="11856" priority="2078" operator="lessThan">
      <formula>0.8</formula>
    </cfRule>
    <cfRule type="cellIs" dxfId="11855" priority="2079" operator="greaterThan">
      <formula>1</formula>
    </cfRule>
  </conditionalFormatting>
  <conditionalFormatting sqref="R148:R153">
    <cfRule type="cellIs" dxfId="11854" priority="2076" operator="greaterThan">
      <formula>1</formula>
    </cfRule>
    <cfRule type="cellIs" dxfId="11853" priority="2077" operator="lessThan">
      <formula>0.8</formula>
    </cfRule>
  </conditionalFormatting>
  <conditionalFormatting sqref="Q148:Q153">
    <cfRule type="cellIs" dxfId="11852" priority="2068" operator="lessThan">
      <formula>0</formula>
    </cfRule>
  </conditionalFormatting>
  <conditionalFormatting sqref="R148:R153">
    <cfRule type="cellIs" dxfId="11851" priority="2072" operator="lessThan">
      <formula>0.8</formula>
    </cfRule>
    <cfRule type="cellIs" dxfId="11850" priority="2073" operator="greaterThan">
      <formula>1</formula>
    </cfRule>
  </conditionalFormatting>
  <conditionalFormatting sqref="R148:R153">
    <cfRule type="cellIs" dxfId="11849" priority="2070" operator="greaterThan">
      <formula>1</formula>
    </cfRule>
    <cfRule type="cellIs" dxfId="11848" priority="2071" operator="lessThan">
      <formula>0.8</formula>
    </cfRule>
  </conditionalFormatting>
  <conditionalFormatting sqref="P148:P153">
    <cfRule type="cellIs" dxfId="11847" priority="2069" operator="greaterThan">
      <formula>0</formula>
    </cfRule>
  </conditionalFormatting>
  <conditionalFormatting sqref="Q148:Q153">
    <cfRule type="cellIs" dxfId="11846" priority="2067" operator="lessThan">
      <formula>0</formula>
    </cfRule>
  </conditionalFormatting>
  <conditionalFormatting sqref="R148:R153">
    <cfRule type="cellIs" dxfId="11845" priority="2065" operator="lessThan">
      <formula>0.8</formula>
    </cfRule>
    <cfRule type="cellIs" dxfId="11844" priority="2066" operator="greaterThan">
      <formula>1</formula>
    </cfRule>
  </conditionalFormatting>
  <conditionalFormatting sqref="R148:R153">
    <cfRule type="cellIs" dxfId="11843" priority="2063" operator="greaterThan">
      <formula>1</formula>
    </cfRule>
    <cfRule type="cellIs" dxfId="11842" priority="2064" operator="lessThan">
      <formula>0.8</formula>
    </cfRule>
  </conditionalFormatting>
  <conditionalFormatting sqref="P148:P153">
    <cfRule type="cellIs" dxfId="11841" priority="2062" operator="greaterThan">
      <formula>0</formula>
    </cfRule>
  </conditionalFormatting>
  <conditionalFormatting sqref="Q148:Q153">
    <cfRule type="cellIs" dxfId="11840" priority="2061" operator="lessThan">
      <formula>0</formula>
    </cfRule>
  </conditionalFormatting>
  <conditionalFormatting sqref="R148:R153">
    <cfRule type="cellIs" dxfId="11839" priority="2059" operator="lessThan">
      <formula>0.8</formula>
    </cfRule>
    <cfRule type="cellIs" dxfId="11838" priority="2060" operator="greaterThan">
      <formula>1</formula>
    </cfRule>
  </conditionalFormatting>
  <conditionalFormatting sqref="R148:R153">
    <cfRule type="cellIs" dxfId="11837" priority="2057" operator="greaterThan">
      <formula>1</formula>
    </cfRule>
    <cfRule type="cellIs" dxfId="11836" priority="2058" operator="lessThan">
      <formula>0.8</formula>
    </cfRule>
  </conditionalFormatting>
  <conditionalFormatting sqref="P148:P153">
    <cfRule type="cellIs" dxfId="11835" priority="2056" operator="greaterThan">
      <formula>0</formula>
    </cfRule>
  </conditionalFormatting>
  <conditionalFormatting sqref="Q148:Q153">
    <cfRule type="cellIs" dxfId="11834" priority="2055" operator="lessThan">
      <formula>0</formula>
    </cfRule>
  </conditionalFormatting>
  <conditionalFormatting sqref="R148:R153">
    <cfRule type="cellIs" dxfId="11833" priority="2053" operator="lessThan">
      <formula>0.8</formula>
    </cfRule>
    <cfRule type="cellIs" dxfId="11832" priority="2054" operator="greaterThan">
      <formula>1</formula>
    </cfRule>
  </conditionalFormatting>
  <conditionalFormatting sqref="R148:R153">
    <cfRule type="cellIs" dxfId="11831" priority="2051" operator="greaterThan">
      <formula>1</formula>
    </cfRule>
    <cfRule type="cellIs" dxfId="11830" priority="2052" operator="lessThan">
      <formula>0.8</formula>
    </cfRule>
  </conditionalFormatting>
  <conditionalFormatting sqref="P148:P153">
    <cfRule type="cellIs" dxfId="11829" priority="2050" operator="greaterThan">
      <formula>0</formula>
    </cfRule>
  </conditionalFormatting>
  <conditionalFormatting sqref="Q148:Q153">
    <cfRule type="cellIs" dxfId="11828" priority="2049" operator="lessThan">
      <formula>0</formula>
    </cfRule>
  </conditionalFormatting>
  <conditionalFormatting sqref="R148:R153">
    <cfRule type="cellIs" dxfId="11827" priority="2047" operator="lessThan">
      <formula>0.8</formula>
    </cfRule>
    <cfRule type="cellIs" dxfId="11826" priority="2048" operator="greaterThan">
      <formula>1</formula>
    </cfRule>
  </conditionalFormatting>
  <conditionalFormatting sqref="R148:R153">
    <cfRule type="cellIs" dxfId="11825" priority="2045" operator="greaterThan">
      <formula>1</formula>
    </cfRule>
    <cfRule type="cellIs" dxfId="11824" priority="2046" operator="lessThan">
      <formula>0.8</formula>
    </cfRule>
  </conditionalFormatting>
  <conditionalFormatting sqref="P148:P153">
    <cfRule type="cellIs" dxfId="11823" priority="2044" operator="greaterThan">
      <formula>0</formula>
    </cfRule>
  </conditionalFormatting>
  <conditionalFormatting sqref="Q124 Q127 Q130">
    <cfRule type="cellIs" dxfId="11822" priority="2038" operator="lessThan">
      <formula>0</formula>
    </cfRule>
  </conditionalFormatting>
  <conditionalFormatting sqref="P124 P127 P130">
    <cfRule type="cellIs" dxfId="11821" priority="2039" operator="greaterThan">
      <formula>0</formula>
    </cfRule>
  </conditionalFormatting>
  <conditionalFormatting sqref="R124 R127 R130">
    <cfRule type="cellIs" dxfId="11820" priority="2042" operator="lessThan">
      <formula>0.8</formula>
    </cfRule>
    <cfRule type="cellIs" dxfId="11819" priority="2043" operator="greaterThan">
      <formula>1</formula>
    </cfRule>
  </conditionalFormatting>
  <conditionalFormatting sqref="R124 R127 R130">
    <cfRule type="cellIs" dxfId="11818" priority="2040" operator="greaterThan">
      <formula>1</formula>
    </cfRule>
    <cfRule type="cellIs" dxfId="11817" priority="2041" operator="lessThan">
      <formula>0.8</formula>
    </cfRule>
  </conditionalFormatting>
  <conditionalFormatting sqref="Q124 Q127 Q130">
    <cfRule type="cellIs" dxfId="11816" priority="2032" operator="lessThan">
      <formula>0</formula>
    </cfRule>
  </conditionalFormatting>
  <conditionalFormatting sqref="R124 R127 R130">
    <cfRule type="cellIs" dxfId="11815" priority="2036" operator="lessThan">
      <formula>0.8</formula>
    </cfRule>
    <cfRule type="cellIs" dxfId="11814" priority="2037" operator="greaterThan">
      <formula>1</formula>
    </cfRule>
  </conditionalFormatting>
  <conditionalFormatting sqref="R124 R127 R130">
    <cfRule type="cellIs" dxfId="11813" priority="2034" operator="greaterThan">
      <formula>1</formula>
    </cfRule>
    <cfRule type="cellIs" dxfId="11812" priority="2035" operator="lessThan">
      <formula>0.8</formula>
    </cfRule>
  </conditionalFormatting>
  <conditionalFormatting sqref="P124 P127 P130">
    <cfRule type="cellIs" dxfId="11811" priority="2033" operator="greaterThan">
      <formula>0</formula>
    </cfRule>
  </conditionalFormatting>
  <conditionalFormatting sqref="Q124 Q127 Q130">
    <cfRule type="cellIs" dxfId="11810" priority="2031" operator="lessThan">
      <formula>0</formula>
    </cfRule>
  </conditionalFormatting>
  <conditionalFormatting sqref="R124 R127 R130">
    <cfRule type="cellIs" dxfId="11809" priority="2029" operator="lessThan">
      <formula>0.8</formula>
    </cfRule>
    <cfRule type="cellIs" dxfId="11808" priority="2030" operator="greaterThan">
      <formula>1</formula>
    </cfRule>
  </conditionalFormatting>
  <conditionalFormatting sqref="R124 R127 R130">
    <cfRule type="cellIs" dxfId="11807" priority="2027" operator="greaterThan">
      <formula>1</formula>
    </cfRule>
    <cfRule type="cellIs" dxfId="11806" priority="2028" operator="lessThan">
      <formula>0.8</formula>
    </cfRule>
  </conditionalFormatting>
  <conditionalFormatting sqref="P124 P127 P130">
    <cfRule type="cellIs" dxfId="11805" priority="2026" operator="greaterThan">
      <formula>0</formula>
    </cfRule>
  </conditionalFormatting>
  <conditionalFormatting sqref="Q124 Q127 Q130">
    <cfRule type="cellIs" dxfId="11804" priority="2025" operator="lessThan">
      <formula>0</formula>
    </cfRule>
  </conditionalFormatting>
  <conditionalFormatting sqref="R124 R127 R130">
    <cfRule type="cellIs" dxfId="11803" priority="2023" operator="lessThan">
      <formula>0.8</formula>
    </cfRule>
    <cfRule type="cellIs" dxfId="11802" priority="2024" operator="greaterThan">
      <formula>1</formula>
    </cfRule>
  </conditionalFormatting>
  <conditionalFormatting sqref="R124 R127 R130">
    <cfRule type="cellIs" dxfId="11801" priority="2021" operator="greaterThan">
      <formula>1</formula>
    </cfRule>
    <cfRule type="cellIs" dxfId="11800" priority="2022" operator="lessThan">
      <formula>0.8</formula>
    </cfRule>
  </conditionalFormatting>
  <conditionalFormatting sqref="P124 P127 P130">
    <cfRule type="cellIs" dxfId="11799" priority="2020" operator="greaterThan">
      <formula>0</formula>
    </cfRule>
  </conditionalFormatting>
  <conditionalFormatting sqref="Q124 Q127 Q130">
    <cfRule type="cellIs" dxfId="11798" priority="2019" operator="lessThan">
      <formula>0</formula>
    </cfRule>
  </conditionalFormatting>
  <conditionalFormatting sqref="R124 R127 R130">
    <cfRule type="cellIs" dxfId="11797" priority="2017" operator="lessThan">
      <formula>0.8</formula>
    </cfRule>
    <cfRule type="cellIs" dxfId="11796" priority="2018" operator="greaterThan">
      <formula>1</formula>
    </cfRule>
  </conditionalFormatting>
  <conditionalFormatting sqref="R124 R127 R130">
    <cfRule type="cellIs" dxfId="11795" priority="2015" operator="greaterThan">
      <formula>1</formula>
    </cfRule>
    <cfRule type="cellIs" dxfId="11794" priority="2016" operator="lessThan">
      <formula>0.8</formula>
    </cfRule>
  </conditionalFormatting>
  <conditionalFormatting sqref="P124 P127 P130">
    <cfRule type="cellIs" dxfId="11793" priority="2014" operator="greaterThan">
      <formula>0</formula>
    </cfRule>
  </conditionalFormatting>
  <conditionalFormatting sqref="Q124 Q127 Q130">
    <cfRule type="cellIs" dxfId="11792" priority="2013" operator="lessThan">
      <formula>0</formula>
    </cfRule>
  </conditionalFormatting>
  <conditionalFormatting sqref="R124 R127 R130">
    <cfRule type="cellIs" dxfId="11791" priority="2011" operator="lessThan">
      <formula>0.8</formula>
    </cfRule>
    <cfRule type="cellIs" dxfId="11790" priority="2012" operator="greaterThan">
      <formula>1</formula>
    </cfRule>
  </conditionalFormatting>
  <conditionalFormatting sqref="R124 R127 R130">
    <cfRule type="cellIs" dxfId="11789" priority="2009" operator="greaterThan">
      <formula>1</formula>
    </cfRule>
    <cfRule type="cellIs" dxfId="11788" priority="2010" operator="lessThan">
      <formula>0.8</formula>
    </cfRule>
  </conditionalFormatting>
  <conditionalFormatting sqref="P124 P127 P130">
    <cfRule type="cellIs" dxfId="11787" priority="2008" operator="greaterThan">
      <formula>0</formula>
    </cfRule>
  </conditionalFormatting>
  <conditionalFormatting sqref="Q124 Q127 Q130">
    <cfRule type="cellIs" dxfId="11786" priority="2007" operator="lessThan">
      <formula>0</formula>
    </cfRule>
  </conditionalFormatting>
  <conditionalFormatting sqref="R124 R127 R130">
    <cfRule type="cellIs" dxfId="11785" priority="2005" operator="lessThan">
      <formula>0.8</formula>
    </cfRule>
    <cfRule type="cellIs" dxfId="11784" priority="2006" operator="greaterThan">
      <formula>1</formula>
    </cfRule>
  </conditionalFormatting>
  <conditionalFormatting sqref="R124 R127 R130">
    <cfRule type="cellIs" dxfId="11783" priority="2003" operator="greaterThan">
      <formula>1</formula>
    </cfRule>
    <cfRule type="cellIs" dxfId="11782" priority="2004" operator="lessThan">
      <formula>0.8</formula>
    </cfRule>
  </conditionalFormatting>
  <conditionalFormatting sqref="P124 P127 P130">
    <cfRule type="cellIs" dxfId="11781" priority="2002" operator="greaterThan">
      <formula>0</formula>
    </cfRule>
  </conditionalFormatting>
  <conditionalFormatting sqref="Q124 Q127 Q130">
    <cfRule type="cellIs" dxfId="11780" priority="2001" operator="lessThan">
      <formula>0</formula>
    </cfRule>
  </conditionalFormatting>
  <conditionalFormatting sqref="R124 R127 R130">
    <cfRule type="cellIs" dxfId="11779" priority="1999" operator="lessThan">
      <formula>0.8</formula>
    </cfRule>
    <cfRule type="cellIs" dxfId="11778" priority="2000" operator="greaterThan">
      <formula>1</formula>
    </cfRule>
  </conditionalFormatting>
  <conditionalFormatting sqref="R124 R127 R130">
    <cfRule type="cellIs" dxfId="11777" priority="1997" operator="greaterThan">
      <formula>1</formula>
    </cfRule>
    <cfRule type="cellIs" dxfId="11776" priority="1998" operator="lessThan">
      <formula>0.8</formula>
    </cfRule>
  </conditionalFormatting>
  <conditionalFormatting sqref="P124 P127 P130">
    <cfRule type="cellIs" dxfId="11775" priority="1996" operator="greaterThan">
      <formula>0</formula>
    </cfRule>
  </conditionalFormatting>
  <conditionalFormatting sqref="Q124 Q127 Q130">
    <cfRule type="cellIs" dxfId="11774" priority="1995" operator="lessThan">
      <formula>0</formula>
    </cfRule>
  </conditionalFormatting>
  <conditionalFormatting sqref="R124 R127 R130">
    <cfRule type="cellIs" dxfId="11773" priority="1993" operator="lessThan">
      <formula>0.8</formula>
    </cfRule>
    <cfRule type="cellIs" dxfId="11772" priority="1994" operator="greaterThan">
      <formula>1</formula>
    </cfRule>
  </conditionalFormatting>
  <conditionalFormatting sqref="R124 R127 R130">
    <cfRule type="cellIs" dxfId="11771" priority="1991" operator="greaterThan">
      <formula>1</formula>
    </cfRule>
    <cfRule type="cellIs" dxfId="11770" priority="1992" operator="lessThan">
      <formula>0.8</formula>
    </cfRule>
  </conditionalFormatting>
  <conditionalFormatting sqref="P124 P127 P130">
    <cfRule type="cellIs" dxfId="11769" priority="1990" operator="greaterThan">
      <formula>0</formula>
    </cfRule>
  </conditionalFormatting>
  <conditionalFormatting sqref="P124 P127 P130">
    <cfRule type="cellIs" dxfId="11768" priority="1984" operator="greaterThan">
      <formula>0</formula>
    </cfRule>
  </conditionalFormatting>
  <conditionalFormatting sqref="Q124 Q127 Q130">
    <cfRule type="cellIs" dxfId="11767" priority="1989" operator="lessThan">
      <formula>0</formula>
    </cfRule>
  </conditionalFormatting>
  <conditionalFormatting sqref="R124 R127 R130">
    <cfRule type="cellIs" dxfId="11766" priority="1987" operator="lessThan">
      <formula>0.8</formula>
    </cfRule>
    <cfRule type="cellIs" dxfId="11765" priority="1988" operator="greaterThan">
      <formula>1</formula>
    </cfRule>
  </conditionalFormatting>
  <conditionalFormatting sqref="R124 R127 R130">
    <cfRule type="cellIs" dxfId="11764" priority="1985" operator="greaterThan">
      <formula>1</formula>
    </cfRule>
    <cfRule type="cellIs" dxfId="11763" priority="1986" operator="lessThan">
      <formula>0.8</formula>
    </cfRule>
  </conditionalFormatting>
  <conditionalFormatting sqref="P124 P127 P130">
    <cfRule type="cellIs" dxfId="11762" priority="1978" operator="greaterThan">
      <formula>0</formula>
    </cfRule>
  </conditionalFormatting>
  <conditionalFormatting sqref="Q124 Q127 Q130">
    <cfRule type="cellIs" dxfId="11761" priority="1983" operator="lessThan">
      <formula>0</formula>
    </cfRule>
  </conditionalFormatting>
  <conditionalFormatting sqref="R124 R127 R130">
    <cfRule type="cellIs" dxfId="11760" priority="1981" operator="lessThan">
      <formula>0.8</formula>
    </cfRule>
    <cfRule type="cellIs" dxfId="11759" priority="1982" operator="greaterThan">
      <formula>1</formula>
    </cfRule>
  </conditionalFormatting>
  <conditionalFormatting sqref="R124 R127 R130">
    <cfRule type="cellIs" dxfId="11758" priority="1979" operator="greaterThan">
      <formula>1</formula>
    </cfRule>
    <cfRule type="cellIs" dxfId="11757" priority="1980" operator="lessThan">
      <formula>0.8</formula>
    </cfRule>
  </conditionalFormatting>
  <conditionalFormatting sqref="R124 R127 R130">
    <cfRule type="cellIs" dxfId="11756" priority="1975" operator="lessThan">
      <formula>0.8</formula>
    </cfRule>
    <cfRule type="cellIs" dxfId="11755" priority="1976" operator="greaterThan">
      <formula>1</formula>
    </cfRule>
  </conditionalFormatting>
  <conditionalFormatting sqref="R124 R127 R130">
    <cfRule type="cellIs" dxfId="11754" priority="1973" operator="greaterThan">
      <formula>1</formula>
    </cfRule>
    <cfRule type="cellIs" dxfId="11753" priority="1974" operator="lessThan">
      <formula>0.8</formula>
    </cfRule>
  </conditionalFormatting>
  <conditionalFormatting sqref="P124 P127 P130">
    <cfRule type="cellIs" dxfId="11752" priority="1972" operator="greaterThan">
      <formula>0</formula>
    </cfRule>
  </conditionalFormatting>
  <conditionalFormatting sqref="Q124 Q127 Q130">
    <cfRule type="cellIs" dxfId="11751" priority="1977" operator="lessThan">
      <formula>0</formula>
    </cfRule>
  </conditionalFormatting>
  <conditionalFormatting sqref="Q124 Q127 Q130">
    <cfRule type="cellIs" dxfId="11750" priority="1971" operator="lessThan">
      <formula>0</formula>
    </cfRule>
  </conditionalFormatting>
  <conditionalFormatting sqref="R124 R127 R130">
    <cfRule type="cellIs" dxfId="11749" priority="1969" operator="lessThan">
      <formula>0.8</formula>
    </cfRule>
    <cfRule type="cellIs" dxfId="11748" priority="1970" operator="greaterThan">
      <formula>1</formula>
    </cfRule>
  </conditionalFormatting>
  <conditionalFormatting sqref="R124 R127 R130">
    <cfRule type="cellIs" dxfId="11747" priority="1967" operator="greaterThan">
      <formula>1</formula>
    </cfRule>
    <cfRule type="cellIs" dxfId="11746" priority="1968" operator="lessThan">
      <formula>0.8</formula>
    </cfRule>
  </conditionalFormatting>
  <conditionalFormatting sqref="P124 P127 P130">
    <cfRule type="cellIs" dxfId="11745" priority="1966" operator="greaterThan">
      <formula>0</formula>
    </cfRule>
  </conditionalFormatting>
  <conditionalFormatting sqref="P124 P127 P130">
    <cfRule type="cellIs" dxfId="11744" priority="1960" operator="greaterThan">
      <formula>0</formula>
    </cfRule>
  </conditionalFormatting>
  <conditionalFormatting sqref="Q124 Q127 Q130">
    <cfRule type="cellIs" dxfId="11743" priority="1965" operator="lessThan">
      <formula>0</formula>
    </cfRule>
  </conditionalFormatting>
  <conditionalFormatting sqref="R124 R127 R130">
    <cfRule type="cellIs" dxfId="11742" priority="1963" operator="lessThan">
      <formula>0.8</formula>
    </cfRule>
    <cfRule type="cellIs" dxfId="11741" priority="1964" operator="greaterThan">
      <formula>1</formula>
    </cfRule>
  </conditionalFormatting>
  <conditionalFormatting sqref="R124 R127 R130">
    <cfRule type="cellIs" dxfId="11740" priority="1961" operator="greaterThan">
      <formula>1</formula>
    </cfRule>
    <cfRule type="cellIs" dxfId="11739" priority="1962" operator="lessThan">
      <formula>0.8</formula>
    </cfRule>
  </conditionalFormatting>
  <conditionalFormatting sqref="P124 P127 P130">
    <cfRule type="cellIs" dxfId="11738" priority="1954" operator="greaterThan">
      <formula>0</formula>
    </cfRule>
  </conditionalFormatting>
  <conditionalFormatting sqref="Q124 Q127 Q130">
    <cfRule type="cellIs" dxfId="11737" priority="1959" operator="lessThan">
      <formula>0</formula>
    </cfRule>
  </conditionalFormatting>
  <conditionalFormatting sqref="R124 R127 R130">
    <cfRule type="cellIs" dxfId="11736" priority="1957" operator="lessThan">
      <formula>0.8</formula>
    </cfRule>
    <cfRule type="cellIs" dxfId="11735" priority="1958" operator="greaterThan">
      <formula>1</formula>
    </cfRule>
  </conditionalFormatting>
  <conditionalFormatting sqref="R124 R127 R130">
    <cfRule type="cellIs" dxfId="11734" priority="1955" operator="greaterThan">
      <formula>1</formula>
    </cfRule>
    <cfRule type="cellIs" dxfId="11733" priority="1956" operator="lessThan">
      <formula>0.8</formula>
    </cfRule>
  </conditionalFormatting>
  <conditionalFormatting sqref="R124 R127 R130">
    <cfRule type="cellIs" dxfId="11732" priority="1951" operator="lessThan">
      <formula>0.8</formula>
    </cfRule>
    <cfRule type="cellIs" dxfId="11731" priority="1952" operator="greaterThan">
      <formula>1</formula>
    </cfRule>
  </conditionalFormatting>
  <conditionalFormatting sqref="R124 R127 R130">
    <cfRule type="cellIs" dxfId="11730" priority="1949" operator="greaterThan">
      <formula>1</formula>
    </cfRule>
    <cfRule type="cellIs" dxfId="11729" priority="1950" operator="lessThan">
      <formula>0.8</formula>
    </cfRule>
  </conditionalFormatting>
  <conditionalFormatting sqref="P124 P127 P130">
    <cfRule type="cellIs" dxfId="11728" priority="1948" operator="greaterThan">
      <formula>0</formula>
    </cfRule>
  </conditionalFormatting>
  <conditionalFormatting sqref="Q124 Q127 Q130">
    <cfRule type="cellIs" dxfId="11727" priority="1953" operator="lessThan">
      <formula>0</formula>
    </cfRule>
  </conditionalFormatting>
  <conditionalFormatting sqref="P124 P127 P130">
    <cfRule type="cellIs" dxfId="11726" priority="1942" operator="greaterThan">
      <formula>0</formula>
    </cfRule>
  </conditionalFormatting>
  <conditionalFormatting sqref="Q124 Q127 Q130">
    <cfRule type="cellIs" dxfId="11725" priority="1947" operator="lessThan">
      <formula>0</formula>
    </cfRule>
  </conditionalFormatting>
  <conditionalFormatting sqref="R124 R127 R130">
    <cfRule type="cellIs" dxfId="11724" priority="1945" operator="lessThan">
      <formula>0.8</formula>
    </cfRule>
    <cfRule type="cellIs" dxfId="11723" priority="1946" operator="greaterThan">
      <formula>1</formula>
    </cfRule>
  </conditionalFormatting>
  <conditionalFormatting sqref="R124 R127 R130">
    <cfRule type="cellIs" dxfId="11722" priority="1943" operator="greaterThan">
      <formula>1</formula>
    </cfRule>
    <cfRule type="cellIs" dxfId="11721" priority="1944" operator="lessThan">
      <formula>0.8</formula>
    </cfRule>
  </conditionalFormatting>
  <conditionalFormatting sqref="R124 R127 R130">
    <cfRule type="cellIs" dxfId="11720" priority="1939" operator="lessThan">
      <formula>0.8</formula>
    </cfRule>
    <cfRule type="cellIs" dxfId="11719" priority="1940" operator="greaterThan">
      <formula>1</formula>
    </cfRule>
  </conditionalFormatting>
  <conditionalFormatting sqref="R124 R127 R130">
    <cfRule type="cellIs" dxfId="11718" priority="1937" operator="greaterThan">
      <formula>1</formula>
    </cfRule>
    <cfRule type="cellIs" dxfId="11717" priority="1938" operator="lessThan">
      <formula>0.8</formula>
    </cfRule>
  </conditionalFormatting>
  <conditionalFormatting sqref="P124 P127 P130">
    <cfRule type="cellIs" dxfId="11716" priority="1936" operator="greaterThan">
      <formula>0</formula>
    </cfRule>
  </conditionalFormatting>
  <conditionalFormatting sqref="Q124 Q127 Q130">
    <cfRule type="cellIs" dxfId="11715" priority="1941" operator="lessThan">
      <formula>0</formula>
    </cfRule>
  </conditionalFormatting>
  <conditionalFormatting sqref="R124 R127 R130">
    <cfRule type="cellIs" dxfId="11714" priority="1933" operator="lessThan">
      <formula>0.8</formula>
    </cfRule>
    <cfRule type="cellIs" dxfId="11713" priority="1934" operator="greaterThan">
      <formula>1</formula>
    </cfRule>
  </conditionalFormatting>
  <conditionalFormatting sqref="R124 R127 R130">
    <cfRule type="cellIs" dxfId="11712" priority="1931" operator="greaterThan">
      <formula>1</formula>
    </cfRule>
    <cfRule type="cellIs" dxfId="11711" priority="1932" operator="lessThan">
      <formula>0.8</formula>
    </cfRule>
  </conditionalFormatting>
  <conditionalFormatting sqref="P124 P127 P130">
    <cfRule type="cellIs" dxfId="11710" priority="1930" operator="greaterThan">
      <formula>0</formula>
    </cfRule>
  </conditionalFormatting>
  <conditionalFormatting sqref="Q124 Q127 Q130">
    <cfRule type="cellIs" dxfId="11709" priority="1935" operator="lessThan">
      <formula>0</formula>
    </cfRule>
  </conditionalFormatting>
  <conditionalFormatting sqref="Q124 Q127 Q130">
    <cfRule type="cellIs" dxfId="11708" priority="1929" operator="lessThan">
      <formula>0</formula>
    </cfRule>
  </conditionalFormatting>
  <conditionalFormatting sqref="R124 R127 R130">
    <cfRule type="cellIs" dxfId="11707" priority="1927" operator="lessThan">
      <formula>0.8</formula>
    </cfRule>
    <cfRule type="cellIs" dxfId="11706" priority="1928" operator="greaterThan">
      <formula>1</formula>
    </cfRule>
  </conditionalFormatting>
  <conditionalFormatting sqref="R124 R127 R130">
    <cfRule type="cellIs" dxfId="11705" priority="1925" operator="greaterThan">
      <formula>1</formula>
    </cfRule>
    <cfRule type="cellIs" dxfId="11704" priority="1926" operator="lessThan">
      <formula>0.8</formula>
    </cfRule>
  </conditionalFormatting>
  <conditionalFormatting sqref="P124 P127 P130">
    <cfRule type="cellIs" dxfId="11703" priority="1924" operator="greaterThan">
      <formula>0</formula>
    </cfRule>
  </conditionalFormatting>
  <conditionalFormatting sqref="Q124 Q127 Q130">
    <cfRule type="cellIs" dxfId="11702" priority="1918" operator="lessThan">
      <formula>0</formula>
    </cfRule>
  </conditionalFormatting>
  <conditionalFormatting sqref="R124 R127 R130">
    <cfRule type="cellIs" dxfId="11701" priority="1922" operator="lessThan">
      <formula>0.8</formula>
    </cfRule>
    <cfRule type="cellIs" dxfId="11700" priority="1923" operator="greaterThan">
      <formula>1</formula>
    </cfRule>
  </conditionalFormatting>
  <conditionalFormatting sqref="R124 R127 R130">
    <cfRule type="cellIs" dxfId="11699" priority="1920" operator="greaterThan">
      <formula>1</formula>
    </cfRule>
    <cfRule type="cellIs" dxfId="11698" priority="1921" operator="lessThan">
      <formula>0.8</formula>
    </cfRule>
  </conditionalFormatting>
  <conditionalFormatting sqref="P124 P127 P130">
    <cfRule type="cellIs" dxfId="11697" priority="1919" operator="greaterThan">
      <formula>0</formula>
    </cfRule>
  </conditionalFormatting>
  <conditionalFormatting sqref="Q124 Q127 Q130">
    <cfRule type="cellIs" dxfId="11696" priority="1917" operator="lessThan">
      <formula>0</formula>
    </cfRule>
  </conditionalFormatting>
  <conditionalFormatting sqref="R124 R127 R130">
    <cfRule type="cellIs" dxfId="11695" priority="1915" operator="lessThan">
      <formula>0.8</formula>
    </cfRule>
    <cfRule type="cellIs" dxfId="11694" priority="1916" operator="greaterThan">
      <formula>1</formula>
    </cfRule>
  </conditionalFormatting>
  <conditionalFormatting sqref="R124 R127 R130">
    <cfRule type="cellIs" dxfId="11693" priority="1913" operator="greaterThan">
      <formula>1</formula>
    </cfRule>
    <cfRule type="cellIs" dxfId="11692" priority="1914" operator="lessThan">
      <formula>0.8</formula>
    </cfRule>
  </conditionalFormatting>
  <conditionalFormatting sqref="P124 P127 P130">
    <cfRule type="cellIs" dxfId="11691" priority="1912" operator="greaterThan">
      <formula>0</formula>
    </cfRule>
  </conditionalFormatting>
  <conditionalFormatting sqref="Q124 Q127 Q130">
    <cfRule type="cellIs" dxfId="11690" priority="1911" operator="lessThan">
      <formula>0</formula>
    </cfRule>
  </conditionalFormatting>
  <conditionalFormatting sqref="R124 R127 R130">
    <cfRule type="cellIs" dxfId="11689" priority="1909" operator="lessThan">
      <formula>0.8</formula>
    </cfRule>
    <cfRule type="cellIs" dxfId="11688" priority="1910" operator="greaterThan">
      <formula>1</formula>
    </cfRule>
  </conditionalFormatting>
  <conditionalFormatting sqref="R124 R127 R130">
    <cfRule type="cellIs" dxfId="11687" priority="1907" operator="greaterThan">
      <formula>1</formula>
    </cfRule>
    <cfRule type="cellIs" dxfId="11686" priority="1908" operator="lessThan">
      <formula>0.8</formula>
    </cfRule>
  </conditionalFormatting>
  <conditionalFormatting sqref="P124 P127 P130">
    <cfRule type="cellIs" dxfId="11685" priority="1906" operator="greaterThan">
      <formula>0</formula>
    </cfRule>
  </conditionalFormatting>
  <conditionalFormatting sqref="Q124 Q127 Q130">
    <cfRule type="cellIs" dxfId="11684" priority="1905" operator="lessThan">
      <formula>0</formula>
    </cfRule>
  </conditionalFormatting>
  <conditionalFormatting sqref="R124 R127 R130">
    <cfRule type="cellIs" dxfId="11683" priority="1903" operator="lessThan">
      <formula>0.8</formula>
    </cfRule>
    <cfRule type="cellIs" dxfId="11682" priority="1904" operator="greaterThan">
      <formula>1</formula>
    </cfRule>
  </conditionalFormatting>
  <conditionalFormatting sqref="R124 R127 R130">
    <cfRule type="cellIs" dxfId="11681" priority="1901" operator="greaterThan">
      <formula>1</formula>
    </cfRule>
    <cfRule type="cellIs" dxfId="11680" priority="1902" operator="lessThan">
      <formula>0.8</formula>
    </cfRule>
  </conditionalFormatting>
  <conditionalFormatting sqref="P124 P127 P130">
    <cfRule type="cellIs" dxfId="11679" priority="1900" operator="greaterThan">
      <formula>0</formula>
    </cfRule>
  </conditionalFormatting>
  <conditionalFormatting sqref="Q124 Q127 Q130">
    <cfRule type="cellIs" dxfId="11678" priority="1899" operator="lessThan">
      <formula>0</formula>
    </cfRule>
  </conditionalFormatting>
  <conditionalFormatting sqref="R124 R127 R130">
    <cfRule type="cellIs" dxfId="11677" priority="1897" operator="lessThan">
      <formula>0.8</formula>
    </cfRule>
    <cfRule type="cellIs" dxfId="11676" priority="1898" operator="greaterThan">
      <formula>1</formula>
    </cfRule>
  </conditionalFormatting>
  <conditionalFormatting sqref="R124 R127 R130">
    <cfRule type="cellIs" dxfId="11675" priority="1895" operator="greaterThan">
      <formula>1</formula>
    </cfRule>
    <cfRule type="cellIs" dxfId="11674" priority="1896" operator="lessThan">
      <formula>0.8</formula>
    </cfRule>
  </conditionalFormatting>
  <conditionalFormatting sqref="P124 P127 P130">
    <cfRule type="cellIs" dxfId="11673" priority="1894" operator="greaterThan">
      <formula>0</formula>
    </cfRule>
  </conditionalFormatting>
  <conditionalFormatting sqref="Q124 Q127 Q130">
    <cfRule type="cellIs" dxfId="11672" priority="1893" operator="lessThan">
      <formula>0</formula>
    </cfRule>
  </conditionalFormatting>
  <conditionalFormatting sqref="R124 R127 R130">
    <cfRule type="cellIs" dxfId="11671" priority="1891" operator="lessThan">
      <formula>0.8</formula>
    </cfRule>
    <cfRule type="cellIs" dxfId="11670" priority="1892" operator="greaterThan">
      <formula>1</formula>
    </cfRule>
  </conditionalFormatting>
  <conditionalFormatting sqref="R124 R127 R130">
    <cfRule type="cellIs" dxfId="11669" priority="1889" operator="greaterThan">
      <formula>1</formula>
    </cfRule>
    <cfRule type="cellIs" dxfId="11668" priority="1890" operator="lessThan">
      <formula>0.8</formula>
    </cfRule>
  </conditionalFormatting>
  <conditionalFormatting sqref="P124 P127 P130">
    <cfRule type="cellIs" dxfId="11667" priority="1888" operator="greaterThan">
      <formula>0</formula>
    </cfRule>
  </conditionalFormatting>
  <conditionalFormatting sqref="P124 P127 P130">
    <cfRule type="cellIs" dxfId="11666" priority="1882" operator="greaterThan">
      <formula>0</formula>
    </cfRule>
  </conditionalFormatting>
  <conditionalFormatting sqref="Q124 Q127 Q130">
    <cfRule type="cellIs" dxfId="11665" priority="1887" operator="lessThan">
      <formula>0</formula>
    </cfRule>
  </conditionalFormatting>
  <conditionalFormatting sqref="R124 R127 R130">
    <cfRule type="cellIs" dxfId="11664" priority="1885" operator="lessThan">
      <formula>0.8</formula>
    </cfRule>
    <cfRule type="cellIs" dxfId="11663" priority="1886" operator="greaterThan">
      <formula>1</formula>
    </cfRule>
  </conditionalFormatting>
  <conditionalFormatting sqref="R124 R127 R130">
    <cfRule type="cellIs" dxfId="11662" priority="1883" operator="greaterThan">
      <formula>1</formula>
    </cfRule>
    <cfRule type="cellIs" dxfId="11661" priority="1884" operator="lessThan">
      <formula>0.8</formula>
    </cfRule>
  </conditionalFormatting>
  <conditionalFormatting sqref="P124 P127 P130">
    <cfRule type="cellIs" dxfId="11660" priority="1876" operator="greaterThan">
      <formula>0</formula>
    </cfRule>
  </conditionalFormatting>
  <conditionalFormatting sqref="Q124 Q127 Q130">
    <cfRule type="cellIs" dxfId="11659" priority="1881" operator="lessThan">
      <formula>0</formula>
    </cfRule>
  </conditionalFormatting>
  <conditionalFormatting sqref="R124 R127 R130">
    <cfRule type="cellIs" dxfId="11658" priority="1879" operator="lessThan">
      <formula>0.8</formula>
    </cfRule>
    <cfRule type="cellIs" dxfId="11657" priority="1880" operator="greaterThan">
      <formula>1</formula>
    </cfRule>
  </conditionalFormatting>
  <conditionalFormatting sqref="R124 R127 R130">
    <cfRule type="cellIs" dxfId="11656" priority="1877" operator="greaterThan">
      <formula>1</formula>
    </cfRule>
    <cfRule type="cellIs" dxfId="11655" priority="1878" operator="lessThan">
      <formula>0.8</formula>
    </cfRule>
  </conditionalFormatting>
  <conditionalFormatting sqref="R124 R127 R130">
    <cfRule type="cellIs" dxfId="11654" priority="1873" operator="lessThan">
      <formula>0.8</formula>
    </cfRule>
    <cfRule type="cellIs" dxfId="11653" priority="1874" operator="greaterThan">
      <formula>1</formula>
    </cfRule>
  </conditionalFormatting>
  <conditionalFormatting sqref="R124 R127 R130">
    <cfRule type="cellIs" dxfId="11652" priority="1871" operator="greaterThan">
      <formula>1</formula>
    </cfRule>
    <cfRule type="cellIs" dxfId="11651" priority="1872" operator="lessThan">
      <formula>0.8</formula>
    </cfRule>
  </conditionalFormatting>
  <conditionalFormatting sqref="P124 P127 P130">
    <cfRule type="cellIs" dxfId="11650" priority="1870" operator="greaterThan">
      <formula>0</formula>
    </cfRule>
  </conditionalFormatting>
  <conditionalFormatting sqref="Q124 Q127 Q130">
    <cfRule type="cellIs" dxfId="11649" priority="1875" operator="lessThan">
      <formula>0</formula>
    </cfRule>
  </conditionalFormatting>
  <conditionalFormatting sqref="Q5:Q14">
    <cfRule type="cellIs" dxfId="11648" priority="1869" operator="lessThan">
      <formula>0</formula>
    </cfRule>
  </conditionalFormatting>
  <conditionalFormatting sqref="R5:R14">
    <cfRule type="cellIs" dxfId="11647" priority="1867" operator="lessThan">
      <formula>0.8</formula>
    </cfRule>
    <cfRule type="cellIs" dxfId="11646" priority="1868" operator="greaterThan">
      <formula>1</formula>
    </cfRule>
  </conditionalFormatting>
  <conditionalFormatting sqref="R5:R14">
    <cfRule type="cellIs" dxfId="11645" priority="1865" operator="greaterThan">
      <formula>1</formula>
    </cfRule>
    <cfRule type="cellIs" dxfId="11644" priority="1866" operator="lessThan">
      <formula>0.8</formula>
    </cfRule>
  </conditionalFormatting>
  <conditionalFormatting sqref="P5:P14">
    <cfRule type="cellIs" dxfId="11643" priority="1864" operator="greaterThan">
      <formula>0</formula>
    </cfRule>
  </conditionalFormatting>
  <conditionalFormatting sqref="Q83">
    <cfRule type="cellIs" dxfId="11642" priority="1863" operator="lessThan">
      <formula>0</formula>
    </cfRule>
  </conditionalFormatting>
  <conditionalFormatting sqref="R83">
    <cfRule type="cellIs" dxfId="11641" priority="1861" operator="lessThan">
      <formula>0.8</formula>
    </cfRule>
    <cfRule type="cellIs" dxfId="11640" priority="1862" operator="greaterThan">
      <formula>1</formula>
    </cfRule>
  </conditionalFormatting>
  <conditionalFormatting sqref="R83">
    <cfRule type="cellIs" dxfId="11639" priority="1859" operator="greaterThan">
      <formula>1</formula>
    </cfRule>
    <cfRule type="cellIs" dxfId="11638" priority="1860" operator="lessThan">
      <formula>0.8</formula>
    </cfRule>
  </conditionalFormatting>
  <conditionalFormatting sqref="P83">
    <cfRule type="cellIs" dxfId="11637" priority="1858" operator="greaterThan">
      <formula>0</formula>
    </cfRule>
  </conditionalFormatting>
  <conditionalFormatting sqref="Q83">
    <cfRule type="cellIs" dxfId="11636" priority="1857" operator="lessThan">
      <formula>0</formula>
    </cfRule>
  </conditionalFormatting>
  <conditionalFormatting sqref="R83">
    <cfRule type="cellIs" dxfId="11635" priority="1855" operator="lessThan">
      <formula>0.8</formula>
    </cfRule>
    <cfRule type="cellIs" dxfId="11634" priority="1856" operator="greaterThan">
      <formula>1</formula>
    </cfRule>
  </conditionalFormatting>
  <conditionalFormatting sqref="R83">
    <cfRule type="cellIs" dxfId="11633" priority="1853" operator="greaterThan">
      <formula>1</formula>
    </cfRule>
    <cfRule type="cellIs" dxfId="11632" priority="1854" operator="lessThan">
      <formula>0.8</formula>
    </cfRule>
  </conditionalFormatting>
  <conditionalFormatting sqref="P83">
    <cfRule type="cellIs" dxfId="11631" priority="1852" operator="greaterThan">
      <formula>0</formula>
    </cfRule>
  </conditionalFormatting>
  <conditionalFormatting sqref="Q83">
    <cfRule type="cellIs" dxfId="11630" priority="1851" operator="lessThan">
      <formula>0</formula>
    </cfRule>
  </conditionalFormatting>
  <conditionalFormatting sqref="R83">
    <cfRule type="cellIs" dxfId="11629" priority="1849" operator="lessThan">
      <formula>0.8</formula>
    </cfRule>
    <cfRule type="cellIs" dxfId="11628" priority="1850" operator="greaterThan">
      <formula>1</formula>
    </cfRule>
  </conditionalFormatting>
  <conditionalFormatting sqref="R83">
    <cfRule type="cellIs" dxfId="11627" priority="1847" operator="greaterThan">
      <formula>1</formula>
    </cfRule>
    <cfRule type="cellIs" dxfId="11626" priority="1848" operator="lessThan">
      <formula>0.8</formula>
    </cfRule>
  </conditionalFormatting>
  <conditionalFormatting sqref="P83">
    <cfRule type="cellIs" dxfId="11625" priority="1846" operator="greaterThan">
      <formula>0</formula>
    </cfRule>
  </conditionalFormatting>
  <conditionalFormatting sqref="Q83">
    <cfRule type="cellIs" dxfId="11624" priority="1845" operator="lessThan">
      <formula>0</formula>
    </cfRule>
  </conditionalFormatting>
  <conditionalFormatting sqref="R83">
    <cfRule type="cellIs" dxfId="11623" priority="1843" operator="lessThan">
      <formula>0.8</formula>
    </cfRule>
    <cfRule type="cellIs" dxfId="11622" priority="1844" operator="greaterThan">
      <formula>1</formula>
    </cfRule>
  </conditionalFormatting>
  <conditionalFormatting sqref="R83">
    <cfRule type="cellIs" dxfId="11621" priority="1841" operator="greaterThan">
      <formula>1</formula>
    </cfRule>
    <cfRule type="cellIs" dxfId="11620" priority="1842" operator="lessThan">
      <formula>0.8</formula>
    </cfRule>
  </conditionalFormatting>
  <conditionalFormatting sqref="P83">
    <cfRule type="cellIs" dxfId="11619" priority="1840" operator="greaterThan">
      <formula>0</formula>
    </cfRule>
  </conditionalFormatting>
  <conditionalFormatting sqref="P83">
    <cfRule type="cellIs" dxfId="11618" priority="1834" operator="greaterThan">
      <formula>0</formula>
    </cfRule>
  </conditionalFormatting>
  <conditionalFormatting sqref="Q83">
    <cfRule type="cellIs" dxfId="11617" priority="1839" operator="lessThan">
      <formula>0</formula>
    </cfRule>
  </conditionalFormatting>
  <conditionalFormatting sqref="R83">
    <cfRule type="cellIs" dxfId="11616" priority="1837" operator="lessThan">
      <formula>0.8</formula>
    </cfRule>
    <cfRule type="cellIs" dxfId="11615" priority="1838" operator="greaterThan">
      <formula>1</formula>
    </cfRule>
  </conditionalFormatting>
  <conditionalFormatting sqref="R83">
    <cfRule type="cellIs" dxfId="11614" priority="1835" operator="greaterThan">
      <formula>1</formula>
    </cfRule>
    <cfRule type="cellIs" dxfId="11613" priority="1836" operator="lessThan">
      <formula>0.8</formula>
    </cfRule>
  </conditionalFormatting>
  <conditionalFormatting sqref="P83">
    <cfRule type="cellIs" dxfId="11612" priority="1828" operator="greaterThan">
      <formula>0</formula>
    </cfRule>
  </conditionalFormatting>
  <conditionalFormatting sqref="Q83">
    <cfRule type="cellIs" dxfId="11611" priority="1833" operator="lessThan">
      <formula>0</formula>
    </cfRule>
  </conditionalFormatting>
  <conditionalFormatting sqref="R83">
    <cfRule type="cellIs" dxfId="11610" priority="1831" operator="lessThan">
      <formula>0.8</formula>
    </cfRule>
    <cfRule type="cellIs" dxfId="11609" priority="1832" operator="greaterThan">
      <formula>1</formula>
    </cfRule>
  </conditionalFormatting>
  <conditionalFormatting sqref="R83">
    <cfRule type="cellIs" dxfId="11608" priority="1829" operator="greaterThan">
      <formula>1</formula>
    </cfRule>
    <cfRule type="cellIs" dxfId="11607" priority="1830" operator="lessThan">
      <formula>0.8</formula>
    </cfRule>
  </conditionalFormatting>
  <conditionalFormatting sqref="R83">
    <cfRule type="cellIs" dxfId="11606" priority="1825" operator="lessThan">
      <formula>0.8</formula>
    </cfRule>
    <cfRule type="cellIs" dxfId="11605" priority="1826" operator="greaterThan">
      <formula>1</formula>
    </cfRule>
  </conditionalFormatting>
  <conditionalFormatting sqref="R83">
    <cfRule type="cellIs" dxfId="11604" priority="1823" operator="greaterThan">
      <formula>1</formula>
    </cfRule>
    <cfRule type="cellIs" dxfId="11603" priority="1824" operator="lessThan">
      <formula>0.8</formula>
    </cfRule>
  </conditionalFormatting>
  <conditionalFormatting sqref="P83">
    <cfRule type="cellIs" dxfId="11602" priority="1822" operator="greaterThan">
      <formula>0</formula>
    </cfRule>
  </conditionalFormatting>
  <conditionalFormatting sqref="Q83">
    <cfRule type="cellIs" dxfId="11601" priority="1827" operator="lessThan">
      <formula>0</formula>
    </cfRule>
  </conditionalFormatting>
  <conditionalFormatting sqref="Q83">
    <cfRule type="cellIs" dxfId="11600" priority="1821" operator="lessThan">
      <formula>0</formula>
    </cfRule>
  </conditionalFormatting>
  <conditionalFormatting sqref="R83">
    <cfRule type="cellIs" dxfId="11599" priority="1819" operator="lessThan">
      <formula>0.8</formula>
    </cfRule>
    <cfRule type="cellIs" dxfId="11598" priority="1820" operator="greaterThan">
      <formula>1</formula>
    </cfRule>
  </conditionalFormatting>
  <conditionalFormatting sqref="R83">
    <cfRule type="cellIs" dxfId="11597" priority="1817" operator="greaterThan">
      <formula>1</formula>
    </cfRule>
    <cfRule type="cellIs" dxfId="11596" priority="1818" operator="lessThan">
      <formula>0.8</formula>
    </cfRule>
  </conditionalFormatting>
  <conditionalFormatting sqref="P83">
    <cfRule type="cellIs" dxfId="11595" priority="1816" operator="greaterThan">
      <formula>0</formula>
    </cfRule>
  </conditionalFormatting>
  <conditionalFormatting sqref="P83">
    <cfRule type="cellIs" dxfId="11594" priority="1810" operator="greaterThan">
      <formula>0</formula>
    </cfRule>
  </conditionalFormatting>
  <conditionalFormatting sqref="Q83">
    <cfRule type="cellIs" dxfId="11593" priority="1815" operator="lessThan">
      <formula>0</formula>
    </cfRule>
  </conditionalFormatting>
  <conditionalFormatting sqref="R83">
    <cfRule type="cellIs" dxfId="11592" priority="1813" operator="lessThan">
      <formula>0.8</formula>
    </cfRule>
    <cfRule type="cellIs" dxfId="11591" priority="1814" operator="greaterThan">
      <formula>1</formula>
    </cfRule>
  </conditionalFormatting>
  <conditionalFormatting sqref="R83">
    <cfRule type="cellIs" dxfId="11590" priority="1811" operator="greaterThan">
      <formula>1</formula>
    </cfRule>
    <cfRule type="cellIs" dxfId="11589" priority="1812" operator="lessThan">
      <formula>0.8</formula>
    </cfRule>
  </conditionalFormatting>
  <conditionalFormatting sqref="P83">
    <cfRule type="cellIs" dxfId="11588" priority="1804" operator="greaterThan">
      <formula>0</formula>
    </cfRule>
  </conditionalFormatting>
  <conditionalFormatting sqref="Q83">
    <cfRule type="cellIs" dxfId="11587" priority="1809" operator="lessThan">
      <formula>0</formula>
    </cfRule>
  </conditionalFormatting>
  <conditionalFormatting sqref="R83">
    <cfRule type="cellIs" dxfId="11586" priority="1807" operator="lessThan">
      <formula>0.8</formula>
    </cfRule>
    <cfRule type="cellIs" dxfId="11585" priority="1808" operator="greaterThan">
      <formula>1</formula>
    </cfRule>
  </conditionalFormatting>
  <conditionalFormatting sqref="R83">
    <cfRule type="cellIs" dxfId="11584" priority="1805" operator="greaterThan">
      <formula>1</formula>
    </cfRule>
    <cfRule type="cellIs" dxfId="11583" priority="1806" operator="lessThan">
      <formula>0.8</formula>
    </cfRule>
  </conditionalFormatting>
  <conditionalFormatting sqref="R83">
    <cfRule type="cellIs" dxfId="11582" priority="1801" operator="lessThan">
      <formula>0.8</formula>
    </cfRule>
    <cfRule type="cellIs" dxfId="11581" priority="1802" operator="greaterThan">
      <formula>1</formula>
    </cfRule>
  </conditionalFormatting>
  <conditionalFormatting sqref="R83">
    <cfRule type="cellIs" dxfId="11580" priority="1799" operator="greaterThan">
      <formula>1</formula>
    </cfRule>
    <cfRule type="cellIs" dxfId="11579" priority="1800" operator="lessThan">
      <formula>0.8</formula>
    </cfRule>
  </conditionalFormatting>
  <conditionalFormatting sqref="P83">
    <cfRule type="cellIs" dxfId="11578" priority="1798" operator="greaterThan">
      <formula>0</formula>
    </cfRule>
  </conditionalFormatting>
  <conditionalFormatting sqref="Q83">
    <cfRule type="cellIs" dxfId="11577" priority="1803" operator="lessThan">
      <formula>0</formula>
    </cfRule>
  </conditionalFormatting>
  <conditionalFormatting sqref="P83">
    <cfRule type="cellIs" dxfId="11576" priority="1792" operator="greaterThan">
      <formula>0</formula>
    </cfRule>
  </conditionalFormatting>
  <conditionalFormatting sqref="Q83">
    <cfRule type="cellIs" dxfId="11575" priority="1797" operator="lessThan">
      <formula>0</formula>
    </cfRule>
  </conditionalFormatting>
  <conditionalFormatting sqref="R83">
    <cfRule type="cellIs" dxfId="11574" priority="1795" operator="lessThan">
      <formula>0.8</formula>
    </cfRule>
    <cfRule type="cellIs" dxfId="11573" priority="1796" operator="greaterThan">
      <formula>1</formula>
    </cfRule>
  </conditionalFormatting>
  <conditionalFormatting sqref="R83">
    <cfRule type="cellIs" dxfId="11572" priority="1793" operator="greaterThan">
      <formula>1</formula>
    </cfRule>
    <cfRule type="cellIs" dxfId="11571" priority="1794" operator="lessThan">
      <formula>0.8</formula>
    </cfRule>
  </conditionalFormatting>
  <conditionalFormatting sqref="R83">
    <cfRule type="cellIs" dxfId="11570" priority="1789" operator="lessThan">
      <formula>0.8</formula>
    </cfRule>
    <cfRule type="cellIs" dxfId="11569" priority="1790" operator="greaterThan">
      <formula>1</formula>
    </cfRule>
  </conditionalFormatting>
  <conditionalFormatting sqref="R83">
    <cfRule type="cellIs" dxfId="11568" priority="1787" operator="greaterThan">
      <formula>1</formula>
    </cfRule>
    <cfRule type="cellIs" dxfId="11567" priority="1788" operator="lessThan">
      <formula>0.8</formula>
    </cfRule>
  </conditionalFormatting>
  <conditionalFormatting sqref="P83">
    <cfRule type="cellIs" dxfId="11566" priority="1786" operator="greaterThan">
      <formula>0</formula>
    </cfRule>
  </conditionalFormatting>
  <conditionalFormatting sqref="Q83">
    <cfRule type="cellIs" dxfId="11565" priority="1791" operator="lessThan">
      <formula>0</formula>
    </cfRule>
  </conditionalFormatting>
  <conditionalFormatting sqref="R83">
    <cfRule type="cellIs" dxfId="11564" priority="1783" operator="lessThan">
      <formula>0.8</formula>
    </cfRule>
    <cfRule type="cellIs" dxfId="11563" priority="1784" operator="greaterThan">
      <formula>1</formula>
    </cfRule>
  </conditionalFormatting>
  <conditionalFormatting sqref="R83">
    <cfRule type="cellIs" dxfId="11562" priority="1781" operator="greaterThan">
      <formula>1</formula>
    </cfRule>
    <cfRule type="cellIs" dxfId="11561" priority="1782" operator="lessThan">
      <formula>0.8</formula>
    </cfRule>
  </conditionalFormatting>
  <conditionalFormatting sqref="P83">
    <cfRule type="cellIs" dxfId="11560" priority="1780" operator="greaterThan">
      <formula>0</formula>
    </cfRule>
  </conditionalFormatting>
  <conditionalFormatting sqref="Q83">
    <cfRule type="cellIs" dxfId="11559" priority="1785" operator="lessThan">
      <formula>0</formula>
    </cfRule>
  </conditionalFormatting>
  <conditionalFormatting sqref="Q83">
    <cfRule type="cellIs" dxfId="11558" priority="1779" operator="lessThan">
      <formula>0</formula>
    </cfRule>
  </conditionalFormatting>
  <conditionalFormatting sqref="R83">
    <cfRule type="cellIs" dxfId="11557" priority="1777" operator="lessThan">
      <formula>0.8</formula>
    </cfRule>
    <cfRule type="cellIs" dxfId="11556" priority="1778" operator="greaterThan">
      <formula>1</formula>
    </cfRule>
  </conditionalFormatting>
  <conditionalFormatting sqref="R83">
    <cfRule type="cellIs" dxfId="11555" priority="1775" operator="greaterThan">
      <formula>1</formula>
    </cfRule>
    <cfRule type="cellIs" dxfId="11554" priority="1776" operator="lessThan">
      <formula>0.8</formula>
    </cfRule>
  </conditionalFormatting>
  <conditionalFormatting sqref="P83">
    <cfRule type="cellIs" dxfId="11553" priority="1774" operator="greaterThan">
      <formula>0</formula>
    </cfRule>
  </conditionalFormatting>
  <conditionalFormatting sqref="Q83">
    <cfRule type="cellIs" dxfId="11552" priority="1768" operator="lessThan">
      <formula>0</formula>
    </cfRule>
  </conditionalFormatting>
  <conditionalFormatting sqref="R83">
    <cfRule type="cellIs" dxfId="11551" priority="1772" operator="lessThan">
      <formula>0.8</formula>
    </cfRule>
    <cfRule type="cellIs" dxfId="11550" priority="1773" operator="greaterThan">
      <formula>1</formula>
    </cfRule>
  </conditionalFormatting>
  <conditionalFormatting sqref="R83">
    <cfRule type="cellIs" dxfId="11549" priority="1770" operator="greaterThan">
      <formula>1</formula>
    </cfRule>
    <cfRule type="cellIs" dxfId="11548" priority="1771" operator="lessThan">
      <formula>0.8</formula>
    </cfRule>
  </conditionalFormatting>
  <conditionalFormatting sqref="P83">
    <cfRule type="cellIs" dxfId="11547" priority="1769" operator="greaterThan">
      <formula>0</formula>
    </cfRule>
  </conditionalFormatting>
  <conditionalFormatting sqref="Q83">
    <cfRule type="cellIs" dxfId="11546" priority="1767" operator="lessThan">
      <formula>0</formula>
    </cfRule>
  </conditionalFormatting>
  <conditionalFormatting sqref="R83">
    <cfRule type="cellIs" dxfId="11545" priority="1765" operator="lessThan">
      <formula>0.8</formula>
    </cfRule>
    <cfRule type="cellIs" dxfId="11544" priority="1766" operator="greaterThan">
      <formula>1</formula>
    </cfRule>
  </conditionalFormatting>
  <conditionalFormatting sqref="R83">
    <cfRule type="cellIs" dxfId="11543" priority="1763" operator="greaterThan">
      <formula>1</formula>
    </cfRule>
    <cfRule type="cellIs" dxfId="11542" priority="1764" operator="lessThan">
      <formula>0.8</formula>
    </cfRule>
  </conditionalFormatting>
  <conditionalFormatting sqref="P83">
    <cfRule type="cellIs" dxfId="11541" priority="1762" operator="greaterThan">
      <formula>0</formula>
    </cfRule>
  </conditionalFormatting>
  <conditionalFormatting sqref="Q83">
    <cfRule type="cellIs" dxfId="11540" priority="1761" operator="lessThan">
      <formula>0</formula>
    </cfRule>
  </conditionalFormatting>
  <conditionalFormatting sqref="R83">
    <cfRule type="cellIs" dxfId="11539" priority="1759" operator="lessThan">
      <formula>0.8</formula>
    </cfRule>
    <cfRule type="cellIs" dxfId="11538" priority="1760" operator="greaterThan">
      <formula>1</formula>
    </cfRule>
  </conditionalFormatting>
  <conditionalFormatting sqref="R83">
    <cfRule type="cellIs" dxfId="11537" priority="1757" operator="greaterThan">
      <formula>1</formula>
    </cfRule>
    <cfRule type="cellIs" dxfId="11536" priority="1758" operator="lessThan">
      <formula>0.8</formula>
    </cfRule>
  </conditionalFormatting>
  <conditionalFormatting sqref="P83">
    <cfRule type="cellIs" dxfId="11535" priority="1756" operator="greaterThan">
      <formula>0</formula>
    </cfRule>
  </conditionalFormatting>
  <conditionalFormatting sqref="Q83">
    <cfRule type="cellIs" dxfId="11534" priority="1755" operator="lessThan">
      <formula>0</formula>
    </cfRule>
  </conditionalFormatting>
  <conditionalFormatting sqref="R83">
    <cfRule type="cellIs" dxfId="11533" priority="1753" operator="lessThan">
      <formula>0.8</formula>
    </cfRule>
    <cfRule type="cellIs" dxfId="11532" priority="1754" operator="greaterThan">
      <formula>1</formula>
    </cfRule>
  </conditionalFormatting>
  <conditionalFormatting sqref="R83">
    <cfRule type="cellIs" dxfId="11531" priority="1751" operator="greaterThan">
      <formula>1</formula>
    </cfRule>
    <cfRule type="cellIs" dxfId="11530" priority="1752" operator="lessThan">
      <formula>0.8</formula>
    </cfRule>
  </conditionalFormatting>
  <conditionalFormatting sqref="P83">
    <cfRule type="cellIs" dxfId="11529" priority="1750" operator="greaterThan">
      <formula>0</formula>
    </cfRule>
  </conditionalFormatting>
  <conditionalFormatting sqref="Q83">
    <cfRule type="cellIs" dxfId="11528" priority="1749" operator="lessThan">
      <formula>0</formula>
    </cfRule>
  </conditionalFormatting>
  <conditionalFormatting sqref="R83">
    <cfRule type="cellIs" dxfId="11527" priority="1747" operator="lessThan">
      <formula>0.8</formula>
    </cfRule>
    <cfRule type="cellIs" dxfId="11526" priority="1748" operator="greaterThan">
      <formula>1</formula>
    </cfRule>
  </conditionalFormatting>
  <conditionalFormatting sqref="R83">
    <cfRule type="cellIs" dxfId="11525" priority="1745" operator="greaterThan">
      <formula>1</formula>
    </cfRule>
    <cfRule type="cellIs" dxfId="11524" priority="1746" operator="lessThan">
      <formula>0.8</formula>
    </cfRule>
  </conditionalFormatting>
  <conditionalFormatting sqref="P83">
    <cfRule type="cellIs" dxfId="11523" priority="1744" operator="greaterThan">
      <formula>0</formula>
    </cfRule>
  </conditionalFormatting>
  <conditionalFormatting sqref="Q83">
    <cfRule type="cellIs" dxfId="11522" priority="1743" operator="lessThan">
      <formula>0</formula>
    </cfRule>
  </conditionalFormatting>
  <conditionalFormatting sqref="R83">
    <cfRule type="cellIs" dxfId="11521" priority="1741" operator="lessThan">
      <formula>0.8</formula>
    </cfRule>
    <cfRule type="cellIs" dxfId="11520" priority="1742" operator="greaterThan">
      <formula>1</formula>
    </cfRule>
  </conditionalFormatting>
  <conditionalFormatting sqref="R83">
    <cfRule type="cellIs" dxfId="11519" priority="1739" operator="greaterThan">
      <formula>1</formula>
    </cfRule>
    <cfRule type="cellIs" dxfId="11518" priority="1740" operator="lessThan">
      <formula>0.8</formula>
    </cfRule>
  </conditionalFormatting>
  <conditionalFormatting sqref="P83">
    <cfRule type="cellIs" dxfId="11517" priority="1738" operator="greaterThan">
      <formula>0</formula>
    </cfRule>
  </conditionalFormatting>
  <conditionalFormatting sqref="P83">
    <cfRule type="cellIs" dxfId="11516" priority="1732" operator="greaterThan">
      <formula>0</formula>
    </cfRule>
  </conditionalFormatting>
  <conditionalFormatting sqref="Q83">
    <cfRule type="cellIs" dxfId="11515" priority="1737" operator="lessThan">
      <formula>0</formula>
    </cfRule>
  </conditionalFormatting>
  <conditionalFormatting sqref="R83">
    <cfRule type="cellIs" dxfId="11514" priority="1735" operator="lessThan">
      <formula>0.8</formula>
    </cfRule>
    <cfRule type="cellIs" dxfId="11513" priority="1736" operator="greaterThan">
      <formula>1</formula>
    </cfRule>
  </conditionalFormatting>
  <conditionalFormatting sqref="R83">
    <cfRule type="cellIs" dxfId="11512" priority="1733" operator="greaterThan">
      <formula>1</formula>
    </cfRule>
    <cfRule type="cellIs" dxfId="11511" priority="1734" operator="lessThan">
      <formula>0.8</formula>
    </cfRule>
  </conditionalFormatting>
  <conditionalFormatting sqref="P83">
    <cfRule type="cellIs" dxfId="11510" priority="1726" operator="greaterThan">
      <formula>0</formula>
    </cfRule>
  </conditionalFormatting>
  <conditionalFormatting sqref="Q83">
    <cfRule type="cellIs" dxfId="11509" priority="1731" operator="lessThan">
      <formula>0</formula>
    </cfRule>
  </conditionalFormatting>
  <conditionalFormatting sqref="R83">
    <cfRule type="cellIs" dxfId="11508" priority="1729" operator="lessThan">
      <formula>0.8</formula>
    </cfRule>
    <cfRule type="cellIs" dxfId="11507" priority="1730" operator="greaterThan">
      <formula>1</formula>
    </cfRule>
  </conditionalFormatting>
  <conditionalFormatting sqref="R83">
    <cfRule type="cellIs" dxfId="11506" priority="1727" operator="greaterThan">
      <formula>1</formula>
    </cfRule>
    <cfRule type="cellIs" dxfId="11505" priority="1728" operator="lessThan">
      <formula>0.8</formula>
    </cfRule>
  </conditionalFormatting>
  <conditionalFormatting sqref="R83">
    <cfRule type="cellIs" dxfId="11504" priority="1723" operator="lessThan">
      <formula>0.8</formula>
    </cfRule>
    <cfRule type="cellIs" dxfId="11503" priority="1724" operator="greaterThan">
      <formula>1</formula>
    </cfRule>
  </conditionalFormatting>
  <conditionalFormatting sqref="R83">
    <cfRule type="cellIs" dxfId="11502" priority="1721" operator="greaterThan">
      <formula>1</formula>
    </cfRule>
    <cfRule type="cellIs" dxfId="11501" priority="1722" operator="lessThan">
      <formula>0.8</formula>
    </cfRule>
  </conditionalFormatting>
  <conditionalFormatting sqref="P83">
    <cfRule type="cellIs" dxfId="11500" priority="1720" operator="greaterThan">
      <formula>0</formula>
    </cfRule>
  </conditionalFormatting>
  <conditionalFormatting sqref="Q83">
    <cfRule type="cellIs" dxfId="11499" priority="1725" operator="lessThan">
      <formula>0</formula>
    </cfRule>
  </conditionalFormatting>
  <conditionalFormatting sqref="Q83">
    <cfRule type="cellIs" dxfId="11498" priority="1714" operator="lessThan">
      <formula>0</formula>
    </cfRule>
  </conditionalFormatting>
  <conditionalFormatting sqref="P83">
    <cfRule type="cellIs" dxfId="11497" priority="1715" operator="greaterThan">
      <formula>0</formula>
    </cfRule>
  </conditionalFormatting>
  <conditionalFormatting sqref="R83">
    <cfRule type="cellIs" dxfId="11496" priority="1718" operator="lessThan">
      <formula>0.8</formula>
    </cfRule>
    <cfRule type="cellIs" dxfId="11495" priority="1719" operator="greaterThan">
      <formula>1</formula>
    </cfRule>
  </conditionalFormatting>
  <conditionalFormatting sqref="R83">
    <cfRule type="cellIs" dxfId="11494" priority="1716" operator="greaterThan">
      <formula>1</formula>
    </cfRule>
    <cfRule type="cellIs" dxfId="11493" priority="1717" operator="lessThan">
      <formula>0.8</formula>
    </cfRule>
  </conditionalFormatting>
  <conditionalFormatting sqref="Q83">
    <cfRule type="cellIs" dxfId="11492" priority="1708" operator="lessThan">
      <formula>0</formula>
    </cfRule>
  </conditionalFormatting>
  <conditionalFormatting sqref="R83">
    <cfRule type="cellIs" dxfId="11491" priority="1712" operator="lessThan">
      <formula>0.8</formula>
    </cfRule>
    <cfRule type="cellIs" dxfId="11490" priority="1713" operator="greaterThan">
      <formula>1</formula>
    </cfRule>
  </conditionalFormatting>
  <conditionalFormatting sqref="R83">
    <cfRule type="cellIs" dxfId="11489" priority="1710" operator="greaterThan">
      <formula>1</formula>
    </cfRule>
    <cfRule type="cellIs" dxfId="11488" priority="1711" operator="lessThan">
      <formula>0.8</formula>
    </cfRule>
  </conditionalFormatting>
  <conditionalFormatting sqref="P83">
    <cfRule type="cellIs" dxfId="11487" priority="1709" operator="greaterThan">
      <formula>0</formula>
    </cfRule>
  </conditionalFormatting>
  <conditionalFormatting sqref="Q83">
    <cfRule type="cellIs" dxfId="11486" priority="1707" operator="lessThan">
      <formula>0</formula>
    </cfRule>
  </conditionalFormatting>
  <conditionalFormatting sqref="R83">
    <cfRule type="cellIs" dxfId="11485" priority="1705" operator="lessThan">
      <formula>0.8</formula>
    </cfRule>
    <cfRule type="cellIs" dxfId="11484" priority="1706" operator="greaterThan">
      <formula>1</formula>
    </cfRule>
  </conditionalFormatting>
  <conditionalFormatting sqref="R83">
    <cfRule type="cellIs" dxfId="11483" priority="1703" operator="greaterThan">
      <formula>1</formula>
    </cfRule>
    <cfRule type="cellIs" dxfId="11482" priority="1704" operator="lessThan">
      <formula>0.8</formula>
    </cfRule>
  </conditionalFormatting>
  <conditionalFormatting sqref="P83">
    <cfRule type="cellIs" dxfId="11481" priority="1702" operator="greaterThan">
      <formula>0</formula>
    </cfRule>
  </conditionalFormatting>
  <conditionalFormatting sqref="Q83">
    <cfRule type="cellIs" dxfId="11480" priority="1701" operator="lessThan">
      <formula>0</formula>
    </cfRule>
  </conditionalFormatting>
  <conditionalFormatting sqref="R83">
    <cfRule type="cellIs" dxfId="11479" priority="1699" operator="lessThan">
      <formula>0.8</formula>
    </cfRule>
    <cfRule type="cellIs" dxfId="11478" priority="1700" operator="greaterThan">
      <formula>1</formula>
    </cfRule>
  </conditionalFormatting>
  <conditionalFormatting sqref="R83">
    <cfRule type="cellIs" dxfId="11477" priority="1697" operator="greaterThan">
      <formula>1</formula>
    </cfRule>
    <cfRule type="cellIs" dxfId="11476" priority="1698" operator="lessThan">
      <formula>0.8</formula>
    </cfRule>
  </conditionalFormatting>
  <conditionalFormatting sqref="P83">
    <cfRule type="cellIs" dxfId="11475" priority="1696" operator="greaterThan">
      <formula>0</formula>
    </cfRule>
  </conditionalFormatting>
  <conditionalFormatting sqref="Q83">
    <cfRule type="cellIs" dxfId="11474" priority="1695" operator="lessThan">
      <formula>0</formula>
    </cfRule>
  </conditionalFormatting>
  <conditionalFormatting sqref="R83">
    <cfRule type="cellIs" dxfId="11473" priority="1693" operator="lessThan">
      <formula>0.8</formula>
    </cfRule>
    <cfRule type="cellIs" dxfId="11472" priority="1694" operator="greaterThan">
      <formula>1</formula>
    </cfRule>
  </conditionalFormatting>
  <conditionalFormatting sqref="R83">
    <cfRule type="cellIs" dxfId="11471" priority="1691" operator="greaterThan">
      <formula>1</formula>
    </cfRule>
    <cfRule type="cellIs" dxfId="11470" priority="1692" operator="lessThan">
      <formula>0.8</formula>
    </cfRule>
  </conditionalFormatting>
  <conditionalFormatting sqref="P83">
    <cfRule type="cellIs" dxfId="11469" priority="1690" operator="greaterThan">
      <formula>0</formula>
    </cfRule>
  </conditionalFormatting>
  <conditionalFormatting sqref="Q32:Q39">
    <cfRule type="cellIs" dxfId="11468" priority="1684" operator="lessThan">
      <formula>0</formula>
    </cfRule>
  </conditionalFormatting>
  <conditionalFormatting sqref="P32:P39">
    <cfRule type="cellIs" dxfId="11467" priority="1685" operator="greaterThan">
      <formula>0</formula>
    </cfRule>
  </conditionalFormatting>
  <conditionalFormatting sqref="R32:R39">
    <cfRule type="cellIs" dxfId="11466" priority="1688" operator="lessThan">
      <formula>0.8</formula>
    </cfRule>
    <cfRule type="cellIs" dxfId="11465" priority="1689" operator="greaterThan">
      <formula>1</formula>
    </cfRule>
  </conditionalFormatting>
  <conditionalFormatting sqref="R32:R39">
    <cfRule type="cellIs" dxfId="11464" priority="1686" operator="greaterThan">
      <formula>1</formula>
    </cfRule>
    <cfRule type="cellIs" dxfId="11463" priority="1687" operator="lessThan">
      <formula>0.8</formula>
    </cfRule>
  </conditionalFormatting>
  <conditionalFormatting sqref="Q32:Q39">
    <cfRule type="cellIs" dxfId="11462" priority="1678" operator="lessThan">
      <formula>0</formula>
    </cfRule>
  </conditionalFormatting>
  <conditionalFormatting sqref="R32:R39">
    <cfRule type="cellIs" dxfId="11461" priority="1682" operator="lessThan">
      <formula>0.8</formula>
    </cfRule>
    <cfRule type="cellIs" dxfId="11460" priority="1683" operator="greaterThan">
      <formula>1</formula>
    </cfRule>
  </conditionalFormatting>
  <conditionalFormatting sqref="R32:R39">
    <cfRule type="cellIs" dxfId="11459" priority="1680" operator="greaterThan">
      <formula>1</formula>
    </cfRule>
    <cfRule type="cellIs" dxfId="11458" priority="1681" operator="lessThan">
      <formula>0.8</formula>
    </cfRule>
  </conditionalFormatting>
  <conditionalFormatting sqref="P32:P39">
    <cfRule type="cellIs" dxfId="11457" priority="1679" operator="greaterThan">
      <formula>0</formula>
    </cfRule>
  </conditionalFormatting>
  <conditionalFormatting sqref="Q32:Q39">
    <cfRule type="cellIs" dxfId="11456" priority="1677" operator="lessThan">
      <formula>0</formula>
    </cfRule>
  </conditionalFormatting>
  <conditionalFormatting sqref="R32:R39">
    <cfRule type="cellIs" dxfId="11455" priority="1675" operator="lessThan">
      <formula>0.8</formula>
    </cfRule>
    <cfRule type="cellIs" dxfId="11454" priority="1676" operator="greaterThan">
      <formula>1</formula>
    </cfRule>
  </conditionalFormatting>
  <conditionalFormatting sqref="R32:R39">
    <cfRule type="cellIs" dxfId="11453" priority="1673" operator="greaterThan">
      <formula>1</formula>
    </cfRule>
    <cfRule type="cellIs" dxfId="11452" priority="1674" operator="lessThan">
      <formula>0.8</formula>
    </cfRule>
  </conditionalFormatting>
  <conditionalFormatting sqref="P32:P39">
    <cfRule type="cellIs" dxfId="11451" priority="1672" operator="greaterThan">
      <formula>0</formula>
    </cfRule>
  </conditionalFormatting>
  <conditionalFormatting sqref="Q32:Q39">
    <cfRule type="cellIs" dxfId="11450" priority="1671" operator="lessThan">
      <formula>0</formula>
    </cfRule>
  </conditionalFormatting>
  <conditionalFormatting sqref="R32:R39">
    <cfRule type="cellIs" dxfId="11449" priority="1669" operator="lessThan">
      <formula>0.8</formula>
    </cfRule>
    <cfRule type="cellIs" dxfId="11448" priority="1670" operator="greaterThan">
      <formula>1</formula>
    </cfRule>
  </conditionalFormatting>
  <conditionalFormatting sqref="R32:R39">
    <cfRule type="cellIs" dxfId="11447" priority="1667" operator="greaterThan">
      <formula>1</formula>
    </cfRule>
    <cfRule type="cellIs" dxfId="11446" priority="1668" operator="lessThan">
      <formula>0.8</formula>
    </cfRule>
  </conditionalFormatting>
  <conditionalFormatting sqref="P32:P39">
    <cfRule type="cellIs" dxfId="11445" priority="1666" operator="greaterThan">
      <formula>0</formula>
    </cfRule>
  </conditionalFormatting>
  <conditionalFormatting sqref="Q32:Q39">
    <cfRule type="cellIs" dxfId="11444" priority="1660" operator="lessThan">
      <formula>0</formula>
    </cfRule>
  </conditionalFormatting>
  <conditionalFormatting sqref="R32:R39">
    <cfRule type="cellIs" dxfId="11443" priority="1664" operator="lessThan">
      <formula>0.8</formula>
    </cfRule>
    <cfRule type="cellIs" dxfId="11442" priority="1665" operator="greaterThan">
      <formula>1</formula>
    </cfRule>
  </conditionalFormatting>
  <conditionalFormatting sqref="R32:R39">
    <cfRule type="cellIs" dxfId="11441" priority="1662" operator="greaterThan">
      <formula>1</formula>
    </cfRule>
    <cfRule type="cellIs" dxfId="11440" priority="1663" operator="lessThan">
      <formula>0.8</formula>
    </cfRule>
  </conditionalFormatting>
  <conditionalFormatting sqref="P32:P39">
    <cfRule type="cellIs" dxfId="11439" priority="1661" operator="greaterThan">
      <formula>0</formula>
    </cfRule>
  </conditionalFormatting>
  <conditionalFormatting sqref="Q32:Q39">
    <cfRule type="cellIs" dxfId="11438" priority="1659" operator="lessThan">
      <formula>0</formula>
    </cfRule>
  </conditionalFormatting>
  <conditionalFormatting sqref="R32:R39">
    <cfRule type="cellIs" dxfId="11437" priority="1657" operator="lessThan">
      <formula>0.8</formula>
    </cfRule>
    <cfRule type="cellIs" dxfId="11436" priority="1658" operator="greaterThan">
      <formula>1</formula>
    </cfRule>
  </conditionalFormatting>
  <conditionalFormatting sqref="R32:R39">
    <cfRule type="cellIs" dxfId="11435" priority="1655" operator="greaterThan">
      <formula>1</formula>
    </cfRule>
    <cfRule type="cellIs" dxfId="11434" priority="1656" operator="lessThan">
      <formula>0.8</formula>
    </cfRule>
  </conditionalFormatting>
  <conditionalFormatting sqref="P32:P39">
    <cfRule type="cellIs" dxfId="11433" priority="1654" operator="greaterThan">
      <formula>0</formula>
    </cfRule>
  </conditionalFormatting>
  <conditionalFormatting sqref="Q32:Q39">
    <cfRule type="cellIs" dxfId="11432" priority="1653" operator="lessThan">
      <formula>0</formula>
    </cfRule>
  </conditionalFormatting>
  <conditionalFormatting sqref="R32:R39">
    <cfRule type="cellIs" dxfId="11431" priority="1651" operator="lessThan">
      <formula>0.8</formula>
    </cfRule>
    <cfRule type="cellIs" dxfId="11430" priority="1652" operator="greaterThan">
      <formula>1</formula>
    </cfRule>
  </conditionalFormatting>
  <conditionalFormatting sqref="R32:R39">
    <cfRule type="cellIs" dxfId="11429" priority="1649" operator="greaterThan">
      <formula>1</formula>
    </cfRule>
    <cfRule type="cellIs" dxfId="11428" priority="1650" operator="lessThan">
      <formula>0.8</formula>
    </cfRule>
  </conditionalFormatting>
  <conditionalFormatting sqref="P32:P39">
    <cfRule type="cellIs" dxfId="11427" priority="1648" operator="greaterThan">
      <formula>0</formula>
    </cfRule>
  </conditionalFormatting>
  <conditionalFormatting sqref="Q32:Q39">
    <cfRule type="cellIs" dxfId="11426" priority="1647" operator="lessThan">
      <formula>0</formula>
    </cfRule>
  </conditionalFormatting>
  <conditionalFormatting sqref="R32:R39">
    <cfRule type="cellIs" dxfId="11425" priority="1645" operator="lessThan">
      <formula>0.8</formula>
    </cfRule>
    <cfRule type="cellIs" dxfId="11424" priority="1646" operator="greaterThan">
      <formula>1</formula>
    </cfRule>
  </conditionalFormatting>
  <conditionalFormatting sqref="R32:R39">
    <cfRule type="cellIs" dxfId="11423" priority="1643" operator="greaterThan">
      <formula>1</formula>
    </cfRule>
    <cfRule type="cellIs" dxfId="11422" priority="1644" operator="lessThan">
      <formula>0.8</formula>
    </cfRule>
  </conditionalFormatting>
  <conditionalFormatting sqref="P32:P39">
    <cfRule type="cellIs" dxfId="11421" priority="1642" operator="greaterThan">
      <formula>0</formula>
    </cfRule>
  </conditionalFormatting>
  <conditionalFormatting sqref="Q32:Q39">
    <cfRule type="cellIs" dxfId="11420" priority="1641" operator="lessThan">
      <formula>0</formula>
    </cfRule>
  </conditionalFormatting>
  <conditionalFormatting sqref="R32:R39">
    <cfRule type="cellIs" dxfId="11419" priority="1639" operator="lessThan">
      <formula>0.8</formula>
    </cfRule>
    <cfRule type="cellIs" dxfId="11418" priority="1640" operator="greaterThan">
      <formula>1</formula>
    </cfRule>
  </conditionalFormatting>
  <conditionalFormatting sqref="R32:R39">
    <cfRule type="cellIs" dxfId="11417" priority="1637" operator="greaterThan">
      <formula>1</formula>
    </cfRule>
    <cfRule type="cellIs" dxfId="11416" priority="1638" operator="lessThan">
      <formula>0.8</formula>
    </cfRule>
  </conditionalFormatting>
  <conditionalFormatting sqref="P32:P39">
    <cfRule type="cellIs" dxfId="11415" priority="1636" operator="greaterThan">
      <formula>0</formula>
    </cfRule>
  </conditionalFormatting>
  <conditionalFormatting sqref="Q32:Q39">
    <cfRule type="cellIs" dxfId="11414" priority="1635" operator="lessThan">
      <formula>0</formula>
    </cfRule>
  </conditionalFormatting>
  <conditionalFormatting sqref="R32:R39">
    <cfRule type="cellIs" dxfId="11413" priority="1633" operator="lessThan">
      <formula>0.8</formula>
    </cfRule>
    <cfRule type="cellIs" dxfId="11412" priority="1634" operator="greaterThan">
      <formula>1</formula>
    </cfRule>
  </conditionalFormatting>
  <conditionalFormatting sqref="R32:R39">
    <cfRule type="cellIs" dxfId="11411" priority="1631" operator="greaterThan">
      <formula>1</formula>
    </cfRule>
    <cfRule type="cellIs" dxfId="11410" priority="1632" operator="lessThan">
      <formula>0.8</formula>
    </cfRule>
  </conditionalFormatting>
  <conditionalFormatting sqref="P32:P39">
    <cfRule type="cellIs" dxfId="11409" priority="1630" operator="greaterThan">
      <formula>0</formula>
    </cfRule>
  </conditionalFormatting>
  <conditionalFormatting sqref="P32:P39">
    <cfRule type="cellIs" dxfId="11408" priority="1624" operator="greaterThan">
      <formula>0</formula>
    </cfRule>
  </conditionalFormatting>
  <conditionalFormatting sqref="Q32:Q39">
    <cfRule type="cellIs" dxfId="11407" priority="1629" operator="lessThan">
      <formula>0</formula>
    </cfRule>
  </conditionalFormatting>
  <conditionalFormatting sqref="R32:R39">
    <cfRule type="cellIs" dxfId="11406" priority="1627" operator="lessThan">
      <formula>0.8</formula>
    </cfRule>
    <cfRule type="cellIs" dxfId="11405" priority="1628" operator="greaterThan">
      <formula>1</formula>
    </cfRule>
  </conditionalFormatting>
  <conditionalFormatting sqref="R32:R39">
    <cfRule type="cellIs" dxfId="11404" priority="1625" operator="greaterThan">
      <formula>1</formula>
    </cfRule>
    <cfRule type="cellIs" dxfId="11403" priority="1626" operator="lessThan">
      <formula>0.8</formula>
    </cfRule>
  </conditionalFormatting>
  <conditionalFormatting sqref="P32:P39">
    <cfRule type="cellIs" dxfId="11402" priority="1618" operator="greaterThan">
      <formula>0</formula>
    </cfRule>
  </conditionalFormatting>
  <conditionalFormatting sqref="Q32:Q39">
    <cfRule type="cellIs" dxfId="11401" priority="1623" operator="lessThan">
      <formula>0</formula>
    </cfRule>
  </conditionalFormatting>
  <conditionalFormatting sqref="R32:R39">
    <cfRule type="cellIs" dxfId="11400" priority="1621" operator="lessThan">
      <formula>0.8</formula>
    </cfRule>
    <cfRule type="cellIs" dxfId="11399" priority="1622" operator="greaterThan">
      <formula>1</formula>
    </cfRule>
  </conditionalFormatting>
  <conditionalFormatting sqref="R32:R39">
    <cfRule type="cellIs" dxfId="11398" priority="1619" operator="greaterThan">
      <formula>1</formula>
    </cfRule>
    <cfRule type="cellIs" dxfId="11397" priority="1620" operator="lessThan">
      <formula>0.8</formula>
    </cfRule>
  </conditionalFormatting>
  <conditionalFormatting sqref="R32:R39">
    <cfRule type="cellIs" dxfId="11396" priority="1615" operator="lessThan">
      <formula>0.8</formula>
    </cfRule>
    <cfRule type="cellIs" dxfId="11395" priority="1616" operator="greaterThan">
      <formula>1</formula>
    </cfRule>
  </conditionalFormatting>
  <conditionalFormatting sqref="R32:R39">
    <cfRule type="cellIs" dxfId="11394" priority="1613" operator="greaterThan">
      <formula>1</formula>
    </cfRule>
    <cfRule type="cellIs" dxfId="11393" priority="1614" operator="lessThan">
      <formula>0.8</formula>
    </cfRule>
  </conditionalFormatting>
  <conditionalFormatting sqref="P32:P39">
    <cfRule type="cellIs" dxfId="11392" priority="1612" operator="greaterThan">
      <formula>0</formula>
    </cfRule>
  </conditionalFormatting>
  <conditionalFormatting sqref="Q32:Q39">
    <cfRule type="cellIs" dxfId="11391" priority="1617" operator="lessThan">
      <formula>0</formula>
    </cfRule>
  </conditionalFormatting>
  <conditionalFormatting sqref="Q32:Q39">
    <cfRule type="cellIs" dxfId="11390" priority="1606" operator="lessThan">
      <formula>0</formula>
    </cfRule>
  </conditionalFormatting>
  <conditionalFormatting sqref="P32:P39">
    <cfRule type="cellIs" dxfId="11389" priority="1607" operator="greaterThan">
      <formula>0</formula>
    </cfRule>
  </conditionalFormatting>
  <conditionalFormatting sqref="R32:R39">
    <cfRule type="cellIs" dxfId="11388" priority="1610" operator="lessThan">
      <formula>0.8</formula>
    </cfRule>
    <cfRule type="cellIs" dxfId="11387" priority="1611" operator="greaterThan">
      <formula>1</formula>
    </cfRule>
  </conditionalFormatting>
  <conditionalFormatting sqref="R32:R39">
    <cfRule type="cellIs" dxfId="11386" priority="1608" operator="greaterThan">
      <formula>1</formula>
    </cfRule>
    <cfRule type="cellIs" dxfId="11385" priority="1609" operator="lessThan">
      <formula>0.8</formula>
    </cfRule>
  </conditionalFormatting>
  <conditionalFormatting sqref="Q32:Q39">
    <cfRule type="cellIs" dxfId="11384" priority="1600" operator="lessThan">
      <formula>0</formula>
    </cfRule>
  </conditionalFormatting>
  <conditionalFormatting sqref="R32:R39">
    <cfRule type="cellIs" dxfId="11383" priority="1604" operator="lessThan">
      <formula>0.8</formula>
    </cfRule>
    <cfRule type="cellIs" dxfId="11382" priority="1605" operator="greaterThan">
      <formula>1</formula>
    </cfRule>
  </conditionalFormatting>
  <conditionalFormatting sqref="R32:R39">
    <cfRule type="cellIs" dxfId="11381" priority="1602" operator="greaterThan">
      <formula>1</formula>
    </cfRule>
    <cfRule type="cellIs" dxfId="11380" priority="1603" operator="lessThan">
      <formula>0.8</formula>
    </cfRule>
  </conditionalFormatting>
  <conditionalFormatting sqref="P32:P39">
    <cfRule type="cellIs" dxfId="11379" priority="1601" operator="greaterThan">
      <formula>0</formula>
    </cfRule>
  </conditionalFormatting>
  <conditionalFormatting sqref="Q32:Q39">
    <cfRule type="cellIs" dxfId="11378" priority="1599" operator="lessThan">
      <formula>0</formula>
    </cfRule>
  </conditionalFormatting>
  <conditionalFormatting sqref="R32:R39">
    <cfRule type="cellIs" dxfId="11377" priority="1597" operator="lessThan">
      <formula>0.8</formula>
    </cfRule>
    <cfRule type="cellIs" dxfId="11376" priority="1598" operator="greaterThan">
      <formula>1</formula>
    </cfRule>
  </conditionalFormatting>
  <conditionalFormatting sqref="R32:R39">
    <cfRule type="cellIs" dxfId="11375" priority="1595" operator="greaterThan">
      <formula>1</formula>
    </cfRule>
    <cfRule type="cellIs" dxfId="11374" priority="1596" operator="lessThan">
      <formula>0.8</formula>
    </cfRule>
  </conditionalFormatting>
  <conditionalFormatting sqref="P32:P39">
    <cfRule type="cellIs" dxfId="11373" priority="1594" operator="greaterThan">
      <formula>0</formula>
    </cfRule>
  </conditionalFormatting>
  <conditionalFormatting sqref="Q32:Q39">
    <cfRule type="cellIs" dxfId="11372" priority="1593" operator="lessThan">
      <formula>0</formula>
    </cfRule>
  </conditionalFormatting>
  <conditionalFormatting sqref="R32:R39">
    <cfRule type="cellIs" dxfId="11371" priority="1591" operator="lessThan">
      <formula>0.8</formula>
    </cfRule>
    <cfRule type="cellIs" dxfId="11370" priority="1592" operator="greaterThan">
      <formula>1</formula>
    </cfRule>
  </conditionalFormatting>
  <conditionalFormatting sqref="R32:R39">
    <cfRule type="cellIs" dxfId="11369" priority="1589" operator="greaterThan">
      <formula>1</formula>
    </cfRule>
    <cfRule type="cellIs" dxfId="11368" priority="1590" operator="lessThan">
      <formula>0.8</formula>
    </cfRule>
  </conditionalFormatting>
  <conditionalFormatting sqref="P32:P39">
    <cfRule type="cellIs" dxfId="11367" priority="1588" operator="greaterThan">
      <formula>0</formula>
    </cfRule>
  </conditionalFormatting>
  <conditionalFormatting sqref="Q32:Q39">
    <cfRule type="cellIs" dxfId="11366" priority="1582" operator="lessThan">
      <formula>0</formula>
    </cfRule>
  </conditionalFormatting>
  <conditionalFormatting sqref="P32:P39">
    <cfRule type="cellIs" dxfId="11365" priority="1583" operator="greaterThan">
      <formula>0</formula>
    </cfRule>
  </conditionalFormatting>
  <conditionalFormatting sqref="R32:R39">
    <cfRule type="cellIs" dxfId="11364" priority="1586" operator="lessThan">
      <formula>0.8</formula>
    </cfRule>
    <cfRule type="cellIs" dxfId="11363" priority="1587" operator="greaterThan">
      <formula>1</formula>
    </cfRule>
  </conditionalFormatting>
  <conditionalFormatting sqref="R32:R39">
    <cfRule type="cellIs" dxfId="11362" priority="1584" operator="greaterThan">
      <formula>1</formula>
    </cfRule>
    <cfRule type="cellIs" dxfId="11361" priority="1585" operator="lessThan">
      <formula>0.8</formula>
    </cfRule>
  </conditionalFormatting>
  <conditionalFormatting sqref="Q32:Q39">
    <cfRule type="cellIs" dxfId="11360" priority="1576" operator="lessThan">
      <formula>0</formula>
    </cfRule>
  </conditionalFormatting>
  <conditionalFormatting sqref="R32:R39">
    <cfRule type="cellIs" dxfId="11359" priority="1580" operator="lessThan">
      <formula>0.8</formula>
    </cfRule>
    <cfRule type="cellIs" dxfId="11358" priority="1581" operator="greaterThan">
      <formula>1</formula>
    </cfRule>
  </conditionalFormatting>
  <conditionalFormatting sqref="R32:R39">
    <cfRule type="cellIs" dxfId="11357" priority="1578" operator="greaterThan">
      <formula>1</formula>
    </cfRule>
    <cfRule type="cellIs" dxfId="11356" priority="1579" operator="lessThan">
      <formula>0.8</formula>
    </cfRule>
  </conditionalFormatting>
  <conditionalFormatting sqref="P32:P39">
    <cfRule type="cellIs" dxfId="11355" priority="1577" operator="greaterThan">
      <formula>0</formula>
    </cfRule>
  </conditionalFormatting>
  <conditionalFormatting sqref="Q32:Q39">
    <cfRule type="cellIs" dxfId="11354" priority="1575" operator="lessThan">
      <formula>0</formula>
    </cfRule>
  </conditionalFormatting>
  <conditionalFormatting sqref="R32:R39">
    <cfRule type="cellIs" dxfId="11353" priority="1573" operator="lessThan">
      <formula>0.8</formula>
    </cfRule>
    <cfRule type="cellIs" dxfId="11352" priority="1574" operator="greaterThan">
      <formula>1</formula>
    </cfRule>
  </conditionalFormatting>
  <conditionalFormatting sqref="R32:R39">
    <cfRule type="cellIs" dxfId="11351" priority="1571" operator="greaterThan">
      <formula>1</formula>
    </cfRule>
    <cfRule type="cellIs" dxfId="11350" priority="1572" operator="lessThan">
      <formula>0.8</formula>
    </cfRule>
  </conditionalFormatting>
  <conditionalFormatting sqref="P32:P39">
    <cfRule type="cellIs" dxfId="11349" priority="1570" operator="greaterThan">
      <formula>0</formula>
    </cfRule>
  </conditionalFormatting>
  <conditionalFormatting sqref="Q32:Q39">
    <cfRule type="cellIs" dxfId="11348" priority="1569" operator="lessThan">
      <formula>0</formula>
    </cfRule>
  </conditionalFormatting>
  <conditionalFormatting sqref="R32:R39">
    <cfRule type="cellIs" dxfId="11347" priority="1567" operator="lessThan">
      <formula>0.8</formula>
    </cfRule>
    <cfRule type="cellIs" dxfId="11346" priority="1568" operator="greaterThan">
      <formula>1</formula>
    </cfRule>
  </conditionalFormatting>
  <conditionalFormatting sqref="R32:R39">
    <cfRule type="cellIs" dxfId="11345" priority="1565" operator="greaterThan">
      <formula>1</formula>
    </cfRule>
    <cfRule type="cellIs" dxfId="11344" priority="1566" operator="lessThan">
      <formula>0.8</formula>
    </cfRule>
  </conditionalFormatting>
  <conditionalFormatting sqref="P32:P39">
    <cfRule type="cellIs" dxfId="11343" priority="1564" operator="greaterThan">
      <formula>0</formula>
    </cfRule>
  </conditionalFormatting>
  <conditionalFormatting sqref="Q19:Q25">
    <cfRule type="cellIs" dxfId="11342" priority="1563" operator="lessThan">
      <formula>0</formula>
    </cfRule>
  </conditionalFormatting>
  <conditionalFormatting sqref="R19:R25">
    <cfRule type="cellIs" dxfId="11341" priority="1561" operator="lessThan">
      <formula>0.8</formula>
    </cfRule>
    <cfRule type="cellIs" dxfId="11340" priority="1562" operator="greaterThan">
      <formula>1</formula>
    </cfRule>
  </conditionalFormatting>
  <conditionalFormatting sqref="R19:R25">
    <cfRule type="cellIs" dxfId="11339" priority="1559" operator="greaterThan">
      <formula>1</formula>
    </cfRule>
    <cfRule type="cellIs" dxfId="11338" priority="1560" operator="lessThan">
      <formula>0.8</formula>
    </cfRule>
  </conditionalFormatting>
  <conditionalFormatting sqref="P19:P25">
    <cfRule type="cellIs" dxfId="11337" priority="1558" operator="greaterThan">
      <formula>0</formula>
    </cfRule>
  </conditionalFormatting>
  <conditionalFormatting sqref="R19:R25">
    <cfRule type="cellIs" dxfId="11336" priority="1555" operator="lessThan">
      <formula>0.8</formula>
    </cfRule>
    <cfRule type="cellIs" dxfId="11335" priority="1556" operator="greaterThan">
      <formula>1</formula>
    </cfRule>
  </conditionalFormatting>
  <conditionalFormatting sqref="R19:R25">
    <cfRule type="cellIs" dxfId="11334" priority="1553" operator="greaterThan">
      <formula>1</formula>
    </cfRule>
    <cfRule type="cellIs" dxfId="11333" priority="1554" operator="lessThan">
      <formula>0.8</formula>
    </cfRule>
  </conditionalFormatting>
  <conditionalFormatting sqref="P19:P25">
    <cfRule type="cellIs" dxfId="11332" priority="1552" operator="greaterThan">
      <formula>0</formula>
    </cfRule>
  </conditionalFormatting>
  <conditionalFormatting sqref="Q19:Q25">
    <cfRule type="cellIs" dxfId="11331" priority="1557" operator="lessThan">
      <formula>0</formula>
    </cfRule>
  </conditionalFormatting>
  <conditionalFormatting sqref="R19:R25">
    <cfRule type="cellIs" dxfId="11330" priority="1549" operator="lessThan">
      <formula>0.8</formula>
    </cfRule>
    <cfRule type="cellIs" dxfId="11329" priority="1550" operator="greaterThan">
      <formula>1</formula>
    </cfRule>
  </conditionalFormatting>
  <conditionalFormatting sqref="R19:R25">
    <cfRule type="cellIs" dxfId="11328" priority="1547" operator="greaterThan">
      <formula>1</formula>
    </cfRule>
    <cfRule type="cellIs" dxfId="11327" priority="1548" operator="lessThan">
      <formula>0.8</formula>
    </cfRule>
  </conditionalFormatting>
  <conditionalFormatting sqref="P19:P25">
    <cfRule type="cellIs" dxfId="11326" priority="1546" operator="greaterThan">
      <formula>0</formula>
    </cfRule>
  </conditionalFormatting>
  <conditionalFormatting sqref="Q19:Q25">
    <cfRule type="cellIs" dxfId="11325" priority="1551" operator="lessThan">
      <formula>0</formula>
    </cfRule>
  </conditionalFormatting>
  <conditionalFormatting sqref="Q19:Q25">
    <cfRule type="cellIs" dxfId="11324" priority="1545" operator="lessThan">
      <formula>0</formula>
    </cfRule>
  </conditionalFormatting>
  <conditionalFormatting sqref="R19:R25">
    <cfRule type="cellIs" dxfId="11323" priority="1543" operator="lessThan">
      <formula>0.8</formula>
    </cfRule>
    <cfRule type="cellIs" dxfId="11322" priority="1544" operator="greaterThan">
      <formula>1</formula>
    </cfRule>
  </conditionalFormatting>
  <conditionalFormatting sqref="R19:R25">
    <cfRule type="cellIs" dxfId="11321" priority="1541" operator="greaterThan">
      <formula>1</formula>
    </cfRule>
    <cfRule type="cellIs" dxfId="11320" priority="1542" operator="lessThan">
      <formula>0.8</formula>
    </cfRule>
  </conditionalFormatting>
  <conditionalFormatting sqref="P19:P25">
    <cfRule type="cellIs" dxfId="11319" priority="1540" operator="greaterThan">
      <formula>0</formula>
    </cfRule>
  </conditionalFormatting>
  <conditionalFormatting sqref="Q135:Q136">
    <cfRule type="cellIs" dxfId="11318" priority="1539" operator="lessThan">
      <formula>0</formula>
    </cfRule>
  </conditionalFormatting>
  <conditionalFormatting sqref="R135:R136 R139:R142">
    <cfRule type="cellIs" dxfId="11317" priority="1537" operator="lessThan">
      <formula>0.8</formula>
    </cfRule>
    <cfRule type="cellIs" dxfId="11316" priority="1538" operator="greaterThan">
      <formula>1</formula>
    </cfRule>
  </conditionalFormatting>
  <conditionalFormatting sqref="R135:R136 R139:R142">
    <cfRule type="cellIs" dxfId="11315" priority="1535" operator="greaterThan">
      <formula>1</formula>
    </cfRule>
    <cfRule type="cellIs" dxfId="11314" priority="1536" operator="lessThan">
      <formula>0.8</formula>
    </cfRule>
  </conditionalFormatting>
  <conditionalFormatting sqref="P135:P136 P139 P142">
    <cfRule type="cellIs" dxfId="11313" priority="1534" operator="greaterThan">
      <formula>0</formula>
    </cfRule>
  </conditionalFormatting>
  <conditionalFormatting sqref="P135:P136 P139 P142">
    <cfRule type="cellIs" dxfId="11312" priority="1528" operator="greaterThan">
      <formula>0</formula>
    </cfRule>
  </conditionalFormatting>
  <conditionalFormatting sqref="Q135:Q136">
    <cfRule type="cellIs" dxfId="11311" priority="1533" operator="lessThan">
      <formula>0</formula>
    </cfRule>
  </conditionalFormatting>
  <conditionalFormatting sqref="R135:R136 R139:R142">
    <cfRule type="cellIs" dxfId="11310" priority="1531" operator="lessThan">
      <formula>0.8</formula>
    </cfRule>
    <cfRule type="cellIs" dxfId="11309" priority="1532" operator="greaterThan">
      <formula>1</formula>
    </cfRule>
  </conditionalFormatting>
  <conditionalFormatting sqref="R135:R136 R139:R142">
    <cfRule type="cellIs" dxfId="11308" priority="1529" operator="greaterThan">
      <formula>1</formula>
    </cfRule>
    <cfRule type="cellIs" dxfId="11307" priority="1530" operator="lessThan">
      <formula>0.8</formula>
    </cfRule>
  </conditionalFormatting>
  <conditionalFormatting sqref="P19:P25">
    <cfRule type="cellIs" dxfId="11306" priority="1522" operator="greaterThan">
      <formula>0</formula>
    </cfRule>
  </conditionalFormatting>
  <conditionalFormatting sqref="Q19:Q25">
    <cfRule type="cellIs" dxfId="11305" priority="1527" operator="lessThan">
      <formula>0</formula>
    </cfRule>
  </conditionalFormatting>
  <conditionalFormatting sqref="R19:R25">
    <cfRule type="cellIs" dxfId="11304" priority="1525" operator="lessThan">
      <formula>0.8</formula>
    </cfRule>
    <cfRule type="cellIs" dxfId="11303" priority="1526" operator="greaterThan">
      <formula>1</formula>
    </cfRule>
  </conditionalFormatting>
  <conditionalFormatting sqref="R19:R25">
    <cfRule type="cellIs" dxfId="11302" priority="1523" operator="greaterThan">
      <formula>1</formula>
    </cfRule>
    <cfRule type="cellIs" dxfId="11301" priority="1524" operator="lessThan">
      <formula>0.8</formula>
    </cfRule>
  </conditionalFormatting>
  <conditionalFormatting sqref="Q19:Q25">
    <cfRule type="cellIs" dxfId="11300" priority="1521" operator="lessThan">
      <formula>0</formula>
    </cfRule>
  </conditionalFormatting>
  <conditionalFormatting sqref="R19:R25">
    <cfRule type="cellIs" dxfId="11299" priority="1519" operator="lessThan">
      <formula>0.8</formula>
    </cfRule>
    <cfRule type="cellIs" dxfId="11298" priority="1520" operator="greaterThan">
      <formula>1</formula>
    </cfRule>
  </conditionalFormatting>
  <conditionalFormatting sqref="R19:R25">
    <cfRule type="cellIs" dxfId="11297" priority="1517" operator="greaterThan">
      <formula>1</formula>
    </cfRule>
    <cfRule type="cellIs" dxfId="11296" priority="1518" operator="lessThan">
      <formula>0.8</formula>
    </cfRule>
  </conditionalFormatting>
  <conditionalFormatting sqref="P19:P25">
    <cfRule type="cellIs" dxfId="11295" priority="1516" operator="greaterThan">
      <formula>0</formula>
    </cfRule>
  </conditionalFormatting>
  <conditionalFormatting sqref="Q19:Q25">
    <cfRule type="cellIs" dxfId="11294" priority="1515" operator="lessThan">
      <formula>0</formula>
    </cfRule>
  </conditionalFormatting>
  <conditionalFormatting sqref="R19:R25">
    <cfRule type="cellIs" dxfId="11293" priority="1513" operator="lessThan">
      <formula>0.8</formula>
    </cfRule>
    <cfRule type="cellIs" dxfId="11292" priority="1514" operator="greaterThan">
      <formula>1</formula>
    </cfRule>
  </conditionalFormatting>
  <conditionalFormatting sqref="R19:R25">
    <cfRule type="cellIs" dxfId="11291" priority="1511" operator="greaterThan">
      <formula>1</formula>
    </cfRule>
    <cfRule type="cellIs" dxfId="11290" priority="1512" operator="lessThan">
      <formula>0.8</formula>
    </cfRule>
  </conditionalFormatting>
  <conditionalFormatting sqref="P19:P25">
    <cfRule type="cellIs" dxfId="11289" priority="1510" operator="greaterThan">
      <formula>0</formula>
    </cfRule>
  </conditionalFormatting>
  <conditionalFormatting sqref="Q19:Q25">
    <cfRule type="cellIs" dxfId="11288" priority="1509" operator="lessThan">
      <formula>0</formula>
    </cfRule>
  </conditionalFormatting>
  <conditionalFormatting sqref="R19:R25">
    <cfRule type="cellIs" dxfId="11287" priority="1507" operator="lessThan">
      <formula>0.8</formula>
    </cfRule>
    <cfRule type="cellIs" dxfId="11286" priority="1508" operator="greaterThan">
      <formula>1</formula>
    </cfRule>
  </conditionalFormatting>
  <conditionalFormatting sqref="R19:R25">
    <cfRule type="cellIs" dxfId="11285" priority="1505" operator="greaterThan">
      <formula>1</formula>
    </cfRule>
    <cfRule type="cellIs" dxfId="11284" priority="1506" operator="lessThan">
      <formula>0.8</formula>
    </cfRule>
  </conditionalFormatting>
  <conditionalFormatting sqref="P19:P25">
    <cfRule type="cellIs" dxfId="11283" priority="1504" operator="greaterThan">
      <formula>0</formula>
    </cfRule>
  </conditionalFormatting>
  <conditionalFormatting sqref="R19:R25">
    <cfRule type="cellIs" dxfId="11282" priority="1501" operator="lessThan">
      <formula>0.8</formula>
    </cfRule>
    <cfRule type="cellIs" dxfId="11281" priority="1502" operator="greaterThan">
      <formula>1</formula>
    </cfRule>
  </conditionalFormatting>
  <conditionalFormatting sqref="R19:R25">
    <cfRule type="cellIs" dxfId="11280" priority="1499" operator="greaterThan">
      <formula>1</formula>
    </cfRule>
    <cfRule type="cellIs" dxfId="11279" priority="1500" operator="lessThan">
      <formula>0.8</formula>
    </cfRule>
  </conditionalFormatting>
  <conditionalFormatting sqref="P19:P25">
    <cfRule type="cellIs" dxfId="11278" priority="1498" operator="greaterThan">
      <formula>0</formula>
    </cfRule>
  </conditionalFormatting>
  <conditionalFormatting sqref="Q19:Q25">
    <cfRule type="cellIs" dxfId="11277" priority="1503" operator="lessThan">
      <formula>0</formula>
    </cfRule>
  </conditionalFormatting>
  <conditionalFormatting sqref="Q19:Q25">
    <cfRule type="cellIs" dxfId="11276" priority="1497" operator="lessThan">
      <formula>0</formula>
    </cfRule>
  </conditionalFormatting>
  <conditionalFormatting sqref="R19:R25">
    <cfRule type="cellIs" dxfId="11275" priority="1495" operator="lessThan">
      <formula>0.8</formula>
    </cfRule>
    <cfRule type="cellIs" dxfId="11274" priority="1496" operator="greaterThan">
      <formula>1</formula>
    </cfRule>
  </conditionalFormatting>
  <conditionalFormatting sqref="R19:R25">
    <cfRule type="cellIs" dxfId="11273" priority="1493" operator="greaterThan">
      <formula>1</formula>
    </cfRule>
    <cfRule type="cellIs" dxfId="11272" priority="1494" operator="lessThan">
      <formula>0.8</formula>
    </cfRule>
  </conditionalFormatting>
  <conditionalFormatting sqref="P19:P25">
    <cfRule type="cellIs" dxfId="11271" priority="1492" operator="greaterThan">
      <formula>0</formula>
    </cfRule>
  </conditionalFormatting>
  <conditionalFormatting sqref="P19:P25">
    <cfRule type="cellIs" dxfId="11270" priority="1486" operator="greaterThan">
      <formula>0</formula>
    </cfRule>
  </conditionalFormatting>
  <conditionalFormatting sqref="Q19:Q25">
    <cfRule type="cellIs" dxfId="11269" priority="1491" operator="lessThan">
      <formula>0</formula>
    </cfRule>
  </conditionalFormatting>
  <conditionalFormatting sqref="R19:R25">
    <cfRule type="cellIs" dxfId="11268" priority="1489" operator="lessThan">
      <formula>0.8</formula>
    </cfRule>
    <cfRule type="cellIs" dxfId="11267" priority="1490" operator="greaterThan">
      <formula>1</formula>
    </cfRule>
  </conditionalFormatting>
  <conditionalFormatting sqref="R19:R25">
    <cfRule type="cellIs" dxfId="11266" priority="1487" operator="greaterThan">
      <formula>1</formula>
    </cfRule>
    <cfRule type="cellIs" dxfId="11265" priority="1488" operator="lessThan">
      <formula>0.8</formula>
    </cfRule>
  </conditionalFormatting>
  <conditionalFormatting sqref="P19:P25">
    <cfRule type="cellIs" dxfId="11264" priority="1480" operator="greaterThan">
      <formula>0</formula>
    </cfRule>
  </conditionalFormatting>
  <conditionalFormatting sqref="Q19:Q25">
    <cfRule type="cellIs" dxfId="11263" priority="1485" operator="lessThan">
      <formula>0</formula>
    </cfRule>
  </conditionalFormatting>
  <conditionalFormatting sqref="R19:R25">
    <cfRule type="cellIs" dxfId="11262" priority="1483" operator="lessThan">
      <formula>0.8</formula>
    </cfRule>
    <cfRule type="cellIs" dxfId="11261" priority="1484" operator="greaterThan">
      <formula>1</formula>
    </cfRule>
  </conditionalFormatting>
  <conditionalFormatting sqref="R19:R25">
    <cfRule type="cellIs" dxfId="11260" priority="1481" operator="greaterThan">
      <formula>1</formula>
    </cfRule>
    <cfRule type="cellIs" dxfId="11259" priority="1482" operator="lessThan">
      <formula>0.8</formula>
    </cfRule>
  </conditionalFormatting>
  <conditionalFormatting sqref="Q19:Q25">
    <cfRule type="cellIs" dxfId="11258" priority="1479" operator="lessThan">
      <formula>0</formula>
    </cfRule>
  </conditionalFormatting>
  <conditionalFormatting sqref="R19:R25">
    <cfRule type="cellIs" dxfId="11257" priority="1477" operator="lessThan">
      <formula>0.8</formula>
    </cfRule>
    <cfRule type="cellIs" dxfId="11256" priority="1478" operator="greaterThan">
      <formula>1</formula>
    </cfRule>
  </conditionalFormatting>
  <conditionalFormatting sqref="R19:R25">
    <cfRule type="cellIs" dxfId="11255" priority="1475" operator="greaterThan">
      <formula>1</formula>
    </cfRule>
    <cfRule type="cellIs" dxfId="11254" priority="1476" operator="lessThan">
      <formula>0.8</formula>
    </cfRule>
  </conditionalFormatting>
  <conditionalFormatting sqref="P19:P25">
    <cfRule type="cellIs" dxfId="11253" priority="1474" operator="greaterThan">
      <formula>0</formula>
    </cfRule>
  </conditionalFormatting>
  <conditionalFormatting sqref="Q19:Q25">
    <cfRule type="cellIs" dxfId="11252" priority="1473" operator="lessThan">
      <formula>0</formula>
    </cfRule>
  </conditionalFormatting>
  <conditionalFormatting sqref="R19:R25">
    <cfRule type="cellIs" dxfId="11251" priority="1471" operator="lessThan">
      <formula>0.8</formula>
    </cfRule>
    <cfRule type="cellIs" dxfId="11250" priority="1472" operator="greaterThan">
      <formula>1</formula>
    </cfRule>
  </conditionalFormatting>
  <conditionalFormatting sqref="R19:R25">
    <cfRule type="cellIs" dxfId="11249" priority="1469" operator="greaterThan">
      <formula>1</formula>
    </cfRule>
    <cfRule type="cellIs" dxfId="11248" priority="1470" operator="lessThan">
      <formula>0.8</formula>
    </cfRule>
  </conditionalFormatting>
  <conditionalFormatting sqref="P19:P25">
    <cfRule type="cellIs" dxfId="11247" priority="1468" operator="greaterThan">
      <formula>0</formula>
    </cfRule>
  </conditionalFormatting>
  <conditionalFormatting sqref="P19:P25">
    <cfRule type="cellIs" dxfId="11246" priority="1462" operator="greaterThan">
      <formula>0</formula>
    </cfRule>
  </conditionalFormatting>
  <conditionalFormatting sqref="Q19:Q25">
    <cfRule type="cellIs" dxfId="11245" priority="1467" operator="lessThan">
      <formula>0</formula>
    </cfRule>
  </conditionalFormatting>
  <conditionalFormatting sqref="R19:R25">
    <cfRule type="cellIs" dxfId="11244" priority="1465" operator="lessThan">
      <formula>0.8</formula>
    </cfRule>
    <cfRule type="cellIs" dxfId="11243" priority="1466" operator="greaterThan">
      <formula>1</formula>
    </cfRule>
  </conditionalFormatting>
  <conditionalFormatting sqref="R19:R25">
    <cfRule type="cellIs" dxfId="11242" priority="1463" operator="greaterThan">
      <formula>1</formula>
    </cfRule>
    <cfRule type="cellIs" dxfId="11241" priority="1464" operator="lessThan">
      <formula>0.8</formula>
    </cfRule>
  </conditionalFormatting>
  <conditionalFormatting sqref="Q19:Q25">
    <cfRule type="cellIs" dxfId="11240" priority="1461" operator="lessThan">
      <formula>0</formula>
    </cfRule>
  </conditionalFormatting>
  <conditionalFormatting sqref="R19:R25">
    <cfRule type="cellIs" dxfId="11239" priority="1459" operator="lessThan">
      <formula>0.8</formula>
    </cfRule>
    <cfRule type="cellIs" dxfId="11238" priority="1460" operator="greaterThan">
      <formula>1</formula>
    </cfRule>
  </conditionalFormatting>
  <conditionalFormatting sqref="R19:R25">
    <cfRule type="cellIs" dxfId="11237" priority="1457" operator="greaterThan">
      <formula>1</formula>
    </cfRule>
    <cfRule type="cellIs" dxfId="11236" priority="1458" operator="lessThan">
      <formula>0.8</formula>
    </cfRule>
  </conditionalFormatting>
  <conditionalFormatting sqref="P19:P25">
    <cfRule type="cellIs" dxfId="11235" priority="1456" operator="greaterThan">
      <formula>0</formula>
    </cfRule>
  </conditionalFormatting>
  <conditionalFormatting sqref="Q19:Q25">
    <cfRule type="cellIs" dxfId="11234" priority="1455" operator="lessThan">
      <formula>0</formula>
    </cfRule>
  </conditionalFormatting>
  <conditionalFormatting sqref="R19:R25">
    <cfRule type="cellIs" dxfId="11233" priority="1453" operator="lessThan">
      <formula>0.8</formula>
    </cfRule>
    <cfRule type="cellIs" dxfId="11232" priority="1454" operator="greaterThan">
      <formula>1</formula>
    </cfRule>
  </conditionalFormatting>
  <conditionalFormatting sqref="R19:R25">
    <cfRule type="cellIs" dxfId="11231" priority="1451" operator="greaterThan">
      <formula>1</formula>
    </cfRule>
    <cfRule type="cellIs" dxfId="11230" priority="1452" operator="lessThan">
      <formula>0.8</formula>
    </cfRule>
  </conditionalFormatting>
  <conditionalFormatting sqref="P19:P25">
    <cfRule type="cellIs" dxfId="11229" priority="1450" operator="greaterThan">
      <formula>0</formula>
    </cfRule>
  </conditionalFormatting>
  <conditionalFormatting sqref="Q19:Q25">
    <cfRule type="cellIs" dxfId="11228" priority="1449" operator="lessThan">
      <formula>0</formula>
    </cfRule>
  </conditionalFormatting>
  <conditionalFormatting sqref="R19:R25">
    <cfRule type="cellIs" dxfId="11227" priority="1447" operator="lessThan">
      <formula>0.8</formula>
    </cfRule>
    <cfRule type="cellIs" dxfId="11226" priority="1448" operator="greaterThan">
      <formula>1</formula>
    </cfRule>
  </conditionalFormatting>
  <conditionalFormatting sqref="R19:R25">
    <cfRule type="cellIs" dxfId="11225" priority="1445" operator="greaterThan">
      <formula>1</formula>
    </cfRule>
    <cfRule type="cellIs" dxfId="11224" priority="1446" operator="lessThan">
      <formula>0.8</formula>
    </cfRule>
  </conditionalFormatting>
  <conditionalFormatting sqref="P19:P25">
    <cfRule type="cellIs" dxfId="11223" priority="1444" operator="greaterThan">
      <formula>0</formula>
    </cfRule>
  </conditionalFormatting>
  <conditionalFormatting sqref="R19:R25">
    <cfRule type="cellIs" dxfId="11222" priority="1441" operator="lessThan">
      <formula>0.8</formula>
    </cfRule>
    <cfRule type="cellIs" dxfId="11221" priority="1442" operator="greaterThan">
      <formula>1</formula>
    </cfRule>
  </conditionalFormatting>
  <conditionalFormatting sqref="R19:R25">
    <cfRule type="cellIs" dxfId="11220" priority="1439" operator="greaterThan">
      <formula>1</formula>
    </cfRule>
    <cfRule type="cellIs" dxfId="11219" priority="1440" operator="lessThan">
      <formula>0.8</formula>
    </cfRule>
  </conditionalFormatting>
  <conditionalFormatting sqref="P19:P25">
    <cfRule type="cellIs" dxfId="11218" priority="1438" operator="greaterThan">
      <formula>0</formula>
    </cfRule>
  </conditionalFormatting>
  <conditionalFormatting sqref="Q19:Q25">
    <cfRule type="cellIs" dxfId="11217" priority="1443" operator="lessThan">
      <formula>0</formula>
    </cfRule>
  </conditionalFormatting>
  <conditionalFormatting sqref="Q40">
    <cfRule type="cellIs" dxfId="11216" priority="1437" operator="lessThan">
      <formula>0</formula>
    </cfRule>
  </conditionalFormatting>
  <conditionalFormatting sqref="R40">
    <cfRule type="cellIs" dxfId="11215" priority="1435" operator="lessThan">
      <formula>0.8</formula>
    </cfRule>
    <cfRule type="cellIs" dxfId="11214" priority="1436" operator="greaterThan">
      <formula>1</formula>
    </cfRule>
  </conditionalFormatting>
  <conditionalFormatting sqref="R40">
    <cfRule type="cellIs" dxfId="11213" priority="1433" operator="greaterThan">
      <formula>1</formula>
    </cfRule>
    <cfRule type="cellIs" dxfId="11212" priority="1434" operator="lessThan">
      <formula>0.8</formula>
    </cfRule>
  </conditionalFormatting>
  <conditionalFormatting sqref="P40">
    <cfRule type="cellIs" dxfId="11211" priority="1432" operator="greaterThan">
      <formula>0</formula>
    </cfRule>
  </conditionalFormatting>
  <conditionalFormatting sqref="P40">
    <cfRule type="cellIs" dxfId="11210" priority="1426" operator="greaterThan">
      <formula>0</formula>
    </cfRule>
  </conditionalFormatting>
  <conditionalFormatting sqref="Q40">
    <cfRule type="cellIs" dxfId="11209" priority="1431" operator="lessThan">
      <formula>0</formula>
    </cfRule>
  </conditionalFormatting>
  <conditionalFormatting sqref="R40">
    <cfRule type="cellIs" dxfId="11208" priority="1429" operator="lessThan">
      <formula>0.8</formula>
    </cfRule>
    <cfRule type="cellIs" dxfId="11207" priority="1430" operator="greaterThan">
      <formula>1</formula>
    </cfRule>
  </conditionalFormatting>
  <conditionalFormatting sqref="R40">
    <cfRule type="cellIs" dxfId="11206" priority="1427" operator="greaterThan">
      <formula>1</formula>
    </cfRule>
    <cfRule type="cellIs" dxfId="11205" priority="1428" operator="lessThan">
      <formula>0.8</formula>
    </cfRule>
  </conditionalFormatting>
  <conditionalFormatting sqref="P40">
    <cfRule type="cellIs" dxfId="11204" priority="1420" operator="greaterThan">
      <formula>0</formula>
    </cfRule>
  </conditionalFormatting>
  <conditionalFormatting sqref="Q40">
    <cfRule type="cellIs" dxfId="11203" priority="1425" operator="lessThan">
      <formula>0</formula>
    </cfRule>
  </conditionalFormatting>
  <conditionalFormatting sqref="R40">
    <cfRule type="cellIs" dxfId="11202" priority="1423" operator="lessThan">
      <formula>0.8</formula>
    </cfRule>
    <cfRule type="cellIs" dxfId="11201" priority="1424" operator="greaterThan">
      <formula>1</formula>
    </cfRule>
  </conditionalFormatting>
  <conditionalFormatting sqref="R40">
    <cfRule type="cellIs" dxfId="11200" priority="1421" operator="greaterThan">
      <formula>1</formula>
    </cfRule>
    <cfRule type="cellIs" dxfId="11199" priority="1422" operator="lessThan">
      <formula>0.8</formula>
    </cfRule>
  </conditionalFormatting>
  <conditionalFormatting sqref="Q40">
    <cfRule type="cellIs" dxfId="11198" priority="1419" operator="lessThan">
      <formula>0</formula>
    </cfRule>
  </conditionalFormatting>
  <conditionalFormatting sqref="R40">
    <cfRule type="cellIs" dxfId="11197" priority="1417" operator="lessThan">
      <formula>0.8</formula>
    </cfRule>
    <cfRule type="cellIs" dxfId="11196" priority="1418" operator="greaterThan">
      <formula>1</formula>
    </cfRule>
  </conditionalFormatting>
  <conditionalFormatting sqref="R40">
    <cfRule type="cellIs" dxfId="11195" priority="1415" operator="greaterThan">
      <formula>1</formula>
    </cfRule>
    <cfRule type="cellIs" dxfId="11194" priority="1416" operator="lessThan">
      <formula>0.8</formula>
    </cfRule>
  </conditionalFormatting>
  <conditionalFormatting sqref="P40">
    <cfRule type="cellIs" dxfId="11193" priority="1414" operator="greaterThan">
      <formula>0</formula>
    </cfRule>
  </conditionalFormatting>
  <conditionalFormatting sqref="P40">
    <cfRule type="cellIs" dxfId="11192" priority="1408" operator="greaterThan">
      <formula>0</formula>
    </cfRule>
  </conditionalFormatting>
  <conditionalFormatting sqref="Q40">
    <cfRule type="cellIs" dxfId="11191" priority="1413" operator="lessThan">
      <formula>0</formula>
    </cfRule>
  </conditionalFormatting>
  <conditionalFormatting sqref="R40">
    <cfRule type="cellIs" dxfId="11190" priority="1411" operator="lessThan">
      <formula>0.8</formula>
    </cfRule>
    <cfRule type="cellIs" dxfId="11189" priority="1412" operator="greaterThan">
      <formula>1</formula>
    </cfRule>
  </conditionalFormatting>
  <conditionalFormatting sqref="R40">
    <cfRule type="cellIs" dxfId="11188" priority="1409" operator="greaterThan">
      <formula>1</formula>
    </cfRule>
    <cfRule type="cellIs" dxfId="11187" priority="1410" operator="lessThan">
      <formula>0.8</formula>
    </cfRule>
  </conditionalFormatting>
  <conditionalFormatting sqref="P40">
    <cfRule type="cellIs" dxfId="11186" priority="1402" operator="greaterThan">
      <formula>0</formula>
    </cfRule>
  </conditionalFormatting>
  <conditionalFormatting sqref="Q40">
    <cfRule type="cellIs" dxfId="11185" priority="1407" operator="lessThan">
      <formula>0</formula>
    </cfRule>
  </conditionalFormatting>
  <conditionalFormatting sqref="R40">
    <cfRule type="cellIs" dxfId="11184" priority="1405" operator="lessThan">
      <formula>0.8</formula>
    </cfRule>
    <cfRule type="cellIs" dxfId="11183" priority="1406" operator="greaterThan">
      <formula>1</formula>
    </cfRule>
  </conditionalFormatting>
  <conditionalFormatting sqref="R40">
    <cfRule type="cellIs" dxfId="11182" priority="1403" operator="greaterThan">
      <formula>1</formula>
    </cfRule>
    <cfRule type="cellIs" dxfId="11181" priority="1404" operator="lessThan">
      <formula>0.8</formula>
    </cfRule>
  </conditionalFormatting>
  <conditionalFormatting sqref="P40">
    <cfRule type="cellIs" dxfId="11180" priority="1396" operator="greaterThan">
      <formula>0</formula>
    </cfRule>
  </conditionalFormatting>
  <conditionalFormatting sqref="Q40">
    <cfRule type="cellIs" dxfId="11179" priority="1401" operator="lessThan">
      <formula>0</formula>
    </cfRule>
  </conditionalFormatting>
  <conditionalFormatting sqref="R40">
    <cfRule type="cellIs" dxfId="11178" priority="1399" operator="lessThan">
      <formula>0.8</formula>
    </cfRule>
    <cfRule type="cellIs" dxfId="11177" priority="1400" operator="greaterThan">
      <formula>1</formula>
    </cfRule>
  </conditionalFormatting>
  <conditionalFormatting sqref="R40">
    <cfRule type="cellIs" dxfId="11176" priority="1397" operator="greaterThan">
      <formula>1</formula>
    </cfRule>
    <cfRule type="cellIs" dxfId="11175" priority="1398" operator="lessThan">
      <formula>0.8</formula>
    </cfRule>
  </conditionalFormatting>
  <conditionalFormatting sqref="Q40">
    <cfRule type="cellIs" dxfId="11174" priority="1390" operator="lessThan">
      <formula>0</formula>
    </cfRule>
  </conditionalFormatting>
  <conditionalFormatting sqref="P40">
    <cfRule type="cellIs" dxfId="11173" priority="1391" operator="greaterThan">
      <formula>0</formula>
    </cfRule>
  </conditionalFormatting>
  <conditionalFormatting sqref="R40">
    <cfRule type="cellIs" dxfId="11172" priority="1394" operator="lessThan">
      <formula>0.8</formula>
    </cfRule>
    <cfRule type="cellIs" dxfId="11171" priority="1395" operator="greaterThan">
      <formula>1</formula>
    </cfRule>
  </conditionalFormatting>
  <conditionalFormatting sqref="R40">
    <cfRule type="cellIs" dxfId="11170" priority="1392" operator="greaterThan">
      <formula>1</formula>
    </cfRule>
    <cfRule type="cellIs" dxfId="11169" priority="1393" operator="lessThan">
      <formula>0.8</formula>
    </cfRule>
  </conditionalFormatting>
  <conditionalFormatting sqref="Q40">
    <cfRule type="cellIs" dxfId="11168" priority="1384" operator="lessThan">
      <formula>0</formula>
    </cfRule>
  </conditionalFormatting>
  <conditionalFormatting sqref="R40">
    <cfRule type="cellIs" dxfId="11167" priority="1388" operator="lessThan">
      <formula>0.8</formula>
    </cfRule>
    <cfRule type="cellIs" dxfId="11166" priority="1389" operator="greaterThan">
      <formula>1</formula>
    </cfRule>
  </conditionalFormatting>
  <conditionalFormatting sqref="R40">
    <cfRule type="cellIs" dxfId="11165" priority="1386" operator="greaterThan">
      <formula>1</formula>
    </cfRule>
    <cfRule type="cellIs" dxfId="11164" priority="1387" operator="lessThan">
      <formula>0.8</formula>
    </cfRule>
  </conditionalFormatting>
  <conditionalFormatting sqref="P40">
    <cfRule type="cellIs" dxfId="11163" priority="1385" operator="greaterThan">
      <formula>0</formula>
    </cfRule>
  </conditionalFormatting>
  <conditionalFormatting sqref="Q40">
    <cfRule type="cellIs" dxfId="11162" priority="1383" operator="lessThan">
      <formula>0</formula>
    </cfRule>
  </conditionalFormatting>
  <conditionalFormatting sqref="R40">
    <cfRule type="cellIs" dxfId="11161" priority="1381" operator="lessThan">
      <formula>0.8</formula>
    </cfRule>
    <cfRule type="cellIs" dxfId="11160" priority="1382" operator="greaterThan">
      <formula>1</formula>
    </cfRule>
  </conditionalFormatting>
  <conditionalFormatting sqref="R40">
    <cfRule type="cellIs" dxfId="11159" priority="1379" operator="greaterThan">
      <formula>1</formula>
    </cfRule>
    <cfRule type="cellIs" dxfId="11158" priority="1380" operator="lessThan">
      <formula>0.8</formula>
    </cfRule>
  </conditionalFormatting>
  <conditionalFormatting sqref="P40">
    <cfRule type="cellIs" dxfId="11157" priority="1378" operator="greaterThan">
      <formula>0</formula>
    </cfRule>
  </conditionalFormatting>
  <conditionalFormatting sqref="Q40">
    <cfRule type="cellIs" dxfId="11156" priority="1377" operator="lessThan">
      <formula>0</formula>
    </cfRule>
  </conditionalFormatting>
  <conditionalFormatting sqref="R40">
    <cfRule type="cellIs" dxfId="11155" priority="1375" operator="lessThan">
      <formula>0.8</formula>
    </cfRule>
    <cfRule type="cellIs" dxfId="11154" priority="1376" operator="greaterThan">
      <formula>1</formula>
    </cfRule>
  </conditionalFormatting>
  <conditionalFormatting sqref="R40">
    <cfRule type="cellIs" dxfId="11153" priority="1373" operator="greaterThan">
      <formula>1</formula>
    </cfRule>
    <cfRule type="cellIs" dxfId="11152" priority="1374" operator="lessThan">
      <formula>0.8</formula>
    </cfRule>
  </conditionalFormatting>
  <conditionalFormatting sqref="P40">
    <cfRule type="cellIs" dxfId="11151" priority="1372" operator="greaterThan">
      <formula>0</formula>
    </cfRule>
  </conditionalFormatting>
  <conditionalFormatting sqref="Q32:Q39">
    <cfRule type="cellIs" dxfId="11150" priority="1371" operator="lessThan">
      <formula>0</formula>
    </cfRule>
  </conditionalFormatting>
  <conditionalFormatting sqref="R32:R39">
    <cfRule type="cellIs" dxfId="11149" priority="1369" operator="lessThan">
      <formula>0.8</formula>
    </cfRule>
    <cfRule type="cellIs" dxfId="11148" priority="1370" operator="greaterThan">
      <formula>1</formula>
    </cfRule>
  </conditionalFormatting>
  <conditionalFormatting sqref="R32:R39">
    <cfRule type="cellIs" dxfId="11147" priority="1367" operator="greaterThan">
      <formula>1</formula>
    </cfRule>
    <cfRule type="cellIs" dxfId="11146" priority="1368" operator="lessThan">
      <formula>0.8</formula>
    </cfRule>
  </conditionalFormatting>
  <conditionalFormatting sqref="P32:P39">
    <cfRule type="cellIs" dxfId="11145" priority="1366" operator="greaterThan">
      <formula>0</formula>
    </cfRule>
  </conditionalFormatting>
  <conditionalFormatting sqref="Q32:Q39">
    <cfRule type="cellIs" dxfId="11144" priority="1365" operator="lessThan">
      <formula>0</formula>
    </cfRule>
  </conditionalFormatting>
  <conditionalFormatting sqref="R32:R39">
    <cfRule type="cellIs" dxfId="11143" priority="1363" operator="lessThan">
      <formula>0.8</formula>
    </cfRule>
    <cfRule type="cellIs" dxfId="11142" priority="1364" operator="greaterThan">
      <formula>1</formula>
    </cfRule>
  </conditionalFormatting>
  <conditionalFormatting sqref="R32:R39">
    <cfRule type="cellIs" dxfId="11141" priority="1361" operator="greaterThan">
      <formula>1</formula>
    </cfRule>
    <cfRule type="cellIs" dxfId="11140" priority="1362" operator="lessThan">
      <formula>0.8</formula>
    </cfRule>
  </conditionalFormatting>
  <conditionalFormatting sqref="P32:P39">
    <cfRule type="cellIs" dxfId="11139" priority="1360" operator="greaterThan">
      <formula>0</formula>
    </cfRule>
  </conditionalFormatting>
  <conditionalFormatting sqref="Q32:Q39">
    <cfRule type="cellIs" dxfId="11138" priority="1359" operator="lessThan">
      <formula>0</formula>
    </cfRule>
  </conditionalFormatting>
  <conditionalFormatting sqref="R32:R39">
    <cfRule type="cellIs" dxfId="11137" priority="1357" operator="lessThan">
      <formula>0.8</formula>
    </cfRule>
    <cfRule type="cellIs" dxfId="11136" priority="1358" operator="greaterThan">
      <formula>1</formula>
    </cfRule>
  </conditionalFormatting>
  <conditionalFormatting sqref="R32:R39">
    <cfRule type="cellIs" dxfId="11135" priority="1355" operator="greaterThan">
      <formula>1</formula>
    </cfRule>
    <cfRule type="cellIs" dxfId="11134" priority="1356" operator="lessThan">
      <formula>0.8</formula>
    </cfRule>
  </conditionalFormatting>
  <conditionalFormatting sqref="P32:P39">
    <cfRule type="cellIs" dxfId="11133" priority="1354" operator="greaterThan">
      <formula>0</formula>
    </cfRule>
  </conditionalFormatting>
  <conditionalFormatting sqref="Q32:Q39">
    <cfRule type="cellIs" dxfId="11132" priority="1353" operator="lessThan">
      <formula>0</formula>
    </cfRule>
  </conditionalFormatting>
  <conditionalFormatting sqref="R32:R39">
    <cfRule type="cellIs" dxfId="11131" priority="1351" operator="lessThan">
      <formula>0.8</formula>
    </cfRule>
    <cfRule type="cellIs" dxfId="11130" priority="1352" operator="greaterThan">
      <formula>1</formula>
    </cfRule>
  </conditionalFormatting>
  <conditionalFormatting sqref="R32:R39">
    <cfRule type="cellIs" dxfId="11129" priority="1349" operator="greaterThan">
      <formula>1</formula>
    </cfRule>
    <cfRule type="cellIs" dxfId="11128" priority="1350" operator="lessThan">
      <formula>0.8</formula>
    </cfRule>
  </conditionalFormatting>
  <conditionalFormatting sqref="P32:P39">
    <cfRule type="cellIs" dxfId="11127" priority="1348" operator="greaterThan">
      <formula>0</formula>
    </cfRule>
  </conditionalFormatting>
  <conditionalFormatting sqref="P32:P39">
    <cfRule type="cellIs" dxfId="11126" priority="1342" operator="greaterThan">
      <formula>0</formula>
    </cfRule>
  </conditionalFormatting>
  <conditionalFormatting sqref="Q32:Q39">
    <cfRule type="cellIs" dxfId="11125" priority="1347" operator="lessThan">
      <formula>0</formula>
    </cfRule>
  </conditionalFormatting>
  <conditionalFormatting sqref="R32:R39">
    <cfRule type="cellIs" dxfId="11124" priority="1345" operator="lessThan">
      <formula>0.8</formula>
    </cfRule>
    <cfRule type="cellIs" dxfId="11123" priority="1346" operator="greaterThan">
      <formula>1</formula>
    </cfRule>
  </conditionalFormatting>
  <conditionalFormatting sqref="R32:R39">
    <cfRule type="cellIs" dxfId="11122" priority="1343" operator="greaterThan">
      <formula>1</formula>
    </cfRule>
    <cfRule type="cellIs" dxfId="11121" priority="1344" operator="lessThan">
      <formula>0.8</formula>
    </cfRule>
  </conditionalFormatting>
  <conditionalFormatting sqref="P32:P39">
    <cfRule type="cellIs" dxfId="11120" priority="1336" operator="greaterThan">
      <formula>0</formula>
    </cfRule>
  </conditionalFormatting>
  <conditionalFormatting sqref="Q32:Q39">
    <cfRule type="cellIs" dxfId="11119" priority="1341" operator="lessThan">
      <formula>0</formula>
    </cfRule>
  </conditionalFormatting>
  <conditionalFormatting sqref="R32:R39">
    <cfRule type="cellIs" dxfId="11118" priority="1339" operator="lessThan">
      <formula>0.8</formula>
    </cfRule>
    <cfRule type="cellIs" dxfId="11117" priority="1340" operator="greaterThan">
      <formula>1</formula>
    </cfRule>
  </conditionalFormatting>
  <conditionalFormatting sqref="R32:R39">
    <cfRule type="cellIs" dxfId="11116" priority="1337" operator="greaterThan">
      <formula>1</formula>
    </cfRule>
    <cfRule type="cellIs" dxfId="11115" priority="1338" operator="lessThan">
      <formula>0.8</formula>
    </cfRule>
  </conditionalFormatting>
  <conditionalFormatting sqref="R32:R39">
    <cfRule type="cellIs" dxfId="11114" priority="1333" operator="lessThan">
      <formula>0.8</formula>
    </cfRule>
    <cfRule type="cellIs" dxfId="11113" priority="1334" operator="greaterThan">
      <formula>1</formula>
    </cfRule>
  </conditionalFormatting>
  <conditionalFormatting sqref="R32:R39">
    <cfRule type="cellIs" dxfId="11112" priority="1331" operator="greaterThan">
      <formula>1</formula>
    </cfRule>
    <cfRule type="cellIs" dxfId="11111" priority="1332" operator="lessThan">
      <formula>0.8</formula>
    </cfRule>
  </conditionalFormatting>
  <conditionalFormatting sqref="P32:P39">
    <cfRule type="cellIs" dxfId="11110" priority="1330" operator="greaterThan">
      <formula>0</formula>
    </cfRule>
  </conditionalFormatting>
  <conditionalFormatting sqref="Q32:Q39">
    <cfRule type="cellIs" dxfId="11109" priority="1335" operator="lessThan">
      <formula>0</formula>
    </cfRule>
  </conditionalFormatting>
  <conditionalFormatting sqref="Q32:Q39">
    <cfRule type="cellIs" dxfId="11108" priority="1329" operator="lessThan">
      <formula>0</formula>
    </cfRule>
  </conditionalFormatting>
  <conditionalFormatting sqref="R32:R39">
    <cfRule type="cellIs" dxfId="11107" priority="1327" operator="lessThan">
      <formula>0.8</formula>
    </cfRule>
    <cfRule type="cellIs" dxfId="11106" priority="1328" operator="greaterThan">
      <formula>1</formula>
    </cfRule>
  </conditionalFormatting>
  <conditionalFormatting sqref="R32:R39">
    <cfRule type="cellIs" dxfId="11105" priority="1325" operator="greaterThan">
      <formula>1</formula>
    </cfRule>
    <cfRule type="cellIs" dxfId="11104" priority="1326" operator="lessThan">
      <formula>0.8</formula>
    </cfRule>
  </conditionalFormatting>
  <conditionalFormatting sqref="P32:P39">
    <cfRule type="cellIs" dxfId="11103" priority="1324" operator="greaterThan">
      <formula>0</formula>
    </cfRule>
  </conditionalFormatting>
  <conditionalFormatting sqref="P32:P39">
    <cfRule type="cellIs" dxfId="11102" priority="1318" operator="greaterThan">
      <formula>0</formula>
    </cfRule>
  </conditionalFormatting>
  <conditionalFormatting sqref="Q32:Q39">
    <cfRule type="cellIs" dxfId="11101" priority="1323" operator="lessThan">
      <formula>0</formula>
    </cfRule>
  </conditionalFormatting>
  <conditionalFormatting sqref="R32:R39">
    <cfRule type="cellIs" dxfId="11100" priority="1321" operator="lessThan">
      <formula>0.8</formula>
    </cfRule>
    <cfRule type="cellIs" dxfId="11099" priority="1322" operator="greaterThan">
      <formula>1</formula>
    </cfRule>
  </conditionalFormatting>
  <conditionalFormatting sqref="R32:R39">
    <cfRule type="cellIs" dxfId="11098" priority="1319" operator="greaterThan">
      <formula>1</formula>
    </cfRule>
    <cfRule type="cellIs" dxfId="11097" priority="1320" operator="lessThan">
      <formula>0.8</formula>
    </cfRule>
  </conditionalFormatting>
  <conditionalFormatting sqref="P32:P39">
    <cfRule type="cellIs" dxfId="11096" priority="1312" operator="greaterThan">
      <formula>0</formula>
    </cfRule>
  </conditionalFormatting>
  <conditionalFormatting sqref="Q32:Q39">
    <cfRule type="cellIs" dxfId="11095" priority="1317" operator="lessThan">
      <formula>0</formula>
    </cfRule>
  </conditionalFormatting>
  <conditionalFormatting sqref="R32:R39">
    <cfRule type="cellIs" dxfId="11094" priority="1315" operator="lessThan">
      <formula>0.8</formula>
    </cfRule>
    <cfRule type="cellIs" dxfId="11093" priority="1316" operator="greaterThan">
      <formula>1</formula>
    </cfRule>
  </conditionalFormatting>
  <conditionalFormatting sqref="R32:R39">
    <cfRule type="cellIs" dxfId="11092" priority="1313" operator="greaterThan">
      <formula>1</formula>
    </cfRule>
    <cfRule type="cellIs" dxfId="11091" priority="1314" operator="lessThan">
      <formula>0.8</formula>
    </cfRule>
  </conditionalFormatting>
  <conditionalFormatting sqref="R32:R39">
    <cfRule type="cellIs" dxfId="11090" priority="1309" operator="lessThan">
      <formula>0.8</formula>
    </cfRule>
    <cfRule type="cellIs" dxfId="11089" priority="1310" operator="greaterThan">
      <formula>1</formula>
    </cfRule>
  </conditionalFormatting>
  <conditionalFormatting sqref="R32:R39">
    <cfRule type="cellIs" dxfId="11088" priority="1307" operator="greaterThan">
      <formula>1</formula>
    </cfRule>
    <cfRule type="cellIs" dxfId="11087" priority="1308" operator="lessThan">
      <formula>0.8</formula>
    </cfRule>
  </conditionalFormatting>
  <conditionalFormatting sqref="P32:P39">
    <cfRule type="cellIs" dxfId="11086" priority="1306" operator="greaterThan">
      <formula>0</formula>
    </cfRule>
  </conditionalFormatting>
  <conditionalFormatting sqref="Q32:Q39">
    <cfRule type="cellIs" dxfId="11085" priority="1311" operator="lessThan">
      <formula>0</formula>
    </cfRule>
  </conditionalFormatting>
  <conditionalFormatting sqref="P32:P39">
    <cfRule type="cellIs" dxfId="11084" priority="1300" operator="greaterThan">
      <formula>0</formula>
    </cfRule>
  </conditionalFormatting>
  <conditionalFormatting sqref="Q32:Q39">
    <cfRule type="cellIs" dxfId="11083" priority="1305" operator="lessThan">
      <formula>0</formula>
    </cfRule>
  </conditionalFormatting>
  <conditionalFormatting sqref="R32:R39">
    <cfRule type="cellIs" dxfId="11082" priority="1303" operator="lessThan">
      <formula>0.8</formula>
    </cfRule>
    <cfRule type="cellIs" dxfId="11081" priority="1304" operator="greaterThan">
      <formula>1</formula>
    </cfRule>
  </conditionalFormatting>
  <conditionalFormatting sqref="R32:R39">
    <cfRule type="cellIs" dxfId="11080" priority="1301" operator="greaterThan">
      <formula>1</formula>
    </cfRule>
    <cfRule type="cellIs" dxfId="11079" priority="1302" operator="lessThan">
      <formula>0.8</formula>
    </cfRule>
  </conditionalFormatting>
  <conditionalFormatting sqref="R32:R39">
    <cfRule type="cellIs" dxfId="11078" priority="1297" operator="lessThan">
      <formula>0.8</formula>
    </cfRule>
    <cfRule type="cellIs" dxfId="11077" priority="1298" operator="greaterThan">
      <formula>1</formula>
    </cfRule>
  </conditionalFormatting>
  <conditionalFormatting sqref="R32:R39">
    <cfRule type="cellIs" dxfId="11076" priority="1295" operator="greaterThan">
      <formula>1</formula>
    </cfRule>
    <cfRule type="cellIs" dxfId="11075" priority="1296" operator="lessThan">
      <formula>0.8</formula>
    </cfRule>
  </conditionalFormatting>
  <conditionalFormatting sqref="P32:P39">
    <cfRule type="cellIs" dxfId="11074" priority="1294" operator="greaterThan">
      <formula>0</formula>
    </cfRule>
  </conditionalFormatting>
  <conditionalFormatting sqref="Q32:Q39">
    <cfRule type="cellIs" dxfId="11073" priority="1299" operator="lessThan">
      <formula>0</formula>
    </cfRule>
  </conditionalFormatting>
  <conditionalFormatting sqref="R32:R39">
    <cfRule type="cellIs" dxfId="11072" priority="1291" operator="lessThan">
      <formula>0.8</formula>
    </cfRule>
    <cfRule type="cellIs" dxfId="11071" priority="1292" operator="greaterThan">
      <formula>1</formula>
    </cfRule>
  </conditionalFormatting>
  <conditionalFormatting sqref="R32:R39">
    <cfRule type="cellIs" dxfId="11070" priority="1289" operator="greaterThan">
      <formula>1</formula>
    </cfRule>
    <cfRule type="cellIs" dxfId="11069" priority="1290" operator="lessThan">
      <formula>0.8</formula>
    </cfRule>
  </conditionalFormatting>
  <conditionalFormatting sqref="P32:P39">
    <cfRule type="cellIs" dxfId="11068" priority="1288" operator="greaterThan">
      <formula>0</formula>
    </cfRule>
  </conditionalFormatting>
  <conditionalFormatting sqref="Q32:Q39">
    <cfRule type="cellIs" dxfId="11067" priority="1293" operator="lessThan">
      <formula>0</formula>
    </cfRule>
  </conditionalFormatting>
  <conditionalFormatting sqref="Q32:Q39">
    <cfRule type="cellIs" dxfId="11066" priority="1287" operator="lessThan">
      <formula>0</formula>
    </cfRule>
  </conditionalFormatting>
  <conditionalFormatting sqref="R32:R39">
    <cfRule type="cellIs" dxfId="11065" priority="1285" operator="lessThan">
      <formula>0.8</formula>
    </cfRule>
    <cfRule type="cellIs" dxfId="11064" priority="1286" operator="greaterThan">
      <formula>1</formula>
    </cfRule>
  </conditionalFormatting>
  <conditionalFormatting sqref="R32:R39">
    <cfRule type="cellIs" dxfId="11063" priority="1283" operator="greaterThan">
      <formula>1</formula>
    </cfRule>
    <cfRule type="cellIs" dxfId="11062" priority="1284" operator="lessThan">
      <formula>0.8</formula>
    </cfRule>
  </conditionalFormatting>
  <conditionalFormatting sqref="P32:P39">
    <cfRule type="cellIs" dxfId="11061" priority="1282" operator="greaterThan">
      <formula>0</formula>
    </cfRule>
  </conditionalFormatting>
  <conditionalFormatting sqref="Q32:Q39">
    <cfRule type="cellIs" dxfId="11060" priority="1276" operator="lessThan">
      <formula>0</formula>
    </cfRule>
  </conditionalFormatting>
  <conditionalFormatting sqref="R32:R39">
    <cfRule type="cellIs" dxfId="11059" priority="1280" operator="lessThan">
      <formula>0.8</formula>
    </cfRule>
    <cfRule type="cellIs" dxfId="11058" priority="1281" operator="greaterThan">
      <formula>1</formula>
    </cfRule>
  </conditionalFormatting>
  <conditionalFormatting sqref="R32:R39">
    <cfRule type="cellIs" dxfId="11057" priority="1278" operator="greaterThan">
      <formula>1</formula>
    </cfRule>
    <cfRule type="cellIs" dxfId="11056" priority="1279" operator="lessThan">
      <formula>0.8</formula>
    </cfRule>
  </conditionalFormatting>
  <conditionalFormatting sqref="P32:P39">
    <cfRule type="cellIs" dxfId="11055" priority="1277" operator="greaterThan">
      <formula>0</formula>
    </cfRule>
  </conditionalFormatting>
  <conditionalFormatting sqref="Q32:Q39">
    <cfRule type="cellIs" dxfId="11054" priority="1275" operator="lessThan">
      <formula>0</formula>
    </cfRule>
  </conditionalFormatting>
  <conditionalFormatting sqref="R32:R39">
    <cfRule type="cellIs" dxfId="11053" priority="1273" operator="lessThan">
      <formula>0.8</formula>
    </cfRule>
    <cfRule type="cellIs" dxfId="11052" priority="1274" operator="greaterThan">
      <formula>1</formula>
    </cfRule>
  </conditionalFormatting>
  <conditionalFormatting sqref="R32:R39">
    <cfRule type="cellIs" dxfId="11051" priority="1271" operator="greaterThan">
      <formula>1</formula>
    </cfRule>
    <cfRule type="cellIs" dxfId="11050" priority="1272" operator="lessThan">
      <formula>0.8</formula>
    </cfRule>
  </conditionalFormatting>
  <conditionalFormatting sqref="P32:P39">
    <cfRule type="cellIs" dxfId="11049" priority="1270" operator="greaterThan">
      <formula>0</formula>
    </cfRule>
  </conditionalFormatting>
  <conditionalFormatting sqref="Q32:Q39">
    <cfRule type="cellIs" dxfId="11048" priority="1269" operator="lessThan">
      <formula>0</formula>
    </cfRule>
  </conditionalFormatting>
  <conditionalFormatting sqref="R32:R39">
    <cfRule type="cellIs" dxfId="11047" priority="1267" operator="lessThan">
      <formula>0.8</formula>
    </cfRule>
    <cfRule type="cellIs" dxfId="11046" priority="1268" operator="greaterThan">
      <formula>1</formula>
    </cfRule>
  </conditionalFormatting>
  <conditionalFormatting sqref="R32:R39">
    <cfRule type="cellIs" dxfId="11045" priority="1265" operator="greaterThan">
      <formula>1</formula>
    </cfRule>
    <cfRule type="cellIs" dxfId="11044" priority="1266" operator="lessThan">
      <formula>0.8</formula>
    </cfRule>
  </conditionalFormatting>
  <conditionalFormatting sqref="P32:P39">
    <cfRule type="cellIs" dxfId="11043" priority="1264" operator="greaterThan">
      <formula>0</formula>
    </cfRule>
  </conditionalFormatting>
  <conditionalFormatting sqref="Q32:Q39">
    <cfRule type="cellIs" dxfId="11042" priority="1263" operator="lessThan">
      <formula>0</formula>
    </cfRule>
  </conditionalFormatting>
  <conditionalFormatting sqref="R32:R39">
    <cfRule type="cellIs" dxfId="11041" priority="1261" operator="lessThan">
      <formula>0.8</formula>
    </cfRule>
    <cfRule type="cellIs" dxfId="11040" priority="1262" operator="greaterThan">
      <formula>1</formula>
    </cfRule>
  </conditionalFormatting>
  <conditionalFormatting sqref="R32:R39">
    <cfRule type="cellIs" dxfId="11039" priority="1259" operator="greaterThan">
      <formula>1</formula>
    </cfRule>
    <cfRule type="cellIs" dxfId="11038" priority="1260" operator="lessThan">
      <formula>0.8</formula>
    </cfRule>
  </conditionalFormatting>
  <conditionalFormatting sqref="P32:P39">
    <cfRule type="cellIs" dxfId="11037" priority="1258" operator="greaterThan">
      <formula>0</formula>
    </cfRule>
  </conditionalFormatting>
  <conditionalFormatting sqref="Q32:Q39">
    <cfRule type="cellIs" dxfId="11036" priority="1257" operator="lessThan">
      <formula>0</formula>
    </cfRule>
  </conditionalFormatting>
  <conditionalFormatting sqref="R32:R39">
    <cfRule type="cellIs" dxfId="11035" priority="1255" operator="lessThan">
      <formula>0.8</formula>
    </cfRule>
    <cfRule type="cellIs" dxfId="11034" priority="1256" operator="greaterThan">
      <formula>1</formula>
    </cfRule>
  </conditionalFormatting>
  <conditionalFormatting sqref="R32:R39">
    <cfRule type="cellIs" dxfId="11033" priority="1253" operator="greaterThan">
      <formula>1</formula>
    </cfRule>
    <cfRule type="cellIs" dxfId="11032" priority="1254" operator="lessThan">
      <formula>0.8</formula>
    </cfRule>
  </conditionalFormatting>
  <conditionalFormatting sqref="P32:P39">
    <cfRule type="cellIs" dxfId="11031" priority="1252" operator="greaterThan">
      <formula>0</formula>
    </cfRule>
  </conditionalFormatting>
  <conditionalFormatting sqref="Q32:Q39">
    <cfRule type="cellIs" dxfId="11030" priority="1251" operator="lessThan">
      <formula>0</formula>
    </cfRule>
  </conditionalFormatting>
  <conditionalFormatting sqref="R32:R39">
    <cfRule type="cellIs" dxfId="11029" priority="1249" operator="lessThan">
      <formula>0.8</formula>
    </cfRule>
    <cfRule type="cellIs" dxfId="11028" priority="1250" operator="greaterThan">
      <formula>1</formula>
    </cfRule>
  </conditionalFormatting>
  <conditionalFormatting sqref="R32:R39">
    <cfRule type="cellIs" dxfId="11027" priority="1247" operator="greaterThan">
      <formula>1</formula>
    </cfRule>
    <cfRule type="cellIs" dxfId="11026" priority="1248" operator="lessThan">
      <formula>0.8</formula>
    </cfRule>
  </conditionalFormatting>
  <conditionalFormatting sqref="P32:P39">
    <cfRule type="cellIs" dxfId="11025" priority="1246" operator="greaterThan">
      <formula>0</formula>
    </cfRule>
  </conditionalFormatting>
  <conditionalFormatting sqref="P32:P39">
    <cfRule type="cellIs" dxfId="11024" priority="1240" operator="greaterThan">
      <formula>0</formula>
    </cfRule>
  </conditionalFormatting>
  <conditionalFormatting sqref="Q32:Q39">
    <cfRule type="cellIs" dxfId="11023" priority="1245" operator="lessThan">
      <formula>0</formula>
    </cfRule>
  </conditionalFormatting>
  <conditionalFormatting sqref="R32:R39">
    <cfRule type="cellIs" dxfId="11022" priority="1243" operator="lessThan">
      <formula>0.8</formula>
    </cfRule>
    <cfRule type="cellIs" dxfId="11021" priority="1244" operator="greaterThan">
      <formula>1</formula>
    </cfRule>
  </conditionalFormatting>
  <conditionalFormatting sqref="R32:R39">
    <cfRule type="cellIs" dxfId="11020" priority="1241" operator="greaterThan">
      <formula>1</formula>
    </cfRule>
    <cfRule type="cellIs" dxfId="11019" priority="1242" operator="lessThan">
      <formula>0.8</formula>
    </cfRule>
  </conditionalFormatting>
  <conditionalFormatting sqref="P32:P39">
    <cfRule type="cellIs" dxfId="11018" priority="1234" operator="greaterThan">
      <formula>0</formula>
    </cfRule>
  </conditionalFormatting>
  <conditionalFormatting sqref="Q32:Q39">
    <cfRule type="cellIs" dxfId="11017" priority="1239" operator="lessThan">
      <formula>0</formula>
    </cfRule>
  </conditionalFormatting>
  <conditionalFormatting sqref="R32:R39">
    <cfRule type="cellIs" dxfId="11016" priority="1237" operator="lessThan">
      <formula>0.8</formula>
    </cfRule>
    <cfRule type="cellIs" dxfId="11015" priority="1238" operator="greaterThan">
      <formula>1</formula>
    </cfRule>
  </conditionalFormatting>
  <conditionalFormatting sqref="R32:R39">
    <cfRule type="cellIs" dxfId="11014" priority="1235" operator="greaterThan">
      <formula>1</formula>
    </cfRule>
    <cfRule type="cellIs" dxfId="11013" priority="1236" operator="lessThan">
      <formula>0.8</formula>
    </cfRule>
  </conditionalFormatting>
  <conditionalFormatting sqref="R32:R39">
    <cfRule type="cellIs" dxfId="11012" priority="1231" operator="lessThan">
      <formula>0.8</formula>
    </cfRule>
    <cfRule type="cellIs" dxfId="11011" priority="1232" operator="greaterThan">
      <formula>1</formula>
    </cfRule>
  </conditionalFormatting>
  <conditionalFormatting sqref="R32:R39">
    <cfRule type="cellIs" dxfId="11010" priority="1229" operator="greaterThan">
      <formula>1</formula>
    </cfRule>
    <cfRule type="cellIs" dxfId="11009" priority="1230" operator="lessThan">
      <formula>0.8</formula>
    </cfRule>
  </conditionalFormatting>
  <conditionalFormatting sqref="P32:P39">
    <cfRule type="cellIs" dxfId="11008" priority="1228" operator="greaterThan">
      <formula>0</formula>
    </cfRule>
  </conditionalFormatting>
  <conditionalFormatting sqref="Q32:Q39">
    <cfRule type="cellIs" dxfId="11007" priority="1233" operator="lessThan">
      <formula>0</formula>
    </cfRule>
  </conditionalFormatting>
  <conditionalFormatting sqref="Q32:Q39">
    <cfRule type="cellIs" dxfId="11006" priority="1222" operator="lessThan">
      <formula>0</formula>
    </cfRule>
  </conditionalFormatting>
  <conditionalFormatting sqref="P32:P39">
    <cfRule type="cellIs" dxfId="11005" priority="1223" operator="greaterThan">
      <formula>0</formula>
    </cfRule>
  </conditionalFormatting>
  <conditionalFormatting sqref="R32:R39">
    <cfRule type="cellIs" dxfId="11004" priority="1226" operator="lessThan">
      <formula>0.8</formula>
    </cfRule>
    <cfRule type="cellIs" dxfId="11003" priority="1227" operator="greaterThan">
      <formula>1</formula>
    </cfRule>
  </conditionalFormatting>
  <conditionalFormatting sqref="R32:R39">
    <cfRule type="cellIs" dxfId="11002" priority="1224" operator="greaterThan">
      <formula>1</formula>
    </cfRule>
    <cfRule type="cellIs" dxfId="11001" priority="1225" operator="lessThan">
      <formula>0.8</formula>
    </cfRule>
  </conditionalFormatting>
  <conditionalFormatting sqref="Q32:Q39">
    <cfRule type="cellIs" dxfId="11000" priority="1216" operator="lessThan">
      <formula>0</formula>
    </cfRule>
  </conditionalFormatting>
  <conditionalFormatting sqref="R32:R39">
    <cfRule type="cellIs" dxfId="10999" priority="1220" operator="lessThan">
      <formula>0.8</formula>
    </cfRule>
    <cfRule type="cellIs" dxfId="10998" priority="1221" operator="greaterThan">
      <formula>1</formula>
    </cfRule>
  </conditionalFormatting>
  <conditionalFormatting sqref="R32:R39">
    <cfRule type="cellIs" dxfId="10997" priority="1218" operator="greaterThan">
      <formula>1</formula>
    </cfRule>
    <cfRule type="cellIs" dxfId="10996" priority="1219" operator="lessThan">
      <formula>0.8</formula>
    </cfRule>
  </conditionalFormatting>
  <conditionalFormatting sqref="P32:P39">
    <cfRule type="cellIs" dxfId="10995" priority="1217" operator="greaterThan">
      <formula>0</formula>
    </cfRule>
  </conditionalFormatting>
  <conditionalFormatting sqref="Q32:Q39">
    <cfRule type="cellIs" dxfId="10994" priority="1215" operator="lessThan">
      <formula>0</formula>
    </cfRule>
  </conditionalFormatting>
  <conditionalFormatting sqref="R32:R39">
    <cfRule type="cellIs" dxfId="10993" priority="1213" operator="lessThan">
      <formula>0.8</formula>
    </cfRule>
    <cfRule type="cellIs" dxfId="10992" priority="1214" operator="greaterThan">
      <formula>1</formula>
    </cfRule>
  </conditionalFormatting>
  <conditionalFormatting sqref="R32:R39">
    <cfRule type="cellIs" dxfId="10991" priority="1211" operator="greaterThan">
      <formula>1</formula>
    </cfRule>
    <cfRule type="cellIs" dxfId="10990" priority="1212" operator="lessThan">
      <formula>0.8</formula>
    </cfRule>
  </conditionalFormatting>
  <conditionalFormatting sqref="P32:P39">
    <cfRule type="cellIs" dxfId="10989" priority="1210" operator="greaterThan">
      <formula>0</formula>
    </cfRule>
  </conditionalFormatting>
  <conditionalFormatting sqref="Q32:Q39">
    <cfRule type="cellIs" dxfId="10988" priority="1209" operator="lessThan">
      <formula>0</formula>
    </cfRule>
  </conditionalFormatting>
  <conditionalFormatting sqref="R32:R39">
    <cfRule type="cellIs" dxfId="10987" priority="1207" operator="lessThan">
      <formula>0.8</formula>
    </cfRule>
    <cfRule type="cellIs" dxfId="10986" priority="1208" operator="greaterThan">
      <formula>1</formula>
    </cfRule>
  </conditionalFormatting>
  <conditionalFormatting sqref="R32:R39">
    <cfRule type="cellIs" dxfId="10985" priority="1205" operator="greaterThan">
      <formula>1</formula>
    </cfRule>
    <cfRule type="cellIs" dxfId="10984" priority="1206" operator="lessThan">
      <formula>0.8</formula>
    </cfRule>
  </conditionalFormatting>
  <conditionalFormatting sqref="P32:P39">
    <cfRule type="cellIs" dxfId="10983" priority="1204" operator="greaterThan">
      <formula>0</formula>
    </cfRule>
  </conditionalFormatting>
  <conditionalFormatting sqref="Q32:Q39">
    <cfRule type="cellIs" dxfId="10982" priority="1203" operator="lessThan">
      <formula>0</formula>
    </cfRule>
  </conditionalFormatting>
  <conditionalFormatting sqref="R32:R39">
    <cfRule type="cellIs" dxfId="10981" priority="1201" operator="lessThan">
      <formula>0.8</formula>
    </cfRule>
    <cfRule type="cellIs" dxfId="10980" priority="1202" operator="greaterThan">
      <formula>1</formula>
    </cfRule>
  </conditionalFormatting>
  <conditionalFormatting sqref="R32:R39">
    <cfRule type="cellIs" dxfId="10979" priority="1199" operator="greaterThan">
      <formula>1</formula>
    </cfRule>
    <cfRule type="cellIs" dxfId="10978" priority="1200" operator="lessThan">
      <formula>0.8</formula>
    </cfRule>
  </conditionalFormatting>
  <conditionalFormatting sqref="P32:P39">
    <cfRule type="cellIs" dxfId="10977" priority="1198" operator="greaterThan">
      <formula>0</formula>
    </cfRule>
  </conditionalFormatting>
  <conditionalFormatting sqref="Q32:Q39">
    <cfRule type="cellIs" dxfId="10976" priority="1197" operator="lessThan">
      <formula>0</formula>
    </cfRule>
  </conditionalFormatting>
  <conditionalFormatting sqref="R32:R39">
    <cfRule type="cellIs" dxfId="10975" priority="1195" operator="lessThan">
      <formula>0.8</formula>
    </cfRule>
    <cfRule type="cellIs" dxfId="10974" priority="1196" operator="greaterThan">
      <formula>1</formula>
    </cfRule>
  </conditionalFormatting>
  <conditionalFormatting sqref="R32:R39">
    <cfRule type="cellIs" dxfId="10973" priority="1193" operator="greaterThan">
      <formula>1</formula>
    </cfRule>
    <cfRule type="cellIs" dxfId="10972" priority="1194" operator="lessThan">
      <formula>0.8</formula>
    </cfRule>
  </conditionalFormatting>
  <conditionalFormatting sqref="P32:P39">
    <cfRule type="cellIs" dxfId="10971" priority="1192" operator="greaterThan">
      <formula>0</formula>
    </cfRule>
  </conditionalFormatting>
  <conditionalFormatting sqref="Q96:Q105">
    <cfRule type="cellIs" dxfId="10970" priority="1186" operator="lessThan">
      <formula>0</formula>
    </cfRule>
  </conditionalFormatting>
  <conditionalFormatting sqref="P96:P105">
    <cfRule type="cellIs" dxfId="10969" priority="1187" operator="greaterThan">
      <formula>0</formula>
    </cfRule>
  </conditionalFormatting>
  <conditionalFormatting sqref="R96:R105">
    <cfRule type="cellIs" dxfId="10968" priority="1190" operator="lessThan">
      <formula>0.8</formula>
    </cfRule>
    <cfRule type="cellIs" dxfId="10967" priority="1191" operator="greaterThan">
      <formula>1</formula>
    </cfRule>
  </conditionalFormatting>
  <conditionalFormatting sqref="R96:R105">
    <cfRule type="cellIs" dxfId="10966" priority="1188" operator="greaterThan">
      <formula>1</formula>
    </cfRule>
    <cfRule type="cellIs" dxfId="10965" priority="1189" operator="lessThan">
      <formula>0.8</formula>
    </cfRule>
  </conditionalFormatting>
  <conditionalFormatting sqref="Q96:Q105">
    <cfRule type="cellIs" dxfId="10964" priority="1180" operator="lessThan">
      <formula>0</formula>
    </cfRule>
  </conditionalFormatting>
  <conditionalFormatting sqref="R96:R105">
    <cfRule type="cellIs" dxfId="10963" priority="1184" operator="lessThan">
      <formula>0.8</formula>
    </cfRule>
    <cfRule type="cellIs" dxfId="10962" priority="1185" operator="greaterThan">
      <formula>1</formula>
    </cfRule>
  </conditionalFormatting>
  <conditionalFormatting sqref="R96:R105">
    <cfRule type="cellIs" dxfId="10961" priority="1182" operator="greaterThan">
      <formula>1</formula>
    </cfRule>
    <cfRule type="cellIs" dxfId="10960" priority="1183" operator="lessThan">
      <formula>0.8</formula>
    </cfRule>
  </conditionalFormatting>
  <conditionalFormatting sqref="P96:P105">
    <cfRule type="cellIs" dxfId="10959" priority="1181" operator="greaterThan">
      <formula>0</formula>
    </cfRule>
  </conditionalFormatting>
  <conditionalFormatting sqref="Q96:Q105">
    <cfRule type="cellIs" dxfId="10958" priority="1179" operator="lessThan">
      <formula>0</formula>
    </cfRule>
  </conditionalFormatting>
  <conditionalFormatting sqref="R96:R105">
    <cfRule type="cellIs" dxfId="10957" priority="1177" operator="lessThan">
      <formula>0.8</formula>
    </cfRule>
    <cfRule type="cellIs" dxfId="10956" priority="1178" operator="greaterThan">
      <formula>1</formula>
    </cfRule>
  </conditionalFormatting>
  <conditionalFormatting sqref="R96:R105">
    <cfRule type="cellIs" dxfId="10955" priority="1175" operator="greaterThan">
      <formula>1</formula>
    </cfRule>
    <cfRule type="cellIs" dxfId="10954" priority="1176" operator="lessThan">
      <formula>0.8</formula>
    </cfRule>
  </conditionalFormatting>
  <conditionalFormatting sqref="P96:P105">
    <cfRule type="cellIs" dxfId="10953" priority="1174" operator="greaterThan">
      <formula>0</formula>
    </cfRule>
  </conditionalFormatting>
  <conditionalFormatting sqref="Q96:Q105">
    <cfRule type="cellIs" dxfId="10952" priority="1173" operator="lessThan">
      <formula>0</formula>
    </cfRule>
  </conditionalFormatting>
  <conditionalFormatting sqref="R96:R105">
    <cfRule type="cellIs" dxfId="10951" priority="1171" operator="lessThan">
      <formula>0.8</formula>
    </cfRule>
    <cfRule type="cellIs" dxfId="10950" priority="1172" operator="greaterThan">
      <formula>1</formula>
    </cfRule>
  </conditionalFormatting>
  <conditionalFormatting sqref="R96:R105">
    <cfRule type="cellIs" dxfId="10949" priority="1169" operator="greaterThan">
      <formula>1</formula>
    </cfRule>
    <cfRule type="cellIs" dxfId="10948" priority="1170" operator="lessThan">
      <formula>0.8</formula>
    </cfRule>
  </conditionalFormatting>
  <conditionalFormatting sqref="P96:P105">
    <cfRule type="cellIs" dxfId="10947" priority="1168" operator="greaterThan">
      <formula>0</formula>
    </cfRule>
  </conditionalFormatting>
  <conditionalFormatting sqref="Q96:Q105">
    <cfRule type="cellIs" dxfId="10946" priority="1162" operator="lessThan">
      <formula>0</formula>
    </cfRule>
  </conditionalFormatting>
  <conditionalFormatting sqref="R96:R105">
    <cfRule type="cellIs" dxfId="10945" priority="1166" operator="lessThan">
      <formula>0.8</formula>
    </cfRule>
    <cfRule type="cellIs" dxfId="10944" priority="1167" operator="greaterThan">
      <formula>1</formula>
    </cfRule>
  </conditionalFormatting>
  <conditionalFormatting sqref="R96:R105">
    <cfRule type="cellIs" dxfId="10943" priority="1164" operator="greaterThan">
      <formula>1</formula>
    </cfRule>
    <cfRule type="cellIs" dxfId="10942" priority="1165" operator="lessThan">
      <formula>0.8</formula>
    </cfRule>
  </conditionalFormatting>
  <conditionalFormatting sqref="P96:P105">
    <cfRule type="cellIs" dxfId="10941" priority="1163" operator="greaterThan">
      <formula>0</formula>
    </cfRule>
  </conditionalFormatting>
  <conditionalFormatting sqref="Q96:Q105">
    <cfRule type="cellIs" dxfId="10940" priority="1161" operator="lessThan">
      <formula>0</formula>
    </cfRule>
  </conditionalFormatting>
  <conditionalFormatting sqref="R96:R105">
    <cfRule type="cellIs" dxfId="10939" priority="1159" operator="lessThan">
      <formula>0.8</formula>
    </cfRule>
    <cfRule type="cellIs" dxfId="10938" priority="1160" operator="greaterThan">
      <formula>1</formula>
    </cfRule>
  </conditionalFormatting>
  <conditionalFormatting sqref="R96:R105">
    <cfRule type="cellIs" dxfId="10937" priority="1157" operator="greaterThan">
      <formula>1</formula>
    </cfRule>
    <cfRule type="cellIs" dxfId="10936" priority="1158" operator="lessThan">
      <formula>0.8</formula>
    </cfRule>
  </conditionalFormatting>
  <conditionalFormatting sqref="P96:P105">
    <cfRule type="cellIs" dxfId="10935" priority="1156" operator="greaterThan">
      <formula>0</formula>
    </cfRule>
  </conditionalFormatting>
  <conditionalFormatting sqref="Q96:Q105">
    <cfRule type="cellIs" dxfId="10934" priority="1155" operator="lessThan">
      <formula>0</formula>
    </cfRule>
  </conditionalFormatting>
  <conditionalFormatting sqref="R96:R105">
    <cfRule type="cellIs" dxfId="10933" priority="1153" operator="lessThan">
      <formula>0.8</formula>
    </cfRule>
    <cfRule type="cellIs" dxfId="10932" priority="1154" operator="greaterThan">
      <formula>1</formula>
    </cfRule>
  </conditionalFormatting>
  <conditionalFormatting sqref="R96:R105">
    <cfRule type="cellIs" dxfId="10931" priority="1151" operator="greaterThan">
      <formula>1</formula>
    </cfRule>
    <cfRule type="cellIs" dxfId="10930" priority="1152" operator="lessThan">
      <formula>0.8</formula>
    </cfRule>
  </conditionalFormatting>
  <conditionalFormatting sqref="P96:P105">
    <cfRule type="cellIs" dxfId="10929" priority="1150" operator="greaterThan">
      <formula>0</formula>
    </cfRule>
  </conditionalFormatting>
  <conditionalFormatting sqref="Q96:Q105">
    <cfRule type="cellIs" dxfId="10928" priority="1149" operator="lessThan">
      <formula>0</formula>
    </cfRule>
  </conditionalFormatting>
  <conditionalFormatting sqref="R96:R105">
    <cfRule type="cellIs" dxfId="10927" priority="1147" operator="lessThan">
      <formula>0.8</formula>
    </cfRule>
    <cfRule type="cellIs" dxfId="10926" priority="1148" operator="greaterThan">
      <formula>1</formula>
    </cfRule>
  </conditionalFormatting>
  <conditionalFormatting sqref="R96:R105">
    <cfRule type="cellIs" dxfId="10925" priority="1145" operator="greaterThan">
      <formula>1</formula>
    </cfRule>
    <cfRule type="cellIs" dxfId="10924" priority="1146" operator="lessThan">
      <formula>0.8</formula>
    </cfRule>
  </conditionalFormatting>
  <conditionalFormatting sqref="P96:P105">
    <cfRule type="cellIs" dxfId="10923" priority="1144" operator="greaterThan">
      <formula>0</formula>
    </cfRule>
  </conditionalFormatting>
  <conditionalFormatting sqref="Q96:Q105">
    <cfRule type="cellIs" dxfId="10922" priority="1143" operator="lessThan">
      <formula>0</formula>
    </cfRule>
  </conditionalFormatting>
  <conditionalFormatting sqref="R96:R105">
    <cfRule type="cellIs" dxfId="10921" priority="1141" operator="lessThan">
      <formula>0.8</formula>
    </cfRule>
    <cfRule type="cellIs" dxfId="10920" priority="1142" operator="greaterThan">
      <formula>1</formula>
    </cfRule>
  </conditionalFormatting>
  <conditionalFormatting sqref="R96:R105">
    <cfRule type="cellIs" dxfId="10919" priority="1139" operator="greaterThan">
      <formula>1</formula>
    </cfRule>
    <cfRule type="cellIs" dxfId="10918" priority="1140" operator="lessThan">
      <formula>0.8</formula>
    </cfRule>
  </conditionalFormatting>
  <conditionalFormatting sqref="P96:P105">
    <cfRule type="cellIs" dxfId="10917" priority="1138" operator="greaterThan">
      <formula>0</formula>
    </cfRule>
  </conditionalFormatting>
  <conditionalFormatting sqref="Q96:Q105">
    <cfRule type="cellIs" dxfId="10916" priority="1137" operator="lessThan">
      <formula>0</formula>
    </cfRule>
  </conditionalFormatting>
  <conditionalFormatting sqref="R96:R105">
    <cfRule type="cellIs" dxfId="10915" priority="1135" operator="lessThan">
      <formula>0.8</formula>
    </cfRule>
    <cfRule type="cellIs" dxfId="10914" priority="1136" operator="greaterThan">
      <formula>1</formula>
    </cfRule>
  </conditionalFormatting>
  <conditionalFormatting sqref="R96:R105">
    <cfRule type="cellIs" dxfId="10913" priority="1133" operator="greaterThan">
      <formula>1</formula>
    </cfRule>
    <cfRule type="cellIs" dxfId="10912" priority="1134" operator="lessThan">
      <formula>0.8</formula>
    </cfRule>
  </conditionalFormatting>
  <conditionalFormatting sqref="P96:P105">
    <cfRule type="cellIs" dxfId="10911" priority="1132" operator="greaterThan">
      <formula>0</formula>
    </cfRule>
  </conditionalFormatting>
  <conditionalFormatting sqref="P96:P105">
    <cfRule type="cellIs" dxfId="10910" priority="1126" operator="greaterThan">
      <formula>0</formula>
    </cfRule>
  </conditionalFormatting>
  <conditionalFormatting sqref="Q96:Q105">
    <cfRule type="cellIs" dxfId="10909" priority="1131" operator="lessThan">
      <formula>0</formula>
    </cfRule>
  </conditionalFormatting>
  <conditionalFormatting sqref="R96:R105">
    <cfRule type="cellIs" dxfId="10908" priority="1129" operator="lessThan">
      <formula>0.8</formula>
    </cfRule>
    <cfRule type="cellIs" dxfId="10907" priority="1130" operator="greaterThan">
      <formula>1</formula>
    </cfRule>
  </conditionalFormatting>
  <conditionalFormatting sqref="R96:R105">
    <cfRule type="cellIs" dxfId="10906" priority="1127" operator="greaterThan">
      <formula>1</formula>
    </cfRule>
    <cfRule type="cellIs" dxfId="10905" priority="1128" operator="lessThan">
      <formula>0.8</formula>
    </cfRule>
  </conditionalFormatting>
  <conditionalFormatting sqref="P96:P105">
    <cfRule type="cellIs" dxfId="10904" priority="1120" operator="greaterThan">
      <formula>0</formula>
    </cfRule>
  </conditionalFormatting>
  <conditionalFormatting sqref="Q96:Q105">
    <cfRule type="cellIs" dxfId="10903" priority="1125" operator="lessThan">
      <formula>0</formula>
    </cfRule>
  </conditionalFormatting>
  <conditionalFormatting sqref="R96:R105">
    <cfRule type="cellIs" dxfId="10902" priority="1123" operator="lessThan">
      <formula>0.8</formula>
    </cfRule>
    <cfRule type="cellIs" dxfId="10901" priority="1124" operator="greaterThan">
      <formula>1</formula>
    </cfRule>
  </conditionalFormatting>
  <conditionalFormatting sqref="R96:R105">
    <cfRule type="cellIs" dxfId="10900" priority="1121" operator="greaterThan">
      <formula>1</formula>
    </cfRule>
    <cfRule type="cellIs" dxfId="10899" priority="1122" operator="lessThan">
      <formula>0.8</formula>
    </cfRule>
  </conditionalFormatting>
  <conditionalFormatting sqref="R96:R105">
    <cfRule type="cellIs" dxfId="10898" priority="1117" operator="lessThan">
      <formula>0.8</formula>
    </cfRule>
    <cfRule type="cellIs" dxfId="10897" priority="1118" operator="greaterThan">
      <formula>1</formula>
    </cfRule>
  </conditionalFormatting>
  <conditionalFormatting sqref="R96:R105">
    <cfRule type="cellIs" dxfId="10896" priority="1115" operator="greaterThan">
      <formula>1</formula>
    </cfRule>
    <cfRule type="cellIs" dxfId="10895" priority="1116" operator="lessThan">
      <formula>0.8</formula>
    </cfRule>
  </conditionalFormatting>
  <conditionalFormatting sqref="P96:P105">
    <cfRule type="cellIs" dxfId="10894" priority="1114" operator="greaterThan">
      <formula>0</formula>
    </cfRule>
  </conditionalFormatting>
  <conditionalFormatting sqref="Q96:Q105">
    <cfRule type="cellIs" dxfId="10893" priority="1119" operator="lessThan">
      <formula>0</formula>
    </cfRule>
  </conditionalFormatting>
  <conditionalFormatting sqref="Q96:Q105">
    <cfRule type="cellIs" dxfId="10892" priority="1108" operator="lessThan">
      <formula>0</formula>
    </cfRule>
  </conditionalFormatting>
  <conditionalFormatting sqref="P96:P105">
    <cfRule type="cellIs" dxfId="10891" priority="1109" operator="greaterThan">
      <formula>0</formula>
    </cfRule>
  </conditionalFormatting>
  <conditionalFormatting sqref="R96:R105">
    <cfRule type="cellIs" dxfId="10890" priority="1112" operator="lessThan">
      <formula>0.8</formula>
    </cfRule>
    <cfRule type="cellIs" dxfId="10889" priority="1113" operator="greaterThan">
      <formula>1</formula>
    </cfRule>
  </conditionalFormatting>
  <conditionalFormatting sqref="R96:R105">
    <cfRule type="cellIs" dxfId="10888" priority="1110" operator="greaterThan">
      <formula>1</formula>
    </cfRule>
    <cfRule type="cellIs" dxfId="10887" priority="1111" operator="lessThan">
      <formula>0.8</formula>
    </cfRule>
  </conditionalFormatting>
  <conditionalFormatting sqref="Q96:Q105">
    <cfRule type="cellIs" dxfId="10886" priority="1102" operator="lessThan">
      <formula>0</formula>
    </cfRule>
  </conditionalFormatting>
  <conditionalFormatting sqref="R96:R105">
    <cfRule type="cellIs" dxfId="10885" priority="1106" operator="lessThan">
      <formula>0.8</formula>
    </cfRule>
    <cfRule type="cellIs" dxfId="10884" priority="1107" operator="greaterThan">
      <formula>1</formula>
    </cfRule>
  </conditionalFormatting>
  <conditionalFormatting sqref="R96:R105">
    <cfRule type="cellIs" dxfId="10883" priority="1104" operator="greaterThan">
      <formula>1</formula>
    </cfRule>
    <cfRule type="cellIs" dxfId="10882" priority="1105" operator="lessThan">
      <formula>0.8</formula>
    </cfRule>
  </conditionalFormatting>
  <conditionalFormatting sqref="P96:P105">
    <cfRule type="cellIs" dxfId="10881" priority="1103" operator="greaterThan">
      <formula>0</formula>
    </cfRule>
  </conditionalFormatting>
  <conditionalFormatting sqref="Q96:Q105">
    <cfRule type="cellIs" dxfId="10880" priority="1101" operator="lessThan">
      <formula>0</formula>
    </cfRule>
  </conditionalFormatting>
  <conditionalFormatting sqref="R96:R105">
    <cfRule type="cellIs" dxfId="10879" priority="1099" operator="lessThan">
      <formula>0.8</formula>
    </cfRule>
    <cfRule type="cellIs" dxfId="10878" priority="1100" operator="greaterThan">
      <formula>1</formula>
    </cfRule>
  </conditionalFormatting>
  <conditionalFormatting sqref="R96:R105">
    <cfRule type="cellIs" dxfId="10877" priority="1097" operator="greaterThan">
      <formula>1</formula>
    </cfRule>
    <cfRule type="cellIs" dxfId="10876" priority="1098" operator="lessThan">
      <formula>0.8</formula>
    </cfRule>
  </conditionalFormatting>
  <conditionalFormatting sqref="P96:P105">
    <cfRule type="cellIs" dxfId="10875" priority="1096" operator="greaterThan">
      <formula>0</formula>
    </cfRule>
  </conditionalFormatting>
  <conditionalFormatting sqref="Q96:Q105">
    <cfRule type="cellIs" dxfId="10874" priority="1095" operator="lessThan">
      <formula>0</formula>
    </cfRule>
  </conditionalFormatting>
  <conditionalFormatting sqref="R96:R105">
    <cfRule type="cellIs" dxfId="10873" priority="1093" operator="lessThan">
      <formula>0.8</formula>
    </cfRule>
    <cfRule type="cellIs" dxfId="10872" priority="1094" operator="greaterThan">
      <formula>1</formula>
    </cfRule>
  </conditionalFormatting>
  <conditionalFormatting sqref="R96:R105">
    <cfRule type="cellIs" dxfId="10871" priority="1091" operator="greaterThan">
      <formula>1</formula>
    </cfRule>
    <cfRule type="cellIs" dxfId="10870" priority="1092" operator="lessThan">
      <formula>0.8</formula>
    </cfRule>
  </conditionalFormatting>
  <conditionalFormatting sqref="P96:P105">
    <cfRule type="cellIs" dxfId="10869" priority="1090" operator="greaterThan">
      <formula>0</formula>
    </cfRule>
  </conditionalFormatting>
  <conditionalFormatting sqref="Q96:Q105">
    <cfRule type="cellIs" dxfId="10868" priority="1084" operator="lessThan">
      <formula>0</formula>
    </cfRule>
  </conditionalFormatting>
  <conditionalFormatting sqref="P96:P105">
    <cfRule type="cellIs" dxfId="10867" priority="1085" operator="greaterThan">
      <formula>0</formula>
    </cfRule>
  </conditionalFormatting>
  <conditionalFormatting sqref="R96:R105">
    <cfRule type="cellIs" dxfId="10866" priority="1088" operator="lessThan">
      <formula>0.8</formula>
    </cfRule>
    <cfRule type="cellIs" dxfId="10865" priority="1089" operator="greaterThan">
      <formula>1</formula>
    </cfRule>
  </conditionalFormatting>
  <conditionalFormatting sqref="R96:R105">
    <cfRule type="cellIs" dxfId="10864" priority="1086" operator="greaterThan">
      <formula>1</formula>
    </cfRule>
    <cfRule type="cellIs" dxfId="10863" priority="1087" operator="lessThan">
      <formula>0.8</formula>
    </cfRule>
  </conditionalFormatting>
  <conditionalFormatting sqref="Q96:Q105">
    <cfRule type="cellIs" dxfId="10862" priority="1078" operator="lessThan">
      <formula>0</formula>
    </cfRule>
  </conditionalFormatting>
  <conditionalFormatting sqref="R96:R105">
    <cfRule type="cellIs" dxfId="10861" priority="1082" operator="lessThan">
      <formula>0.8</formula>
    </cfRule>
    <cfRule type="cellIs" dxfId="10860" priority="1083" operator="greaterThan">
      <formula>1</formula>
    </cfRule>
  </conditionalFormatting>
  <conditionalFormatting sqref="R96:R105">
    <cfRule type="cellIs" dxfId="10859" priority="1080" operator="greaterThan">
      <formula>1</formula>
    </cfRule>
    <cfRule type="cellIs" dxfId="10858" priority="1081" operator="lessThan">
      <formula>0.8</formula>
    </cfRule>
  </conditionalFormatting>
  <conditionalFormatting sqref="P96:P105">
    <cfRule type="cellIs" dxfId="10857" priority="1079" operator="greaterThan">
      <formula>0</formula>
    </cfRule>
  </conditionalFormatting>
  <conditionalFormatting sqref="Q96:Q105">
    <cfRule type="cellIs" dxfId="10856" priority="1077" operator="lessThan">
      <formula>0</formula>
    </cfRule>
  </conditionalFormatting>
  <conditionalFormatting sqref="R96:R105">
    <cfRule type="cellIs" dxfId="10855" priority="1075" operator="lessThan">
      <formula>0.8</formula>
    </cfRule>
    <cfRule type="cellIs" dxfId="10854" priority="1076" operator="greaterThan">
      <formula>1</formula>
    </cfRule>
  </conditionalFormatting>
  <conditionalFormatting sqref="R96:R105">
    <cfRule type="cellIs" dxfId="10853" priority="1073" operator="greaterThan">
      <formula>1</formula>
    </cfRule>
    <cfRule type="cellIs" dxfId="10852" priority="1074" operator="lessThan">
      <formula>0.8</formula>
    </cfRule>
  </conditionalFormatting>
  <conditionalFormatting sqref="P96:P105">
    <cfRule type="cellIs" dxfId="10851" priority="1072" operator="greaterThan">
      <formula>0</formula>
    </cfRule>
  </conditionalFormatting>
  <conditionalFormatting sqref="Q96:Q105">
    <cfRule type="cellIs" dxfId="10850" priority="1071" operator="lessThan">
      <formula>0</formula>
    </cfRule>
  </conditionalFormatting>
  <conditionalFormatting sqref="R96:R105">
    <cfRule type="cellIs" dxfId="10849" priority="1069" operator="lessThan">
      <formula>0.8</formula>
    </cfRule>
    <cfRule type="cellIs" dxfId="10848" priority="1070" operator="greaterThan">
      <formula>1</formula>
    </cfRule>
  </conditionalFormatting>
  <conditionalFormatting sqref="R96:R105">
    <cfRule type="cellIs" dxfId="10847" priority="1067" operator="greaterThan">
      <formula>1</formula>
    </cfRule>
    <cfRule type="cellIs" dxfId="10846" priority="1068" operator="lessThan">
      <formula>0.8</formula>
    </cfRule>
  </conditionalFormatting>
  <conditionalFormatting sqref="P96:P105">
    <cfRule type="cellIs" dxfId="10845" priority="1066" operator="greaterThan">
      <formula>0</formula>
    </cfRule>
  </conditionalFormatting>
  <conditionalFormatting sqref="P124 P127 P130">
    <cfRule type="cellIs" dxfId="10844" priority="1060" operator="greaterThan">
      <formula>0</formula>
    </cfRule>
  </conditionalFormatting>
  <conditionalFormatting sqref="Q124 Q127 Q130">
    <cfRule type="cellIs" dxfId="10843" priority="1065" operator="lessThan">
      <formula>0</formula>
    </cfRule>
  </conditionalFormatting>
  <conditionalFormatting sqref="R124 R127 R130">
    <cfRule type="cellIs" dxfId="10842" priority="1063" operator="lessThan">
      <formula>0.8</formula>
    </cfRule>
    <cfRule type="cellIs" dxfId="10841" priority="1064" operator="greaterThan">
      <formula>1</formula>
    </cfRule>
  </conditionalFormatting>
  <conditionalFormatting sqref="R124 R127 R130">
    <cfRule type="cellIs" dxfId="10840" priority="1061" operator="greaterThan">
      <formula>1</formula>
    </cfRule>
    <cfRule type="cellIs" dxfId="10839" priority="1062" operator="lessThan">
      <formula>0.8</formula>
    </cfRule>
  </conditionalFormatting>
  <conditionalFormatting sqref="Q124 Q127 Q130">
    <cfRule type="cellIs" dxfId="10838" priority="1059" operator="lessThan">
      <formula>0</formula>
    </cfRule>
  </conditionalFormatting>
  <conditionalFormatting sqref="R124 R127 R130">
    <cfRule type="cellIs" dxfId="10837" priority="1057" operator="lessThan">
      <formula>0.8</formula>
    </cfRule>
    <cfRule type="cellIs" dxfId="10836" priority="1058" operator="greaterThan">
      <formula>1</formula>
    </cfRule>
  </conditionalFormatting>
  <conditionalFormatting sqref="R124 R127 R130">
    <cfRule type="cellIs" dxfId="10835" priority="1055" operator="greaterThan">
      <formula>1</formula>
    </cfRule>
    <cfRule type="cellIs" dxfId="10834" priority="1056" operator="lessThan">
      <formula>0.8</formula>
    </cfRule>
  </conditionalFormatting>
  <conditionalFormatting sqref="P124 P127 P130">
    <cfRule type="cellIs" dxfId="10833" priority="1054" operator="greaterThan">
      <formula>0</formula>
    </cfRule>
  </conditionalFormatting>
  <conditionalFormatting sqref="Q123 Q125:Q126 Q131 Q128:Q129">
    <cfRule type="cellIs" dxfId="10832" priority="1053" operator="lessThan">
      <formula>0</formula>
    </cfRule>
  </conditionalFormatting>
  <conditionalFormatting sqref="R123 R125:R126 R131 R128:R129">
    <cfRule type="cellIs" dxfId="10831" priority="1051" operator="lessThan">
      <formula>0.8</formula>
    </cfRule>
    <cfRule type="cellIs" dxfId="10830" priority="1052" operator="greaterThan">
      <formula>1</formula>
    </cfRule>
  </conditionalFormatting>
  <conditionalFormatting sqref="R123 R125:R126 R131 R128:R129">
    <cfRule type="cellIs" dxfId="10829" priority="1049" operator="greaterThan">
      <formula>1</formula>
    </cfRule>
    <cfRule type="cellIs" dxfId="10828" priority="1050" operator="lessThan">
      <formula>0.8</formula>
    </cfRule>
  </conditionalFormatting>
  <conditionalFormatting sqref="P123 P125:P126 P131 P128:P129">
    <cfRule type="cellIs" dxfId="10827" priority="1048" operator="greaterThan">
      <formula>0</formula>
    </cfRule>
  </conditionalFormatting>
  <conditionalFormatting sqref="P123 P125:P126 P131 P128:P129">
    <cfRule type="cellIs" dxfId="10826" priority="1042" operator="greaterThan">
      <formula>0</formula>
    </cfRule>
  </conditionalFormatting>
  <conditionalFormatting sqref="Q123 Q125:Q126 Q131 Q128:Q129">
    <cfRule type="cellIs" dxfId="10825" priority="1047" operator="lessThan">
      <formula>0</formula>
    </cfRule>
  </conditionalFormatting>
  <conditionalFormatting sqref="R123 R125:R126 R131 R128:R129">
    <cfRule type="cellIs" dxfId="10824" priority="1045" operator="lessThan">
      <formula>0.8</formula>
    </cfRule>
    <cfRule type="cellIs" dxfId="10823" priority="1046" operator="greaterThan">
      <formula>1</formula>
    </cfRule>
  </conditionalFormatting>
  <conditionalFormatting sqref="R123 R125:R126 R131 R128:R129">
    <cfRule type="cellIs" dxfId="10822" priority="1043" operator="greaterThan">
      <formula>1</formula>
    </cfRule>
    <cfRule type="cellIs" dxfId="10821" priority="1044" operator="lessThan">
      <formula>0.8</formula>
    </cfRule>
  </conditionalFormatting>
  <conditionalFormatting sqref="P122">
    <cfRule type="cellIs" dxfId="10820" priority="1036" operator="greaterThan">
      <formula>0</formula>
    </cfRule>
  </conditionalFormatting>
  <conditionalFormatting sqref="Q122">
    <cfRule type="cellIs" dxfId="10819" priority="1041" operator="lessThan">
      <formula>0</formula>
    </cfRule>
  </conditionalFormatting>
  <conditionalFormatting sqref="R122">
    <cfRule type="cellIs" dxfId="10818" priority="1039" operator="lessThan">
      <formula>0.8</formula>
    </cfRule>
    <cfRule type="cellIs" dxfId="10817" priority="1040" operator="greaterThan">
      <formula>1</formula>
    </cfRule>
  </conditionalFormatting>
  <conditionalFormatting sqref="R122">
    <cfRule type="cellIs" dxfId="10816" priority="1037" operator="greaterThan">
      <formula>1</formula>
    </cfRule>
    <cfRule type="cellIs" dxfId="10815" priority="1038" operator="lessThan">
      <formula>0.8</formula>
    </cfRule>
  </conditionalFormatting>
  <conditionalFormatting sqref="P137 P143 P140">
    <cfRule type="cellIs" dxfId="10814" priority="1035" operator="greaterThan">
      <formula>0</formula>
    </cfRule>
  </conditionalFormatting>
  <conditionalFormatting sqref="Q137:Q143">
    <cfRule type="cellIs" dxfId="10813" priority="1034" operator="lessThan">
      <formula>0</formula>
    </cfRule>
  </conditionalFormatting>
  <conditionalFormatting sqref="R137 R143">
    <cfRule type="cellIs" dxfId="10812" priority="1032" operator="lessThan">
      <formula>0.8</formula>
    </cfRule>
    <cfRule type="cellIs" dxfId="10811" priority="1033" operator="greaterThan">
      <formula>1</formula>
    </cfRule>
  </conditionalFormatting>
  <conditionalFormatting sqref="R137 R143">
    <cfRule type="cellIs" dxfId="10810" priority="1030" operator="greaterThan">
      <formula>1</formula>
    </cfRule>
    <cfRule type="cellIs" dxfId="10809" priority="1031" operator="lessThan">
      <formula>0.8</formula>
    </cfRule>
  </conditionalFormatting>
  <conditionalFormatting sqref="P137 P143 P140">
    <cfRule type="cellIs" dxfId="10808" priority="1029" operator="greaterThan">
      <formula>0</formula>
    </cfRule>
  </conditionalFormatting>
  <conditionalFormatting sqref="Q137:Q143">
    <cfRule type="cellIs" dxfId="10807" priority="1028" operator="lessThan">
      <formula>0</formula>
    </cfRule>
  </conditionalFormatting>
  <conditionalFormatting sqref="R137 R143">
    <cfRule type="cellIs" dxfId="10806" priority="1026" operator="lessThan">
      <formula>0.8</formula>
    </cfRule>
    <cfRule type="cellIs" dxfId="10805" priority="1027" operator="greaterThan">
      <formula>1</formula>
    </cfRule>
  </conditionalFormatting>
  <conditionalFormatting sqref="R137 R143">
    <cfRule type="cellIs" dxfId="10804" priority="1024" operator="greaterThan">
      <formula>1</formula>
    </cfRule>
    <cfRule type="cellIs" dxfId="10803" priority="1025" operator="lessThan">
      <formula>0.8</formula>
    </cfRule>
  </conditionalFormatting>
  <conditionalFormatting sqref="P137 P143 P140">
    <cfRule type="cellIs" dxfId="10802" priority="1023" operator="greaterThan">
      <formula>0</formula>
    </cfRule>
  </conditionalFormatting>
  <conditionalFormatting sqref="P137 P143 P140">
    <cfRule type="cellIs" dxfId="10801" priority="1017" operator="greaterThan">
      <formula>0</formula>
    </cfRule>
  </conditionalFormatting>
  <conditionalFormatting sqref="Q137:Q143">
    <cfRule type="cellIs" dxfId="10800" priority="1022" operator="lessThan">
      <formula>0</formula>
    </cfRule>
  </conditionalFormatting>
  <conditionalFormatting sqref="R137 R143">
    <cfRule type="cellIs" dxfId="10799" priority="1020" operator="lessThan">
      <formula>0.8</formula>
    </cfRule>
    <cfRule type="cellIs" dxfId="10798" priority="1021" operator="greaterThan">
      <formula>1</formula>
    </cfRule>
  </conditionalFormatting>
  <conditionalFormatting sqref="R137 R143">
    <cfRule type="cellIs" dxfId="10797" priority="1018" operator="greaterThan">
      <formula>1</formula>
    </cfRule>
    <cfRule type="cellIs" dxfId="10796" priority="1019" operator="lessThan">
      <formula>0.8</formula>
    </cfRule>
  </conditionalFormatting>
  <conditionalFormatting sqref="Q137:Q143">
    <cfRule type="cellIs" dxfId="10795" priority="1016" operator="lessThan">
      <formula>0</formula>
    </cfRule>
  </conditionalFormatting>
  <conditionalFormatting sqref="R137 R143">
    <cfRule type="cellIs" dxfId="10794" priority="1014" operator="lessThan">
      <formula>0.8</formula>
    </cfRule>
    <cfRule type="cellIs" dxfId="10793" priority="1015" operator="greaterThan">
      <formula>1</formula>
    </cfRule>
  </conditionalFormatting>
  <conditionalFormatting sqref="R137 R143">
    <cfRule type="cellIs" dxfId="10792" priority="1012" operator="greaterThan">
      <formula>1</formula>
    </cfRule>
    <cfRule type="cellIs" dxfId="10791" priority="1013" operator="lessThan">
      <formula>0.8</formula>
    </cfRule>
  </conditionalFormatting>
  <conditionalFormatting sqref="P137 P143 P140">
    <cfRule type="cellIs" dxfId="10790" priority="1011" operator="greaterThan">
      <formula>0</formula>
    </cfRule>
  </conditionalFormatting>
  <conditionalFormatting sqref="Q137:Q143">
    <cfRule type="cellIs" dxfId="10789" priority="1010" operator="lessThan">
      <formula>0</formula>
    </cfRule>
  </conditionalFormatting>
  <conditionalFormatting sqref="R137 R143">
    <cfRule type="cellIs" dxfId="10788" priority="1008" operator="lessThan">
      <formula>0.8</formula>
    </cfRule>
    <cfRule type="cellIs" dxfId="10787" priority="1009" operator="greaterThan">
      <formula>1</formula>
    </cfRule>
  </conditionalFormatting>
  <conditionalFormatting sqref="R137 R143">
    <cfRule type="cellIs" dxfId="10786" priority="1006" operator="greaterThan">
      <formula>1</formula>
    </cfRule>
    <cfRule type="cellIs" dxfId="10785" priority="1007" operator="lessThan">
      <formula>0.8</formula>
    </cfRule>
  </conditionalFormatting>
  <conditionalFormatting sqref="P137 P143 P140">
    <cfRule type="cellIs" dxfId="10784" priority="1005" operator="greaterThan">
      <formula>0</formula>
    </cfRule>
  </conditionalFormatting>
  <conditionalFormatting sqref="P137 P143 P140">
    <cfRule type="cellIs" dxfId="10783" priority="999" operator="greaterThan">
      <formula>0</formula>
    </cfRule>
  </conditionalFormatting>
  <conditionalFormatting sqref="Q137:Q143">
    <cfRule type="cellIs" dxfId="10782" priority="1004" operator="lessThan">
      <formula>0</formula>
    </cfRule>
  </conditionalFormatting>
  <conditionalFormatting sqref="R137 R143">
    <cfRule type="cellIs" dxfId="10781" priority="1002" operator="lessThan">
      <formula>0.8</formula>
    </cfRule>
    <cfRule type="cellIs" dxfId="10780" priority="1003" operator="greaterThan">
      <formula>1</formula>
    </cfRule>
  </conditionalFormatting>
  <conditionalFormatting sqref="R137 R143">
    <cfRule type="cellIs" dxfId="10779" priority="1000" operator="greaterThan">
      <formula>1</formula>
    </cfRule>
    <cfRule type="cellIs" dxfId="10778" priority="1001" operator="lessThan">
      <formula>0.8</formula>
    </cfRule>
  </conditionalFormatting>
  <conditionalFormatting sqref="Q137:Q143">
    <cfRule type="cellIs" dxfId="10777" priority="998" operator="lessThan">
      <formula>0</formula>
    </cfRule>
  </conditionalFormatting>
  <conditionalFormatting sqref="R137 R143">
    <cfRule type="cellIs" dxfId="10776" priority="996" operator="lessThan">
      <formula>0.8</formula>
    </cfRule>
    <cfRule type="cellIs" dxfId="10775" priority="997" operator="greaterThan">
      <formula>1</formula>
    </cfRule>
  </conditionalFormatting>
  <conditionalFormatting sqref="R137 R143">
    <cfRule type="cellIs" dxfId="10774" priority="994" operator="greaterThan">
      <formula>1</formula>
    </cfRule>
    <cfRule type="cellIs" dxfId="10773" priority="995" operator="lessThan">
      <formula>0.8</formula>
    </cfRule>
  </conditionalFormatting>
  <conditionalFormatting sqref="P137 P143 P140">
    <cfRule type="cellIs" dxfId="10772" priority="993" operator="greaterThan">
      <formula>0</formula>
    </cfRule>
  </conditionalFormatting>
  <conditionalFormatting sqref="Q137:Q143">
    <cfRule type="cellIs" dxfId="10771" priority="992" operator="lessThan">
      <formula>0</formula>
    </cfRule>
  </conditionalFormatting>
  <conditionalFormatting sqref="R137 R143">
    <cfRule type="cellIs" dxfId="10770" priority="990" operator="lessThan">
      <formula>0.8</formula>
    </cfRule>
    <cfRule type="cellIs" dxfId="10769" priority="991" operator="greaterThan">
      <formula>1</formula>
    </cfRule>
  </conditionalFormatting>
  <conditionalFormatting sqref="R137 R143">
    <cfRule type="cellIs" dxfId="10768" priority="988" operator="greaterThan">
      <formula>1</formula>
    </cfRule>
    <cfRule type="cellIs" dxfId="10767" priority="989" operator="lessThan">
      <formula>0.8</formula>
    </cfRule>
  </conditionalFormatting>
  <conditionalFormatting sqref="P137 P143 P140">
    <cfRule type="cellIs" dxfId="10766" priority="987" operator="greaterThan">
      <formula>0</formula>
    </cfRule>
  </conditionalFormatting>
  <conditionalFormatting sqref="P137 P143 P140">
    <cfRule type="cellIs" dxfId="10765" priority="981" operator="greaterThan">
      <formula>0</formula>
    </cfRule>
  </conditionalFormatting>
  <conditionalFormatting sqref="Q137:Q143">
    <cfRule type="cellIs" dxfId="10764" priority="986" operator="lessThan">
      <formula>0</formula>
    </cfRule>
  </conditionalFormatting>
  <conditionalFormatting sqref="R137 R143">
    <cfRule type="cellIs" dxfId="10763" priority="984" operator="lessThan">
      <formula>0.8</formula>
    </cfRule>
    <cfRule type="cellIs" dxfId="10762" priority="985" operator="greaterThan">
      <formula>1</formula>
    </cfRule>
  </conditionalFormatting>
  <conditionalFormatting sqref="R137 R143">
    <cfRule type="cellIs" dxfId="10761" priority="982" operator="greaterThan">
      <formula>1</formula>
    </cfRule>
    <cfRule type="cellIs" dxfId="10760" priority="983" operator="lessThan">
      <formula>0.8</formula>
    </cfRule>
  </conditionalFormatting>
  <conditionalFormatting sqref="Q137:Q143">
    <cfRule type="cellIs" dxfId="10759" priority="980" operator="lessThan">
      <formula>0</formula>
    </cfRule>
  </conditionalFormatting>
  <conditionalFormatting sqref="R137 R143">
    <cfRule type="cellIs" dxfId="10758" priority="978" operator="lessThan">
      <formula>0.8</formula>
    </cfRule>
    <cfRule type="cellIs" dxfId="10757" priority="979" operator="greaterThan">
      <formula>1</formula>
    </cfRule>
  </conditionalFormatting>
  <conditionalFormatting sqref="R137 R143">
    <cfRule type="cellIs" dxfId="10756" priority="976" operator="greaterThan">
      <formula>1</formula>
    </cfRule>
    <cfRule type="cellIs" dxfId="10755" priority="977" operator="lessThan">
      <formula>0.8</formula>
    </cfRule>
  </conditionalFormatting>
  <conditionalFormatting sqref="P137 P143 P140">
    <cfRule type="cellIs" dxfId="10754" priority="975" operator="greaterThan">
      <formula>0</formula>
    </cfRule>
  </conditionalFormatting>
  <conditionalFormatting sqref="P138 P144 P141">
    <cfRule type="cellIs" dxfId="10753" priority="969" operator="greaterThan">
      <formula>0</formula>
    </cfRule>
  </conditionalFormatting>
  <conditionalFormatting sqref="Q144">
    <cfRule type="cellIs" dxfId="10752" priority="974" operator="lessThan">
      <formula>0</formula>
    </cfRule>
  </conditionalFormatting>
  <conditionalFormatting sqref="R138 R144">
    <cfRule type="cellIs" dxfId="10751" priority="972" operator="lessThan">
      <formula>0.8</formula>
    </cfRule>
    <cfRule type="cellIs" dxfId="10750" priority="973" operator="greaterThan">
      <formula>1</formula>
    </cfRule>
  </conditionalFormatting>
  <conditionalFormatting sqref="R138 R144">
    <cfRule type="cellIs" dxfId="10749" priority="970" operator="greaterThan">
      <formula>1</formula>
    </cfRule>
    <cfRule type="cellIs" dxfId="10748" priority="971" operator="lessThan">
      <formula>0.8</formula>
    </cfRule>
  </conditionalFormatting>
  <conditionalFormatting sqref="Q144">
    <cfRule type="cellIs" dxfId="10747" priority="968" operator="lessThan">
      <formula>0</formula>
    </cfRule>
  </conditionalFormatting>
  <conditionalFormatting sqref="R138 R144">
    <cfRule type="cellIs" dxfId="10746" priority="966" operator="lessThan">
      <formula>0.8</formula>
    </cfRule>
    <cfRule type="cellIs" dxfId="10745" priority="967" operator="greaterThan">
      <formula>1</formula>
    </cfRule>
  </conditionalFormatting>
  <conditionalFormatting sqref="R138 R144">
    <cfRule type="cellIs" dxfId="10744" priority="964" operator="greaterThan">
      <formula>1</formula>
    </cfRule>
    <cfRule type="cellIs" dxfId="10743" priority="965" operator="lessThan">
      <formula>0.8</formula>
    </cfRule>
  </conditionalFormatting>
  <conditionalFormatting sqref="P138 P144 P141">
    <cfRule type="cellIs" dxfId="10742" priority="963" operator="greaterThan">
      <formula>0</formula>
    </cfRule>
  </conditionalFormatting>
  <conditionalFormatting sqref="Q144">
    <cfRule type="cellIs" dxfId="10741" priority="962" operator="lessThan">
      <formula>0</formula>
    </cfRule>
  </conditionalFormatting>
  <conditionalFormatting sqref="R138 R144">
    <cfRule type="cellIs" dxfId="10740" priority="960" operator="lessThan">
      <formula>0.8</formula>
    </cfRule>
    <cfRule type="cellIs" dxfId="10739" priority="961" operator="greaterThan">
      <formula>1</formula>
    </cfRule>
  </conditionalFormatting>
  <conditionalFormatting sqref="R138 R144">
    <cfRule type="cellIs" dxfId="10738" priority="958" operator="greaterThan">
      <formula>1</formula>
    </cfRule>
    <cfRule type="cellIs" dxfId="10737" priority="959" operator="lessThan">
      <formula>0.8</formula>
    </cfRule>
  </conditionalFormatting>
  <conditionalFormatting sqref="P138 P144 P141">
    <cfRule type="cellIs" dxfId="10736" priority="957" operator="greaterThan">
      <formula>0</formula>
    </cfRule>
  </conditionalFormatting>
  <conditionalFormatting sqref="Q144">
    <cfRule type="cellIs" dxfId="10735" priority="956" operator="lessThan">
      <formula>0</formula>
    </cfRule>
  </conditionalFormatting>
  <conditionalFormatting sqref="R138 R144">
    <cfRule type="cellIs" dxfId="10734" priority="954" operator="lessThan">
      <formula>0.8</formula>
    </cfRule>
    <cfRule type="cellIs" dxfId="10733" priority="955" operator="greaterThan">
      <formula>1</formula>
    </cfRule>
  </conditionalFormatting>
  <conditionalFormatting sqref="R138 R144">
    <cfRule type="cellIs" dxfId="10732" priority="952" operator="greaterThan">
      <formula>1</formula>
    </cfRule>
    <cfRule type="cellIs" dxfId="10731" priority="953" operator="lessThan">
      <formula>0.8</formula>
    </cfRule>
  </conditionalFormatting>
  <conditionalFormatting sqref="P138 P144 P141">
    <cfRule type="cellIs" dxfId="10730" priority="951" operator="greaterThan">
      <formula>0</formula>
    </cfRule>
  </conditionalFormatting>
  <conditionalFormatting sqref="Q144">
    <cfRule type="cellIs" dxfId="10729" priority="950" operator="lessThan">
      <formula>0</formula>
    </cfRule>
  </conditionalFormatting>
  <conditionalFormatting sqref="R138 R144">
    <cfRule type="cellIs" dxfId="10728" priority="948" operator="lessThan">
      <formula>0.8</formula>
    </cfRule>
    <cfRule type="cellIs" dxfId="10727" priority="949" operator="greaterThan">
      <formula>1</formula>
    </cfRule>
  </conditionalFormatting>
  <conditionalFormatting sqref="R138 R144">
    <cfRule type="cellIs" dxfId="10726" priority="946" operator="greaterThan">
      <formula>1</formula>
    </cfRule>
    <cfRule type="cellIs" dxfId="10725" priority="947" operator="lessThan">
      <formula>0.8</formula>
    </cfRule>
  </conditionalFormatting>
  <conditionalFormatting sqref="Q144">
    <cfRule type="cellIs" dxfId="10724" priority="945" operator="lessThan">
      <formula>0</formula>
    </cfRule>
  </conditionalFormatting>
  <conditionalFormatting sqref="R138 R144">
    <cfRule type="cellIs" dxfId="10723" priority="943" operator="lessThan">
      <formula>0.8</formula>
    </cfRule>
    <cfRule type="cellIs" dxfId="10722" priority="944" operator="greaterThan">
      <formula>1</formula>
    </cfRule>
  </conditionalFormatting>
  <conditionalFormatting sqref="R138 R144">
    <cfRule type="cellIs" dxfId="10721" priority="941" operator="greaterThan">
      <formula>1</formula>
    </cfRule>
    <cfRule type="cellIs" dxfId="10720" priority="942" operator="lessThan">
      <formula>0.8</formula>
    </cfRule>
  </conditionalFormatting>
  <conditionalFormatting sqref="P138 P144 P141">
    <cfRule type="cellIs" dxfId="10719" priority="940" operator="greaterThan">
      <formula>0</formula>
    </cfRule>
  </conditionalFormatting>
  <conditionalFormatting sqref="P138 P144 P141">
    <cfRule type="cellIs" dxfId="10718" priority="934" operator="greaterThan">
      <formula>0</formula>
    </cfRule>
  </conditionalFormatting>
  <conditionalFormatting sqref="Q144">
    <cfRule type="cellIs" dxfId="10717" priority="939" operator="lessThan">
      <formula>0</formula>
    </cfRule>
  </conditionalFormatting>
  <conditionalFormatting sqref="R138 R144">
    <cfRule type="cellIs" dxfId="10716" priority="937" operator="lessThan">
      <formula>0.8</formula>
    </cfRule>
    <cfRule type="cellIs" dxfId="10715" priority="938" operator="greaterThan">
      <formula>1</formula>
    </cfRule>
  </conditionalFormatting>
  <conditionalFormatting sqref="R138 R144">
    <cfRule type="cellIs" dxfId="10714" priority="935" operator="greaterThan">
      <formula>1</formula>
    </cfRule>
    <cfRule type="cellIs" dxfId="10713" priority="936" operator="lessThan">
      <formula>0.8</formula>
    </cfRule>
  </conditionalFormatting>
  <conditionalFormatting sqref="Q144">
    <cfRule type="cellIs" dxfId="10712" priority="933" operator="lessThan">
      <formula>0</formula>
    </cfRule>
  </conditionalFormatting>
  <conditionalFormatting sqref="R138 R144">
    <cfRule type="cellIs" dxfId="10711" priority="931" operator="lessThan">
      <formula>0.8</formula>
    </cfRule>
    <cfRule type="cellIs" dxfId="10710" priority="932" operator="greaterThan">
      <formula>1</formula>
    </cfRule>
  </conditionalFormatting>
  <conditionalFormatting sqref="R138 R144">
    <cfRule type="cellIs" dxfId="10709" priority="929" operator="greaterThan">
      <formula>1</formula>
    </cfRule>
    <cfRule type="cellIs" dxfId="10708" priority="930" operator="lessThan">
      <formula>0.8</formula>
    </cfRule>
  </conditionalFormatting>
  <conditionalFormatting sqref="P138 P144 P141">
    <cfRule type="cellIs" dxfId="10707" priority="928" operator="greaterThan">
      <formula>0</formula>
    </cfRule>
  </conditionalFormatting>
  <conditionalFormatting sqref="Q148:Q153">
    <cfRule type="cellIs" dxfId="10706" priority="927" operator="lessThan">
      <formula>0</formula>
    </cfRule>
  </conditionalFormatting>
  <conditionalFormatting sqref="R148:R153">
    <cfRule type="cellIs" dxfId="10705" priority="925" operator="lessThan">
      <formula>0.8</formula>
    </cfRule>
    <cfRule type="cellIs" dxfId="10704" priority="926" operator="greaterThan">
      <formula>1</formula>
    </cfRule>
  </conditionalFormatting>
  <conditionalFormatting sqref="R148:R153">
    <cfRule type="cellIs" dxfId="10703" priority="923" operator="greaterThan">
      <formula>1</formula>
    </cfRule>
    <cfRule type="cellIs" dxfId="10702" priority="924" operator="lessThan">
      <formula>0.8</formula>
    </cfRule>
  </conditionalFormatting>
  <conditionalFormatting sqref="P148:P153">
    <cfRule type="cellIs" dxfId="10701" priority="922" operator="greaterThan">
      <formula>0</formula>
    </cfRule>
  </conditionalFormatting>
  <conditionalFormatting sqref="P148:P153">
    <cfRule type="cellIs" dxfId="10700" priority="916" operator="greaterThan">
      <formula>0</formula>
    </cfRule>
  </conditionalFormatting>
  <conditionalFormatting sqref="Q148:Q153">
    <cfRule type="cellIs" dxfId="10699" priority="921" operator="lessThan">
      <formula>0</formula>
    </cfRule>
  </conditionalFormatting>
  <conditionalFormatting sqref="R148:R153">
    <cfRule type="cellIs" dxfId="10698" priority="919" operator="lessThan">
      <formula>0.8</formula>
    </cfRule>
    <cfRule type="cellIs" dxfId="10697" priority="920" operator="greaterThan">
      <formula>1</formula>
    </cfRule>
  </conditionalFormatting>
  <conditionalFormatting sqref="R148:R153">
    <cfRule type="cellIs" dxfId="10696" priority="917" operator="greaterThan">
      <formula>1</formula>
    </cfRule>
    <cfRule type="cellIs" dxfId="10695" priority="918" operator="lessThan">
      <formula>0.8</formula>
    </cfRule>
  </conditionalFormatting>
  <conditionalFormatting sqref="Q148:Q153">
    <cfRule type="cellIs" dxfId="10694" priority="915" operator="lessThan">
      <formula>0</formula>
    </cfRule>
  </conditionalFormatting>
  <conditionalFormatting sqref="R148:R153">
    <cfRule type="cellIs" dxfId="10693" priority="913" operator="lessThan">
      <formula>0.8</formula>
    </cfRule>
    <cfRule type="cellIs" dxfId="10692" priority="914" operator="greaterThan">
      <formula>1</formula>
    </cfRule>
  </conditionalFormatting>
  <conditionalFormatting sqref="R148:R153">
    <cfRule type="cellIs" dxfId="10691" priority="911" operator="greaterThan">
      <formula>1</formula>
    </cfRule>
    <cfRule type="cellIs" dxfId="10690" priority="912" operator="lessThan">
      <formula>0.8</formula>
    </cfRule>
  </conditionalFormatting>
  <conditionalFormatting sqref="P148:P153">
    <cfRule type="cellIs" dxfId="10689" priority="910" operator="greaterThan">
      <formula>0</formula>
    </cfRule>
  </conditionalFormatting>
  <conditionalFormatting sqref="Q148:Q153">
    <cfRule type="cellIs" dxfId="10688" priority="909" operator="lessThan">
      <formula>0</formula>
    </cfRule>
  </conditionalFormatting>
  <conditionalFormatting sqref="R148:R153">
    <cfRule type="cellIs" dxfId="10687" priority="907" operator="lessThan">
      <formula>0.8</formula>
    </cfRule>
    <cfRule type="cellIs" dxfId="10686" priority="908" operator="greaterThan">
      <formula>1</formula>
    </cfRule>
  </conditionalFormatting>
  <conditionalFormatting sqref="R148:R153">
    <cfRule type="cellIs" dxfId="10685" priority="905" operator="greaterThan">
      <formula>1</formula>
    </cfRule>
    <cfRule type="cellIs" dxfId="10684" priority="906" operator="lessThan">
      <formula>0.8</formula>
    </cfRule>
  </conditionalFormatting>
  <conditionalFormatting sqref="P148:P153">
    <cfRule type="cellIs" dxfId="10683" priority="904" operator="greaterThan">
      <formula>0</formula>
    </cfRule>
  </conditionalFormatting>
  <conditionalFormatting sqref="P148:P153">
    <cfRule type="cellIs" dxfId="10682" priority="898" operator="greaterThan">
      <formula>0</formula>
    </cfRule>
  </conditionalFormatting>
  <conditionalFormatting sqref="Q148:Q153">
    <cfRule type="cellIs" dxfId="10681" priority="903" operator="lessThan">
      <formula>0</formula>
    </cfRule>
  </conditionalFormatting>
  <conditionalFormatting sqref="R148:R153">
    <cfRule type="cellIs" dxfId="10680" priority="901" operator="lessThan">
      <formula>0.8</formula>
    </cfRule>
    <cfRule type="cellIs" dxfId="10679" priority="902" operator="greaterThan">
      <formula>1</formula>
    </cfRule>
  </conditionalFormatting>
  <conditionalFormatting sqref="R148:R153">
    <cfRule type="cellIs" dxfId="10678" priority="899" operator="greaterThan">
      <formula>1</formula>
    </cfRule>
    <cfRule type="cellIs" dxfId="10677" priority="900" operator="lessThan">
      <formula>0.8</formula>
    </cfRule>
  </conditionalFormatting>
  <conditionalFormatting sqref="Q148:Q153">
    <cfRule type="cellIs" dxfId="10676" priority="897" operator="lessThan">
      <formula>0</formula>
    </cfRule>
  </conditionalFormatting>
  <conditionalFormatting sqref="R148:R153">
    <cfRule type="cellIs" dxfId="10675" priority="895" operator="lessThan">
      <formula>0.8</formula>
    </cfRule>
    <cfRule type="cellIs" dxfId="10674" priority="896" operator="greaterThan">
      <formula>1</formula>
    </cfRule>
  </conditionalFormatting>
  <conditionalFormatting sqref="R148:R153">
    <cfRule type="cellIs" dxfId="10673" priority="893" operator="greaterThan">
      <formula>1</formula>
    </cfRule>
    <cfRule type="cellIs" dxfId="10672" priority="894" operator="lessThan">
      <formula>0.8</formula>
    </cfRule>
  </conditionalFormatting>
  <conditionalFormatting sqref="P148:P153">
    <cfRule type="cellIs" dxfId="10671" priority="892" operator="greaterThan">
      <formula>0</formula>
    </cfRule>
  </conditionalFormatting>
  <conditionalFormatting sqref="Q148:Q153">
    <cfRule type="cellIs" dxfId="10670" priority="886" operator="lessThan">
      <formula>0</formula>
    </cfRule>
  </conditionalFormatting>
  <conditionalFormatting sqref="P148:P153">
    <cfRule type="cellIs" dxfId="10669" priority="887" operator="greaterThan">
      <formula>0</formula>
    </cfRule>
  </conditionalFormatting>
  <conditionalFormatting sqref="R148:R153">
    <cfRule type="cellIs" dxfId="10668" priority="890" operator="lessThan">
      <formula>0.8</formula>
    </cfRule>
    <cfRule type="cellIs" dxfId="10667" priority="891" operator="greaterThan">
      <formula>1</formula>
    </cfRule>
  </conditionalFormatting>
  <conditionalFormatting sqref="R148:R153">
    <cfRule type="cellIs" dxfId="10666" priority="888" operator="greaterThan">
      <formula>1</formula>
    </cfRule>
    <cfRule type="cellIs" dxfId="10665" priority="889" operator="lessThan">
      <formula>0.8</formula>
    </cfRule>
  </conditionalFormatting>
  <conditionalFormatting sqref="Q148:Q153">
    <cfRule type="cellIs" dxfId="10664" priority="880" operator="lessThan">
      <formula>0</formula>
    </cfRule>
  </conditionalFormatting>
  <conditionalFormatting sqref="R148:R153">
    <cfRule type="cellIs" dxfId="10663" priority="884" operator="lessThan">
      <formula>0.8</formula>
    </cfRule>
    <cfRule type="cellIs" dxfId="10662" priority="885" operator="greaterThan">
      <formula>1</formula>
    </cfRule>
  </conditionalFormatting>
  <conditionalFormatting sqref="R148:R153">
    <cfRule type="cellIs" dxfId="10661" priority="882" operator="greaterThan">
      <formula>1</formula>
    </cfRule>
    <cfRule type="cellIs" dxfId="10660" priority="883" operator="lessThan">
      <formula>0.8</formula>
    </cfRule>
  </conditionalFormatting>
  <conditionalFormatting sqref="P148:P153">
    <cfRule type="cellIs" dxfId="10659" priority="881" operator="greaterThan">
      <formula>0</formula>
    </cfRule>
  </conditionalFormatting>
  <conditionalFormatting sqref="Q148:Q153">
    <cfRule type="cellIs" dxfId="10658" priority="879" operator="lessThan">
      <formula>0</formula>
    </cfRule>
  </conditionalFormatting>
  <conditionalFormatting sqref="R148:R153">
    <cfRule type="cellIs" dxfId="10657" priority="877" operator="lessThan">
      <formula>0.8</formula>
    </cfRule>
    <cfRule type="cellIs" dxfId="10656" priority="878" operator="greaterThan">
      <formula>1</formula>
    </cfRule>
  </conditionalFormatting>
  <conditionalFormatting sqref="R148:R153">
    <cfRule type="cellIs" dxfId="10655" priority="875" operator="greaterThan">
      <formula>1</formula>
    </cfRule>
    <cfRule type="cellIs" dxfId="10654" priority="876" operator="lessThan">
      <formula>0.8</formula>
    </cfRule>
  </conditionalFormatting>
  <conditionalFormatting sqref="P148:P153">
    <cfRule type="cellIs" dxfId="10653" priority="874" operator="greaterThan">
      <formula>0</formula>
    </cfRule>
  </conditionalFormatting>
  <conditionalFormatting sqref="Q148:Q153">
    <cfRule type="cellIs" dxfId="10652" priority="873" operator="lessThan">
      <formula>0</formula>
    </cfRule>
  </conditionalFormatting>
  <conditionalFormatting sqref="R148:R153">
    <cfRule type="cellIs" dxfId="10651" priority="871" operator="lessThan">
      <formula>0.8</formula>
    </cfRule>
    <cfRule type="cellIs" dxfId="10650" priority="872" operator="greaterThan">
      <formula>1</formula>
    </cfRule>
  </conditionalFormatting>
  <conditionalFormatting sqref="R148:R153">
    <cfRule type="cellIs" dxfId="10649" priority="869" operator="greaterThan">
      <formula>1</formula>
    </cfRule>
    <cfRule type="cellIs" dxfId="10648" priority="870" operator="lessThan">
      <formula>0.8</formula>
    </cfRule>
  </conditionalFormatting>
  <conditionalFormatting sqref="P148:P153">
    <cfRule type="cellIs" dxfId="10647" priority="868" operator="greaterThan">
      <formula>0</formula>
    </cfRule>
  </conditionalFormatting>
  <conditionalFormatting sqref="Q148:Q153">
    <cfRule type="cellIs" dxfId="10646" priority="867" operator="lessThan">
      <formula>0</formula>
    </cfRule>
  </conditionalFormatting>
  <conditionalFormatting sqref="R148:R153">
    <cfRule type="cellIs" dxfId="10645" priority="865" operator="lessThan">
      <formula>0.8</formula>
    </cfRule>
    <cfRule type="cellIs" dxfId="10644" priority="866" operator="greaterThan">
      <formula>1</formula>
    </cfRule>
  </conditionalFormatting>
  <conditionalFormatting sqref="R148:R153">
    <cfRule type="cellIs" dxfId="10643" priority="863" operator="greaterThan">
      <formula>1</formula>
    </cfRule>
    <cfRule type="cellIs" dxfId="10642" priority="864" operator="lessThan">
      <formula>0.8</formula>
    </cfRule>
  </conditionalFormatting>
  <conditionalFormatting sqref="P148:P153">
    <cfRule type="cellIs" dxfId="10641" priority="862" operator="greaterThan">
      <formula>0</formula>
    </cfRule>
  </conditionalFormatting>
  <conditionalFormatting sqref="Q148:Q153">
    <cfRule type="cellIs" dxfId="10640" priority="861" operator="lessThan">
      <formula>0</formula>
    </cfRule>
  </conditionalFormatting>
  <conditionalFormatting sqref="R148:R153">
    <cfRule type="cellIs" dxfId="10639" priority="859" operator="lessThan">
      <formula>0.8</formula>
    </cfRule>
    <cfRule type="cellIs" dxfId="10638" priority="860" operator="greaterThan">
      <formula>1</formula>
    </cfRule>
  </conditionalFormatting>
  <conditionalFormatting sqref="R148:R153">
    <cfRule type="cellIs" dxfId="10637" priority="857" operator="greaterThan">
      <formula>1</formula>
    </cfRule>
    <cfRule type="cellIs" dxfId="10636" priority="858" operator="lessThan">
      <formula>0.8</formula>
    </cfRule>
  </conditionalFormatting>
  <conditionalFormatting sqref="P148:P153">
    <cfRule type="cellIs" dxfId="10635" priority="856" operator="greaterThan">
      <formula>0</formula>
    </cfRule>
  </conditionalFormatting>
  <conditionalFormatting sqref="Q148:Q153">
    <cfRule type="cellIs" dxfId="10634" priority="855" operator="lessThan">
      <formula>0</formula>
    </cfRule>
  </conditionalFormatting>
  <conditionalFormatting sqref="R148:R153">
    <cfRule type="cellIs" dxfId="10633" priority="853" operator="lessThan">
      <formula>0.8</formula>
    </cfRule>
    <cfRule type="cellIs" dxfId="10632" priority="854" operator="greaterThan">
      <formula>1</formula>
    </cfRule>
  </conditionalFormatting>
  <conditionalFormatting sqref="R148:R153">
    <cfRule type="cellIs" dxfId="10631" priority="851" operator="greaterThan">
      <formula>1</formula>
    </cfRule>
    <cfRule type="cellIs" dxfId="10630" priority="852" operator="lessThan">
      <formula>0.8</formula>
    </cfRule>
  </conditionalFormatting>
  <conditionalFormatting sqref="P148:P153">
    <cfRule type="cellIs" dxfId="10629" priority="850" operator="greaterThan">
      <formula>0</formula>
    </cfRule>
  </conditionalFormatting>
  <conditionalFormatting sqref="Q148:Q153">
    <cfRule type="cellIs" dxfId="10628" priority="849" operator="lessThan">
      <formula>0</formula>
    </cfRule>
  </conditionalFormatting>
  <conditionalFormatting sqref="R148:R153">
    <cfRule type="cellIs" dxfId="10627" priority="847" operator="lessThan">
      <formula>0.8</formula>
    </cfRule>
    <cfRule type="cellIs" dxfId="10626" priority="848" operator="greaterThan">
      <formula>1</formula>
    </cfRule>
  </conditionalFormatting>
  <conditionalFormatting sqref="R148:R153">
    <cfRule type="cellIs" dxfId="10625" priority="845" operator="greaterThan">
      <formula>1</formula>
    </cfRule>
    <cfRule type="cellIs" dxfId="10624" priority="846" operator="lessThan">
      <formula>0.8</formula>
    </cfRule>
  </conditionalFormatting>
  <conditionalFormatting sqref="P148:P153">
    <cfRule type="cellIs" dxfId="10623" priority="844" operator="greaterThan">
      <formula>0</formula>
    </cfRule>
  </conditionalFormatting>
  <conditionalFormatting sqref="Q148:Q153">
    <cfRule type="cellIs" dxfId="10622" priority="843" operator="lessThan">
      <formula>0</formula>
    </cfRule>
  </conditionalFormatting>
  <conditionalFormatting sqref="R148:R153">
    <cfRule type="cellIs" dxfId="10621" priority="841" operator="lessThan">
      <formula>0.8</formula>
    </cfRule>
    <cfRule type="cellIs" dxfId="10620" priority="842" operator="greaterThan">
      <formula>1</formula>
    </cfRule>
  </conditionalFormatting>
  <conditionalFormatting sqref="R148:R153">
    <cfRule type="cellIs" dxfId="10619" priority="839" operator="greaterThan">
      <formula>1</formula>
    </cfRule>
    <cfRule type="cellIs" dxfId="10618" priority="840" operator="lessThan">
      <formula>0.8</formula>
    </cfRule>
  </conditionalFormatting>
  <conditionalFormatting sqref="P148:P153">
    <cfRule type="cellIs" dxfId="10617" priority="838" operator="greaterThan">
      <formula>0</formula>
    </cfRule>
  </conditionalFormatting>
  <conditionalFormatting sqref="P148:P153">
    <cfRule type="cellIs" dxfId="10616" priority="832" operator="greaterThan">
      <formula>0</formula>
    </cfRule>
  </conditionalFormatting>
  <conditionalFormatting sqref="Q148:Q153">
    <cfRule type="cellIs" dxfId="10615" priority="837" operator="lessThan">
      <formula>0</formula>
    </cfRule>
  </conditionalFormatting>
  <conditionalFormatting sqref="R148:R153">
    <cfRule type="cellIs" dxfId="10614" priority="835" operator="lessThan">
      <formula>0.8</formula>
    </cfRule>
    <cfRule type="cellIs" dxfId="10613" priority="836" operator="greaterThan">
      <formula>1</formula>
    </cfRule>
  </conditionalFormatting>
  <conditionalFormatting sqref="R148:R153">
    <cfRule type="cellIs" dxfId="10612" priority="833" operator="greaterThan">
      <formula>1</formula>
    </cfRule>
    <cfRule type="cellIs" dxfId="10611" priority="834" operator="lessThan">
      <formula>0.8</formula>
    </cfRule>
  </conditionalFormatting>
  <conditionalFormatting sqref="P148:P153">
    <cfRule type="cellIs" dxfId="10610" priority="826" operator="greaterThan">
      <formula>0</formula>
    </cfRule>
  </conditionalFormatting>
  <conditionalFormatting sqref="Q148:Q153">
    <cfRule type="cellIs" dxfId="10609" priority="831" operator="lessThan">
      <formula>0</formula>
    </cfRule>
  </conditionalFormatting>
  <conditionalFormatting sqref="R148:R153">
    <cfRule type="cellIs" dxfId="10608" priority="829" operator="lessThan">
      <formula>0.8</formula>
    </cfRule>
    <cfRule type="cellIs" dxfId="10607" priority="830" operator="greaterThan">
      <formula>1</formula>
    </cfRule>
  </conditionalFormatting>
  <conditionalFormatting sqref="R148:R153">
    <cfRule type="cellIs" dxfId="10606" priority="827" operator="greaterThan">
      <formula>1</formula>
    </cfRule>
    <cfRule type="cellIs" dxfId="10605" priority="828" operator="lessThan">
      <formula>0.8</formula>
    </cfRule>
  </conditionalFormatting>
  <conditionalFormatting sqref="R148:R153">
    <cfRule type="cellIs" dxfId="10604" priority="823" operator="lessThan">
      <formula>0.8</formula>
    </cfRule>
    <cfRule type="cellIs" dxfId="10603" priority="824" operator="greaterThan">
      <formula>1</formula>
    </cfRule>
  </conditionalFormatting>
  <conditionalFormatting sqref="R148:R153">
    <cfRule type="cellIs" dxfId="10602" priority="821" operator="greaterThan">
      <formula>1</formula>
    </cfRule>
    <cfRule type="cellIs" dxfId="10601" priority="822" operator="lessThan">
      <formula>0.8</formula>
    </cfRule>
  </conditionalFormatting>
  <conditionalFormatting sqref="P148:P153">
    <cfRule type="cellIs" dxfId="10600" priority="820" operator="greaterThan">
      <formula>0</formula>
    </cfRule>
  </conditionalFormatting>
  <conditionalFormatting sqref="Q148:Q153">
    <cfRule type="cellIs" dxfId="10599" priority="825" operator="lessThan">
      <formula>0</formula>
    </cfRule>
  </conditionalFormatting>
  <conditionalFormatting sqref="Q148:Q153">
    <cfRule type="cellIs" dxfId="10598" priority="819" operator="lessThan">
      <formula>0</formula>
    </cfRule>
  </conditionalFormatting>
  <conditionalFormatting sqref="R148:R153">
    <cfRule type="cellIs" dxfId="10597" priority="817" operator="lessThan">
      <formula>0.8</formula>
    </cfRule>
    <cfRule type="cellIs" dxfId="10596" priority="818" operator="greaterThan">
      <formula>1</formula>
    </cfRule>
  </conditionalFormatting>
  <conditionalFormatting sqref="R148:R153">
    <cfRule type="cellIs" dxfId="10595" priority="815" operator="greaterThan">
      <formula>1</formula>
    </cfRule>
    <cfRule type="cellIs" dxfId="10594" priority="816" operator="lessThan">
      <formula>0.8</formula>
    </cfRule>
  </conditionalFormatting>
  <conditionalFormatting sqref="P148:P153">
    <cfRule type="cellIs" dxfId="10593" priority="814" operator="greaterThan">
      <formula>0</formula>
    </cfRule>
  </conditionalFormatting>
  <conditionalFormatting sqref="P148:P153">
    <cfRule type="cellIs" dxfId="10592" priority="808" operator="greaterThan">
      <formula>0</formula>
    </cfRule>
  </conditionalFormatting>
  <conditionalFormatting sqref="Q148:Q153">
    <cfRule type="cellIs" dxfId="10591" priority="813" operator="lessThan">
      <formula>0</formula>
    </cfRule>
  </conditionalFormatting>
  <conditionalFormatting sqref="R148:R153">
    <cfRule type="cellIs" dxfId="10590" priority="811" operator="lessThan">
      <formula>0.8</formula>
    </cfRule>
    <cfRule type="cellIs" dxfId="10589" priority="812" operator="greaterThan">
      <formula>1</formula>
    </cfRule>
  </conditionalFormatting>
  <conditionalFormatting sqref="R148:R153">
    <cfRule type="cellIs" dxfId="10588" priority="809" operator="greaterThan">
      <formula>1</formula>
    </cfRule>
    <cfRule type="cellIs" dxfId="10587" priority="810" operator="lessThan">
      <formula>0.8</formula>
    </cfRule>
  </conditionalFormatting>
  <conditionalFormatting sqref="P148:P153">
    <cfRule type="cellIs" dxfId="10586" priority="802" operator="greaterThan">
      <formula>0</formula>
    </cfRule>
  </conditionalFormatting>
  <conditionalFormatting sqref="Q148:Q153">
    <cfRule type="cellIs" dxfId="10585" priority="807" operator="lessThan">
      <formula>0</formula>
    </cfRule>
  </conditionalFormatting>
  <conditionalFormatting sqref="R148:R153">
    <cfRule type="cellIs" dxfId="10584" priority="805" operator="lessThan">
      <formula>0.8</formula>
    </cfRule>
    <cfRule type="cellIs" dxfId="10583" priority="806" operator="greaterThan">
      <formula>1</formula>
    </cfRule>
  </conditionalFormatting>
  <conditionalFormatting sqref="R148:R153">
    <cfRule type="cellIs" dxfId="10582" priority="803" operator="greaterThan">
      <formula>1</formula>
    </cfRule>
    <cfRule type="cellIs" dxfId="10581" priority="804" operator="lessThan">
      <formula>0.8</formula>
    </cfRule>
  </conditionalFormatting>
  <conditionalFormatting sqref="R148:R153">
    <cfRule type="cellIs" dxfId="10580" priority="799" operator="lessThan">
      <formula>0.8</formula>
    </cfRule>
    <cfRule type="cellIs" dxfId="10579" priority="800" operator="greaterThan">
      <formula>1</formula>
    </cfRule>
  </conditionalFormatting>
  <conditionalFormatting sqref="R148:R153">
    <cfRule type="cellIs" dxfId="10578" priority="797" operator="greaterThan">
      <formula>1</formula>
    </cfRule>
    <cfRule type="cellIs" dxfId="10577" priority="798" operator="lessThan">
      <formula>0.8</formula>
    </cfRule>
  </conditionalFormatting>
  <conditionalFormatting sqref="P148:P153">
    <cfRule type="cellIs" dxfId="10576" priority="796" operator="greaterThan">
      <formula>0</formula>
    </cfRule>
  </conditionalFormatting>
  <conditionalFormatting sqref="Q148:Q153">
    <cfRule type="cellIs" dxfId="10575" priority="801" operator="lessThan">
      <formula>0</formula>
    </cfRule>
  </conditionalFormatting>
  <conditionalFormatting sqref="P148:P153">
    <cfRule type="cellIs" dxfId="10574" priority="790" operator="greaterThan">
      <formula>0</formula>
    </cfRule>
  </conditionalFormatting>
  <conditionalFormatting sqref="Q148:Q153">
    <cfRule type="cellIs" dxfId="10573" priority="795" operator="lessThan">
      <formula>0</formula>
    </cfRule>
  </conditionalFormatting>
  <conditionalFormatting sqref="R148:R153">
    <cfRule type="cellIs" dxfId="10572" priority="793" operator="lessThan">
      <formula>0.8</formula>
    </cfRule>
    <cfRule type="cellIs" dxfId="10571" priority="794" operator="greaterThan">
      <formula>1</formula>
    </cfRule>
  </conditionalFormatting>
  <conditionalFormatting sqref="R148:R153">
    <cfRule type="cellIs" dxfId="10570" priority="791" operator="greaterThan">
      <formula>1</formula>
    </cfRule>
    <cfRule type="cellIs" dxfId="10569" priority="792" operator="lessThan">
      <formula>0.8</formula>
    </cfRule>
  </conditionalFormatting>
  <conditionalFormatting sqref="R148:R153">
    <cfRule type="cellIs" dxfId="10568" priority="787" operator="lessThan">
      <formula>0.8</formula>
    </cfRule>
    <cfRule type="cellIs" dxfId="10567" priority="788" operator="greaterThan">
      <formula>1</formula>
    </cfRule>
  </conditionalFormatting>
  <conditionalFormatting sqref="R148:R153">
    <cfRule type="cellIs" dxfId="10566" priority="785" operator="greaterThan">
      <formula>1</formula>
    </cfRule>
    <cfRule type="cellIs" dxfId="10565" priority="786" operator="lessThan">
      <formula>0.8</formula>
    </cfRule>
  </conditionalFormatting>
  <conditionalFormatting sqref="P148:P153">
    <cfRule type="cellIs" dxfId="10564" priority="784" operator="greaterThan">
      <formula>0</formula>
    </cfRule>
  </conditionalFormatting>
  <conditionalFormatting sqref="Q148:Q153">
    <cfRule type="cellIs" dxfId="10563" priority="789" operator="lessThan">
      <formula>0</formula>
    </cfRule>
  </conditionalFormatting>
  <conditionalFormatting sqref="R148:R153">
    <cfRule type="cellIs" dxfId="10562" priority="781" operator="lessThan">
      <formula>0.8</formula>
    </cfRule>
    <cfRule type="cellIs" dxfId="10561" priority="782" operator="greaterThan">
      <formula>1</formula>
    </cfRule>
  </conditionalFormatting>
  <conditionalFormatting sqref="R148:R153">
    <cfRule type="cellIs" dxfId="10560" priority="779" operator="greaterThan">
      <formula>1</formula>
    </cfRule>
    <cfRule type="cellIs" dxfId="10559" priority="780" operator="lessThan">
      <formula>0.8</formula>
    </cfRule>
  </conditionalFormatting>
  <conditionalFormatting sqref="P148:P153">
    <cfRule type="cellIs" dxfId="10558" priority="778" operator="greaterThan">
      <formula>0</formula>
    </cfRule>
  </conditionalFormatting>
  <conditionalFormatting sqref="Q148:Q153">
    <cfRule type="cellIs" dxfId="10557" priority="783" operator="lessThan">
      <formula>0</formula>
    </cfRule>
  </conditionalFormatting>
  <conditionalFormatting sqref="Q148:Q153">
    <cfRule type="cellIs" dxfId="10556" priority="777" operator="lessThan">
      <formula>0</formula>
    </cfRule>
  </conditionalFormatting>
  <conditionalFormatting sqref="R148:R153">
    <cfRule type="cellIs" dxfId="10555" priority="775" operator="lessThan">
      <formula>0.8</formula>
    </cfRule>
    <cfRule type="cellIs" dxfId="10554" priority="776" operator="greaterThan">
      <formula>1</formula>
    </cfRule>
  </conditionalFormatting>
  <conditionalFormatting sqref="R148:R153">
    <cfRule type="cellIs" dxfId="10553" priority="773" operator="greaterThan">
      <formula>1</formula>
    </cfRule>
    <cfRule type="cellIs" dxfId="10552" priority="774" operator="lessThan">
      <formula>0.8</formula>
    </cfRule>
  </conditionalFormatting>
  <conditionalFormatting sqref="P148:P153">
    <cfRule type="cellIs" dxfId="10551" priority="772" operator="greaterThan">
      <formula>0</formula>
    </cfRule>
  </conditionalFormatting>
  <conditionalFormatting sqref="Q148:Q153">
    <cfRule type="cellIs" dxfId="10550" priority="766" operator="lessThan">
      <formula>0</formula>
    </cfRule>
  </conditionalFormatting>
  <conditionalFormatting sqref="R148:R153">
    <cfRule type="cellIs" dxfId="10549" priority="770" operator="lessThan">
      <formula>0.8</formula>
    </cfRule>
    <cfRule type="cellIs" dxfId="10548" priority="771" operator="greaterThan">
      <formula>1</formula>
    </cfRule>
  </conditionalFormatting>
  <conditionalFormatting sqref="R148:R153">
    <cfRule type="cellIs" dxfId="10547" priority="768" operator="greaterThan">
      <formula>1</formula>
    </cfRule>
    <cfRule type="cellIs" dxfId="10546" priority="769" operator="lessThan">
      <formula>0.8</formula>
    </cfRule>
  </conditionalFormatting>
  <conditionalFormatting sqref="P148:P153">
    <cfRule type="cellIs" dxfId="10545" priority="767" operator="greaterThan">
      <formula>0</formula>
    </cfRule>
  </conditionalFormatting>
  <conditionalFormatting sqref="Q148:Q153">
    <cfRule type="cellIs" dxfId="10544" priority="765" operator="lessThan">
      <formula>0</formula>
    </cfRule>
  </conditionalFormatting>
  <conditionalFormatting sqref="R148:R153">
    <cfRule type="cellIs" dxfId="10543" priority="763" operator="lessThan">
      <formula>0.8</formula>
    </cfRule>
    <cfRule type="cellIs" dxfId="10542" priority="764" operator="greaterThan">
      <formula>1</formula>
    </cfRule>
  </conditionalFormatting>
  <conditionalFormatting sqref="R148:R153">
    <cfRule type="cellIs" dxfId="10541" priority="761" operator="greaterThan">
      <formula>1</formula>
    </cfRule>
    <cfRule type="cellIs" dxfId="10540" priority="762" operator="lessThan">
      <formula>0.8</formula>
    </cfRule>
  </conditionalFormatting>
  <conditionalFormatting sqref="P148:P153">
    <cfRule type="cellIs" dxfId="10539" priority="760" operator="greaterThan">
      <formula>0</formula>
    </cfRule>
  </conditionalFormatting>
  <conditionalFormatting sqref="Q148:Q153">
    <cfRule type="cellIs" dxfId="10538" priority="759" operator="lessThan">
      <formula>0</formula>
    </cfRule>
  </conditionalFormatting>
  <conditionalFormatting sqref="R148:R153">
    <cfRule type="cellIs" dxfId="10537" priority="757" operator="lessThan">
      <formula>0.8</formula>
    </cfRule>
    <cfRule type="cellIs" dxfId="10536" priority="758" operator="greaterThan">
      <formula>1</formula>
    </cfRule>
  </conditionalFormatting>
  <conditionalFormatting sqref="R148:R153">
    <cfRule type="cellIs" dxfId="10535" priority="755" operator="greaterThan">
      <formula>1</formula>
    </cfRule>
    <cfRule type="cellIs" dxfId="10534" priority="756" operator="lessThan">
      <formula>0.8</formula>
    </cfRule>
  </conditionalFormatting>
  <conditionalFormatting sqref="P148:P153">
    <cfRule type="cellIs" dxfId="10533" priority="754" operator="greaterThan">
      <formula>0</formula>
    </cfRule>
  </conditionalFormatting>
  <conditionalFormatting sqref="Q148:Q153">
    <cfRule type="cellIs" dxfId="10532" priority="753" operator="lessThan">
      <formula>0</formula>
    </cfRule>
  </conditionalFormatting>
  <conditionalFormatting sqref="R148:R153">
    <cfRule type="cellIs" dxfId="10531" priority="751" operator="lessThan">
      <formula>0.8</formula>
    </cfRule>
    <cfRule type="cellIs" dxfId="10530" priority="752" operator="greaterThan">
      <formula>1</formula>
    </cfRule>
  </conditionalFormatting>
  <conditionalFormatting sqref="R148:R153">
    <cfRule type="cellIs" dxfId="10529" priority="749" operator="greaterThan">
      <formula>1</formula>
    </cfRule>
    <cfRule type="cellIs" dxfId="10528" priority="750" operator="lessThan">
      <formula>0.8</formula>
    </cfRule>
  </conditionalFormatting>
  <conditionalFormatting sqref="P148:P153">
    <cfRule type="cellIs" dxfId="10527" priority="748" operator="greaterThan">
      <formula>0</formula>
    </cfRule>
  </conditionalFormatting>
  <conditionalFormatting sqref="Q148:Q153">
    <cfRule type="cellIs" dxfId="10526" priority="747" operator="lessThan">
      <formula>0</formula>
    </cfRule>
  </conditionalFormatting>
  <conditionalFormatting sqref="R148:R153">
    <cfRule type="cellIs" dxfId="10525" priority="745" operator="lessThan">
      <formula>0.8</formula>
    </cfRule>
    <cfRule type="cellIs" dxfId="10524" priority="746" operator="greaterThan">
      <formula>1</formula>
    </cfRule>
  </conditionalFormatting>
  <conditionalFormatting sqref="R148:R153">
    <cfRule type="cellIs" dxfId="10523" priority="743" operator="greaterThan">
      <formula>1</formula>
    </cfRule>
    <cfRule type="cellIs" dxfId="10522" priority="744" operator="lessThan">
      <formula>0.8</formula>
    </cfRule>
  </conditionalFormatting>
  <conditionalFormatting sqref="P148:P153">
    <cfRule type="cellIs" dxfId="10521" priority="742" operator="greaterThan">
      <formula>0</formula>
    </cfRule>
  </conditionalFormatting>
  <conditionalFormatting sqref="Q148:Q153">
    <cfRule type="cellIs" dxfId="10520" priority="741" operator="lessThan">
      <formula>0</formula>
    </cfRule>
  </conditionalFormatting>
  <conditionalFormatting sqref="R148:R153">
    <cfRule type="cellIs" dxfId="10519" priority="739" operator="lessThan">
      <formula>0.8</formula>
    </cfRule>
    <cfRule type="cellIs" dxfId="10518" priority="740" operator="greaterThan">
      <formula>1</formula>
    </cfRule>
  </conditionalFormatting>
  <conditionalFormatting sqref="R148:R153">
    <cfRule type="cellIs" dxfId="10517" priority="737" operator="greaterThan">
      <formula>1</formula>
    </cfRule>
    <cfRule type="cellIs" dxfId="10516" priority="738" operator="lessThan">
      <formula>0.8</formula>
    </cfRule>
  </conditionalFormatting>
  <conditionalFormatting sqref="P148:P153">
    <cfRule type="cellIs" dxfId="10515" priority="736" operator="greaterThan">
      <formula>0</formula>
    </cfRule>
  </conditionalFormatting>
  <conditionalFormatting sqref="P148:P153">
    <cfRule type="cellIs" dxfId="10514" priority="730" operator="greaterThan">
      <formula>0</formula>
    </cfRule>
  </conditionalFormatting>
  <conditionalFormatting sqref="Q148:Q153">
    <cfRule type="cellIs" dxfId="10513" priority="735" operator="lessThan">
      <formula>0</formula>
    </cfRule>
  </conditionalFormatting>
  <conditionalFormatting sqref="R148:R153">
    <cfRule type="cellIs" dxfId="10512" priority="733" operator="lessThan">
      <formula>0.8</formula>
    </cfRule>
    <cfRule type="cellIs" dxfId="10511" priority="734" operator="greaterThan">
      <formula>1</formula>
    </cfRule>
  </conditionalFormatting>
  <conditionalFormatting sqref="R148:R153">
    <cfRule type="cellIs" dxfId="10510" priority="731" operator="greaterThan">
      <formula>1</formula>
    </cfRule>
    <cfRule type="cellIs" dxfId="10509" priority="732" operator="lessThan">
      <formula>0.8</formula>
    </cfRule>
  </conditionalFormatting>
  <conditionalFormatting sqref="P148:P153">
    <cfRule type="cellIs" dxfId="10508" priority="724" operator="greaterThan">
      <formula>0</formula>
    </cfRule>
  </conditionalFormatting>
  <conditionalFormatting sqref="Q148:Q153">
    <cfRule type="cellIs" dxfId="10507" priority="729" operator="lessThan">
      <formula>0</formula>
    </cfRule>
  </conditionalFormatting>
  <conditionalFormatting sqref="R148:R153">
    <cfRule type="cellIs" dxfId="10506" priority="727" operator="lessThan">
      <formula>0.8</formula>
    </cfRule>
    <cfRule type="cellIs" dxfId="10505" priority="728" operator="greaterThan">
      <formula>1</formula>
    </cfRule>
  </conditionalFormatting>
  <conditionalFormatting sqref="R148:R153">
    <cfRule type="cellIs" dxfId="10504" priority="725" operator="greaterThan">
      <formula>1</formula>
    </cfRule>
    <cfRule type="cellIs" dxfId="10503" priority="726" operator="lessThan">
      <formula>0.8</formula>
    </cfRule>
  </conditionalFormatting>
  <conditionalFormatting sqref="R148:R153">
    <cfRule type="cellIs" dxfId="10502" priority="721" operator="lessThan">
      <formula>0.8</formula>
    </cfRule>
    <cfRule type="cellIs" dxfId="10501" priority="722" operator="greaterThan">
      <formula>1</formula>
    </cfRule>
  </conditionalFormatting>
  <conditionalFormatting sqref="R148:R153">
    <cfRule type="cellIs" dxfId="10500" priority="719" operator="greaterThan">
      <formula>1</formula>
    </cfRule>
    <cfRule type="cellIs" dxfId="10499" priority="720" operator="lessThan">
      <formula>0.8</formula>
    </cfRule>
  </conditionalFormatting>
  <conditionalFormatting sqref="P148:P153">
    <cfRule type="cellIs" dxfId="10498" priority="718" operator="greaterThan">
      <formula>0</formula>
    </cfRule>
  </conditionalFormatting>
  <conditionalFormatting sqref="Q148:Q153">
    <cfRule type="cellIs" dxfId="10497" priority="723" operator="lessThan">
      <formula>0</formula>
    </cfRule>
  </conditionalFormatting>
  <conditionalFormatting sqref="P44:P51">
    <cfRule type="cellIs" dxfId="10496" priority="712" operator="greaterThan">
      <formula>0</formula>
    </cfRule>
  </conditionalFormatting>
  <conditionalFormatting sqref="Q44:Q51">
    <cfRule type="cellIs" dxfId="10495" priority="717" operator="lessThan">
      <formula>0</formula>
    </cfRule>
  </conditionalFormatting>
  <conditionalFormatting sqref="R44:R51">
    <cfRule type="cellIs" dxfId="10494" priority="715" operator="lessThan">
      <formula>0.8</formula>
    </cfRule>
    <cfRule type="cellIs" dxfId="10493" priority="716" operator="greaterThan">
      <formula>1</formula>
    </cfRule>
  </conditionalFormatting>
  <conditionalFormatting sqref="R44:R51">
    <cfRule type="cellIs" dxfId="10492" priority="713" operator="greaterThan">
      <formula>1</formula>
    </cfRule>
    <cfRule type="cellIs" dxfId="10491" priority="714" operator="lessThan">
      <formula>0.8</formula>
    </cfRule>
  </conditionalFormatting>
  <conditionalFormatting sqref="Q84:Q91">
    <cfRule type="cellIs" dxfId="10490" priority="711" operator="lessThan">
      <formula>0</formula>
    </cfRule>
  </conditionalFormatting>
  <conditionalFormatting sqref="R84:R91">
    <cfRule type="cellIs" dxfId="10489" priority="709" operator="lessThan">
      <formula>0.8</formula>
    </cfRule>
    <cfRule type="cellIs" dxfId="10488" priority="710" operator="greaterThan">
      <formula>1</formula>
    </cfRule>
  </conditionalFormatting>
  <conditionalFormatting sqref="R84:R91">
    <cfRule type="cellIs" dxfId="10487" priority="707" operator="greaterThan">
      <formula>1</formula>
    </cfRule>
    <cfRule type="cellIs" dxfId="10486" priority="708" operator="lessThan">
      <formula>0.8</formula>
    </cfRule>
  </conditionalFormatting>
  <conditionalFormatting sqref="P84:P91">
    <cfRule type="cellIs" dxfId="10485" priority="706" operator="greaterThan">
      <formula>0</formula>
    </cfRule>
  </conditionalFormatting>
  <conditionalFormatting sqref="Q84:Q91">
    <cfRule type="cellIs" dxfId="10484" priority="705" operator="lessThan">
      <formula>0</formula>
    </cfRule>
  </conditionalFormatting>
  <conditionalFormatting sqref="R84:R91">
    <cfRule type="cellIs" dxfId="10483" priority="703" operator="lessThan">
      <formula>0.8</formula>
    </cfRule>
    <cfRule type="cellIs" dxfId="10482" priority="704" operator="greaterThan">
      <formula>1</formula>
    </cfRule>
  </conditionalFormatting>
  <conditionalFormatting sqref="R84:R91">
    <cfRule type="cellIs" dxfId="10481" priority="701" operator="greaterThan">
      <formula>1</formula>
    </cfRule>
    <cfRule type="cellIs" dxfId="10480" priority="702" operator="lessThan">
      <formula>0.8</formula>
    </cfRule>
  </conditionalFormatting>
  <conditionalFormatting sqref="P84:P91">
    <cfRule type="cellIs" dxfId="10479" priority="700" operator="greaterThan">
      <formula>0</formula>
    </cfRule>
  </conditionalFormatting>
  <conditionalFormatting sqref="Q84:Q91">
    <cfRule type="cellIs" dxfId="10478" priority="699" operator="lessThan">
      <formula>0</formula>
    </cfRule>
  </conditionalFormatting>
  <conditionalFormatting sqref="R84:R91">
    <cfRule type="cellIs" dxfId="10477" priority="697" operator="lessThan">
      <formula>0.8</formula>
    </cfRule>
    <cfRule type="cellIs" dxfId="10476" priority="698" operator="greaterThan">
      <formula>1</formula>
    </cfRule>
  </conditionalFormatting>
  <conditionalFormatting sqref="R84:R91">
    <cfRule type="cellIs" dxfId="10475" priority="695" operator="greaterThan">
      <formula>1</formula>
    </cfRule>
    <cfRule type="cellIs" dxfId="10474" priority="696" operator="lessThan">
      <formula>0.8</formula>
    </cfRule>
  </conditionalFormatting>
  <conditionalFormatting sqref="P84:P91">
    <cfRule type="cellIs" dxfId="10473" priority="694" operator="greaterThan">
      <formula>0</formula>
    </cfRule>
  </conditionalFormatting>
  <conditionalFormatting sqref="Q84:Q91">
    <cfRule type="cellIs" dxfId="10472" priority="693" operator="lessThan">
      <formula>0</formula>
    </cfRule>
  </conditionalFormatting>
  <conditionalFormatting sqref="R84:R91">
    <cfRule type="cellIs" dxfId="10471" priority="691" operator="lessThan">
      <formula>0.8</formula>
    </cfRule>
    <cfRule type="cellIs" dxfId="10470" priority="692" operator="greaterThan">
      <formula>1</formula>
    </cfRule>
  </conditionalFormatting>
  <conditionalFormatting sqref="R84:R91">
    <cfRule type="cellIs" dxfId="10469" priority="689" operator="greaterThan">
      <formula>1</formula>
    </cfRule>
    <cfRule type="cellIs" dxfId="10468" priority="690" operator="lessThan">
      <formula>0.8</formula>
    </cfRule>
  </conditionalFormatting>
  <conditionalFormatting sqref="P84:P91">
    <cfRule type="cellIs" dxfId="10467" priority="688" operator="greaterThan">
      <formula>0</formula>
    </cfRule>
  </conditionalFormatting>
  <conditionalFormatting sqref="P84:P91">
    <cfRule type="cellIs" dxfId="10466" priority="682" operator="greaterThan">
      <formula>0</formula>
    </cfRule>
  </conditionalFormatting>
  <conditionalFormatting sqref="Q84:Q91">
    <cfRule type="cellIs" dxfId="10465" priority="687" operator="lessThan">
      <formula>0</formula>
    </cfRule>
  </conditionalFormatting>
  <conditionalFormatting sqref="R84:R91">
    <cfRule type="cellIs" dxfId="10464" priority="685" operator="lessThan">
      <formula>0.8</formula>
    </cfRule>
    <cfRule type="cellIs" dxfId="10463" priority="686" operator="greaterThan">
      <formula>1</formula>
    </cfRule>
  </conditionalFormatting>
  <conditionalFormatting sqref="R84:R91">
    <cfRule type="cellIs" dxfId="10462" priority="683" operator="greaterThan">
      <formula>1</formula>
    </cfRule>
    <cfRule type="cellIs" dxfId="10461" priority="684" operator="lessThan">
      <formula>0.8</formula>
    </cfRule>
  </conditionalFormatting>
  <conditionalFormatting sqref="P84:P91">
    <cfRule type="cellIs" dxfId="10460" priority="676" operator="greaterThan">
      <formula>0</formula>
    </cfRule>
  </conditionalFormatting>
  <conditionalFormatting sqref="Q84:Q91">
    <cfRule type="cellIs" dxfId="10459" priority="681" operator="lessThan">
      <formula>0</formula>
    </cfRule>
  </conditionalFormatting>
  <conditionalFormatting sqref="R84:R91">
    <cfRule type="cellIs" dxfId="10458" priority="679" operator="lessThan">
      <formula>0.8</formula>
    </cfRule>
    <cfRule type="cellIs" dxfId="10457" priority="680" operator="greaterThan">
      <formula>1</formula>
    </cfRule>
  </conditionalFormatting>
  <conditionalFormatting sqref="R84:R91">
    <cfRule type="cellIs" dxfId="10456" priority="677" operator="greaterThan">
      <formula>1</formula>
    </cfRule>
    <cfRule type="cellIs" dxfId="10455" priority="678" operator="lessThan">
      <formula>0.8</formula>
    </cfRule>
  </conditionalFormatting>
  <conditionalFormatting sqref="R84:R91">
    <cfRule type="cellIs" dxfId="10454" priority="673" operator="lessThan">
      <formula>0.8</formula>
    </cfRule>
    <cfRule type="cellIs" dxfId="10453" priority="674" operator="greaterThan">
      <formula>1</formula>
    </cfRule>
  </conditionalFormatting>
  <conditionalFormatting sqref="R84:R91">
    <cfRule type="cellIs" dxfId="10452" priority="671" operator="greaterThan">
      <formula>1</formula>
    </cfRule>
    <cfRule type="cellIs" dxfId="10451" priority="672" operator="lessThan">
      <formula>0.8</formula>
    </cfRule>
  </conditionalFormatting>
  <conditionalFormatting sqref="P84:P91">
    <cfRule type="cellIs" dxfId="10450" priority="670" operator="greaterThan">
      <formula>0</formula>
    </cfRule>
  </conditionalFormatting>
  <conditionalFormatting sqref="Q84:Q91">
    <cfRule type="cellIs" dxfId="10449" priority="675" operator="lessThan">
      <formula>0</formula>
    </cfRule>
  </conditionalFormatting>
  <conditionalFormatting sqref="Q84:Q91">
    <cfRule type="cellIs" dxfId="10448" priority="669" operator="lessThan">
      <formula>0</formula>
    </cfRule>
  </conditionalFormatting>
  <conditionalFormatting sqref="R84:R91">
    <cfRule type="cellIs" dxfId="10447" priority="667" operator="lessThan">
      <formula>0.8</formula>
    </cfRule>
    <cfRule type="cellIs" dxfId="10446" priority="668" operator="greaterThan">
      <formula>1</formula>
    </cfRule>
  </conditionalFormatting>
  <conditionalFormatting sqref="R84:R91">
    <cfRule type="cellIs" dxfId="10445" priority="665" operator="greaterThan">
      <formula>1</formula>
    </cfRule>
    <cfRule type="cellIs" dxfId="10444" priority="666" operator="lessThan">
      <formula>0.8</formula>
    </cfRule>
  </conditionalFormatting>
  <conditionalFormatting sqref="P84:P91">
    <cfRule type="cellIs" dxfId="10443" priority="664" operator="greaterThan">
      <formula>0</formula>
    </cfRule>
  </conditionalFormatting>
  <conditionalFormatting sqref="P84:P91">
    <cfRule type="cellIs" dxfId="10442" priority="658" operator="greaterThan">
      <formula>0</formula>
    </cfRule>
  </conditionalFormatting>
  <conditionalFormatting sqref="Q84:Q91">
    <cfRule type="cellIs" dxfId="10441" priority="663" operator="lessThan">
      <formula>0</formula>
    </cfRule>
  </conditionalFormatting>
  <conditionalFormatting sqref="R84:R91">
    <cfRule type="cellIs" dxfId="10440" priority="661" operator="lessThan">
      <formula>0.8</formula>
    </cfRule>
    <cfRule type="cellIs" dxfId="10439" priority="662" operator="greaterThan">
      <formula>1</formula>
    </cfRule>
  </conditionalFormatting>
  <conditionalFormatting sqref="R84:R91">
    <cfRule type="cellIs" dxfId="10438" priority="659" operator="greaterThan">
      <formula>1</formula>
    </cfRule>
    <cfRule type="cellIs" dxfId="10437" priority="660" operator="lessThan">
      <formula>0.8</formula>
    </cfRule>
  </conditionalFormatting>
  <conditionalFormatting sqref="P84:P91">
    <cfRule type="cellIs" dxfId="10436" priority="652" operator="greaterThan">
      <formula>0</formula>
    </cfRule>
  </conditionalFormatting>
  <conditionalFormatting sqref="Q84:Q91">
    <cfRule type="cellIs" dxfId="10435" priority="657" operator="lessThan">
      <formula>0</formula>
    </cfRule>
  </conditionalFormatting>
  <conditionalFormatting sqref="R84:R91">
    <cfRule type="cellIs" dxfId="10434" priority="655" operator="lessThan">
      <formula>0.8</formula>
    </cfRule>
    <cfRule type="cellIs" dxfId="10433" priority="656" operator="greaterThan">
      <formula>1</formula>
    </cfRule>
  </conditionalFormatting>
  <conditionalFormatting sqref="R84:R91">
    <cfRule type="cellIs" dxfId="10432" priority="653" operator="greaterThan">
      <formula>1</formula>
    </cfRule>
    <cfRule type="cellIs" dxfId="10431" priority="654" operator="lessThan">
      <formula>0.8</formula>
    </cfRule>
  </conditionalFormatting>
  <conditionalFormatting sqref="R84:R91">
    <cfRule type="cellIs" dxfId="10430" priority="649" operator="lessThan">
      <formula>0.8</formula>
    </cfRule>
    <cfRule type="cellIs" dxfId="10429" priority="650" operator="greaterThan">
      <formula>1</formula>
    </cfRule>
  </conditionalFormatting>
  <conditionalFormatting sqref="R84:R91">
    <cfRule type="cellIs" dxfId="10428" priority="647" operator="greaterThan">
      <formula>1</formula>
    </cfRule>
    <cfRule type="cellIs" dxfId="10427" priority="648" operator="lessThan">
      <formula>0.8</formula>
    </cfRule>
  </conditionalFormatting>
  <conditionalFormatting sqref="P84:P91">
    <cfRule type="cellIs" dxfId="10426" priority="646" operator="greaterThan">
      <formula>0</formula>
    </cfRule>
  </conditionalFormatting>
  <conditionalFormatting sqref="Q84:Q91">
    <cfRule type="cellIs" dxfId="10425" priority="651" operator="lessThan">
      <formula>0</formula>
    </cfRule>
  </conditionalFormatting>
  <conditionalFormatting sqref="P84:P91">
    <cfRule type="cellIs" dxfId="10424" priority="640" operator="greaterThan">
      <formula>0</formula>
    </cfRule>
  </conditionalFormatting>
  <conditionalFormatting sqref="Q84:Q91">
    <cfRule type="cellIs" dxfId="10423" priority="645" operator="lessThan">
      <formula>0</formula>
    </cfRule>
  </conditionalFormatting>
  <conditionalFormatting sqref="R84:R91">
    <cfRule type="cellIs" dxfId="10422" priority="643" operator="lessThan">
      <formula>0.8</formula>
    </cfRule>
    <cfRule type="cellIs" dxfId="10421" priority="644" operator="greaterThan">
      <formula>1</formula>
    </cfRule>
  </conditionalFormatting>
  <conditionalFormatting sqref="R84:R91">
    <cfRule type="cellIs" dxfId="10420" priority="641" operator="greaterThan">
      <formula>1</formula>
    </cfRule>
    <cfRule type="cellIs" dxfId="10419" priority="642" operator="lessThan">
      <formula>0.8</formula>
    </cfRule>
  </conditionalFormatting>
  <conditionalFormatting sqref="R84:R91">
    <cfRule type="cellIs" dxfId="10418" priority="637" operator="lessThan">
      <formula>0.8</formula>
    </cfRule>
    <cfRule type="cellIs" dxfId="10417" priority="638" operator="greaterThan">
      <formula>1</formula>
    </cfRule>
  </conditionalFormatting>
  <conditionalFormatting sqref="R84:R91">
    <cfRule type="cellIs" dxfId="10416" priority="635" operator="greaterThan">
      <formula>1</formula>
    </cfRule>
    <cfRule type="cellIs" dxfId="10415" priority="636" operator="lessThan">
      <formula>0.8</formula>
    </cfRule>
  </conditionalFormatting>
  <conditionalFormatting sqref="P84:P91">
    <cfRule type="cellIs" dxfId="10414" priority="634" operator="greaterThan">
      <formula>0</formula>
    </cfRule>
  </conditionalFormatting>
  <conditionalFormatting sqref="Q84:Q91">
    <cfRule type="cellIs" dxfId="10413" priority="639" operator="lessThan">
      <formula>0</formula>
    </cfRule>
  </conditionalFormatting>
  <conditionalFormatting sqref="R84:R91">
    <cfRule type="cellIs" dxfId="10412" priority="631" operator="lessThan">
      <formula>0.8</formula>
    </cfRule>
    <cfRule type="cellIs" dxfId="10411" priority="632" operator="greaterThan">
      <formula>1</formula>
    </cfRule>
  </conditionalFormatting>
  <conditionalFormatting sqref="R84:R91">
    <cfRule type="cellIs" dxfId="10410" priority="629" operator="greaterThan">
      <formula>1</formula>
    </cfRule>
    <cfRule type="cellIs" dxfId="10409" priority="630" operator="lessThan">
      <formula>0.8</formula>
    </cfRule>
  </conditionalFormatting>
  <conditionalFormatting sqref="P84:P91">
    <cfRule type="cellIs" dxfId="10408" priority="628" operator="greaterThan">
      <formula>0</formula>
    </cfRule>
  </conditionalFormatting>
  <conditionalFormatting sqref="Q84:Q91">
    <cfRule type="cellIs" dxfId="10407" priority="633" operator="lessThan">
      <formula>0</formula>
    </cfRule>
  </conditionalFormatting>
  <conditionalFormatting sqref="Q84:Q91">
    <cfRule type="cellIs" dxfId="10406" priority="627" operator="lessThan">
      <formula>0</formula>
    </cfRule>
  </conditionalFormatting>
  <conditionalFormatting sqref="R84:R91">
    <cfRule type="cellIs" dxfId="10405" priority="625" operator="lessThan">
      <formula>0.8</formula>
    </cfRule>
    <cfRule type="cellIs" dxfId="10404" priority="626" operator="greaterThan">
      <formula>1</formula>
    </cfRule>
  </conditionalFormatting>
  <conditionalFormatting sqref="R84:R91">
    <cfRule type="cellIs" dxfId="10403" priority="623" operator="greaterThan">
      <formula>1</formula>
    </cfRule>
    <cfRule type="cellIs" dxfId="10402" priority="624" operator="lessThan">
      <formula>0.8</formula>
    </cfRule>
  </conditionalFormatting>
  <conditionalFormatting sqref="P84:P91">
    <cfRule type="cellIs" dxfId="10401" priority="622" operator="greaterThan">
      <formula>0</formula>
    </cfRule>
  </conditionalFormatting>
  <conditionalFormatting sqref="Q84:Q91">
    <cfRule type="cellIs" dxfId="10400" priority="616" operator="lessThan">
      <formula>0</formula>
    </cfRule>
  </conditionalFormatting>
  <conditionalFormatting sqref="R84:R91">
    <cfRule type="cellIs" dxfId="10399" priority="620" operator="lessThan">
      <formula>0.8</formula>
    </cfRule>
    <cfRule type="cellIs" dxfId="10398" priority="621" operator="greaterThan">
      <formula>1</formula>
    </cfRule>
  </conditionalFormatting>
  <conditionalFormatting sqref="R84:R91">
    <cfRule type="cellIs" dxfId="10397" priority="618" operator="greaterThan">
      <formula>1</formula>
    </cfRule>
    <cfRule type="cellIs" dxfId="10396" priority="619" operator="lessThan">
      <formula>0.8</formula>
    </cfRule>
  </conditionalFormatting>
  <conditionalFormatting sqref="P84:P91">
    <cfRule type="cellIs" dxfId="10395" priority="617" operator="greaterThan">
      <formula>0</formula>
    </cfRule>
  </conditionalFormatting>
  <conditionalFormatting sqref="Q84:Q91">
    <cfRule type="cellIs" dxfId="10394" priority="615" operator="lessThan">
      <formula>0</formula>
    </cfRule>
  </conditionalFormatting>
  <conditionalFormatting sqref="R84:R91">
    <cfRule type="cellIs" dxfId="10393" priority="613" operator="lessThan">
      <formula>0.8</formula>
    </cfRule>
    <cfRule type="cellIs" dxfId="10392" priority="614" operator="greaterThan">
      <formula>1</formula>
    </cfRule>
  </conditionalFormatting>
  <conditionalFormatting sqref="R84:R91">
    <cfRule type="cellIs" dxfId="10391" priority="611" operator="greaterThan">
      <formula>1</formula>
    </cfRule>
    <cfRule type="cellIs" dxfId="10390" priority="612" operator="lessThan">
      <formula>0.8</formula>
    </cfRule>
  </conditionalFormatting>
  <conditionalFormatting sqref="P84:P91">
    <cfRule type="cellIs" dxfId="10389" priority="610" operator="greaterThan">
      <formula>0</formula>
    </cfRule>
  </conditionalFormatting>
  <conditionalFormatting sqref="Q84:Q91">
    <cfRule type="cellIs" dxfId="10388" priority="609" operator="lessThan">
      <formula>0</formula>
    </cfRule>
  </conditionalFormatting>
  <conditionalFormatting sqref="R84:R91">
    <cfRule type="cellIs" dxfId="10387" priority="607" operator="lessThan">
      <formula>0.8</formula>
    </cfRule>
    <cfRule type="cellIs" dxfId="10386" priority="608" operator="greaterThan">
      <formula>1</formula>
    </cfRule>
  </conditionalFormatting>
  <conditionalFormatting sqref="R84:R91">
    <cfRule type="cellIs" dxfId="10385" priority="605" operator="greaterThan">
      <formula>1</formula>
    </cfRule>
    <cfRule type="cellIs" dxfId="10384" priority="606" operator="lessThan">
      <formula>0.8</formula>
    </cfRule>
  </conditionalFormatting>
  <conditionalFormatting sqref="P84:P91">
    <cfRule type="cellIs" dxfId="10383" priority="604" operator="greaterThan">
      <formula>0</formula>
    </cfRule>
  </conditionalFormatting>
  <conditionalFormatting sqref="Q84:Q91">
    <cfRule type="cellIs" dxfId="10382" priority="603" operator="lessThan">
      <formula>0</formula>
    </cfRule>
  </conditionalFormatting>
  <conditionalFormatting sqref="R84:R91">
    <cfRule type="cellIs" dxfId="10381" priority="601" operator="lessThan">
      <formula>0.8</formula>
    </cfRule>
    <cfRule type="cellIs" dxfId="10380" priority="602" operator="greaterThan">
      <formula>1</formula>
    </cfRule>
  </conditionalFormatting>
  <conditionalFormatting sqref="R84:R91">
    <cfRule type="cellIs" dxfId="10379" priority="599" operator="greaterThan">
      <formula>1</formula>
    </cfRule>
    <cfRule type="cellIs" dxfId="10378" priority="600" operator="lessThan">
      <formula>0.8</formula>
    </cfRule>
  </conditionalFormatting>
  <conditionalFormatting sqref="P84:P91">
    <cfRule type="cellIs" dxfId="10377" priority="598" operator="greaterThan">
      <formula>0</formula>
    </cfRule>
  </conditionalFormatting>
  <conditionalFormatting sqref="Q84:Q91">
    <cfRule type="cellIs" dxfId="10376" priority="597" operator="lessThan">
      <formula>0</formula>
    </cfRule>
  </conditionalFormatting>
  <conditionalFormatting sqref="R84:R91">
    <cfRule type="cellIs" dxfId="10375" priority="595" operator="lessThan">
      <formula>0.8</formula>
    </cfRule>
    <cfRule type="cellIs" dxfId="10374" priority="596" operator="greaterThan">
      <formula>1</formula>
    </cfRule>
  </conditionalFormatting>
  <conditionalFormatting sqref="R84:R91">
    <cfRule type="cellIs" dxfId="10373" priority="593" operator="greaterThan">
      <formula>1</formula>
    </cfRule>
    <cfRule type="cellIs" dxfId="10372" priority="594" operator="lessThan">
      <formula>0.8</formula>
    </cfRule>
  </conditionalFormatting>
  <conditionalFormatting sqref="P84:P91">
    <cfRule type="cellIs" dxfId="10371" priority="592" operator="greaterThan">
      <formula>0</formula>
    </cfRule>
  </conditionalFormatting>
  <conditionalFormatting sqref="Q84:Q91">
    <cfRule type="cellIs" dxfId="10370" priority="591" operator="lessThan">
      <formula>0</formula>
    </cfRule>
  </conditionalFormatting>
  <conditionalFormatting sqref="R84:R91">
    <cfRule type="cellIs" dxfId="10369" priority="589" operator="lessThan">
      <formula>0.8</formula>
    </cfRule>
    <cfRule type="cellIs" dxfId="10368" priority="590" operator="greaterThan">
      <formula>1</formula>
    </cfRule>
  </conditionalFormatting>
  <conditionalFormatting sqref="R84:R91">
    <cfRule type="cellIs" dxfId="10367" priority="587" operator="greaterThan">
      <formula>1</formula>
    </cfRule>
    <cfRule type="cellIs" dxfId="10366" priority="588" operator="lessThan">
      <formula>0.8</formula>
    </cfRule>
  </conditionalFormatting>
  <conditionalFormatting sqref="P84:P91">
    <cfRule type="cellIs" dxfId="10365" priority="586" operator="greaterThan">
      <formula>0</formula>
    </cfRule>
  </conditionalFormatting>
  <conditionalFormatting sqref="P84:P91">
    <cfRule type="cellIs" dxfId="10364" priority="580" operator="greaterThan">
      <formula>0</formula>
    </cfRule>
  </conditionalFormatting>
  <conditionalFormatting sqref="Q84:Q91">
    <cfRule type="cellIs" dxfId="10363" priority="585" operator="lessThan">
      <formula>0</formula>
    </cfRule>
  </conditionalFormatting>
  <conditionalFormatting sqref="R84:R91">
    <cfRule type="cellIs" dxfId="10362" priority="583" operator="lessThan">
      <formula>0.8</formula>
    </cfRule>
    <cfRule type="cellIs" dxfId="10361" priority="584" operator="greaterThan">
      <formula>1</formula>
    </cfRule>
  </conditionalFormatting>
  <conditionalFormatting sqref="R84:R91">
    <cfRule type="cellIs" dxfId="10360" priority="581" operator="greaterThan">
      <formula>1</formula>
    </cfRule>
    <cfRule type="cellIs" dxfId="10359" priority="582" operator="lessThan">
      <formula>0.8</formula>
    </cfRule>
  </conditionalFormatting>
  <conditionalFormatting sqref="P84:P91">
    <cfRule type="cellIs" dxfId="10358" priority="574" operator="greaterThan">
      <formula>0</formula>
    </cfRule>
  </conditionalFormatting>
  <conditionalFormatting sqref="Q84:Q91">
    <cfRule type="cellIs" dxfId="10357" priority="579" operator="lessThan">
      <formula>0</formula>
    </cfRule>
  </conditionalFormatting>
  <conditionalFormatting sqref="R84:R91">
    <cfRule type="cellIs" dxfId="10356" priority="577" operator="lessThan">
      <formula>0.8</formula>
    </cfRule>
    <cfRule type="cellIs" dxfId="10355" priority="578" operator="greaterThan">
      <formula>1</formula>
    </cfRule>
  </conditionalFormatting>
  <conditionalFormatting sqref="R84:R91">
    <cfRule type="cellIs" dxfId="10354" priority="575" operator="greaterThan">
      <formula>1</formula>
    </cfRule>
    <cfRule type="cellIs" dxfId="10353" priority="576" operator="lessThan">
      <formula>0.8</formula>
    </cfRule>
  </conditionalFormatting>
  <conditionalFormatting sqref="R84:R91">
    <cfRule type="cellIs" dxfId="10352" priority="571" operator="lessThan">
      <formula>0.8</formula>
    </cfRule>
    <cfRule type="cellIs" dxfId="10351" priority="572" operator="greaterThan">
      <formula>1</formula>
    </cfRule>
  </conditionalFormatting>
  <conditionalFormatting sqref="R84:R91">
    <cfRule type="cellIs" dxfId="10350" priority="569" operator="greaterThan">
      <formula>1</formula>
    </cfRule>
    <cfRule type="cellIs" dxfId="10349" priority="570" operator="lessThan">
      <formula>0.8</formula>
    </cfRule>
  </conditionalFormatting>
  <conditionalFormatting sqref="P84:P91">
    <cfRule type="cellIs" dxfId="10348" priority="568" operator="greaterThan">
      <formula>0</formula>
    </cfRule>
  </conditionalFormatting>
  <conditionalFormatting sqref="Q84:Q91">
    <cfRule type="cellIs" dxfId="10347" priority="573" operator="lessThan">
      <formula>0</formula>
    </cfRule>
  </conditionalFormatting>
  <conditionalFormatting sqref="Q84:Q91">
    <cfRule type="cellIs" dxfId="10346" priority="567" operator="lessThan">
      <formula>0</formula>
    </cfRule>
  </conditionalFormatting>
  <conditionalFormatting sqref="R84:R91">
    <cfRule type="cellIs" dxfId="10345" priority="565" operator="lessThan">
      <formula>0.8</formula>
    </cfRule>
    <cfRule type="cellIs" dxfId="10344" priority="566" operator="greaterThan">
      <formula>1</formula>
    </cfRule>
  </conditionalFormatting>
  <conditionalFormatting sqref="R84:R91">
    <cfRule type="cellIs" dxfId="10343" priority="563" operator="greaterThan">
      <formula>1</formula>
    </cfRule>
    <cfRule type="cellIs" dxfId="10342" priority="564" operator="lessThan">
      <formula>0.8</formula>
    </cfRule>
  </conditionalFormatting>
  <conditionalFormatting sqref="P84:P91">
    <cfRule type="cellIs" dxfId="10341" priority="562" operator="greaterThan">
      <formula>0</formula>
    </cfRule>
  </conditionalFormatting>
  <conditionalFormatting sqref="Q84:Q91">
    <cfRule type="cellIs" dxfId="10340" priority="561" operator="lessThan">
      <formula>0</formula>
    </cfRule>
  </conditionalFormatting>
  <conditionalFormatting sqref="R84:R91">
    <cfRule type="cellIs" dxfId="10339" priority="559" operator="lessThan">
      <formula>0.8</formula>
    </cfRule>
    <cfRule type="cellIs" dxfId="10338" priority="560" operator="greaterThan">
      <formula>1</formula>
    </cfRule>
  </conditionalFormatting>
  <conditionalFormatting sqref="R84:R91">
    <cfRule type="cellIs" dxfId="10337" priority="557" operator="greaterThan">
      <formula>1</formula>
    </cfRule>
    <cfRule type="cellIs" dxfId="10336" priority="558" operator="lessThan">
      <formula>0.8</formula>
    </cfRule>
  </conditionalFormatting>
  <conditionalFormatting sqref="P84:P91">
    <cfRule type="cellIs" dxfId="10335" priority="556" operator="greaterThan">
      <formula>0</formula>
    </cfRule>
  </conditionalFormatting>
  <conditionalFormatting sqref="Q84:Q91">
    <cfRule type="cellIs" dxfId="10334" priority="555" operator="lessThan">
      <formula>0</formula>
    </cfRule>
  </conditionalFormatting>
  <conditionalFormatting sqref="R84:R91">
    <cfRule type="cellIs" dxfId="10333" priority="553" operator="lessThan">
      <formula>0.8</formula>
    </cfRule>
    <cfRule type="cellIs" dxfId="10332" priority="554" operator="greaterThan">
      <formula>1</formula>
    </cfRule>
  </conditionalFormatting>
  <conditionalFormatting sqref="R84:R91">
    <cfRule type="cellIs" dxfId="10331" priority="551" operator="greaterThan">
      <formula>1</formula>
    </cfRule>
    <cfRule type="cellIs" dxfId="10330" priority="552" operator="lessThan">
      <formula>0.8</formula>
    </cfRule>
  </conditionalFormatting>
  <conditionalFormatting sqref="P84:P91">
    <cfRule type="cellIs" dxfId="10329" priority="550" operator="greaterThan">
      <formula>0</formula>
    </cfRule>
  </conditionalFormatting>
  <conditionalFormatting sqref="Q84:Q91">
    <cfRule type="cellIs" dxfId="10328" priority="549" operator="lessThan">
      <formula>0</formula>
    </cfRule>
  </conditionalFormatting>
  <conditionalFormatting sqref="R84:R91">
    <cfRule type="cellIs" dxfId="10327" priority="547" operator="lessThan">
      <formula>0.8</formula>
    </cfRule>
    <cfRule type="cellIs" dxfId="10326" priority="548" operator="greaterThan">
      <formula>1</formula>
    </cfRule>
  </conditionalFormatting>
  <conditionalFormatting sqref="R84:R91">
    <cfRule type="cellIs" dxfId="10325" priority="545" operator="greaterThan">
      <formula>1</formula>
    </cfRule>
    <cfRule type="cellIs" dxfId="10324" priority="546" operator="lessThan">
      <formula>0.8</formula>
    </cfRule>
  </conditionalFormatting>
  <conditionalFormatting sqref="P84:P91">
    <cfRule type="cellIs" dxfId="10323" priority="544" operator="greaterThan">
      <formula>0</formula>
    </cfRule>
  </conditionalFormatting>
  <conditionalFormatting sqref="P84:P91">
    <cfRule type="cellIs" dxfId="10322" priority="538" operator="greaterThan">
      <formula>0</formula>
    </cfRule>
  </conditionalFormatting>
  <conditionalFormatting sqref="Q84:Q91">
    <cfRule type="cellIs" dxfId="10321" priority="543" operator="lessThan">
      <formula>0</formula>
    </cfRule>
  </conditionalFormatting>
  <conditionalFormatting sqref="R84:R91">
    <cfRule type="cellIs" dxfId="10320" priority="541" operator="lessThan">
      <formula>0.8</formula>
    </cfRule>
    <cfRule type="cellIs" dxfId="10319" priority="542" operator="greaterThan">
      <formula>1</formula>
    </cfRule>
  </conditionalFormatting>
  <conditionalFormatting sqref="R84:R91">
    <cfRule type="cellIs" dxfId="10318" priority="539" operator="greaterThan">
      <formula>1</formula>
    </cfRule>
    <cfRule type="cellIs" dxfId="10317" priority="540" operator="lessThan">
      <formula>0.8</formula>
    </cfRule>
  </conditionalFormatting>
  <conditionalFormatting sqref="P84:P91">
    <cfRule type="cellIs" dxfId="10316" priority="532" operator="greaterThan">
      <formula>0</formula>
    </cfRule>
  </conditionalFormatting>
  <conditionalFormatting sqref="Q84:Q91">
    <cfRule type="cellIs" dxfId="10315" priority="537" operator="lessThan">
      <formula>0</formula>
    </cfRule>
  </conditionalFormatting>
  <conditionalFormatting sqref="R84:R91">
    <cfRule type="cellIs" dxfId="10314" priority="535" operator="lessThan">
      <formula>0.8</formula>
    </cfRule>
    <cfRule type="cellIs" dxfId="10313" priority="536" operator="greaterThan">
      <formula>1</formula>
    </cfRule>
  </conditionalFormatting>
  <conditionalFormatting sqref="R84:R91">
    <cfRule type="cellIs" dxfId="10312" priority="533" operator="greaterThan">
      <formula>1</formula>
    </cfRule>
    <cfRule type="cellIs" dxfId="10311" priority="534" operator="lessThan">
      <formula>0.8</formula>
    </cfRule>
  </conditionalFormatting>
  <conditionalFormatting sqref="R84:R91">
    <cfRule type="cellIs" dxfId="10310" priority="529" operator="lessThan">
      <formula>0.8</formula>
    </cfRule>
    <cfRule type="cellIs" dxfId="10309" priority="530" operator="greaterThan">
      <formula>1</formula>
    </cfRule>
  </conditionalFormatting>
  <conditionalFormatting sqref="R84:R91">
    <cfRule type="cellIs" dxfId="10308" priority="527" operator="greaterThan">
      <formula>1</formula>
    </cfRule>
    <cfRule type="cellIs" dxfId="10307" priority="528" operator="lessThan">
      <formula>0.8</formula>
    </cfRule>
  </conditionalFormatting>
  <conditionalFormatting sqref="P84:P91">
    <cfRule type="cellIs" dxfId="10306" priority="526" operator="greaterThan">
      <formula>0</formula>
    </cfRule>
  </conditionalFormatting>
  <conditionalFormatting sqref="Q84:Q91">
    <cfRule type="cellIs" dxfId="10305" priority="531" operator="lessThan">
      <formula>0</formula>
    </cfRule>
  </conditionalFormatting>
  <conditionalFormatting sqref="Q84:Q91">
    <cfRule type="cellIs" dxfId="10304" priority="525" operator="lessThan">
      <formula>0</formula>
    </cfRule>
  </conditionalFormatting>
  <conditionalFormatting sqref="R84:R91">
    <cfRule type="cellIs" dxfId="10303" priority="523" operator="lessThan">
      <formula>0.8</formula>
    </cfRule>
    <cfRule type="cellIs" dxfId="10302" priority="524" operator="greaterThan">
      <formula>1</formula>
    </cfRule>
  </conditionalFormatting>
  <conditionalFormatting sqref="R84:R91">
    <cfRule type="cellIs" dxfId="10301" priority="521" operator="greaterThan">
      <formula>1</formula>
    </cfRule>
    <cfRule type="cellIs" dxfId="10300" priority="522" operator="lessThan">
      <formula>0.8</formula>
    </cfRule>
  </conditionalFormatting>
  <conditionalFormatting sqref="P84:P91">
    <cfRule type="cellIs" dxfId="10299" priority="520" operator="greaterThan">
      <formula>0</formula>
    </cfRule>
  </conditionalFormatting>
  <conditionalFormatting sqref="P84:P91">
    <cfRule type="cellIs" dxfId="10298" priority="514" operator="greaterThan">
      <formula>0</formula>
    </cfRule>
  </conditionalFormatting>
  <conditionalFormatting sqref="Q84:Q91">
    <cfRule type="cellIs" dxfId="10297" priority="519" operator="lessThan">
      <formula>0</formula>
    </cfRule>
  </conditionalFormatting>
  <conditionalFormatting sqref="R84:R91">
    <cfRule type="cellIs" dxfId="10296" priority="517" operator="lessThan">
      <formula>0.8</formula>
    </cfRule>
    <cfRule type="cellIs" dxfId="10295" priority="518" operator="greaterThan">
      <formula>1</formula>
    </cfRule>
  </conditionalFormatting>
  <conditionalFormatting sqref="R84:R91">
    <cfRule type="cellIs" dxfId="10294" priority="515" operator="greaterThan">
      <formula>1</formula>
    </cfRule>
    <cfRule type="cellIs" dxfId="10293" priority="516" operator="lessThan">
      <formula>0.8</formula>
    </cfRule>
  </conditionalFormatting>
  <conditionalFormatting sqref="P84:P91">
    <cfRule type="cellIs" dxfId="10292" priority="508" operator="greaterThan">
      <formula>0</formula>
    </cfRule>
  </conditionalFormatting>
  <conditionalFormatting sqref="Q84:Q91">
    <cfRule type="cellIs" dxfId="10291" priority="513" operator="lessThan">
      <formula>0</formula>
    </cfRule>
  </conditionalFormatting>
  <conditionalFormatting sqref="R84:R91">
    <cfRule type="cellIs" dxfId="10290" priority="511" operator="lessThan">
      <formula>0.8</formula>
    </cfRule>
    <cfRule type="cellIs" dxfId="10289" priority="512" operator="greaterThan">
      <formula>1</formula>
    </cfRule>
  </conditionalFormatting>
  <conditionalFormatting sqref="R84:R91">
    <cfRule type="cellIs" dxfId="10288" priority="509" operator="greaterThan">
      <formula>1</formula>
    </cfRule>
    <cfRule type="cellIs" dxfId="10287" priority="510" operator="lessThan">
      <formula>0.8</formula>
    </cfRule>
  </conditionalFormatting>
  <conditionalFormatting sqref="R84:R91">
    <cfRule type="cellIs" dxfId="10286" priority="505" operator="lessThan">
      <formula>0.8</formula>
    </cfRule>
    <cfRule type="cellIs" dxfId="10285" priority="506" operator="greaterThan">
      <formula>1</formula>
    </cfRule>
  </conditionalFormatting>
  <conditionalFormatting sqref="R84:R91">
    <cfRule type="cellIs" dxfId="10284" priority="503" operator="greaterThan">
      <formula>1</formula>
    </cfRule>
    <cfRule type="cellIs" dxfId="10283" priority="504" operator="lessThan">
      <formula>0.8</formula>
    </cfRule>
  </conditionalFormatting>
  <conditionalFormatting sqref="P84:P91">
    <cfRule type="cellIs" dxfId="10282" priority="502" operator="greaterThan">
      <formula>0</formula>
    </cfRule>
  </conditionalFormatting>
  <conditionalFormatting sqref="Q84:Q91">
    <cfRule type="cellIs" dxfId="10281" priority="507" operator="lessThan">
      <formula>0</formula>
    </cfRule>
  </conditionalFormatting>
  <conditionalFormatting sqref="P84:P91">
    <cfRule type="cellIs" dxfId="10280" priority="496" operator="greaterThan">
      <formula>0</formula>
    </cfRule>
  </conditionalFormatting>
  <conditionalFormatting sqref="Q84:Q91">
    <cfRule type="cellIs" dxfId="10279" priority="501" operator="lessThan">
      <formula>0</formula>
    </cfRule>
  </conditionalFormatting>
  <conditionalFormatting sqref="R84:R91">
    <cfRule type="cellIs" dxfId="10278" priority="499" operator="lessThan">
      <formula>0.8</formula>
    </cfRule>
    <cfRule type="cellIs" dxfId="10277" priority="500" operator="greaterThan">
      <formula>1</formula>
    </cfRule>
  </conditionalFormatting>
  <conditionalFormatting sqref="R84:R91">
    <cfRule type="cellIs" dxfId="10276" priority="497" operator="greaterThan">
      <formula>1</formula>
    </cfRule>
    <cfRule type="cellIs" dxfId="10275" priority="498" operator="lessThan">
      <formula>0.8</formula>
    </cfRule>
  </conditionalFormatting>
  <conditionalFormatting sqref="R84:R91">
    <cfRule type="cellIs" dxfId="10274" priority="493" operator="lessThan">
      <formula>0.8</formula>
    </cfRule>
    <cfRule type="cellIs" dxfId="10273" priority="494" operator="greaterThan">
      <formula>1</formula>
    </cfRule>
  </conditionalFormatting>
  <conditionalFormatting sqref="R84:R91">
    <cfRule type="cellIs" dxfId="10272" priority="491" operator="greaterThan">
      <formula>1</formula>
    </cfRule>
    <cfRule type="cellIs" dxfId="10271" priority="492" operator="lessThan">
      <formula>0.8</formula>
    </cfRule>
  </conditionalFormatting>
  <conditionalFormatting sqref="P84:P91">
    <cfRule type="cellIs" dxfId="10270" priority="490" operator="greaterThan">
      <formula>0</formula>
    </cfRule>
  </conditionalFormatting>
  <conditionalFormatting sqref="Q84:Q91">
    <cfRule type="cellIs" dxfId="10269" priority="495" operator="lessThan">
      <formula>0</formula>
    </cfRule>
  </conditionalFormatting>
  <conditionalFormatting sqref="R84:R91">
    <cfRule type="cellIs" dxfId="10268" priority="487" operator="lessThan">
      <formula>0.8</formula>
    </cfRule>
    <cfRule type="cellIs" dxfId="10267" priority="488" operator="greaterThan">
      <formula>1</formula>
    </cfRule>
  </conditionalFormatting>
  <conditionalFormatting sqref="R84:R91">
    <cfRule type="cellIs" dxfId="10266" priority="485" operator="greaterThan">
      <formula>1</formula>
    </cfRule>
    <cfRule type="cellIs" dxfId="10265" priority="486" operator="lessThan">
      <formula>0.8</formula>
    </cfRule>
  </conditionalFormatting>
  <conditionalFormatting sqref="P84:P91">
    <cfRule type="cellIs" dxfId="10264" priority="484" operator="greaterThan">
      <formula>0</formula>
    </cfRule>
  </conditionalFormatting>
  <conditionalFormatting sqref="Q84:Q91">
    <cfRule type="cellIs" dxfId="10263" priority="489" operator="lessThan">
      <formula>0</formula>
    </cfRule>
  </conditionalFormatting>
  <conditionalFormatting sqref="Q84:Q91">
    <cfRule type="cellIs" dxfId="10262" priority="483" operator="lessThan">
      <formula>0</formula>
    </cfRule>
  </conditionalFormatting>
  <conditionalFormatting sqref="R84:R91">
    <cfRule type="cellIs" dxfId="10261" priority="481" operator="lessThan">
      <formula>0.8</formula>
    </cfRule>
    <cfRule type="cellIs" dxfId="10260" priority="482" operator="greaterThan">
      <formula>1</formula>
    </cfRule>
  </conditionalFormatting>
  <conditionalFormatting sqref="R84:R91">
    <cfRule type="cellIs" dxfId="10259" priority="479" operator="greaterThan">
      <formula>1</formula>
    </cfRule>
    <cfRule type="cellIs" dxfId="10258" priority="480" operator="lessThan">
      <formula>0.8</formula>
    </cfRule>
  </conditionalFormatting>
  <conditionalFormatting sqref="P84:P91">
    <cfRule type="cellIs" dxfId="10257" priority="478" operator="greaterThan">
      <formula>0</formula>
    </cfRule>
  </conditionalFormatting>
  <conditionalFormatting sqref="Q84:Q91">
    <cfRule type="cellIs" dxfId="10256" priority="472" operator="lessThan">
      <formula>0</formula>
    </cfRule>
  </conditionalFormatting>
  <conditionalFormatting sqref="R84:R91">
    <cfRule type="cellIs" dxfId="10255" priority="476" operator="lessThan">
      <formula>0.8</formula>
    </cfRule>
    <cfRule type="cellIs" dxfId="10254" priority="477" operator="greaterThan">
      <formula>1</formula>
    </cfRule>
  </conditionalFormatting>
  <conditionalFormatting sqref="R84:R91">
    <cfRule type="cellIs" dxfId="10253" priority="474" operator="greaterThan">
      <formula>1</formula>
    </cfRule>
    <cfRule type="cellIs" dxfId="10252" priority="475" operator="lessThan">
      <formula>0.8</formula>
    </cfRule>
  </conditionalFormatting>
  <conditionalFormatting sqref="P84:P91">
    <cfRule type="cellIs" dxfId="10251" priority="473" operator="greaterThan">
      <formula>0</formula>
    </cfRule>
  </conditionalFormatting>
  <conditionalFormatting sqref="Q84:Q91">
    <cfRule type="cellIs" dxfId="10250" priority="471" operator="lessThan">
      <formula>0</formula>
    </cfRule>
  </conditionalFormatting>
  <conditionalFormatting sqref="R84:R91">
    <cfRule type="cellIs" dxfId="10249" priority="469" operator="lessThan">
      <formula>0.8</formula>
    </cfRule>
    <cfRule type="cellIs" dxfId="10248" priority="470" operator="greaterThan">
      <formula>1</formula>
    </cfRule>
  </conditionalFormatting>
  <conditionalFormatting sqref="R84:R91">
    <cfRule type="cellIs" dxfId="10247" priority="467" operator="greaterThan">
      <formula>1</formula>
    </cfRule>
    <cfRule type="cellIs" dxfId="10246" priority="468" operator="lessThan">
      <formula>0.8</formula>
    </cfRule>
  </conditionalFormatting>
  <conditionalFormatting sqref="P84:P91">
    <cfRule type="cellIs" dxfId="10245" priority="466" operator="greaterThan">
      <formula>0</formula>
    </cfRule>
  </conditionalFormatting>
  <conditionalFormatting sqref="Q84:Q91">
    <cfRule type="cellIs" dxfId="10244" priority="465" operator="lessThan">
      <formula>0</formula>
    </cfRule>
  </conditionalFormatting>
  <conditionalFormatting sqref="R84:R91">
    <cfRule type="cellIs" dxfId="10243" priority="463" operator="lessThan">
      <formula>0.8</formula>
    </cfRule>
    <cfRule type="cellIs" dxfId="10242" priority="464" operator="greaterThan">
      <formula>1</formula>
    </cfRule>
  </conditionalFormatting>
  <conditionalFormatting sqref="R84:R91">
    <cfRule type="cellIs" dxfId="10241" priority="461" operator="greaterThan">
      <formula>1</formula>
    </cfRule>
    <cfRule type="cellIs" dxfId="10240" priority="462" operator="lessThan">
      <formula>0.8</formula>
    </cfRule>
  </conditionalFormatting>
  <conditionalFormatting sqref="P84:P91">
    <cfRule type="cellIs" dxfId="10239" priority="460" operator="greaterThan">
      <formula>0</formula>
    </cfRule>
  </conditionalFormatting>
  <conditionalFormatting sqref="Q84:Q91">
    <cfRule type="cellIs" dxfId="10238" priority="459" operator="lessThan">
      <formula>0</formula>
    </cfRule>
  </conditionalFormatting>
  <conditionalFormatting sqref="R84:R91">
    <cfRule type="cellIs" dxfId="10237" priority="457" operator="lessThan">
      <formula>0.8</formula>
    </cfRule>
    <cfRule type="cellIs" dxfId="10236" priority="458" operator="greaterThan">
      <formula>1</formula>
    </cfRule>
  </conditionalFormatting>
  <conditionalFormatting sqref="R84:R91">
    <cfRule type="cellIs" dxfId="10235" priority="455" operator="greaterThan">
      <formula>1</formula>
    </cfRule>
    <cfRule type="cellIs" dxfId="10234" priority="456" operator="lessThan">
      <formula>0.8</formula>
    </cfRule>
  </conditionalFormatting>
  <conditionalFormatting sqref="P84:P91">
    <cfRule type="cellIs" dxfId="10233" priority="454" operator="greaterThan">
      <formula>0</formula>
    </cfRule>
  </conditionalFormatting>
  <conditionalFormatting sqref="Q84:Q91">
    <cfRule type="cellIs" dxfId="10232" priority="453" operator="lessThan">
      <formula>0</formula>
    </cfRule>
  </conditionalFormatting>
  <conditionalFormatting sqref="R84:R91">
    <cfRule type="cellIs" dxfId="10231" priority="451" operator="lessThan">
      <formula>0.8</formula>
    </cfRule>
    <cfRule type="cellIs" dxfId="10230" priority="452" operator="greaterThan">
      <formula>1</formula>
    </cfRule>
  </conditionalFormatting>
  <conditionalFormatting sqref="R84:R91">
    <cfRule type="cellIs" dxfId="10229" priority="449" operator="greaterThan">
      <formula>1</formula>
    </cfRule>
    <cfRule type="cellIs" dxfId="10228" priority="450" operator="lessThan">
      <formula>0.8</formula>
    </cfRule>
  </conditionalFormatting>
  <conditionalFormatting sqref="P84:P91">
    <cfRule type="cellIs" dxfId="10227" priority="448" operator="greaterThan">
      <formula>0</formula>
    </cfRule>
  </conditionalFormatting>
  <conditionalFormatting sqref="Q84:Q91">
    <cfRule type="cellIs" dxfId="10226" priority="447" operator="lessThan">
      <formula>0</formula>
    </cfRule>
  </conditionalFormatting>
  <conditionalFormatting sqref="R84:R91">
    <cfRule type="cellIs" dxfId="10225" priority="445" operator="lessThan">
      <formula>0.8</formula>
    </cfRule>
    <cfRule type="cellIs" dxfId="10224" priority="446" operator="greaterThan">
      <formula>1</formula>
    </cfRule>
  </conditionalFormatting>
  <conditionalFormatting sqref="R84:R91">
    <cfRule type="cellIs" dxfId="10223" priority="443" operator="greaterThan">
      <formula>1</formula>
    </cfRule>
    <cfRule type="cellIs" dxfId="10222" priority="444" operator="lessThan">
      <formula>0.8</formula>
    </cfRule>
  </conditionalFormatting>
  <conditionalFormatting sqref="P84:P91">
    <cfRule type="cellIs" dxfId="10221" priority="442" operator="greaterThan">
      <formula>0</formula>
    </cfRule>
  </conditionalFormatting>
  <conditionalFormatting sqref="P84:P91">
    <cfRule type="cellIs" dxfId="10220" priority="436" operator="greaterThan">
      <formula>0</formula>
    </cfRule>
  </conditionalFormatting>
  <conditionalFormatting sqref="Q84:Q91">
    <cfRule type="cellIs" dxfId="10219" priority="441" operator="lessThan">
      <formula>0</formula>
    </cfRule>
  </conditionalFormatting>
  <conditionalFormatting sqref="R84:R91">
    <cfRule type="cellIs" dxfId="10218" priority="439" operator="lessThan">
      <formula>0.8</formula>
    </cfRule>
    <cfRule type="cellIs" dxfId="10217" priority="440" operator="greaterThan">
      <formula>1</formula>
    </cfRule>
  </conditionalFormatting>
  <conditionalFormatting sqref="R84:R91">
    <cfRule type="cellIs" dxfId="10216" priority="437" operator="greaterThan">
      <formula>1</formula>
    </cfRule>
    <cfRule type="cellIs" dxfId="10215" priority="438" operator="lessThan">
      <formula>0.8</formula>
    </cfRule>
  </conditionalFormatting>
  <conditionalFormatting sqref="P84:P91">
    <cfRule type="cellIs" dxfId="10214" priority="430" operator="greaterThan">
      <formula>0</formula>
    </cfRule>
  </conditionalFormatting>
  <conditionalFormatting sqref="Q84:Q91">
    <cfRule type="cellIs" dxfId="10213" priority="435" operator="lessThan">
      <formula>0</formula>
    </cfRule>
  </conditionalFormatting>
  <conditionalFormatting sqref="R84:R91">
    <cfRule type="cellIs" dxfId="10212" priority="433" operator="lessThan">
      <formula>0.8</formula>
    </cfRule>
    <cfRule type="cellIs" dxfId="10211" priority="434" operator="greaterThan">
      <formula>1</formula>
    </cfRule>
  </conditionalFormatting>
  <conditionalFormatting sqref="R84:R91">
    <cfRule type="cellIs" dxfId="10210" priority="431" operator="greaterThan">
      <formula>1</formula>
    </cfRule>
    <cfRule type="cellIs" dxfId="10209" priority="432" operator="lessThan">
      <formula>0.8</formula>
    </cfRule>
  </conditionalFormatting>
  <conditionalFormatting sqref="R84:R91">
    <cfRule type="cellIs" dxfId="10208" priority="427" operator="lessThan">
      <formula>0.8</formula>
    </cfRule>
    <cfRule type="cellIs" dxfId="10207" priority="428" operator="greaterThan">
      <formula>1</formula>
    </cfRule>
  </conditionalFormatting>
  <conditionalFormatting sqref="R84:R91">
    <cfRule type="cellIs" dxfId="10206" priority="425" operator="greaterThan">
      <formula>1</formula>
    </cfRule>
    <cfRule type="cellIs" dxfId="10205" priority="426" operator="lessThan">
      <formula>0.8</formula>
    </cfRule>
  </conditionalFormatting>
  <conditionalFormatting sqref="P84:P91">
    <cfRule type="cellIs" dxfId="10204" priority="424" operator="greaterThan">
      <formula>0</formula>
    </cfRule>
  </conditionalFormatting>
  <conditionalFormatting sqref="Q84:Q91">
    <cfRule type="cellIs" dxfId="10203" priority="429" operator="lessThan">
      <formula>0</formula>
    </cfRule>
  </conditionalFormatting>
  <conditionalFormatting sqref="Q84:Q91">
    <cfRule type="cellIs" dxfId="10202" priority="418" operator="lessThan">
      <formula>0</formula>
    </cfRule>
  </conditionalFormatting>
  <conditionalFormatting sqref="P84:P91">
    <cfRule type="cellIs" dxfId="10201" priority="419" operator="greaterThan">
      <formula>0</formula>
    </cfRule>
  </conditionalFormatting>
  <conditionalFormatting sqref="R84:R91">
    <cfRule type="cellIs" dxfId="10200" priority="422" operator="lessThan">
      <formula>0.8</formula>
    </cfRule>
    <cfRule type="cellIs" dxfId="10199" priority="423" operator="greaterThan">
      <formula>1</formula>
    </cfRule>
  </conditionalFormatting>
  <conditionalFormatting sqref="R84:R91">
    <cfRule type="cellIs" dxfId="10198" priority="420" operator="greaterThan">
      <formula>1</formula>
    </cfRule>
    <cfRule type="cellIs" dxfId="10197" priority="421" operator="lessThan">
      <formula>0.8</formula>
    </cfRule>
  </conditionalFormatting>
  <conditionalFormatting sqref="Q84:Q91">
    <cfRule type="cellIs" dxfId="10196" priority="412" operator="lessThan">
      <formula>0</formula>
    </cfRule>
  </conditionalFormatting>
  <conditionalFormatting sqref="R84:R91">
    <cfRule type="cellIs" dxfId="10195" priority="416" operator="lessThan">
      <formula>0.8</formula>
    </cfRule>
    <cfRule type="cellIs" dxfId="10194" priority="417" operator="greaterThan">
      <formula>1</formula>
    </cfRule>
  </conditionalFormatting>
  <conditionalFormatting sqref="R84:R91">
    <cfRule type="cellIs" dxfId="10193" priority="414" operator="greaterThan">
      <formula>1</formula>
    </cfRule>
    <cfRule type="cellIs" dxfId="10192" priority="415" operator="lessThan">
      <formula>0.8</formula>
    </cfRule>
  </conditionalFormatting>
  <conditionalFormatting sqref="P84:P91">
    <cfRule type="cellIs" dxfId="10191" priority="413" operator="greaterThan">
      <formula>0</formula>
    </cfRule>
  </conditionalFormatting>
  <conditionalFormatting sqref="Q84:Q91">
    <cfRule type="cellIs" dxfId="10190" priority="411" operator="lessThan">
      <formula>0</formula>
    </cfRule>
  </conditionalFormatting>
  <conditionalFormatting sqref="R84:R91">
    <cfRule type="cellIs" dxfId="10189" priority="409" operator="lessThan">
      <formula>0.8</formula>
    </cfRule>
    <cfRule type="cellIs" dxfId="10188" priority="410" operator="greaterThan">
      <formula>1</formula>
    </cfRule>
  </conditionalFormatting>
  <conditionalFormatting sqref="R84:R91">
    <cfRule type="cellIs" dxfId="10187" priority="407" operator="greaterThan">
      <formula>1</formula>
    </cfRule>
    <cfRule type="cellIs" dxfId="10186" priority="408" operator="lessThan">
      <formula>0.8</formula>
    </cfRule>
  </conditionalFormatting>
  <conditionalFormatting sqref="P84:P91">
    <cfRule type="cellIs" dxfId="10185" priority="406" operator="greaterThan">
      <formula>0</formula>
    </cfRule>
  </conditionalFormatting>
  <conditionalFormatting sqref="Q84:Q91">
    <cfRule type="cellIs" dxfId="10184" priority="405" operator="lessThan">
      <formula>0</formula>
    </cfRule>
  </conditionalFormatting>
  <conditionalFormatting sqref="R84:R91">
    <cfRule type="cellIs" dxfId="10183" priority="403" operator="lessThan">
      <formula>0.8</formula>
    </cfRule>
    <cfRule type="cellIs" dxfId="10182" priority="404" operator="greaterThan">
      <formula>1</formula>
    </cfRule>
  </conditionalFormatting>
  <conditionalFormatting sqref="R84:R91">
    <cfRule type="cellIs" dxfId="10181" priority="401" operator="greaterThan">
      <formula>1</formula>
    </cfRule>
    <cfRule type="cellIs" dxfId="10180" priority="402" operator="lessThan">
      <formula>0.8</formula>
    </cfRule>
  </conditionalFormatting>
  <conditionalFormatting sqref="P84:P91">
    <cfRule type="cellIs" dxfId="10179" priority="400" operator="greaterThan">
      <formula>0</formula>
    </cfRule>
  </conditionalFormatting>
  <conditionalFormatting sqref="Q84:Q91">
    <cfRule type="cellIs" dxfId="10178" priority="399" operator="lessThan">
      <formula>0</formula>
    </cfRule>
  </conditionalFormatting>
  <conditionalFormatting sqref="R84:R91">
    <cfRule type="cellIs" dxfId="10177" priority="397" operator="lessThan">
      <formula>0.8</formula>
    </cfRule>
    <cfRule type="cellIs" dxfId="10176" priority="398" operator="greaterThan">
      <formula>1</formula>
    </cfRule>
  </conditionalFormatting>
  <conditionalFormatting sqref="R84:R91">
    <cfRule type="cellIs" dxfId="10175" priority="395" operator="greaterThan">
      <formula>1</formula>
    </cfRule>
    <cfRule type="cellIs" dxfId="10174" priority="396" operator="lessThan">
      <formula>0.8</formula>
    </cfRule>
  </conditionalFormatting>
  <conditionalFormatting sqref="P84:P91">
    <cfRule type="cellIs" dxfId="10173" priority="394" operator="greaterThan">
      <formula>0</formula>
    </cfRule>
  </conditionalFormatting>
  <conditionalFormatting sqref="Q84:Q91">
    <cfRule type="cellIs" dxfId="10172" priority="393" operator="lessThan">
      <formula>0</formula>
    </cfRule>
  </conditionalFormatting>
  <conditionalFormatting sqref="R84:R91">
    <cfRule type="cellIs" dxfId="10171" priority="391" operator="lessThan">
      <formula>0.8</formula>
    </cfRule>
    <cfRule type="cellIs" dxfId="10170" priority="392" operator="greaterThan">
      <formula>1</formula>
    </cfRule>
  </conditionalFormatting>
  <conditionalFormatting sqref="R84:R91">
    <cfRule type="cellIs" dxfId="10169" priority="389" operator="greaterThan">
      <formula>1</formula>
    </cfRule>
    <cfRule type="cellIs" dxfId="10168" priority="390" operator="lessThan">
      <formula>0.8</formula>
    </cfRule>
  </conditionalFormatting>
  <conditionalFormatting sqref="P84:P91">
    <cfRule type="cellIs" dxfId="10167" priority="388" operator="greaterThan">
      <formula>0</formula>
    </cfRule>
  </conditionalFormatting>
  <conditionalFormatting sqref="Q84:Q91">
    <cfRule type="cellIs" dxfId="10166" priority="387" operator="lessThan">
      <formula>0</formula>
    </cfRule>
  </conditionalFormatting>
  <conditionalFormatting sqref="R84:R91">
    <cfRule type="cellIs" dxfId="10165" priority="385" operator="lessThan">
      <formula>0.8</formula>
    </cfRule>
    <cfRule type="cellIs" dxfId="10164" priority="386" operator="greaterThan">
      <formula>1</formula>
    </cfRule>
  </conditionalFormatting>
  <conditionalFormatting sqref="R84:R91">
    <cfRule type="cellIs" dxfId="10163" priority="383" operator="greaterThan">
      <formula>1</formula>
    </cfRule>
    <cfRule type="cellIs" dxfId="10162" priority="384" operator="lessThan">
      <formula>0.8</formula>
    </cfRule>
  </conditionalFormatting>
  <conditionalFormatting sqref="P84:P91">
    <cfRule type="cellIs" dxfId="10161" priority="382" operator="greaterThan">
      <formula>0</formula>
    </cfRule>
  </conditionalFormatting>
  <conditionalFormatting sqref="Q84:Q91">
    <cfRule type="cellIs" dxfId="10160" priority="381" operator="lessThan">
      <formula>0</formula>
    </cfRule>
  </conditionalFormatting>
  <conditionalFormatting sqref="R84:R91">
    <cfRule type="cellIs" dxfId="10159" priority="379" operator="lessThan">
      <formula>0.8</formula>
    </cfRule>
    <cfRule type="cellIs" dxfId="10158" priority="380" operator="greaterThan">
      <formula>1</formula>
    </cfRule>
  </conditionalFormatting>
  <conditionalFormatting sqref="R84:R91">
    <cfRule type="cellIs" dxfId="10157" priority="377" operator="greaterThan">
      <formula>1</formula>
    </cfRule>
    <cfRule type="cellIs" dxfId="10156" priority="378" operator="lessThan">
      <formula>0.8</formula>
    </cfRule>
  </conditionalFormatting>
  <conditionalFormatting sqref="P84:P91">
    <cfRule type="cellIs" dxfId="10155" priority="376" operator="greaterThan">
      <formula>0</formula>
    </cfRule>
  </conditionalFormatting>
  <conditionalFormatting sqref="Q84:Q91">
    <cfRule type="cellIs" dxfId="10154" priority="375" operator="lessThan">
      <formula>0</formula>
    </cfRule>
  </conditionalFormatting>
  <conditionalFormatting sqref="R84:R91">
    <cfRule type="cellIs" dxfId="10153" priority="373" operator="lessThan">
      <formula>0.8</formula>
    </cfRule>
    <cfRule type="cellIs" dxfId="10152" priority="374" operator="greaterThan">
      <formula>1</formula>
    </cfRule>
  </conditionalFormatting>
  <conditionalFormatting sqref="R84:R91">
    <cfRule type="cellIs" dxfId="10151" priority="371" operator="greaterThan">
      <formula>1</formula>
    </cfRule>
    <cfRule type="cellIs" dxfId="10150" priority="372" operator="lessThan">
      <formula>0.8</formula>
    </cfRule>
  </conditionalFormatting>
  <conditionalFormatting sqref="P84:P91">
    <cfRule type="cellIs" dxfId="10149" priority="370" operator="greaterThan">
      <formula>0</formula>
    </cfRule>
  </conditionalFormatting>
  <conditionalFormatting sqref="P84:P91">
    <cfRule type="cellIs" dxfId="10148" priority="364" operator="greaterThan">
      <formula>0</formula>
    </cfRule>
  </conditionalFormatting>
  <conditionalFormatting sqref="Q84:Q91">
    <cfRule type="cellIs" dxfId="10147" priority="369" operator="lessThan">
      <formula>0</formula>
    </cfRule>
  </conditionalFormatting>
  <conditionalFormatting sqref="R84:R91">
    <cfRule type="cellIs" dxfId="10146" priority="367" operator="lessThan">
      <formula>0.8</formula>
    </cfRule>
    <cfRule type="cellIs" dxfId="10145" priority="368" operator="greaterThan">
      <formula>1</formula>
    </cfRule>
  </conditionalFormatting>
  <conditionalFormatting sqref="R84:R91">
    <cfRule type="cellIs" dxfId="10144" priority="365" operator="greaterThan">
      <formula>1</formula>
    </cfRule>
    <cfRule type="cellIs" dxfId="10143" priority="366" operator="lessThan">
      <formula>0.8</formula>
    </cfRule>
  </conditionalFormatting>
  <conditionalFormatting sqref="P84:P91">
    <cfRule type="cellIs" dxfId="10142" priority="358" operator="greaterThan">
      <formula>0</formula>
    </cfRule>
  </conditionalFormatting>
  <conditionalFormatting sqref="Q84:Q91">
    <cfRule type="cellIs" dxfId="10141" priority="363" operator="lessThan">
      <formula>0</formula>
    </cfRule>
  </conditionalFormatting>
  <conditionalFormatting sqref="R84:R91">
    <cfRule type="cellIs" dxfId="10140" priority="361" operator="lessThan">
      <formula>0.8</formula>
    </cfRule>
    <cfRule type="cellIs" dxfId="10139" priority="362" operator="greaterThan">
      <formula>1</formula>
    </cfRule>
  </conditionalFormatting>
  <conditionalFormatting sqref="R84:R91">
    <cfRule type="cellIs" dxfId="10138" priority="359" operator="greaterThan">
      <formula>1</formula>
    </cfRule>
    <cfRule type="cellIs" dxfId="10137" priority="360" operator="lessThan">
      <formula>0.8</formula>
    </cfRule>
  </conditionalFormatting>
  <conditionalFormatting sqref="R84:R91">
    <cfRule type="cellIs" dxfId="10136" priority="355" operator="lessThan">
      <formula>0.8</formula>
    </cfRule>
    <cfRule type="cellIs" dxfId="10135" priority="356" operator="greaterThan">
      <formula>1</formula>
    </cfRule>
  </conditionalFormatting>
  <conditionalFormatting sqref="R84:R91">
    <cfRule type="cellIs" dxfId="10134" priority="353" operator="greaterThan">
      <formula>1</formula>
    </cfRule>
    <cfRule type="cellIs" dxfId="10133" priority="354" operator="lessThan">
      <formula>0.8</formula>
    </cfRule>
  </conditionalFormatting>
  <conditionalFormatting sqref="P84:P91">
    <cfRule type="cellIs" dxfId="10132" priority="352" operator="greaterThan">
      <formula>0</formula>
    </cfRule>
  </conditionalFormatting>
  <conditionalFormatting sqref="Q84:Q91">
    <cfRule type="cellIs" dxfId="10131" priority="357" operator="lessThan">
      <formula>0</formula>
    </cfRule>
  </conditionalFormatting>
  <conditionalFormatting sqref="Q84:Q91">
    <cfRule type="cellIs" dxfId="10130" priority="351" operator="lessThan">
      <formula>0</formula>
    </cfRule>
  </conditionalFormatting>
  <conditionalFormatting sqref="R84:R91">
    <cfRule type="cellIs" dxfId="10129" priority="349" operator="lessThan">
      <formula>0.8</formula>
    </cfRule>
    <cfRule type="cellIs" dxfId="10128" priority="350" operator="greaterThan">
      <formula>1</formula>
    </cfRule>
  </conditionalFormatting>
  <conditionalFormatting sqref="R84:R91">
    <cfRule type="cellIs" dxfId="10127" priority="347" operator="greaterThan">
      <formula>1</formula>
    </cfRule>
    <cfRule type="cellIs" dxfId="10126" priority="348" operator="lessThan">
      <formula>0.8</formula>
    </cfRule>
  </conditionalFormatting>
  <conditionalFormatting sqref="P84:P91">
    <cfRule type="cellIs" dxfId="10125" priority="346" operator="greaterThan">
      <formula>0</formula>
    </cfRule>
  </conditionalFormatting>
  <conditionalFormatting sqref="P84:P91">
    <cfRule type="cellIs" dxfId="10124" priority="340" operator="greaterThan">
      <formula>0</formula>
    </cfRule>
  </conditionalFormatting>
  <conditionalFormatting sqref="Q84:Q91">
    <cfRule type="cellIs" dxfId="10123" priority="345" operator="lessThan">
      <formula>0</formula>
    </cfRule>
  </conditionalFormatting>
  <conditionalFormatting sqref="R84:R91">
    <cfRule type="cellIs" dxfId="10122" priority="343" operator="lessThan">
      <formula>0.8</formula>
    </cfRule>
    <cfRule type="cellIs" dxfId="10121" priority="344" operator="greaterThan">
      <formula>1</formula>
    </cfRule>
  </conditionalFormatting>
  <conditionalFormatting sqref="R84:R91">
    <cfRule type="cellIs" dxfId="10120" priority="341" operator="greaterThan">
      <formula>1</formula>
    </cfRule>
    <cfRule type="cellIs" dxfId="10119" priority="342" operator="lessThan">
      <formula>0.8</formula>
    </cfRule>
  </conditionalFormatting>
  <conditionalFormatting sqref="P84:P91">
    <cfRule type="cellIs" dxfId="10118" priority="334" operator="greaterThan">
      <formula>0</formula>
    </cfRule>
  </conditionalFormatting>
  <conditionalFormatting sqref="Q84:Q91">
    <cfRule type="cellIs" dxfId="10117" priority="339" operator="lessThan">
      <formula>0</formula>
    </cfRule>
  </conditionalFormatting>
  <conditionalFormatting sqref="R84:R91">
    <cfRule type="cellIs" dxfId="10116" priority="337" operator="lessThan">
      <formula>0.8</formula>
    </cfRule>
    <cfRule type="cellIs" dxfId="10115" priority="338" operator="greaterThan">
      <formula>1</formula>
    </cfRule>
  </conditionalFormatting>
  <conditionalFormatting sqref="R84:R91">
    <cfRule type="cellIs" dxfId="10114" priority="335" operator="greaterThan">
      <formula>1</formula>
    </cfRule>
    <cfRule type="cellIs" dxfId="10113" priority="336" operator="lessThan">
      <formula>0.8</formula>
    </cfRule>
  </conditionalFormatting>
  <conditionalFormatting sqref="R84:R91">
    <cfRule type="cellIs" dxfId="10112" priority="331" operator="lessThan">
      <formula>0.8</formula>
    </cfRule>
    <cfRule type="cellIs" dxfId="10111" priority="332" operator="greaterThan">
      <formula>1</formula>
    </cfRule>
  </conditionalFormatting>
  <conditionalFormatting sqref="R84:R91">
    <cfRule type="cellIs" dxfId="10110" priority="329" operator="greaterThan">
      <formula>1</formula>
    </cfRule>
    <cfRule type="cellIs" dxfId="10109" priority="330" operator="lessThan">
      <formula>0.8</formula>
    </cfRule>
  </conditionalFormatting>
  <conditionalFormatting sqref="P84:P91">
    <cfRule type="cellIs" dxfId="10108" priority="328" operator="greaterThan">
      <formula>0</formula>
    </cfRule>
  </conditionalFormatting>
  <conditionalFormatting sqref="Q84:Q91">
    <cfRule type="cellIs" dxfId="10107" priority="333" operator="lessThan">
      <formula>0</formula>
    </cfRule>
  </conditionalFormatting>
  <conditionalFormatting sqref="P84:P91">
    <cfRule type="cellIs" dxfId="10106" priority="322" operator="greaterThan">
      <formula>0</formula>
    </cfRule>
  </conditionalFormatting>
  <conditionalFormatting sqref="Q84:Q91">
    <cfRule type="cellIs" dxfId="10105" priority="327" operator="lessThan">
      <formula>0</formula>
    </cfRule>
  </conditionalFormatting>
  <conditionalFormatting sqref="R84:R91">
    <cfRule type="cellIs" dxfId="10104" priority="325" operator="lessThan">
      <formula>0.8</formula>
    </cfRule>
    <cfRule type="cellIs" dxfId="10103" priority="326" operator="greaterThan">
      <formula>1</formula>
    </cfRule>
  </conditionalFormatting>
  <conditionalFormatting sqref="R84:R91">
    <cfRule type="cellIs" dxfId="10102" priority="323" operator="greaterThan">
      <formula>1</formula>
    </cfRule>
    <cfRule type="cellIs" dxfId="10101" priority="324" operator="lessThan">
      <formula>0.8</formula>
    </cfRule>
  </conditionalFormatting>
  <conditionalFormatting sqref="R84:R91">
    <cfRule type="cellIs" dxfId="10100" priority="319" operator="lessThan">
      <formula>0.8</formula>
    </cfRule>
    <cfRule type="cellIs" dxfId="10099" priority="320" operator="greaterThan">
      <formula>1</formula>
    </cfRule>
  </conditionalFormatting>
  <conditionalFormatting sqref="R84:R91">
    <cfRule type="cellIs" dxfId="10098" priority="317" operator="greaterThan">
      <formula>1</formula>
    </cfRule>
    <cfRule type="cellIs" dxfId="10097" priority="318" operator="lessThan">
      <formula>0.8</formula>
    </cfRule>
  </conditionalFormatting>
  <conditionalFormatting sqref="P84:P91">
    <cfRule type="cellIs" dxfId="10096" priority="316" operator="greaterThan">
      <formula>0</formula>
    </cfRule>
  </conditionalFormatting>
  <conditionalFormatting sqref="Q84:Q91">
    <cfRule type="cellIs" dxfId="10095" priority="321" operator="lessThan">
      <formula>0</formula>
    </cfRule>
  </conditionalFormatting>
  <conditionalFormatting sqref="R84:R91">
    <cfRule type="cellIs" dxfId="10094" priority="313" operator="lessThan">
      <formula>0.8</formula>
    </cfRule>
    <cfRule type="cellIs" dxfId="10093" priority="314" operator="greaterThan">
      <formula>1</formula>
    </cfRule>
  </conditionalFormatting>
  <conditionalFormatting sqref="R84:R91">
    <cfRule type="cellIs" dxfId="10092" priority="311" operator="greaterThan">
      <formula>1</formula>
    </cfRule>
    <cfRule type="cellIs" dxfId="10091" priority="312" operator="lessThan">
      <formula>0.8</formula>
    </cfRule>
  </conditionalFormatting>
  <conditionalFormatting sqref="P84:P91">
    <cfRule type="cellIs" dxfId="10090" priority="310" operator="greaterThan">
      <formula>0</formula>
    </cfRule>
  </conditionalFormatting>
  <conditionalFormatting sqref="Q84:Q91">
    <cfRule type="cellIs" dxfId="10089" priority="315" operator="lessThan">
      <formula>0</formula>
    </cfRule>
  </conditionalFormatting>
  <conditionalFormatting sqref="Q84:Q91">
    <cfRule type="cellIs" dxfId="10088" priority="309" operator="lessThan">
      <formula>0</formula>
    </cfRule>
  </conditionalFormatting>
  <conditionalFormatting sqref="R84:R91">
    <cfRule type="cellIs" dxfId="10087" priority="307" operator="lessThan">
      <formula>0.8</formula>
    </cfRule>
    <cfRule type="cellIs" dxfId="10086" priority="308" operator="greaterThan">
      <formula>1</formula>
    </cfRule>
  </conditionalFormatting>
  <conditionalFormatting sqref="R84:R91">
    <cfRule type="cellIs" dxfId="10085" priority="305" operator="greaterThan">
      <formula>1</formula>
    </cfRule>
    <cfRule type="cellIs" dxfId="10084" priority="306" operator="lessThan">
      <formula>0.8</formula>
    </cfRule>
  </conditionalFormatting>
  <conditionalFormatting sqref="P84:P91">
    <cfRule type="cellIs" dxfId="10083" priority="304" operator="greaterThan">
      <formula>0</formula>
    </cfRule>
  </conditionalFormatting>
  <conditionalFormatting sqref="Q84:Q91">
    <cfRule type="cellIs" dxfId="10082" priority="298" operator="lessThan">
      <formula>0</formula>
    </cfRule>
  </conditionalFormatting>
  <conditionalFormatting sqref="R84:R91">
    <cfRule type="cellIs" dxfId="10081" priority="302" operator="lessThan">
      <formula>0.8</formula>
    </cfRule>
    <cfRule type="cellIs" dxfId="10080" priority="303" operator="greaterThan">
      <formula>1</formula>
    </cfRule>
  </conditionalFormatting>
  <conditionalFormatting sqref="R84:R91">
    <cfRule type="cellIs" dxfId="10079" priority="300" operator="greaterThan">
      <formula>1</formula>
    </cfRule>
    <cfRule type="cellIs" dxfId="10078" priority="301" operator="lessThan">
      <formula>0.8</formula>
    </cfRule>
  </conditionalFormatting>
  <conditionalFormatting sqref="P84:P91">
    <cfRule type="cellIs" dxfId="10077" priority="299" operator="greaterThan">
      <formula>0</formula>
    </cfRule>
  </conditionalFormatting>
  <conditionalFormatting sqref="Q84:Q91">
    <cfRule type="cellIs" dxfId="10076" priority="297" operator="lessThan">
      <formula>0</formula>
    </cfRule>
  </conditionalFormatting>
  <conditionalFormatting sqref="R84:R91">
    <cfRule type="cellIs" dxfId="10075" priority="295" operator="lessThan">
      <formula>0.8</formula>
    </cfRule>
    <cfRule type="cellIs" dxfId="10074" priority="296" operator="greaterThan">
      <formula>1</formula>
    </cfRule>
  </conditionalFormatting>
  <conditionalFormatting sqref="R84:R91">
    <cfRule type="cellIs" dxfId="10073" priority="293" operator="greaterThan">
      <formula>1</formula>
    </cfRule>
    <cfRule type="cellIs" dxfId="10072" priority="294" operator="lessThan">
      <formula>0.8</formula>
    </cfRule>
  </conditionalFormatting>
  <conditionalFormatting sqref="P84:P91">
    <cfRule type="cellIs" dxfId="10071" priority="292" operator="greaterThan">
      <formula>0</formula>
    </cfRule>
  </conditionalFormatting>
  <conditionalFormatting sqref="Q84:Q91">
    <cfRule type="cellIs" dxfId="10070" priority="291" operator="lessThan">
      <formula>0</formula>
    </cfRule>
  </conditionalFormatting>
  <conditionalFormatting sqref="R84:R91">
    <cfRule type="cellIs" dxfId="10069" priority="289" operator="lessThan">
      <formula>0.8</formula>
    </cfRule>
    <cfRule type="cellIs" dxfId="10068" priority="290" operator="greaterThan">
      <formula>1</formula>
    </cfRule>
  </conditionalFormatting>
  <conditionalFormatting sqref="R84:R91">
    <cfRule type="cellIs" dxfId="10067" priority="287" operator="greaterThan">
      <formula>1</formula>
    </cfRule>
    <cfRule type="cellIs" dxfId="10066" priority="288" operator="lessThan">
      <formula>0.8</formula>
    </cfRule>
  </conditionalFormatting>
  <conditionalFormatting sqref="P84:P91">
    <cfRule type="cellIs" dxfId="10065" priority="286" operator="greaterThan">
      <formula>0</formula>
    </cfRule>
  </conditionalFormatting>
  <conditionalFormatting sqref="Q84:Q91">
    <cfRule type="cellIs" dxfId="10064" priority="285" operator="lessThan">
      <formula>0</formula>
    </cfRule>
  </conditionalFormatting>
  <conditionalFormatting sqref="R84:R91">
    <cfRule type="cellIs" dxfId="10063" priority="283" operator="lessThan">
      <formula>0.8</formula>
    </cfRule>
    <cfRule type="cellIs" dxfId="10062" priority="284" operator="greaterThan">
      <formula>1</formula>
    </cfRule>
  </conditionalFormatting>
  <conditionalFormatting sqref="R84:R91">
    <cfRule type="cellIs" dxfId="10061" priority="281" operator="greaterThan">
      <formula>1</formula>
    </cfRule>
    <cfRule type="cellIs" dxfId="10060" priority="282" operator="lessThan">
      <formula>0.8</formula>
    </cfRule>
  </conditionalFormatting>
  <conditionalFormatting sqref="P84:P91">
    <cfRule type="cellIs" dxfId="10059" priority="280" operator="greaterThan">
      <formula>0</formula>
    </cfRule>
  </conditionalFormatting>
  <conditionalFormatting sqref="Q84:Q91">
    <cfRule type="cellIs" dxfId="10058" priority="279" operator="lessThan">
      <formula>0</formula>
    </cfRule>
  </conditionalFormatting>
  <conditionalFormatting sqref="R84:R91">
    <cfRule type="cellIs" dxfId="10057" priority="277" operator="lessThan">
      <formula>0.8</formula>
    </cfRule>
    <cfRule type="cellIs" dxfId="10056" priority="278" operator="greaterThan">
      <formula>1</formula>
    </cfRule>
  </conditionalFormatting>
  <conditionalFormatting sqref="R84:R91">
    <cfRule type="cellIs" dxfId="10055" priority="275" operator="greaterThan">
      <formula>1</formula>
    </cfRule>
    <cfRule type="cellIs" dxfId="10054" priority="276" operator="lessThan">
      <formula>0.8</formula>
    </cfRule>
  </conditionalFormatting>
  <conditionalFormatting sqref="P84:P91">
    <cfRule type="cellIs" dxfId="10053" priority="274" operator="greaterThan">
      <formula>0</formula>
    </cfRule>
  </conditionalFormatting>
  <conditionalFormatting sqref="Q84:Q91">
    <cfRule type="cellIs" dxfId="10052" priority="273" operator="lessThan">
      <formula>0</formula>
    </cfRule>
  </conditionalFormatting>
  <conditionalFormatting sqref="R84:R91">
    <cfRule type="cellIs" dxfId="10051" priority="271" operator="lessThan">
      <formula>0.8</formula>
    </cfRule>
    <cfRule type="cellIs" dxfId="10050" priority="272" operator="greaterThan">
      <formula>1</formula>
    </cfRule>
  </conditionalFormatting>
  <conditionalFormatting sqref="R84:R91">
    <cfRule type="cellIs" dxfId="10049" priority="269" operator="greaterThan">
      <formula>1</formula>
    </cfRule>
    <cfRule type="cellIs" dxfId="10048" priority="270" operator="lessThan">
      <formula>0.8</formula>
    </cfRule>
  </conditionalFormatting>
  <conditionalFormatting sqref="P84:P91">
    <cfRule type="cellIs" dxfId="10047" priority="268" operator="greaterThan">
      <formula>0</formula>
    </cfRule>
  </conditionalFormatting>
  <conditionalFormatting sqref="P84:P91">
    <cfRule type="cellIs" dxfId="10046" priority="262" operator="greaterThan">
      <formula>0</formula>
    </cfRule>
  </conditionalFormatting>
  <conditionalFormatting sqref="Q84:Q91">
    <cfRule type="cellIs" dxfId="10045" priority="267" operator="lessThan">
      <formula>0</formula>
    </cfRule>
  </conditionalFormatting>
  <conditionalFormatting sqref="R84:R91">
    <cfRule type="cellIs" dxfId="10044" priority="265" operator="lessThan">
      <formula>0.8</formula>
    </cfRule>
    <cfRule type="cellIs" dxfId="10043" priority="266" operator="greaterThan">
      <formula>1</formula>
    </cfRule>
  </conditionalFormatting>
  <conditionalFormatting sqref="R84:R91">
    <cfRule type="cellIs" dxfId="10042" priority="263" operator="greaterThan">
      <formula>1</formula>
    </cfRule>
    <cfRule type="cellIs" dxfId="10041" priority="264" operator="lessThan">
      <formula>0.8</formula>
    </cfRule>
  </conditionalFormatting>
  <conditionalFormatting sqref="P84:P91">
    <cfRule type="cellIs" dxfId="10040" priority="256" operator="greaterThan">
      <formula>0</formula>
    </cfRule>
  </conditionalFormatting>
  <conditionalFormatting sqref="Q84:Q91">
    <cfRule type="cellIs" dxfId="10039" priority="261" operator="lessThan">
      <formula>0</formula>
    </cfRule>
  </conditionalFormatting>
  <conditionalFormatting sqref="R84:R91">
    <cfRule type="cellIs" dxfId="10038" priority="259" operator="lessThan">
      <formula>0.8</formula>
    </cfRule>
    <cfRule type="cellIs" dxfId="10037" priority="260" operator="greaterThan">
      <formula>1</formula>
    </cfRule>
  </conditionalFormatting>
  <conditionalFormatting sqref="R84:R91">
    <cfRule type="cellIs" dxfId="10036" priority="257" operator="greaterThan">
      <formula>1</formula>
    </cfRule>
    <cfRule type="cellIs" dxfId="10035" priority="258" operator="lessThan">
      <formula>0.8</formula>
    </cfRule>
  </conditionalFormatting>
  <conditionalFormatting sqref="R84:R91">
    <cfRule type="cellIs" dxfId="10034" priority="253" operator="lessThan">
      <formula>0.8</formula>
    </cfRule>
    <cfRule type="cellIs" dxfId="10033" priority="254" operator="greaterThan">
      <formula>1</formula>
    </cfRule>
  </conditionalFormatting>
  <conditionalFormatting sqref="R84:R91">
    <cfRule type="cellIs" dxfId="10032" priority="251" operator="greaterThan">
      <formula>1</formula>
    </cfRule>
    <cfRule type="cellIs" dxfId="10031" priority="252" operator="lessThan">
      <formula>0.8</formula>
    </cfRule>
  </conditionalFormatting>
  <conditionalFormatting sqref="P84:P91">
    <cfRule type="cellIs" dxfId="10030" priority="250" operator="greaterThan">
      <formula>0</formula>
    </cfRule>
  </conditionalFormatting>
  <conditionalFormatting sqref="Q84:Q91">
    <cfRule type="cellIs" dxfId="10029" priority="255" operator="lessThan">
      <formula>0</formula>
    </cfRule>
  </conditionalFormatting>
  <conditionalFormatting sqref="Q84:Q91">
    <cfRule type="cellIs" dxfId="10028" priority="249" operator="lessThan">
      <formula>0</formula>
    </cfRule>
  </conditionalFormatting>
  <conditionalFormatting sqref="R84:R91">
    <cfRule type="cellIs" dxfId="10027" priority="247" operator="lessThan">
      <formula>0.8</formula>
    </cfRule>
    <cfRule type="cellIs" dxfId="10026" priority="248" operator="greaterThan">
      <formula>1</formula>
    </cfRule>
  </conditionalFormatting>
  <conditionalFormatting sqref="R84:R91">
    <cfRule type="cellIs" dxfId="10025" priority="245" operator="greaterThan">
      <formula>1</formula>
    </cfRule>
    <cfRule type="cellIs" dxfId="10024" priority="246" operator="lessThan">
      <formula>0.8</formula>
    </cfRule>
  </conditionalFormatting>
  <conditionalFormatting sqref="P84:P91">
    <cfRule type="cellIs" dxfId="10023" priority="244" operator="greaterThan">
      <formula>0</formula>
    </cfRule>
  </conditionalFormatting>
  <conditionalFormatting sqref="Q84:Q91">
    <cfRule type="cellIs" dxfId="10022" priority="243" operator="lessThan">
      <formula>0</formula>
    </cfRule>
  </conditionalFormatting>
  <conditionalFormatting sqref="R84:R91">
    <cfRule type="cellIs" dxfId="10021" priority="241" operator="lessThan">
      <formula>0.8</formula>
    </cfRule>
    <cfRule type="cellIs" dxfId="10020" priority="242" operator="greaterThan">
      <formula>1</formula>
    </cfRule>
  </conditionalFormatting>
  <conditionalFormatting sqref="R84:R91">
    <cfRule type="cellIs" dxfId="10019" priority="239" operator="greaterThan">
      <formula>1</formula>
    </cfRule>
    <cfRule type="cellIs" dxfId="10018" priority="240" operator="lessThan">
      <formula>0.8</formula>
    </cfRule>
  </conditionalFormatting>
  <conditionalFormatting sqref="P84:P91">
    <cfRule type="cellIs" dxfId="10017" priority="238" operator="greaterThan">
      <formula>0</formula>
    </cfRule>
  </conditionalFormatting>
  <conditionalFormatting sqref="Q84:Q91">
    <cfRule type="cellIs" dxfId="10016" priority="237" operator="lessThan">
      <formula>0</formula>
    </cfRule>
  </conditionalFormatting>
  <conditionalFormatting sqref="R84:R91">
    <cfRule type="cellIs" dxfId="10015" priority="235" operator="lessThan">
      <formula>0.8</formula>
    </cfRule>
    <cfRule type="cellIs" dxfId="10014" priority="236" operator="greaterThan">
      <formula>1</formula>
    </cfRule>
  </conditionalFormatting>
  <conditionalFormatting sqref="R84:R91">
    <cfRule type="cellIs" dxfId="10013" priority="233" operator="greaterThan">
      <formula>1</formula>
    </cfRule>
    <cfRule type="cellIs" dxfId="10012" priority="234" operator="lessThan">
      <formula>0.8</formula>
    </cfRule>
  </conditionalFormatting>
  <conditionalFormatting sqref="P84:P91">
    <cfRule type="cellIs" dxfId="10011" priority="232" operator="greaterThan">
      <formula>0</formula>
    </cfRule>
  </conditionalFormatting>
  <conditionalFormatting sqref="Q84:Q91">
    <cfRule type="cellIs" dxfId="10010" priority="231" operator="lessThan">
      <formula>0</formula>
    </cfRule>
  </conditionalFormatting>
  <conditionalFormatting sqref="R84:R91">
    <cfRule type="cellIs" dxfId="10009" priority="229" operator="lessThan">
      <formula>0.8</formula>
    </cfRule>
    <cfRule type="cellIs" dxfId="10008" priority="230" operator="greaterThan">
      <formula>1</formula>
    </cfRule>
  </conditionalFormatting>
  <conditionalFormatting sqref="R84:R91">
    <cfRule type="cellIs" dxfId="10007" priority="227" operator="greaterThan">
      <formula>1</formula>
    </cfRule>
    <cfRule type="cellIs" dxfId="10006" priority="228" operator="lessThan">
      <formula>0.8</formula>
    </cfRule>
  </conditionalFormatting>
  <conditionalFormatting sqref="P84:P91">
    <cfRule type="cellIs" dxfId="10005" priority="226" operator="greaterThan">
      <formula>0</formula>
    </cfRule>
  </conditionalFormatting>
  <conditionalFormatting sqref="P84:P91">
    <cfRule type="cellIs" dxfId="10004" priority="220" operator="greaterThan">
      <formula>0</formula>
    </cfRule>
  </conditionalFormatting>
  <conditionalFormatting sqref="Q84:Q91">
    <cfRule type="cellIs" dxfId="10003" priority="225" operator="lessThan">
      <formula>0</formula>
    </cfRule>
  </conditionalFormatting>
  <conditionalFormatting sqref="R84:R91">
    <cfRule type="cellIs" dxfId="10002" priority="223" operator="lessThan">
      <formula>0.8</formula>
    </cfRule>
    <cfRule type="cellIs" dxfId="10001" priority="224" operator="greaterThan">
      <formula>1</formula>
    </cfRule>
  </conditionalFormatting>
  <conditionalFormatting sqref="R84:R91">
    <cfRule type="cellIs" dxfId="10000" priority="221" operator="greaterThan">
      <formula>1</formula>
    </cfRule>
    <cfRule type="cellIs" dxfId="9999" priority="222" operator="lessThan">
      <formula>0.8</formula>
    </cfRule>
  </conditionalFormatting>
  <conditionalFormatting sqref="P84:P91">
    <cfRule type="cellIs" dxfId="9998" priority="214" operator="greaterThan">
      <formula>0</formula>
    </cfRule>
  </conditionalFormatting>
  <conditionalFormatting sqref="Q84:Q91">
    <cfRule type="cellIs" dxfId="9997" priority="219" operator="lessThan">
      <formula>0</formula>
    </cfRule>
  </conditionalFormatting>
  <conditionalFormatting sqref="R84:R91">
    <cfRule type="cellIs" dxfId="9996" priority="217" operator="lessThan">
      <formula>0.8</formula>
    </cfRule>
    <cfRule type="cellIs" dxfId="9995" priority="218" operator="greaterThan">
      <formula>1</formula>
    </cfRule>
  </conditionalFormatting>
  <conditionalFormatting sqref="R84:R91">
    <cfRule type="cellIs" dxfId="9994" priority="215" operator="greaterThan">
      <formula>1</formula>
    </cfRule>
    <cfRule type="cellIs" dxfId="9993" priority="216" operator="lessThan">
      <formula>0.8</formula>
    </cfRule>
  </conditionalFormatting>
  <conditionalFormatting sqref="R84:R91">
    <cfRule type="cellIs" dxfId="9992" priority="211" operator="lessThan">
      <formula>0.8</formula>
    </cfRule>
    <cfRule type="cellIs" dxfId="9991" priority="212" operator="greaterThan">
      <formula>1</formula>
    </cfRule>
  </conditionalFormatting>
  <conditionalFormatting sqref="R84:R91">
    <cfRule type="cellIs" dxfId="9990" priority="209" operator="greaterThan">
      <formula>1</formula>
    </cfRule>
    <cfRule type="cellIs" dxfId="9989" priority="210" operator="lessThan">
      <formula>0.8</formula>
    </cfRule>
  </conditionalFormatting>
  <conditionalFormatting sqref="P84:P91">
    <cfRule type="cellIs" dxfId="9988" priority="208" operator="greaterThan">
      <formula>0</formula>
    </cfRule>
  </conditionalFormatting>
  <conditionalFormatting sqref="Q84:Q91">
    <cfRule type="cellIs" dxfId="9987" priority="213" operator="lessThan">
      <formula>0</formula>
    </cfRule>
  </conditionalFormatting>
  <conditionalFormatting sqref="Q84:Q91">
    <cfRule type="cellIs" dxfId="9986" priority="207" operator="lessThan">
      <formula>0</formula>
    </cfRule>
  </conditionalFormatting>
  <conditionalFormatting sqref="R84:R91">
    <cfRule type="cellIs" dxfId="9985" priority="205" operator="lessThan">
      <formula>0.8</formula>
    </cfRule>
    <cfRule type="cellIs" dxfId="9984" priority="206" operator="greaterThan">
      <formula>1</formula>
    </cfRule>
  </conditionalFormatting>
  <conditionalFormatting sqref="R84:R91">
    <cfRule type="cellIs" dxfId="9983" priority="203" operator="greaterThan">
      <formula>1</formula>
    </cfRule>
    <cfRule type="cellIs" dxfId="9982" priority="204" operator="lessThan">
      <formula>0.8</formula>
    </cfRule>
  </conditionalFormatting>
  <conditionalFormatting sqref="P84:P91">
    <cfRule type="cellIs" dxfId="9981" priority="202" operator="greaterThan">
      <formula>0</formula>
    </cfRule>
  </conditionalFormatting>
  <conditionalFormatting sqref="P84:P91">
    <cfRule type="cellIs" dxfId="9980" priority="196" operator="greaterThan">
      <formula>0</formula>
    </cfRule>
  </conditionalFormatting>
  <conditionalFormatting sqref="Q84:Q91">
    <cfRule type="cellIs" dxfId="9979" priority="201" operator="lessThan">
      <formula>0</formula>
    </cfRule>
  </conditionalFormatting>
  <conditionalFormatting sqref="R84:R91">
    <cfRule type="cellIs" dxfId="9978" priority="199" operator="lessThan">
      <formula>0.8</formula>
    </cfRule>
    <cfRule type="cellIs" dxfId="9977" priority="200" operator="greaterThan">
      <formula>1</formula>
    </cfRule>
  </conditionalFormatting>
  <conditionalFormatting sqref="R84:R91">
    <cfRule type="cellIs" dxfId="9976" priority="197" operator="greaterThan">
      <formula>1</formula>
    </cfRule>
    <cfRule type="cellIs" dxfId="9975" priority="198" operator="lessThan">
      <formula>0.8</formula>
    </cfRule>
  </conditionalFormatting>
  <conditionalFormatting sqref="P84:P91">
    <cfRule type="cellIs" dxfId="9974" priority="190" operator="greaterThan">
      <formula>0</formula>
    </cfRule>
  </conditionalFormatting>
  <conditionalFormatting sqref="Q84:Q91">
    <cfRule type="cellIs" dxfId="9973" priority="195" operator="lessThan">
      <formula>0</formula>
    </cfRule>
  </conditionalFormatting>
  <conditionalFormatting sqref="R84:R91">
    <cfRule type="cellIs" dxfId="9972" priority="193" operator="lessThan">
      <formula>0.8</formula>
    </cfRule>
    <cfRule type="cellIs" dxfId="9971" priority="194" operator="greaterThan">
      <formula>1</formula>
    </cfRule>
  </conditionalFormatting>
  <conditionalFormatting sqref="R84:R91">
    <cfRule type="cellIs" dxfId="9970" priority="191" operator="greaterThan">
      <formula>1</formula>
    </cfRule>
    <cfRule type="cellIs" dxfId="9969" priority="192" operator="lessThan">
      <formula>0.8</formula>
    </cfRule>
  </conditionalFormatting>
  <conditionalFormatting sqref="R84:R91">
    <cfRule type="cellIs" dxfId="9968" priority="187" operator="lessThan">
      <formula>0.8</formula>
    </cfRule>
    <cfRule type="cellIs" dxfId="9967" priority="188" operator="greaterThan">
      <formula>1</formula>
    </cfRule>
  </conditionalFormatting>
  <conditionalFormatting sqref="R84:R91">
    <cfRule type="cellIs" dxfId="9966" priority="185" operator="greaterThan">
      <formula>1</formula>
    </cfRule>
    <cfRule type="cellIs" dxfId="9965" priority="186" operator="lessThan">
      <formula>0.8</formula>
    </cfRule>
  </conditionalFormatting>
  <conditionalFormatting sqref="P84:P91">
    <cfRule type="cellIs" dxfId="9964" priority="184" operator="greaterThan">
      <formula>0</formula>
    </cfRule>
  </conditionalFormatting>
  <conditionalFormatting sqref="Q84:Q91">
    <cfRule type="cellIs" dxfId="9963" priority="189" operator="lessThan">
      <formula>0</formula>
    </cfRule>
  </conditionalFormatting>
  <conditionalFormatting sqref="P84:P91">
    <cfRule type="cellIs" dxfId="9962" priority="178" operator="greaterThan">
      <formula>0</formula>
    </cfRule>
  </conditionalFormatting>
  <conditionalFormatting sqref="Q84:Q91">
    <cfRule type="cellIs" dxfId="9961" priority="183" operator="lessThan">
      <formula>0</formula>
    </cfRule>
  </conditionalFormatting>
  <conditionalFormatting sqref="R84:R91">
    <cfRule type="cellIs" dxfId="9960" priority="181" operator="lessThan">
      <formula>0.8</formula>
    </cfRule>
    <cfRule type="cellIs" dxfId="9959" priority="182" operator="greaterThan">
      <formula>1</formula>
    </cfRule>
  </conditionalFormatting>
  <conditionalFormatting sqref="R84:R91">
    <cfRule type="cellIs" dxfId="9958" priority="179" operator="greaterThan">
      <formula>1</formula>
    </cfRule>
    <cfRule type="cellIs" dxfId="9957" priority="180" operator="lessThan">
      <formula>0.8</formula>
    </cfRule>
  </conditionalFormatting>
  <conditionalFormatting sqref="R84:R91">
    <cfRule type="cellIs" dxfId="9956" priority="175" operator="lessThan">
      <formula>0.8</formula>
    </cfRule>
    <cfRule type="cellIs" dxfId="9955" priority="176" operator="greaterThan">
      <formula>1</formula>
    </cfRule>
  </conditionalFormatting>
  <conditionalFormatting sqref="R84:R91">
    <cfRule type="cellIs" dxfId="9954" priority="173" operator="greaterThan">
      <formula>1</formula>
    </cfRule>
    <cfRule type="cellIs" dxfId="9953" priority="174" operator="lessThan">
      <formula>0.8</formula>
    </cfRule>
  </conditionalFormatting>
  <conditionalFormatting sqref="P84:P91">
    <cfRule type="cellIs" dxfId="9952" priority="172" operator="greaterThan">
      <formula>0</formula>
    </cfRule>
  </conditionalFormatting>
  <conditionalFormatting sqref="Q84:Q91">
    <cfRule type="cellIs" dxfId="9951" priority="177" operator="lessThan">
      <formula>0</formula>
    </cfRule>
  </conditionalFormatting>
  <conditionalFormatting sqref="R84:R91">
    <cfRule type="cellIs" dxfId="9950" priority="169" operator="lessThan">
      <formula>0.8</formula>
    </cfRule>
    <cfRule type="cellIs" dxfId="9949" priority="170" operator="greaterThan">
      <formula>1</formula>
    </cfRule>
  </conditionalFormatting>
  <conditionalFormatting sqref="R84:R91">
    <cfRule type="cellIs" dxfId="9948" priority="167" operator="greaterThan">
      <formula>1</formula>
    </cfRule>
    <cfRule type="cellIs" dxfId="9947" priority="168" operator="lessThan">
      <formula>0.8</formula>
    </cfRule>
  </conditionalFormatting>
  <conditionalFormatting sqref="P84:P91">
    <cfRule type="cellIs" dxfId="9946" priority="166" operator="greaterThan">
      <formula>0</formula>
    </cfRule>
  </conditionalFormatting>
  <conditionalFormatting sqref="Q84:Q91">
    <cfRule type="cellIs" dxfId="9945" priority="171" operator="lessThan">
      <formula>0</formula>
    </cfRule>
  </conditionalFormatting>
  <conditionalFormatting sqref="Q84:Q91">
    <cfRule type="cellIs" dxfId="9944" priority="165" operator="lessThan">
      <formula>0</formula>
    </cfRule>
  </conditionalFormatting>
  <conditionalFormatting sqref="R84:R91">
    <cfRule type="cellIs" dxfId="9943" priority="163" operator="lessThan">
      <formula>0.8</formula>
    </cfRule>
    <cfRule type="cellIs" dxfId="9942" priority="164" operator="greaterThan">
      <formula>1</formula>
    </cfRule>
  </conditionalFormatting>
  <conditionalFormatting sqref="R84:R91">
    <cfRule type="cellIs" dxfId="9941" priority="161" operator="greaterThan">
      <formula>1</formula>
    </cfRule>
    <cfRule type="cellIs" dxfId="9940" priority="162" operator="lessThan">
      <formula>0.8</formula>
    </cfRule>
  </conditionalFormatting>
  <conditionalFormatting sqref="P84:P91">
    <cfRule type="cellIs" dxfId="9939" priority="160" operator="greaterThan">
      <formula>0</formula>
    </cfRule>
  </conditionalFormatting>
  <conditionalFormatting sqref="Q84:Q91">
    <cfRule type="cellIs" dxfId="9938" priority="154" operator="lessThan">
      <formula>0</formula>
    </cfRule>
  </conditionalFormatting>
  <conditionalFormatting sqref="R84:R91">
    <cfRule type="cellIs" dxfId="9937" priority="158" operator="lessThan">
      <formula>0.8</formula>
    </cfRule>
    <cfRule type="cellIs" dxfId="9936" priority="159" operator="greaterThan">
      <formula>1</formula>
    </cfRule>
  </conditionalFormatting>
  <conditionalFormatting sqref="R84:R91">
    <cfRule type="cellIs" dxfId="9935" priority="156" operator="greaterThan">
      <formula>1</formula>
    </cfRule>
    <cfRule type="cellIs" dxfId="9934" priority="157" operator="lessThan">
      <formula>0.8</formula>
    </cfRule>
  </conditionalFormatting>
  <conditionalFormatting sqref="P84:P91">
    <cfRule type="cellIs" dxfId="9933" priority="155" operator="greaterThan">
      <formula>0</formula>
    </cfRule>
  </conditionalFormatting>
  <conditionalFormatting sqref="Q84:Q91">
    <cfRule type="cellIs" dxfId="9932" priority="153" operator="lessThan">
      <formula>0</formula>
    </cfRule>
  </conditionalFormatting>
  <conditionalFormatting sqref="R84:R91">
    <cfRule type="cellIs" dxfId="9931" priority="151" operator="lessThan">
      <formula>0.8</formula>
    </cfRule>
    <cfRule type="cellIs" dxfId="9930" priority="152" operator="greaterThan">
      <formula>1</formula>
    </cfRule>
  </conditionalFormatting>
  <conditionalFormatting sqref="R84:R91">
    <cfRule type="cellIs" dxfId="9929" priority="149" operator="greaterThan">
      <formula>1</formula>
    </cfRule>
    <cfRule type="cellIs" dxfId="9928" priority="150" operator="lessThan">
      <formula>0.8</formula>
    </cfRule>
  </conditionalFormatting>
  <conditionalFormatting sqref="P84:P91">
    <cfRule type="cellIs" dxfId="9927" priority="148" operator="greaterThan">
      <formula>0</formula>
    </cfRule>
  </conditionalFormatting>
  <conditionalFormatting sqref="Q84:Q91">
    <cfRule type="cellIs" dxfId="9926" priority="147" operator="lessThan">
      <formula>0</formula>
    </cfRule>
  </conditionalFormatting>
  <conditionalFormatting sqref="R84:R91">
    <cfRule type="cellIs" dxfId="9925" priority="145" operator="lessThan">
      <formula>0.8</formula>
    </cfRule>
    <cfRule type="cellIs" dxfId="9924" priority="146" operator="greaterThan">
      <formula>1</formula>
    </cfRule>
  </conditionalFormatting>
  <conditionalFormatting sqref="R84:R91">
    <cfRule type="cellIs" dxfId="9923" priority="143" operator="greaterThan">
      <formula>1</formula>
    </cfRule>
    <cfRule type="cellIs" dxfId="9922" priority="144" operator="lessThan">
      <formula>0.8</formula>
    </cfRule>
  </conditionalFormatting>
  <conditionalFormatting sqref="P84:P91">
    <cfRule type="cellIs" dxfId="9921" priority="142" operator="greaterThan">
      <formula>0</formula>
    </cfRule>
  </conditionalFormatting>
  <conditionalFormatting sqref="Q84:Q91">
    <cfRule type="cellIs" dxfId="9920" priority="141" operator="lessThan">
      <formula>0</formula>
    </cfRule>
  </conditionalFormatting>
  <conditionalFormatting sqref="R84:R91">
    <cfRule type="cellIs" dxfId="9919" priority="139" operator="lessThan">
      <formula>0.8</formula>
    </cfRule>
    <cfRule type="cellIs" dxfId="9918" priority="140" operator="greaterThan">
      <formula>1</formula>
    </cfRule>
  </conditionalFormatting>
  <conditionalFormatting sqref="R84:R91">
    <cfRule type="cellIs" dxfId="9917" priority="137" operator="greaterThan">
      <formula>1</formula>
    </cfRule>
    <cfRule type="cellIs" dxfId="9916" priority="138" operator="lessThan">
      <formula>0.8</formula>
    </cfRule>
  </conditionalFormatting>
  <conditionalFormatting sqref="P84:P91">
    <cfRule type="cellIs" dxfId="9915" priority="136" operator="greaterThan">
      <formula>0</formula>
    </cfRule>
  </conditionalFormatting>
  <conditionalFormatting sqref="Q84:Q91">
    <cfRule type="cellIs" dxfId="9914" priority="135" operator="lessThan">
      <formula>0</formula>
    </cfRule>
  </conditionalFormatting>
  <conditionalFormatting sqref="R84:R91">
    <cfRule type="cellIs" dxfId="9913" priority="133" operator="lessThan">
      <formula>0.8</formula>
    </cfRule>
    <cfRule type="cellIs" dxfId="9912" priority="134" operator="greaterThan">
      <formula>1</formula>
    </cfRule>
  </conditionalFormatting>
  <conditionalFormatting sqref="R84:R91">
    <cfRule type="cellIs" dxfId="9911" priority="131" operator="greaterThan">
      <formula>1</formula>
    </cfRule>
    <cfRule type="cellIs" dxfId="9910" priority="132" operator="lessThan">
      <formula>0.8</formula>
    </cfRule>
  </conditionalFormatting>
  <conditionalFormatting sqref="P84:P91">
    <cfRule type="cellIs" dxfId="9909" priority="130" operator="greaterThan">
      <formula>0</formula>
    </cfRule>
  </conditionalFormatting>
  <conditionalFormatting sqref="Q84:Q91">
    <cfRule type="cellIs" dxfId="9908" priority="129" operator="lessThan">
      <formula>0</formula>
    </cfRule>
  </conditionalFormatting>
  <conditionalFormatting sqref="R84:R91">
    <cfRule type="cellIs" dxfId="9907" priority="127" operator="lessThan">
      <formula>0.8</formula>
    </cfRule>
    <cfRule type="cellIs" dxfId="9906" priority="128" operator="greaterThan">
      <formula>1</formula>
    </cfRule>
  </conditionalFormatting>
  <conditionalFormatting sqref="R84:R91">
    <cfRule type="cellIs" dxfId="9905" priority="125" operator="greaterThan">
      <formula>1</formula>
    </cfRule>
    <cfRule type="cellIs" dxfId="9904" priority="126" operator="lessThan">
      <formula>0.8</formula>
    </cfRule>
  </conditionalFormatting>
  <conditionalFormatting sqref="P84:P91">
    <cfRule type="cellIs" dxfId="9903" priority="124" operator="greaterThan">
      <formula>0</formula>
    </cfRule>
  </conditionalFormatting>
  <conditionalFormatting sqref="P84:P91">
    <cfRule type="cellIs" dxfId="9902" priority="118" operator="greaterThan">
      <formula>0</formula>
    </cfRule>
  </conditionalFormatting>
  <conditionalFormatting sqref="Q84:Q91">
    <cfRule type="cellIs" dxfId="9901" priority="123" operator="lessThan">
      <formula>0</formula>
    </cfRule>
  </conditionalFormatting>
  <conditionalFormatting sqref="R84:R91">
    <cfRule type="cellIs" dxfId="9900" priority="121" operator="lessThan">
      <formula>0.8</formula>
    </cfRule>
    <cfRule type="cellIs" dxfId="9899" priority="122" operator="greaterThan">
      <formula>1</formula>
    </cfRule>
  </conditionalFormatting>
  <conditionalFormatting sqref="R84:R91">
    <cfRule type="cellIs" dxfId="9898" priority="119" operator="greaterThan">
      <formula>1</formula>
    </cfRule>
    <cfRule type="cellIs" dxfId="9897" priority="120" operator="lessThan">
      <formula>0.8</formula>
    </cfRule>
  </conditionalFormatting>
  <conditionalFormatting sqref="P84:P91">
    <cfRule type="cellIs" dxfId="9896" priority="112" operator="greaterThan">
      <formula>0</formula>
    </cfRule>
  </conditionalFormatting>
  <conditionalFormatting sqref="Q84:Q91">
    <cfRule type="cellIs" dxfId="9895" priority="117" operator="lessThan">
      <formula>0</formula>
    </cfRule>
  </conditionalFormatting>
  <conditionalFormatting sqref="R84:R91">
    <cfRule type="cellIs" dxfId="9894" priority="115" operator="lessThan">
      <formula>0.8</formula>
    </cfRule>
    <cfRule type="cellIs" dxfId="9893" priority="116" operator="greaterThan">
      <formula>1</formula>
    </cfRule>
  </conditionalFormatting>
  <conditionalFormatting sqref="R84:R91">
    <cfRule type="cellIs" dxfId="9892" priority="113" operator="greaterThan">
      <formula>1</formula>
    </cfRule>
    <cfRule type="cellIs" dxfId="9891" priority="114" operator="lessThan">
      <formula>0.8</formula>
    </cfRule>
  </conditionalFormatting>
  <conditionalFormatting sqref="R84:R91">
    <cfRule type="cellIs" dxfId="9890" priority="109" operator="lessThan">
      <formula>0.8</formula>
    </cfRule>
    <cfRule type="cellIs" dxfId="9889" priority="110" operator="greaterThan">
      <formula>1</formula>
    </cfRule>
  </conditionalFormatting>
  <conditionalFormatting sqref="R84:R91">
    <cfRule type="cellIs" dxfId="9888" priority="107" operator="greaterThan">
      <formula>1</formula>
    </cfRule>
    <cfRule type="cellIs" dxfId="9887" priority="108" operator="lessThan">
      <formula>0.8</formula>
    </cfRule>
  </conditionalFormatting>
  <conditionalFormatting sqref="P84:P91">
    <cfRule type="cellIs" dxfId="9886" priority="106" operator="greaterThan">
      <formula>0</formula>
    </cfRule>
  </conditionalFormatting>
  <conditionalFormatting sqref="Q84:Q91">
    <cfRule type="cellIs" dxfId="9885" priority="111" operator="lessThan">
      <formula>0</formula>
    </cfRule>
  </conditionalFormatting>
  <conditionalFormatting sqref="Q84:Q91">
    <cfRule type="cellIs" dxfId="9884" priority="100" operator="lessThan">
      <formula>0</formula>
    </cfRule>
  </conditionalFormatting>
  <conditionalFormatting sqref="P84:P91">
    <cfRule type="cellIs" dxfId="9883" priority="101" operator="greaterThan">
      <formula>0</formula>
    </cfRule>
  </conditionalFormatting>
  <conditionalFormatting sqref="R84:R91">
    <cfRule type="cellIs" dxfId="9882" priority="104" operator="lessThan">
      <formula>0.8</formula>
    </cfRule>
    <cfRule type="cellIs" dxfId="9881" priority="105" operator="greaterThan">
      <formula>1</formula>
    </cfRule>
  </conditionalFormatting>
  <conditionalFormatting sqref="R84:R91">
    <cfRule type="cellIs" dxfId="9880" priority="102" operator="greaterThan">
      <formula>1</formula>
    </cfRule>
    <cfRule type="cellIs" dxfId="9879" priority="103" operator="lessThan">
      <formula>0.8</formula>
    </cfRule>
  </conditionalFormatting>
  <conditionalFormatting sqref="Q84:Q91">
    <cfRule type="cellIs" dxfId="9878" priority="94" operator="lessThan">
      <formula>0</formula>
    </cfRule>
  </conditionalFormatting>
  <conditionalFormatting sqref="R84:R91">
    <cfRule type="cellIs" dxfId="9877" priority="98" operator="lessThan">
      <formula>0.8</formula>
    </cfRule>
    <cfRule type="cellIs" dxfId="9876" priority="99" operator="greaterThan">
      <formula>1</formula>
    </cfRule>
  </conditionalFormatting>
  <conditionalFormatting sqref="R84:R91">
    <cfRule type="cellIs" dxfId="9875" priority="96" operator="greaterThan">
      <formula>1</formula>
    </cfRule>
    <cfRule type="cellIs" dxfId="9874" priority="97" operator="lessThan">
      <formula>0.8</formula>
    </cfRule>
  </conditionalFormatting>
  <conditionalFormatting sqref="P84:P91">
    <cfRule type="cellIs" dxfId="9873" priority="95" operator="greaterThan">
      <formula>0</formula>
    </cfRule>
  </conditionalFormatting>
  <conditionalFormatting sqref="Q84:Q91">
    <cfRule type="cellIs" dxfId="9872" priority="93" operator="lessThan">
      <formula>0</formula>
    </cfRule>
  </conditionalFormatting>
  <conditionalFormatting sqref="R84:R91">
    <cfRule type="cellIs" dxfId="9871" priority="91" operator="lessThan">
      <formula>0.8</formula>
    </cfRule>
    <cfRule type="cellIs" dxfId="9870" priority="92" operator="greaterThan">
      <formula>1</formula>
    </cfRule>
  </conditionalFormatting>
  <conditionalFormatting sqref="R84:R91">
    <cfRule type="cellIs" dxfId="9869" priority="89" operator="greaterThan">
      <formula>1</formula>
    </cfRule>
    <cfRule type="cellIs" dxfId="9868" priority="90" operator="lessThan">
      <formula>0.8</formula>
    </cfRule>
  </conditionalFormatting>
  <conditionalFormatting sqref="P84:P91">
    <cfRule type="cellIs" dxfId="9867" priority="88" operator="greaterThan">
      <formula>0</formula>
    </cfRule>
  </conditionalFormatting>
  <conditionalFormatting sqref="Q84:Q91">
    <cfRule type="cellIs" dxfId="9866" priority="87" operator="lessThan">
      <formula>0</formula>
    </cfRule>
  </conditionalFormatting>
  <conditionalFormatting sqref="R84:R91">
    <cfRule type="cellIs" dxfId="9865" priority="85" operator="lessThan">
      <formula>0.8</formula>
    </cfRule>
    <cfRule type="cellIs" dxfId="9864" priority="86" operator="greaterThan">
      <formula>1</formula>
    </cfRule>
  </conditionalFormatting>
  <conditionalFormatting sqref="R84:R91">
    <cfRule type="cellIs" dxfId="9863" priority="83" operator="greaterThan">
      <formula>1</formula>
    </cfRule>
    <cfRule type="cellIs" dxfId="9862" priority="84" operator="lessThan">
      <formula>0.8</formula>
    </cfRule>
  </conditionalFormatting>
  <conditionalFormatting sqref="P84:P91">
    <cfRule type="cellIs" dxfId="9861" priority="82" operator="greaterThan">
      <formula>0</formula>
    </cfRule>
  </conditionalFormatting>
  <conditionalFormatting sqref="Q84:Q91">
    <cfRule type="cellIs" dxfId="9860" priority="81" operator="lessThan">
      <formula>0</formula>
    </cfRule>
  </conditionalFormatting>
  <conditionalFormatting sqref="R84:R91">
    <cfRule type="cellIs" dxfId="9859" priority="79" operator="lessThan">
      <formula>0.8</formula>
    </cfRule>
    <cfRule type="cellIs" dxfId="9858" priority="80" operator="greaterThan">
      <formula>1</formula>
    </cfRule>
  </conditionalFormatting>
  <conditionalFormatting sqref="R84:R91">
    <cfRule type="cellIs" dxfId="9857" priority="77" operator="greaterThan">
      <formula>1</formula>
    </cfRule>
    <cfRule type="cellIs" dxfId="9856" priority="78" operator="lessThan">
      <formula>0.8</formula>
    </cfRule>
  </conditionalFormatting>
  <conditionalFormatting sqref="P84:P91">
    <cfRule type="cellIs" dxfId="9855" priority="76" operator="greaterThan">
      <formula>0</formula>
    </cfRule>
  </conditionalFormatting>
  <conditionalFormatting sqref="Q162:Q166">
    <cfRule type="cellIs" dxfId="9854" priority="75" operator="lessThan">
      <formula>0</formula>
    </cfRule>
  </conditionalFormatting>
  <conditionalFormatting sqref="R162:R166">
    <cfRule type="cellIs" dxfId="9853" priority="73" operator="lessThan">
      <formula>0.8</formula>
    </cfRule>
    <cfRule type="cellIs" dxfId="9852" priority="74" operator="greaterThan">
      <formula>1</formula>
    </cfRule>
  </conditionalFormatting>
  <conditionalFormatting sqref="R162:R166">
    <cfRule type="cellIs" dxfId="9851" priority="71" operator="greaterThan">
      <formula>1</formula>
    </cfRule>
    <cfRule type="cellIs" dxfId="9850" priority="72" operator="lessThan">
      <formula>0.8</formula>
    </cfRule>
  </conditionalFormatting>
  <conditionalFormatting sqref="P162:P166">
    <cfRule type="cellIs" dxfId="9849" priority="70" operator="greaterThan">
      <formula>0</formula>
    </cfRule>
  </conditionalFormatting>
  <conditionalFormatting sqref="P167:P168">
    <cfRule type="cellIs" dxfId="9848" priority="64" operator="greaterThan">
      <formula>0</formula>
    </cfRule>
  </conditionalFormatting>
  <conditionalFormatting sqref="R167:R168">
    <cfRule type="cellIs" dxfId="9847" priority="67" operator="lessThan">
      <formula>0.8</formula>
    </cfRule>
    <cfRule type="cellIs" dxfId="9846" priority="68" operator="greaterThan">
      <formula>1</formula>
    </cfRule>
  </conditionalFormatting>
  <conditionalFormatting sqref="R167:R168">
    <cfRule type="cellIs" dxfId="9845" priority="65" operator="greaterThan">
      <formula>1</formula>
    </cfRule>
    <cfRule type="cellIs" dxfId="9844" priority="66" operator="lessThan">
      <formula>0.8</formula>
    </cfRule>
  </conditionalFormatting>
  <conditionalFormatting sqref="Q167:Q168">
    <cfRule type="cellIs" dxfId="9843" priority="69" operator="lessThan">
      <formula>0</formula>
    </cfRule>
  </conditionalFormatting>
  <conditionalFormatting sqref="Q161">
    <cfRule type="cellIs" dxfId="9842" priority="63" operator="lessThan">
      <formula>0</formula>
    </cfRule>
  </conditionalFormatting>
  <conditionalFormatting sqref="R161">
    <cfRule type="cellIs" dxfId="9841" priority="61" operator="lessThan">
      <formula>0.8</formula>
    </cfRule>
    <cfRule type="cellIs" dxfId="9840" priority="62" operator="greaterThan">
      <formula>1</formula>
    </cfRule>
  </conditionalFormatting>
  <conditionalFormatting sqref="R161">
    <cfRule type="cellIs" dxfId="9839" priority="59" operator="greaterThan">
      <formula>1</formula>
    </cfRule>
    <cfRule type="cellIs" dxfId="9838" priority="60" operator="lessThan">
      <formula>0.8</formula>
    </cfRule>
  </conditionalFormatting>
  <conditionalFormatting sqref="P161">
    <cfRule type="cellIs" dxfId="9837" priority="58" operator="greaterThan">
      <formula>0</formula>
    </cfRule>
  </conditionalFormatting>
  <conditionalFormatting sqref="Q162:Q166">
    <cfRule type="cellIs" dxfId="9836" priority="57" operator="lessThan">
      <formula>0</formula>
    </cfRule>
  </conditionalFormatting>
  <conditionalFormatting sqref="R162:R166">
    <cfRule type="cellIs" dxfId="9835" priority="55" operator="lessThan">
      <formula>0.8</formula>
    </cfRule>
    <cfRule type="cellIs" dxfId="9834" priority="56" operator="greaterThan">
      <formula>1</formula>
    </cfRule>
  </conditionalFormatting>
  <conditionalFormatting sqref="R162:R166">
    <cfRule type="cellIs" dxfId="9833" priority="53" operator="greaterThan">
      <formula>1</formula>
    </cfRule>
    <cfRule type="cellIs" dxfId="9832" priority="54" operator="lessThan">
      <formula>0.8</formula>
    </cfRule>
  </conditionalFormatting>
  <conditionalFormatting sqref="P162:P166">
    <cfRule type="cellIs" dxfId="9831" priority="52" operator="greaterThan">
      <formula>0</formula>
    </cfRule>
  </conditionalFormatting>
  <conditionalFormatting sqref="Q162:Q166">
    <cfRule type="cellIs" dxfId="9830" priority="51" operator="lessThan">
      <formula>0</formula>
    </cfRule>
  </conditionalFormatting>
  <conditionalFormatting sqref="R162:R166">
    <cfRule type="cellIs" dxfId="9829" priority="49" operator="lessThan">
      <formula>0.8</formula>
    </cfRule>
    <cfRule type="cellIs" dxfId="9828" priority="50" operator="greaterThan">
      <formula>1</formula>
    </cfRule>
  </conditionalFormatting>
  <conditionalFormatting sqref="R162:R166">
    <cfRule type="cellIs" dxfId="9827" priority="47" operator="greaterThan">
      <formula>1</formula>
    </cfRule>
    <cfRule type="cellIs" dxfId="9826" priority="48" operator="lessThan">
      <formula>0.8</formula>
    </cfRule>
  </conditionalFormatting>
  <conditionalFormatting sqref="P162:P166">
    <cfRule type="cellIs" dxfId="9825" priority="46" operator="greaterThan">
      <formula>0</formula>
    </cfRule>
  </conditionalFormatting>
  <conditionalFormatting sqref="Q167:Q168">
    <cfRule type="cellIs" dxfId="9824" priority="45" operator="lessThan">
      <formula>0</formula>
    </cfRule>
  </conditionalFormatting>
  <conditionalFormatting sqref="R167:R168">
    <cfRule type="cellIs" dxfId="9823" priority="43" operator="lessThan">
      <formula>0.8</formula>
    </cfRule>
    <cfRule type="cellIs" dxfId="9822" priority="44" operator="greaterThan">
      <formula>1</formula>
    </cfRule>
  </conditionalFormatting>
  <conditionalFormatting sqref="R167:R168">
    <cfRule type="cellIs" dxfId="9821" priority="41" operator="greaterThan">
      <formula>1</formula>
    </cfRule>
    <cfRule type="cellIs" dxfId="9820" priority="42" operator="lessThan">
      <formula>0.8</formula>
    </cfRule>
  </conditionalFormatting>
  <conditionalFormatting sqref="P167:P168">
    <cfRule type="cellIs" dxfId="9819" priority="40" operator="greaterThan">
      <formula>0</formula>
    </cfRule>
  </conditionalFormatting>
  <conditionalFormatting sqref="Q161">
    <cfRule type="cellIs" dxfId="9818" priority="39" operator="lessThan">
      <formula>0</formula>
    </cfRule>
  </conditionalFormatting>
  <conditionalFormatting sqref="R161">
    <cfRule type="cellIs" dxfId="9817" priority="37" operator="lessThan">
      <formula>0.8</formula>
    </cfRule>
    <cfRule type="cellIs" dxfId="9816" priority="38" operator="greaterThan">
      <formula>1</formula>
    </cfRule>
  </conditionalFormatting>
  <conditionalFormatting sqref="R161">
    <cfRule type="cellIs" dxfId="9815" priority="35" operator="greaterThan">
      <formula>1</formula>
    </cfRule>
    <cfRule type="cellIs" dxfId="9814" priority="36" operator="lessThan">
      <formula>0.8</formula>
    </cfRule>
  </conditionalFormatting>
  <conditionalFormatting sqref="P161">
    <cfRule type="cellIs" dxfId="9813" priority="34" operator="greaterThan">
      <formula>0</formula>
    </cfRule>
  </conditionalFormatting>
  <conditionalFormatting sqref="Q162:Q166">
    <cfRule type="cellIs" dxfId="9812" priority="33" operator="lessThan">
      <formula>0</formula>
    </cfRule>
  </conditionalFormatting>
  <conditionalFormatting sqref="R162:R166">
    <cfRule type="cellIs" dxfId="9811" priority="31" operator="lessThan">
      <formula>0.8</formula>
    </cfRule>
    <cfRule type="cellIs" dxfId="9810" priority="32" operator="greaterThan">
      <formula>1</formula>
    </cfRule>
  </conditionalFormatting>
  <conditionalFormatting sqref="R162:R166">
    <cfRule type="cellIs" dxfId="9809" priority="29" operator="greaterThan">
      <formula>1</formula>
    </cfRule>
    <cfRule type="cellIs" dxfId="9808" priority="30" operator="lessThan">
      <formula>0.8</formula>
    </cfRule>
  </conditionalFormatting>
  <conditionalFormatting sqref="P162:P166">
    <cfRule type="cellIs" dxfId="9807" priority="28" operator="greaterThan">
      <formula>0</formula>
    </cfRule>
  </conditionalFormatting>
  <conditionalFormatting sqref="Q161">
    <cfRule type="cellIs" dxfId="9806" priority="27" operator="lessThan">
      <formula>0</formula>
    </cfRule>
  </conditionalFormatting>
  <conditionalFormatting sqref="R161">
    <cfRule type="cellIs" dxfId="9805" priority="25" operator="lessThan">
      <formula>0.8</formula>
    </cfRule>
    <cfRule type="cellIs" dxfId="9804" priority="26" operator="greaterThan">
      <formula>1</formula>
    </cfRule>
  </conditionalFormatting>
  <conditionalFormatting sqref="R161">
    <cfRule type="cellIs" dxfId="9803" priority="23" operator="greaterThan">
      <formula>1</formula>
    </cfRule>
    <cfRule type="cellIs" dxfId="9802" priority="24" operator="lessThan">
      <formula>0.8</formula>
    </cfRule>
  </conditionalFormatting>
  <conditionalFormatting sqref="P161">
    <cfRule type="cellIs" dxfId="9801" priority="22" operator="greaterThan">
      <formula>0</formula>
    </cfRule>
  </conditionalFormatting>
  <conditionalFormatting sqref="Q162:Q166">
    <cfRule type="cellIs" dxfId="9800" priority="21" operator="lessThan">
      <formula>0</formula>
    </cfRule>
  </conditionalFormatting>
  <conditionalFormatting sqref="R162:R166">
    <cfRule type="cellIs" dxfId="9799" priority="19" operator="lessThan">
      <formula>0.8</formula>
    </cfRule>
    <cfRule type="cellIs" dxfId="9798" priority="20" operator="greaterThan">
      <formula>1</formula>
    </cfRule>
  </conditionalFormatting>
  <conditionalFormatting sqref="R162:R166">
    <cfRule type="cellIs" dxfId="9797" priority="17" operator="greaterThan">
      <formula>1</formula>
    </cfRule>
    <cfRule type="cellIs" dxfId="9796" priority="18" operator="lessThan">
      <formula>0.8</formula>
    </cfRule>
  </conditionalFormatting>
  <conditionalFormatting sqref="P162:P166">
    <cfRule type="cellIs" dxfId="9795" priority="16" operator="greaterThan">
      <formula>0</formula>
    </cfRule>
  </conditionalFormatting>
  <conditionalFormatting sqref="Q161">
    <cfRule type="cellIs" dxfId="9794" priority="15" operator="lessThan">
      <formula>0</formula>
    </cfRule>
  </conditionalFormatting>
  <conditionalFormatting sqref="R161">
    <cfRule type="cellIs" dxfId="9793" priority="13" operator="lessThan">
      <formula>0.8</formula>
    </cfRule>
    <cfRule type="cellIs" dxfId="9792" priority="14" operator="greaterThan">
      <formula>1</formula>
    </cfRule>
  </conditionalFormatting>
  <conditionalFormatting sqref="R161">
    <cfRule type="cellIs" dxfId="9791" priority="11" operator="greaterThan">
      <formula>1</formula>
    </cfRule>
    <cfRule type="cellIs" dxfId="9790" priority="12" operator="lessThan">
      <formula>0.8</formula>
    </cfRule>
  </conditionalFormatting>
  <conditionalFormatting sqref="P161">
    <cfRule type="cellIs" dxfId="9789" priority="10" operator="greaterThan">
      <formula>0</formula>
    </cfRule>
  </conditionalFormatting>
  <conditionalFormatting sqref="P167:P168">
    <cfRule type="cellIs" dxfId="9788" priority="4" operator="greaterThan">
      <formula>0</formula>
    </cfRule>
  </conditionalFormatting>
  <conditionalFormatting sqref="R167:R168">
    <cfRule type="cellIs" dxfId="9787" priority="7" operator="lessThan">
      <formula>0.8</formula>
    </cfRule>
    <cfRule type="cellIs" dxfId="9786" priority="8" operator="greaterThan">
      <formula>1</formula>
    </cfRule>
  </conditionalFormatting>
  <conditionalFormatting sqref="R167:R168">
    <cfRule type="cellIs" dxfId="9785" priority="5" operator="greaterThan">
      <formula>1</formula>
    </cfRule>
    <cfRule type="cellIs" dxfId="9784" priority="6" operator="lessThan">
      <formula>0.8</formula>
    </cfRule>
  </conditionalFormatting>
  <conditionalFormatting sqref="Q167:Q168">
    <cfRule type="cellIs" dxfId="9783" priority="9" operator="lessThan">
      <formula>0</formula>
    </cfRule>
  </conditionalFormatting>
  <conditionalFormatting sqref="AF30">
    <cfRule type="cellIs" dxfId="9782" priority="3" operator="lessThan">
      <formula>0</formula>
    </cfRule>
  </conditionalFormatting>
  <conditionalFormatting sqref="AG30">
    <cfRule type="cellIs" dxfId="9781" priority="1" operator="greaterThan">
      <formula>1</formula>
    </cfRule>
    <cfRule type="cellIs" dxfId="978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O30" sqref="O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513</v>
      </c>
      <c r="E3" s="581"/>
      <c r="F3" s="570" t="s">
        <v>2</v>
      </c>
      <c r="G3" s="531"/>
      <c r="H3" s="582">
        <v>204793</v>
      </c>
      <c r="I3" s="583"/>
      <c r="J3" s="570" t="s">
        <v>3</v>
      </c>
      <c r="K3" s="531"/>
      <c r="L3" s="575">
        <v>6851226.9088217448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384.24554485898756</v>
      </c>
      <c r="G6" s="572"/>
      <c r="H6" s="550">
        <f>AVERAGE(D13:P13,Q13)</f>
        <v>141.6715704926948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v>0</v>
      </c>
      <c r="O6" s="539">
        <v>0</v>
      </c>
      <c r="P6" s="555">
        <v>2</v>
      </c>
      <c r="Q6" s="539">
        <v>4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358.65604958077785</v>
      </c>
      <c r="G7" s="543"/>
      <c r="H7" s="544">
        <f>AVERAGE(D14:P14,Q14)</f>
        <v>128.29244267450682</v>
      </c>
      <c r="I7" s="545"/>
      <c r="J7" s="544">
        <f>AVERAGE(D31:E31,G31:H31)</f>
        <v>747.61647145362736</v>
      </c>
      <c r="K7" s="545"/>
      <c r="L7" s="546">
        <f>AVERAGE(J31:M31)</f>
        <v>775.96825187987713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0.91148697165955794</v>
      </c>
      <c r="G8" s="549"/>
      <c r="H8" s="548">
        <f>AVERAGE(D15:O15,P15:Q15)</f>
        <v>0.90045522222234364</v>
      </c>
      <c r="I8" s="549"/>
      <c r="J8" s="548">
        <f>AVERAGE(D32:E32,G32:H32)</f>
        <v>0.99169550236479953</v>
      </c>
      <c r="K8" s="549"/>
      <c r="L8" s="548">
        <f>AVERAGE(J32:M32)</f>
        <v>0.87965853744228784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133.76218323586747</v>
      </c>
      <c r="E13" s="19">
        <v>116.95452069716777</v>
      </c>
      <c r="F13" s="19">
        <v>182.47499999999999</v>
      </c>
      <c r="G13" s="19">
        <v>369.04761904761904</v>
      </c>
      <c r="H13" s="19">
        <v>228.57142857142858</v>
      </c>
      <c r="I13" s="19">
        <v>88.789604730781207</v>
      </c>
      <c r="J13" s="19">
        <v>77.529239766081872</v>
      </c>
      <c r="K13" s="19">
        <v>112.10838779956428</v>
      </c>
      <c r="L13" s="19">
        <v>97.11904761904762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124.97610892600973</v>
      </c>
      <c r="E14" s="19">
        <v>103.22017349618592</v>
      </c>
      <c r="F14" s="19">
        <v>156.90287291693443</v>
      </c>
      <c r="G14" s="19">
        <v>329.83246565704411</v>
      </c>
      <c r="H14" s="19">
        <v>224.85631962590264</v>
      </c>
      <c r="I14" s="19">
        <v>79.254980838703219</v>
      </c>
      <c r="J14" s="19">
        <v>71.001371997922064</v>
      </c>
      <c r="K14" s="19">
        <v>103.21281162926698</v>
      </c>
      <c r="L14" s="19">
        <v>83.363294410231774</v>
      </c>
      <c r="M14" s="19">
        <v>75.221610739786755</v>
      </c>
      <c r="N14" s="19">
        <v>78.476348409715655</v>
      </c>
      <c r="O14" s="19">
        <v>65.027250181906439</v>
      </c>
      <c r="P14" s="19">
        <v>167.92828221617958</v>
      </c>
      <c r="Q14" s="9">
        <v>132.8203063973063</v>
      </c>
    </row>
    <row r="15" spans="2:17" ht="39.9" customHeight="1">
      <c r="B15" s="524"/>
      <c r="C15" s="379" t="s">
        <v>295</v>
      </c>
      <c r="D15" s="10">
        <f t="shared" ref="D15:Q15" si="0">D14/D13</f>
        <v>0.93431570794291718</v>
      </c>
      <c r="E15" s="10">
        <f t="shared" si="0"/>
        <v>0.88256676938085687</v>
      </c>
      <c r="F15" s="10">
        <f t="shared" si="0"/>
        <v>0.85985955838846106</v>
      </c>
      <c r="G15" s="10">
        <f t="shared" si="0"/>
        <v>0.89373958436102274</v>
      </c>
      <c r="H15" s="10">
        <f t="shared" si="0"/>
        <v>0.983746398363324</v>
      </c>
      <c r="I15" s="10">
        <f t="shared" si="0"/>
        <v>0.89261553848575059</v>
      </c>
      <c r="J15" s="10">
        <f t="shared" si="0"/>
        <v>0.91580121528528557</v>
      </c>
      <c r="K15" s="10">
        <f t="shared" si="0"/>
        <v>0.92065200164860561</v>
      </c>
      <c r="L15" s="10">
        <f t="shared" si="0"/>
        <v>0.85836194293447765</v>
      </c>
      <c r="M15" s="10">
        <f t="shared" si="0"/>
        <v>0.89532238434934741</v>
      </c>
      <c r="N15" s="10">
        <f t="shared" si="0"/>
        <v>0.93067762039825541</v>
      </c>
      <c r="O15" s="10">
        <f t="shared" si="0"/>
        <v>0.81432880125272789</v>
      </c>
      <c r="P15" s="381">
        <f t="shared" si="0"/>
        <v>0.93891687900640519</v>
      </c>
      <c r="Q15" s="11">
        <f t="shared" si="0"/>
        <v>0.88546870931537536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0.65555555555555545</v>
      </c>
      <c r="E17" s="12">
        <v>0.54236111111111107</v>
      </c>
      <c r="F17" s="12">
        <v>0.53541666666666665</v>
      </c>
      <c r="G17" s="12">
        <v>0.52569444444444435</v>
      </c>
      <c r="H17" s="12">
        <v>0.62986111111111098</v>
      </c>
      <c r="I17" s="12">
        <v>0.65902777777777777</v>
      </c>
      <c r="J17" s="12">
        <v>0.68263888888888868</v>
      </c>
      <c r="K17" s="12">
        <v>0.67986111111111103</v>
      </c>
      <c r="L17" s="12">
        <v>0.86874999999999991</v>
      </c>
      <c r="M17" s="12">
        <v>0.91249999999999987</v>
      </c>
      <c r="N17" s="12">
        <v>0.9604166666666667</v>
      </c>
      <c r="O17" s="22">
        <v>0.93333333333333324</v>
      </c>
      <c r="P17" s="12">
        <v>0.56458333333333321</v>
      </c>
      <c r="Q17" s="382">
        <v>0.5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>
        <v>1</v>
      </c>
      <c r="E20" s="384">
        <v>1</v>
      </c>
      <c r="F20" s="384" t="s">
        <v>30</v>
      </c>
      <c r="G20" s="384" t="s">
        <v>30</v>
      </c>
      <c r="H20" s="384" t="s">
        <v>30</v>
      </c>
      <c r="I20" s="384" t="s">
        <v>30</v>
      </c>
      <c r="J20" s="384" t="s">
        <v>30</v>
      </c>
      <c r="K20" s="384" t="s">
        <v>30</v>
      </c>
      <c r="L20" s="384" t="s">
        <v>30</v>
      </c>
      <c r="M20" s="384" t="s">
        <v>30</v>
      </c>
      <c r="N20" s="384" t="s">
        <v>30</v>
      </c>
      <c r="O20" s="384" t="s">
        <v>30</v>
      </c>
      <c r="P20" s="384" t="s">
        <v>30</v>
      </c>
      <c r="Q20" s="385"/>
    </row>
    <row r="21" spans="2:17" ht="22.8" customHeight="1">
      <c r="B21" s="530"/>
      <c r="C21" s="383" t="s">
        <v>300</v>
      </c>
      <c r="D21" s="384" t="s">
        <v>30</v>
      </c>
      <c r="E21" s="384" t="s">
        <v>30</v>
      </c>
      <c r="F21" s="384">
        <v>1</v>
      </c>
      <c r="G21" s="384" t="s">
        <v>30</v>
      </c>
      <c r="H21" s="384" t="s">
        <v>30</v>
      </c>
      <c r="I21" s="384">
        <v>1</v>
      </c>
      <c r="J21" s="384" t="s">
        <v>30</v>
      </c>
      <c r="K21" s="384" t="s">
        <v>30</v>
      </c>
      <c r="L21" s="384">
        <v>2</v>
      </c>
      <c r="M21" s="384" t="s">
        <v>30</v>
      </c>
      <c r="N21" s="384" t="s">
        <v>30</v>
      </c>
      <c r="O21" s="384" t="s">
        <v>30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19.666666666666668</v>
      </c>
      <c r="E22" s="386">
        <v>17.5</v>
      </c>
      <c r="F22" s="386">
        <v>12.25</v>
      </c>
      <c r="G22" s="386">
        <v>5.666666666666667</v>
      </c>
      <c r="H22" s="386">
        <v>6.6</v>
      </c>
      <c r="I22" s="386">
        <v>16.666666666666668</v>
      </c>
      <c r="J22" s="386">
        <v>18.399999999999999</v>
      </c>
      <c r="K22" s="386">
        <v>16.166666666666668</v>
      </c>
      <c r="L22" s="386">
        <v>15.875</v>
      </c>
      <c r="M22" s="386">
        <v>18.625</v>
      </c>
      <c r="N22" s="386">
        <v>17.75</v>
      </c>
      <c r="O22" s="386">
        <v>18.5</v>
      </c>
      <c r="P22" s="386">
        <v>13</v>
      </c>
      <c r="Q22" s="387">
        <v>11.4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38</v>
      </c>
      <c r="H25" s="17" t="s">
        <v>38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473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474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279.65000000000032</v>
      </c>
      <c r="E31" s="8">
        <v>800.49527468645158</v>
      </c>
      <c r="F31" s="8">
        <v>0</v>
      </c>
      <c r="G31" s="8">
        <v>930.42472314507336</v>
      </c>
      <c r="H31" s="397">
        <v>979.89588798298394</v>
      </c>
      <c r="I31" s="396">
        <v>0</v>
      </c>
      <c r="J31" s="8">
        <v>691.8750000000025</v>
      </c>
      <c r="K31" s="8">
        <v>647.80000000000234</v>
      </c>
      <c r="L31" s="8">
        <v>908.69142857810516</v>
      </c>
      <c r="M31" s="397">
        <v>855.50657894139886</v>
      </c>
      <c r="N31" s="378"/>
      <c r="O31" s="378"/>
      <c r="P31" s="378"/>
      <c r="Q31" s="378"/>
    </row>
    <row r="32" spans="2:17" ht="39.9" customHeight="1">
      <c r="B32" s="524"/>
      <c r="C32" s="472" t="s">
        <v>295</v>
      </c>
      <c r="D32" s="399">
        <f t="shared" ref="D32:M32" si="1">D31/D30</f>
        <v>0.87390625000000099</v>
      </c>
      <c r="E32" s="10">
        <f t="shared" si="1"/>
        <v>0.97029730265024439</v>
      </c>
      <c r="F32" s="10">
        <f t="shared" si="1"/>
        <v>0</v>
      </c>
      <c r="G32" s="10">
        <f t="shared" si="1"/>
        <v>1.0338052479389703</v>
      </c>
      <c r="H32" s="10">
        <f t="shared" si="1"/>
        <v>1.0887732088699822</v>
      </c>
      <c r="I32" s="396">
        <f t="shared" si="1"/>
        <v>0</v>
      </c>
      <c r="J32" s="10">
        <f t="shared" si="1"/>
        <v>0.83863636363636662</v>
      </c>
      <c r="K32" s="10">
        <f t="shared" si="1"/>
        <v>0.7197777777777804</v>
      </c>
      <c r="L32" s="10">
        <f t="shared" si="1"/>
        <v>1.0096571428645613</v>
      </c>
      <c r="M32" s="11">
        <f t="shared" si="1"/>
        <v>0.95056286549044322</v>
      </c>
      <c r="N32" s="378"/>
      <c r="O32" s="378"/>
      <c r="P32" s="378"/>
      <c r="Q32" s="378"/>
    </row>
    <row r="33" spans="2:17" ht="25.8" customHeight="1">
      <c r="B33" s="525" t="s">
        <v>296</v>
      </c>
      <c r="C33" s="472" t="s">
        <v>297</v>
      </c>
      <c r="D33" s="400">
        <v>0.18055555555555555</v>
      </c>
      <c r="E33" s="12">
        <v>0.1875</v>
      </c>
      <c r="F33" s="12">
        <v>0</v>
      </c>
      <c r="G33" s="12">
        <v>3227.49999999999</v>
      </c>
      <c r="H33" s="382">
        <v>0.18055555555555555</v>
      </c>
      <c r="I33" s="400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472" t="s">
        <v>51</v>
      </c>
      <c r="D34" s="400">
        <v>0.21666666666666667</v>
      </c>
      <c r="E34" s="12">
        <v>0.30138888888888887</v>
      </c>
      <c r="F34" s="12">
        <v>0</v>
      </c>
      <c r="G34" s="12">
        <v>1092.5581395348836</v>
      </c>
      <c r="H34" s="382">
        <v>0.3840277777777778</v>
      </c>
      <c r="I34" s="23">
        <v>0</v>
      </c>
      <c r="J34" s="12">
        <v>0.72777777777777775</v>
      </c>
      <c r="K34" s="12">
        <v>0.80555555555555547</v>
      </c>
      <c r="L34" s="12">
        <v>46117.055555555555</v>
      </c>
      <c r="M34" s="13">
        <v>46117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4</v>
      </c>
      <c r="K35" s="402">
        <v>3.6666666666666665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9779" priority="4" operator="lessThan">
      <formula>0.8</formula>
    </cfRule>
  </conditionalFormatting>
  <conditionalFormatting sqref="J32:L32">
    <cfRule type="cellIs" dxfId="9778" priority="3" operator="lessThan">
      <formula>0.8</formula>
    </cfRule>
  </conditionalFormatting>
  <conditionalFormatting sqref="M32">
    <cfRule type="cellIs" dxfId="9777" priority="2" operator="lessThan">
      <formula>0.8</formula>
    </cfRule>
  </conditionalFormatting>
  <conditionalFormatting sqref="H32">
    <cfRule type="cellIs" dxfId="97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4" zoomScale="70" zoomScaleNormal="70" workbookViewId="0">
      <selection activeCell="M82" sqref="M82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383</v>
      </c>
      <c r="B1" s="281"/>
      <c r="C1" s="282"/>
      <c r="D1" s="283" t="s">
        <v>384</v>
      </c>
      <c r="E1" s="284">
        <f>SUM(G5:G124)</f>
        <v>63117</v>
      </c>
      <c r="F1" s="285" t="s">
        <v>3</v>
      </c>
      <c r="G1" s="286">
        <f>SUM(H5:H124)</f>
        <v>1174188.3715454547</v>
      </c>
      <c r="H1" s="287" t="s">
        <v>385</v>
      </c>
      <c r="I1" s="288">
        <f>+J16+J64+J24+J38+J51+J81+J100+J91+J57+J124+J111</f>
        <v>38.733333333333334</v>
      </c>
      <c r="J1" s="584" t="s">
        <v>386</v>
      </c>
      <c r="K1" s="585"/>
      <c r="L1" s="586"/>
      <c r="M1" s="584" t="s">
        <v>387</v>
      </c>
      <c r="N1" s="585"/>
      <c r="O1" s="585"/>
      <c r="P1" s="585"/>
      <c r="Q1" s="585"/>
      <c r="R1" s="586"/>
    </row>
    <row r="2" spans="1:18" ht="26.25" customHeight="1" thickBot="1">
      <c r="A2" s="590" t="s">
        <v>440</v>
      </c>
      <c r="B2" s="591"/>
      <c r="C2" s="290"/>
      <c r="D2" s="446" t="s">
        <v>389</v>
      </c>
      <c r="E2" s="291">
        <f>AVERAGE(L16,L24,L38,L51,L100,L111,L91)</f>
        <v>576.88866827697802</v>
      </c>
      <c r="F2" s="292" t="s">
        <v>55</v>
      </c>
      <c r="G2" s="293">
        <f>G1/E1</f>
        <v>18.603361559412754</v>
      </c>
      <c r="H2" s="294" t="s">
        <v>390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391</v>
      </c>
      <c r="B3" s="594" t="s">
        <v>392</v>
      </c>
      <c r="C3" s="448"/>
      <c r="D3" s="595" t="s">
        <v>393</v>
      </c>
      <c r="E3" s="595"/>
      <c r="F3" s="596" t="s">
        <v>58</v>
      </c>
      <c r="G3" s="597" t="s">
        <v>394</v>
      </c>
      <c r="H3" s="598" t="s">
        <v>395</v>
      </c>
      <c r="I3" s="599" t="s">
        <v>396</v>
      </c>
      <c r="J3" s="601" t="s">
        <v>397</v>
      </c>
      <c r="K3" s="603" t="s">
        <v>398</v>
      </c>
      <c r="L3" s="605" t="s">
        <v>389</v>
      </c>
      <c r="M3" s="607" t="s">
        <v>63</v>
      </c>
      <c r="N3" s="607"/>
      <c r="O3" s="601" t="s">
        <v>150</v>
      </c>
      <c r="P3" s="608" t="s">
        <v>399</v>
      </c>
      <c r="Q3" s="601" t="s">
        <v>400</v>
      </c>
      <c r="R3" s="601"/>
    </row>
    <row r="4" spans="1:18" ht="15.75" customHeight="1">
      <c r="A4" s="593"/>
      <c r="B4" s="594"/>
      <c r="C4" s="448"/>
      <c r="D4" s="595"/>
      <c r="E4" s="595"/>
      <c r="F4" s="596"/>
      <c r="G4" s="597"/>
      <c r="H4" s="598"/>
      <c r="I4" s="600"/>
      <c r="J4" s="602"/>
      <c r="K4" s="604"/>
      <c r="L4" s="606"/>
      <c r="M4" s="452" t="s">
        <v>65</v>
      </c>
      <c r="N4" s="452" t="s">
        <v>66</v>
      </c>
      <c r="O4" s="602"/>
      <c r="P4" s="609"/>
      <c r="Q4" s="296" t="s">
        <v>401</v>
      </c>
      <c r="R4" s="296" t="s">
        <v>402</v>
      </c>
    </row>
    <row r="5" spans="1:18">
      <c r="A5" s="610" t="s">
        <v>403</v>
      </c>
      <c r="B5" s="297">
        <v>0</v>
      </c>
      <c r="C5" s="297"/>
      <c r="D5" s="298" t="s">
        <v>404</v>
      </c>
      <c r="E5" s="298"/>
      <c r="F5" s="299" t="s">
        <v>186</v>
      </c>
      <c r="G5" s="448">
        <v>1155</v>
      </c>
      <c r="H5" s="300">
        <f>F5*G5</f>
        <v>0</v>
      </c>
      <c r="I5" s="450"/>
      <c r="J5" s="301">
        <v>9</v>
      </c>
      <c r="K5" s="302">
        <f t="shared" ref="K5:K12" si="0">G5/P5*60</f>
        <v>1540</v>
      </c>
      <c r="L5" s="303">
        <f t="shared" ref="L5:L12" si="1">K5/J5</f>
        <v>171.11111111111111</v>
      </c>
      <c r="M5" s="304">
        <v>0.17361111111111113</v>
      </c>
      <c r="N5" s="304">
        <v>0.20486111111111113</v>
      </c>
      <c r="O5" s="296">
        <v>10</v>
      </c>
      <c r="P5" s="443">
        <f t="shared" ref="P5:P14" si="2">(N5-M5)*24*60</f>
        <v>45</v>
      </c>
      <c r="Q5" s="305"/>
      <c r="R5" s="305"/>
    </row>
    <row r="6" spans="1:18">
      <c r="A6" s="610"/>
      <c r="B6" s="297">
        <v>0</v>
      </c>
      <c r="C6" s="297"/>
      <c r="D6" s="298" t="s">
        <v>405</v>
      </c>
      <c r="E6" s="298"/>
      <c r="F6" s="299" t="s">
        <v>186</v>
      </c>
      <c r="G6" s="448">
        <v>1211</v>
      </c>
      <c r="H6" s="300">
        <f t="shared" ref="H6:H113" si="3">F6*G6</f>
        <v>0</v>
      </c>
      <c r="I6" s="450"/>
      <c r="J6" s="301">
        <v>9</v>
      </c>
      <c r="K6" s="302">
        <f t="shared" si="0"/>
        <v>1614.6666666666667</v>
      </c>
      <c r="L6" s="303">
        <f t="shared" si="1"/>
        <v>179.40740740740742</v>
      </c>
      <c r="M6" s="304">
        <v>0.20833333333333334</v>
      </c>
      <c r="N6" s="304">
        <v>0.23958333333333334</v>
      </c>
      <c r="O6" s="296">
        <v>5</v>
      </c>
      <c r="P6" s="443">
        <f t="shared" si="2"/>
        <v>45</v>
      </c>
      <c r="Q6" s="296"/>
      <c r="R6" s="296"/>
    </row>
    <row r="7" spans="1:18">
      <c r="A7" s="610"/>
      <c r="B7" s="297" t="s">
        <v>187</v>
      </c>
      <c r="C7" s="297"/>
      <c r="D7" s="298" t="s">
        <v>406</v>
      </c>
      <c r="E7" s="298"/>
      <c r="F7" s="299">
        <v>36.450000000000003</v>
      </c>
      <c r="G7" s="448">
        <v>1319</v>
      </c>
      <c r="H7" s="300">
        <f t="shared" si="3"/>
        <v>48077.55</v>
      </c>
      <c r="I7" s="450"/>
      <c r="J7" s="301">
        <v>13</v>
      </c>
      <c r="K7" s="302">
        <f t="shared" si="0"/>
        <v>1438.9090909090905</v>
      </c>
      <c r="L7" s="303">
        <f t="shared" si="1"/>
        <v>110.68531468531465</v>
      </c>
      <c r="M7" s="304">
        <v>0.24305555555555555</v>
      </c>
      <c r="N7" s="304">
        <v>0.28125</v>
      </c>
      <c r="O7" s="296">
        <v>5</v>
      </c>
      <c r="P7" s="443">
        <f t="shared" si="2"/>
        <v>55.000000000000007</v>
      </c>
      <c r="Q7" s="305"/>
      <c r="R7" s="305"/>
    </row>
    <row r="8" spans="1:18">
      <c r="A8" s="610"/>
      <c r="B8" s="297" t="s">
        <v>187</v>
      </c>
      <c r="C8" s="297"/>
      <c r="D8" s="298" t="s">
        <v>407</v>
      </c>
      <c r="E8" s="298"/>
      <c r="F8" s="299">
        <v>27.05</v>
      </c>
      <c r="G8" s="448">
        <v>391</v>
      </c>
      <c r="H8" s="300">
        <f t="shared" si="3"/>
        <v>10576.550000000001</v>
      </c>
      <c r="I8" s="450"/>
      <c r="J8" s="301">
        <v>13</v>
      </c>
      <c r="K8" s="302">
        <f t="shared" si="0"/>
        <v>1563.9999999999973</v>
      </c>
      <c r="L8" s="303">
        <f t="shared" si="1"/>
        <v>120.30769230769209</v>
      </c>
      <c r="M8" s="304">
        <v>0.28472222222222221</v>
      </c>
      <c r="N8" s="304">
        <v>0.2951388888888889</v>
      </c>
      <c r="O8" s="296">
        <v>5</v>
      </c>
      <c r="P8" s="443">
        <f t="shared" si="2"/>
        <v>15.000000000000027</v>
      </c>
      <c r="Q8" s="305">
        <v>0.30208333333333331</v>
      </c>
      <c r="R8" s="305">
        <v>0.33333333333333331</v>
      </c>
    </row>
    <row r="9" spans="1:18">
      <c r="A9" s="610"/>
      <c r="B9" s="297" t="s">
        <v>187</v>
      </c>
      <c r="C9" s="297"/>
      <c r="D9" s="298" t="s">
        <v>408</v>
      </c>
      <c r="E9" s="298"/>
      <c r="F9" s="299">
        <v>19.7</v>
      </c>
      <c r="G9" s="306">
        <v>776</v>
      </c>
      <c r="H9" s="300">
        <f t="shared" si="3"/>
        <v>15287.199999999999</v>
      </c>
      <c r="I9" s="450"/>
      <c r="J9" s="301">
        <v>13</v>
      </c>
      <c r="K9" s="302">
        <f t="shared" si="0"/>
        <v>1164.0000000000018</v>
      </c>
      <c r="L9" s="303">
        <f t="shared" si="1"/>
        <v>89.538461538461675</v>
      </c>
      <c r="M9" s="304">
        <v>0.33680555555555558</v>
      </c>
      <c r="N9" s="304">
        <v>0.36458333333333331</v>
      </c>
      <c r="O9" s="296">
        <v>5</v>
      </c>
      <c r="P9" s="443">
        <f t="shared" si="2"/>
        <v>39.999999999999936</v>
      </c>
      <c r="Q9" s="305"/>
      <c r="R9" s="305"/>
    </row>
    <row r="10" spans="1:18">
      <c r="A10" s="610"/>
      <c r="B10" s="297" t="s">
        <v>187</v>
      </c>
      <c r="C10" s="297"/>
      <c r="D10" s="298" t="s">
        <v>409</v>
      </c>
      <c r="E10" s="298"/>
      <c r="F10" s="299">
        <v>17.87</v>
      </c>
      <c r="G10" s="306">
        <v>329</v>
      </c>
      <c r="H10" s="300">
        <f t="shared" si="3"/>
        <v>5879.2300000000005</v>
      </c>
      <c r="I10" s="450"/>
      <c r="J10" s="301">
        <v>13</v>
      </c>
      <c r="K10" s="302">
        <f t="shared" si="0"/>
        <v>987.00000000000364</v>
      </c>
      <c r="L10" s="303">
        <f t="shared" si="1"/>
        <v>75.923076923077204</v>
      </c>
      <c r="M10" s="304">
        <v>0.36805555555555558</v>
      </c>
      <c r="N10" s="304">
        <v>0.38194444444444442</v>
      </c>
      <c r="O10" s="296">
        <v>5</v>
      </c>
      <c r="P10" s="443">
        <f t="shared" si="2"/>
        <v>19.999999999999929</v>
      </c>
      <c r="Q10" s="305"/>
      <c r="R10" s="305"/>
    </row>
    <row r="11" spans="1:18">
      <c r="A11" s="610"/>
      <c r="B11" s="297" t="s">
        <v>187</v>
      </c>
      <c r="C11" s="297"/>
      <c r="D11" s="298" t="s">
        <v>410</v>
      </c>
      <c r="E11" s="298"/>
      <c r="F11" s="299">
        <v>25.64</v>
      </c>
      <c r="G11" s="306">
        <v>452</v>
      </c>
      <c r="H11" s="300">
        <f t="shared" si="3"/>
        <v>11589.28</v>
      </c>
      <c r="I11" s="450"/>
      <c r="J11" s="301">
        <v>10</v>
      </c>
      <c r="K11" s="302">
        <f t="shared" si="0"/>
        <v>1355.9999999999995</v>
      </c>
      <c r="L11" s="303">
        <f t="shared" si="1"/>
        <v>135.59999999999997</v>
      </c>
      <c r="M11" s="304">
        <v>0.38541666666666669</v>
      </c>
      <c r="N11" s="304">
        <v>0.39930555555555558</v>
      </c>
      <c r="O11" s="296">
        <v>5</v>
      </c>
      <c r="P11" s="443">
        <f t="shared" si="2"/>
        <v>20.000000000000007</v>
      </c>
      <c r="Q11" s="305"/>
      <c r="R11" s="305"/>
    </row>
    <row r="12" spans="1:18">
      <c r="A12" s="611"/>
      <c r="B12" s="297" t="s">
        <v>187</v>
      </c>
      <c r="C12" s="297"/>
      <c r="D12" s="298" t="s">
        <v>411</v>
      </c>
      <c r="E12" s="298"/>
      <c r="F12" s="299">
        <v>29.52</v>
      </c>
      <c r="G12" s="306">
        <v>1155</v>
      </c>
      <c r="H12" s="300">
        <f t="shared" si="3"/>
        <v>34095.599999999999</v>
      </c>
      <c r="I12" s="450"/>
      <c r="J12" s="301">
        <v>12</v>
      </c>
      <c r="K12" s="302">
        <f t="shared" si="0"/>
        <v>1732.4999999999957</v>
      </c>
      <c r="L12" s="303">
        <f t="shared" si="1"/>
        <v>144.37499999999963</v>
      </c>
      <c r="M12" s="304">
        <v>0.40277777777777773</v>
      </c>
      <c r="N12" s="304">
        <v>0.43055555555555558</v>
      </c>
      <c r="O12" s="296">
        <v>5</v>
      </c>
      <c r="P12" s="443">
        <f t="shared" si="2"/>
        <v>40.000000000000099</v>
      </c>
      <c r="Q12" s="305"/>
      <c r="R12" s="305"/>
    </row>
    <row r="13" spans="1:18">
      <c r="A13" s="611"/>
      <c r="B13" s="297" t="s">
        <v>187</v>
      </c>
      <c r="C13" s="449"/>
      <c r="D13" s="298" t="s">
        <v>412</v>
      </c>
      <c r="E13" s="298"/>
      <c r="F13" s="299">
        <v>29.856999999999999</v>
      </c>
      <c r="G13" s="447">
        <v>1211</v>
      </c>
      <c r="H13" s="300">
        <f t="shared" si="3"/>
        <v>36156.826999999997</v>
      </c>
      <c r="I13" s="450"/>
      <c r="J13" s="301">
        <v>12</v>
      </c>
      <c r="K13" s="302">
        <f>G13/P13*60</f>
        <v>1816.4999999999955</v>
      </c>
      <c r="L13" s="303">
        <f>K13/J13</f>
        <v>151.37499999999963</v>
      </c>
      <c r="M13" s="304">
        <v>0.43402777777777773</v>
      </c>
      <c r="N13" s="304">
        <v>0.46180555555555558</v>
      </c>
      <c r="O13" s="296">
        <v>5</v>
      </c>
      <c r="P13" s="443">
        <f t="shared" si="2"/>
        <v>40.000000000000099</v>
      </c>
      <c r="Q13" s="305"/>
      <c r="R13" s="296"/>
    </row>
    <row r="14" spans="1:18">
      <c r="A14" s="611"/>
      <c r="B14" s="297" t="s">
        <v>184</v>
      </c>
      <c r="C14" s="297"/>
      <c r="D14" s="444" t="s">
        <v>155</v>
      </c>
      <c r="E14" s="445"/>
      <c r="F14" s="299">
        <v>28.57</v>
      </c>
      <c r="G14" s="306">
        <v>1249</v>
      </c>
      <c r="H14" s="300">
        <f t="shared" si="3"/>
        <v>35683.93</v>
      </c>
      <c r="I14" s="450"/>
      <c r="J14" s="301">
        <v>10</v>
      </c>
      <c r="K14" s="302">
        <f>G14/P14*60</f>
        <v>1498.7999999999981</v>
      </c>
      <c r="L14" s="303">
        <f>K14/J14</f>
        <v>149.87999999999982</v>
      </c>
      <c r="M14" s="304">
        <v>0.46527777777777773</v>
      </c>
      <c r="N14" s="304">
        <v>0.5</v>
      </c>
      <c r="O14" s="296">
        <v>5</v>
      </c>
      <c r="P14" s="443">
        <f t="shared" si="2"/>
        <v>50.000000000000064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3"/>
        <v>0</v>
      </c>
      <c r="I15" s="450"/>
      <c r="J15" s="301"/>
      <c r="K15" s="302"/>
      <c r="L15" s="303"/>
      <c r="M15" s="304"/>
      <c r="N15" s="304"/>
      <c r="O15" s="296"/>
      <c r="P15" s="443"/>
      <c r="Q15" s="296"/>
      <c r="R15" s="296"/>
    </row>
    <row r="16" spans="1:18" ht="15.75" customHeight="1">
      <c r="A16" s="612"/>
      <c r="B16" s="297">
        <v>0</v>
      </c>
      <c r="C16" s="308" t="s">
        <v>413</v>
      </c>
      <c r="D16" s="613" t="s">
        <v>414</v>
      </c>
      <c r="E16" s="613"/>
      <c r="F16" s="309"/>
      <c r="G16" s="310"/>
      <c r="H16" s="311"/>
      <c r="I16" s="312"/>
      <c r="J16" s="313">
        <f>AVERAGE(J5:J15)</f>
        <v>11.4</v>
      </c>
      <c r="K16" s="313">
        <f>AVERAGE(K5:K15)</f>
        <v>1471.2375757575751</v>
      </c>
      <c r="L16" s="314">
        <f>AVERAGE(L5:L15)</f>
        <v>132.8203063973063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415</v>
      </c>
      <c r="B17" s="297" t="s">
        <v>187</v>
      </c>
      <c r="C17" s="449"/>
      <c r="D17" s="617" t="s">
        <v>416</v>
      </c>
      <c r="E17" s="618"/>
      <c r="F17" s="299">
        <v>14.03</v>
      </c>
      <c r="G17" s="448">
        <v>309</v>
      </c>
      <c r="H17" s="315">
        <f t="shared" ref="H17:H23" si="4">F17*G17</f>
        <v>4335.2699999999995</v>
      </c>
      <c r="I17" s="316"/>
      <c r="J17" s="301">
        <v>6</v>
      </c>
      <c r="K17" s="302">
        <f>G17/P17*60</f>
        <v>1545.0000000000005</v>
      </c>
      <c r="L17" s="303">
        <f>K17/J17</f>
        <v>257.50000000000006</v>
      </c>
      <c r="M17" s="304">
        <v>0.18055555555555555</v>
      </c>
      <c r="N17" s="304">
        <v>0.18888888888888888</v>
      </c>
      <c r="O17" s="296">
        <v>20</v>
      </c>
      <c r="P17" s="443">
        <f>(N17-M17)*24*60</f>
        <v>11.999999999999996</v>
      </c>
      <c r="Q17" s="296"/>
      <c r="R17" s="296"/>
    </row>
    <row r="18" spans="1:18" ht="15.75" customHeight="1">
      <c r="A18" s="614"/>
      <c r="B18" s="297" t="s">
        <v>184</v>
      </c>
      <c r="C18" s="449"/>
      <c r="D18" s="619" t="s">
        <v>417</v>
      </c>
      <c r="E18" s="620"/>
      <c r="F18" s="299">
        <v>14.49</v>
      </c>
      <c r="G18" s="447">
        <v>503</v>
      </c>
      <c r="H18" s="300">
        <f t="shared" si="4"/>
        <v>7288.47</v>
      </c>
      <c r="I18" s="450"/>
      <c r="J18" s="301">
        <v>5</v>
      </c>
      <c r="K18" s="302">
        <f>G18/P18*60</f>
        <v>1509.0000000000025</v>
      </c>
      <c r="L18" s="303">
        <f>K18/J18</f>
        <v>301.80000000000052</v>
      </c>
      <c r="M18" s="304">
        <v>0.20277777777777781</v>
      </c>
      <c r="N18" s="304">
        <v>0.21666666666666667</v>
      </c>
      <c r="O18" s="296">
        <v>20</v>
      </c>
      <c r="P18" s="443">
        <f t="shared" ref="P18" si="5">(N18-M18)*24*60</f>
        <v>19.999999999999968</v>
      </c>
      <c r="Q18" s="305"/>
      <c r="R18" s="305"/>
    </row>
    <row r="19" spans="1:18" ht="15.75" customHeight="1">
      <c r="A19" s="614"/>
      <c r="B19" s="297">
        <v>0</v>
      </c>
      <c r="C19" s="449"/>
      <c r="D19" s="619"/>
      <c r="E19" s="620"/>
      <c r="F19" s="299" t="s">
        <v>186</v>
      </c>
      <c r="G19" s="447"/>
      <c r="H19" s="300">
        <f t="shared" si="4"/>
        <v>0</v>
      </c>
      <c r="I19" s="450"/>
      <c r="J19" s="301"/>
      <c r="K19" s="302"/>
      <c r="L19" s="303"/>
      <c r="M19" s="304"/>
      <c r="N19" s="304"/>
      <c r="O19" s="296"/>
      <c r="P19" s="443"/>
      <c r="Q19" s="305"/>
      <c r="R19" s="305"/>
    </row>
    <row r="20" spans="1:18" ht="15.75" customHeight="1">
      <c r="A20" s="615"/>
      <c r="B20" s="297">
        <v>0</v>
      </c>
      <c r="C20" s="449"/>
      <c r="D20" s="317"/>
      <c r="E20" s="445"/>
      <c r="F20" s="299" t="s">
        <v>186</v>
      </c>
      <c r="G20" s="447"/>
      <c r="H20" s="300">
        <f t="shared" si="4"/>
        <v>0</v>
      </c>
      <c r="I20" s="450"/>
      <c r="J20" s="301"/>
      <c r="K20" s="302"/>
      <c r="L20" s="303"/>
      <c r="M20" s="304"/>
      <c r="N20" s="304"/>
      <c r="O20" s="296"/>
      <c r="P20" s="443"/>
      <c r="Q20" s="296"/>
      <c r="R20" s="296"/>
    </row>
    <row r="21" spans="1:18" ht="15.75" customHeight="1">
      <c r="A21" s="615"/>
      <c r="B21" s="297">
        <v>0</v>
      </c>
      <c r="C21" s="449"/>
      <c r="D21" s="317"/>
      <c r="E21" s="445"/>
      <c r="F21" s="299" t="s">
        <v>186</v>
      </c>
      <c r="G21" s="447"/>
      <c r="H21" s="300">
        <f t="shared" si="4"/>
        <v>0</v>
      </c>
      <c r="I21" s="450"/>
      <c r="J21" s="301"/>
      <c r="K21" s="302"/>
      <c r="L21" s="303"/>
      <c r="M21" s="304"/>
      <c r="N21" s="304"/>
      <c r="O21" s="296"/>
      <c r="P21" s="443"/>
      <c r="Q21" s="296"/>
      <c r="R21" s="296"/>
    </row>
    <row r="22" spans="1:18" ht="15.75" customHeight="1">
      <c r="A22" s="615"/>
      <c r="B22" s="297">
        <v>0</v>
      </c>
      <c r="C22" s="449"/>
      <c r="D22" s="317"/>
      <c r="E22" s="445"/>
      <c r="F22" s="299" t="s">
        <v>186</v>
      </c>
      <c r="G22" s="447"/>
      <c r="H22" s="300">
        <f t="shared" si="4"/>
        <v>0</v>
      </c>
      <c r="I22" s="450"/>
      <c r="J22" s="301"/>
      <c r="K22" s="302"/>
      <c r="L22" s="303"/>
      <c r="M22" s="304"/>
      <c r="N22" s="304"/>
      <c r="O22" s="296"/>
      <c r="P22" s="443"/>
      <c r="Q22" s="296"/>
      <c r="R22" s="296"/>
    </row>
    <row r="23" spans="1:18" ht="15.75" customHeight="1">
      <c r="A23" s="615"/>
      <c r="B23" s="297">
        <v>0</v>
      </c>
      <c r="C23" s="449"/>
      <c r="D23" s="317"/>
      <c r="E23" s="445"/>
      <c r="F23" s="299" t="s">
        <v>186</v>
      </c>
      <c r="G23" s="447"/>
      <c r="H23" s="300">
        <f t="shared" si="4"/>
        <v>0</v>
      </c>
      <c r="I23" s="450"/>
      <c r="J23" s="301"/>
      <c r="K23" s="302"/>
      <c r="L23" s="303"/>
      <c r="M23" s="304"/>
      <c r="N23" s="304"/>
      <c r="O23" s="296"/>
      <c r="P23" s="443"/>
      <c r="Q23" s="296"/>
      <c r="R23" s="296"/>
    </row>
    <row r="24" spans="1:18" ht="17.399999999999999" customHeight="1">
      <c r="A24" s="616"/>
      <c r="B24" s="297">
        <v>0</v>
      </c>
      <c r="C24" s="6" t="s">
        <v>418</v>
      </c>
      <c r="D24" s="613" t="s">
        <v>414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1527.0000000000014</v>
      </c>
      <c r="L24" s="314">
        <f>AVERAGE(L17:L23)</f>
        <v>279.65000000000032</v>
      </c>
      <c r="M24" s="304"/>
      <c r="N24" s="304"/>
      <c r="O24" s="296"/>
      <c r="P24" s="296"/>
      <c r="Q24" s="296"/>
      <c r="R24" s="296"/>
    </row>
    <row r="25" spans="1:18">
      <c r="A25" s="625" t="s">
        <v>419</v>
      </c>
      <c r="B25" s="297" t="s">
        <v>184</v>
      </c>
      <c r="C25" s="319"/>
      <c r="D25" s="321" t="s">
        <v>420</v>
      </c>
      <c r="E25" s="320"/>
      <c r="F25" s="299">
        <v>15.03</v>
      </c>
      <c r="G25" s="448">
        <v>1747</v>
      </c>
      <c r="H25" s="300">
        <f t="shared" ref="H25:H27" si="6">F25*G25</f>
        <v>26257.41</v>
      </c>
      <c r="I25" s="450"/>
      <c r="J25" s="301">
        <v>4</v>
      </c>
      <c r="K25" s="302">
        <f t="shared" ref="K25:K27" si="7">G25/P25*60</f>
        <v>2911.666666666667</v>
      </c>
      <c r="L25" s="303">
        <f t="shared" ref="L25:L27" si="8">K25/J25</f>
        <v>727.91666666666674</v>
      </c>
      <c r="M25" s="304">
        <v>0.1875</v>
      </c>
      <c r="N25" s="304">
        <v>0.21249999999999999</v>
      </c>
      <c r="O25" s="296">
        <v>30</v>
      </c>
      <c r="P25" s="443">
        <f t="shared" ref="P25:P27" si="9">(N25-M25)*24*60</f>
        <v>35.999999999999993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48">
        <v>2439</v>
      </c>
      <c r="H26" s="300">
        <f t="shared" si="6"/>
        <v>44341.02</v>
      </c>
      <c r="I26" s="450"/>
      <c r="J26" s="301">
        <v>4</v>
      </c>
      <c r="K26" s="302">
        <f t="shared" si="7"/>
        <v>2869.4117647058815</v>
      </c>
      <c r="L26" s="303">
        <f t="shared" si="8"/>
        <v>717.35294117647038</v>
      </c>
      <c r="M26" s="304">
        <v>0.22638888888888889</v>
      </c>
      <c r="N26" s="304">
        <v>0.26180555555555557</v>
      </c>
      <c r="O26" s="296">
        <v>20</v>
      </c>
      <c r="P26" s="443">
        <f t="shared" si="9"/>
        <v>51.000000000000021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48">
        <v>1769</v>
      </c>
      <c r="H27" s="300">
        <f t="shared" si="6"/>
        <v>32779.57</v>
      </c>
      <c r="I27" s="450"/>
      <c r="J27" s="301">
        <v>3</v>
      </c>
      <c r="K27" s="302">
        <f t="shared" si="7"/>
        <v>2868.6486486486529</v>
      </c>
      <c r="L27" s="303">
        <f t="shared" si="8"/>
        <v>956.21621621621762</v>
      </c>
      <c r="M27" s="304">
        <v>0.27569444444444446</v>
      </c>
      <c r="N27" s="304">
        <v>0.30138888888888887</v>
      </c>
      <c r="O27" s="296">
        <v>20</v>
      </c>
      <c r="P27" s="443">
        <f t="shared" si="9"/>
        <v>36.99999999999995</v>
      </c>
      <c r="Q27" s="305"/>
      <c r="R27" s="305"/>
    </row>
    <row r="28" spans="1:18">
      <c r="A28" s="625"/>
      <c r="B28" s="297">
        <v>0</v>
      </c>
      <c r="C28" s="449"/>
      <c r="D28" s="317"/>
      <c r="E28" s="322"/>
      <c r="F28" s="299"/>
      <c r="G28" s="448"/>
      <c r="H28" s="300"/>
      <c r="I28" s="450"/>
      <c r="J28" s="301"/>
      <c r="K28" s="302"/>
      <c r="L28" s="303"/>
      <c r="M28" s="304"/>
      <c r="N28" s="304"/>
      <c r="O28" s="296"/>
      <c r="P28" s="443"/>
      <c r="Q28" s="305"/>
      <c r="R28" s="305"/>
    </row>
    <row r="29" spans="1:18">
      <c r="A29" s="625"/>
      <c r="B29" s="297">
        <v>0</v>
      </c>
      <c r="C29" s="448"/>
      <c r="D29" s="321"/>
      <c r="E29" s="322"/>
      <c r="F29" s="299"/>
      <c r="G29" s="448"/>
      <c r="H29" s="300"/>
      <c r="I29" s="450"/>
      <c r="J29" s="301"/>
      <c r="K29" s="302"/>
      <c r="L29" s="303"/>
      <c r="M29" s="304"/>
      <c r="N29" s="304"/>
      <c r="O29" s="296"/>
      <c r="P29" s="443"/>
      <c r="Q29" s="305"/>
      <c r="R29" s="305"/>
    </row>
    <row r="30" spans="1:18">
      <c r="A30" s="625"/>
      <c r="B30" s="297">
        <v>0</v>
      </c>
      <c r="C30" s="448"/>
      <c r="D30" s="323"/>
      <c r="E30" s="322"/>
      <c r="F30" s="299"/>
      <c r="G30" s="448"/>
      <c r="H30" s="300"/>
      <c r="I30" s="450"/>
      <c r="J30" s="301"/>
      <c r="K30" s="302"/>
      <c r="L30" s="303"/>
      <c r="M30" s="304"/>
      <c r="N30" s="304"/>
      <c r="O30" s="296"/>
      <c r="P30" s="443"/>
      <c r="Q30" s="305"/>
      <c r="R30" s="305"/>
    </row>
    <row r="31" spans="1:18" ht="15.75" customHeight="1">
      <c r="A31" s="625"/>
      <c r="B31" s="297">
        <v>0</v>
      </c>
      <c r="C31" s="449"/>
      <c r="D31" s="317"/>
      <c r="E31" s="322"/>
      <c r="F31" s="299"/>
      <c r="G31" s="448"/>
      <c r="H31" s="300"/>
      <c r="I31" s="450"/>
      <c r="J31" s="301"/>
      <c r="K31" s="302"/>
      <c r="L31" s="303"/>
      <c r="M31" s="304"/>
      <c r="N31" s="304"/>
      <c r="O31" s="296"/>
      <c r="P31" s="443"/>
      <c r="Q31" s="305"/>
      <c r="R31" s="305"/>
    </row>
    <row r="32" spans="1:18">
      <c r="A32" s="625"/>
      <c r="B32" s="297">
        <v>0</v>
      </c>
      <c r="C32" s="449"/>
      <c r="D32" s="317"/>
      <c r="E32" s="445"/>
      <c r="F32" s="299" t="s">
        <v>186</v>
      </c>
      <c r="G32" s="448"/>
      <c r="H32" s="300">
        <f t="shared" ref="H32:H37" si="10">F32*G32</f>
        <v>0</v>
      </c>
      <c r="I32" s="450"/>
      <c r="J32" s="301"/>
      <c r="K32" s="302"/>
      <c r="L32" s="303"/>
      <c r="M32" s="304"/>
      <c r="N32" s="304"/>
      <c r="O32" s="296"/>
      <c r="P32" s="443"/>
      <c r="Q32" s="305"/>
      <c r="R32" s="305"/>
    </row>
    <row r="33" spans="1:18">
      <c r="A33" s="625"/>
      <c r="B33" s="297">
        <v>0</v>
      </c>
      <c r="C33" s="448"/>
      <c r="D33" s="321"/>
      <c r="E33" s="322"/>
      <c r="F33" s="299" t="s">
        <v>186</v>
      </c>
      <c r="G33" s="448"/>
      <c r="H33" s="300">
        <f t="shared" si="10"/>
        <v>0</v>
      </c>
      <c r="I33" s="450"/>
      <c r="J33" s="301"/>
      <c r="K33" s="302"/>
      <c r="L33" s="303"/>
      <c r="M33" s="304"/>
      <c r="N33" s="304"/>
      <c r="O33" s="296"/>
      <c r="P33" s="443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10"/>
        <v>0</v>
      </c>
      <c r="I34" s="450"/>
      <c r="J34" s="301"/>
      <c r="K34" s="302"/>
      <c r="L34" s="303"/>
      <c r="M34" s="304"/>
      <c r="N34" s="304"/>
      <c r="O34" s="296"/>
      <c r="P34" s="443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10"/>
        <v>0</v>
      </c>
      <c r="I35" s="450"/>
      <c r="J35" s="301"/>
      <c r="K35" s="302"/>
      <c r="L35" s="303"/>
      <c r="M35" s="304"/>
      <c r="N35" s="304"/>
      <c r="O35" s="296"/>
      <c r="P35" s="443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10"/>
        <v>0</v>
      </c>
      <c r="I36" s="450"/>
      <c r="J36" s="301"/>
      <c r="K36" s="302"/>
      <c r="L36" s="303"/>
      <c r="M36" s="304"/>
      <c r="N36" s="304"/>
      <c r="O36" s="296"/>
      <c r="P36" s="443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10"/>
        <v>0</v>
      </c>
      <c r="I37" s="450"/>
      <c r="J37" s="301"/>
      <c r="K37" s="302"/>
      <c r="L37" s="303"/>
      <c r="M37" s="304"/>
      <c r="N37" s="304"/>
      <c r="O37" s="296"/>
      <c r="P37" s="443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2883.2423600070674</v>
      </c>
      <c r="L38" s="314">
        <f>AVERAGE(L25:L37)</f>
        <v>800.49527468645158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421</v>
      </c>
      <c r="B39" s="297">
        <v>0</v>
      </c>
      <c r="C39" s="449"/>
      <c r="D39" s="317"/>
      <c r="E39" s="445"/>
      <c r="F39" s="299" t="s">
        <v>186</v>
      </c>
      <c r="G39" s="448"/>
      <c r="H39" s="300">
        <f t="shared" ref="H39:H47" si="11">F39*G39</f>
        <v>0</v>
      </c>
      <c r="I39" s="450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49"/>
      <c r="D40" s="317"/>
      <c r="E40" s="445"/>
      <c r="F40" s="299" t="s">
        <v>186</v>
      </c>
      <c r="G40" s="448"/>
      <c r="H40" s="300">
        <f t="shared" si="11"/>
        <v>0</v>
      </c>
      <c r="I40" s="450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49"/>
      <c r="D41" s="321"/>
      <c r="E41" s="445"/>
      <c r="F41" s="299" t="s">
        <v>186</v>
      </c>
      <c r="G41" s="448"/>
      <c r="H41" s="300">
        <f t="shared" si="11"/>
        <v>0</v>
      </c>
      <c r="I41" s="450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49"/>
      <c r="D42" s="321"/>
      <c r="E42" s="445"/>
      <c r="F42" s="299" t="s">
        <v>186</v>
      </c>
      <c r="G42" s="448"/>
      <c r="H42" s="300">
        <f t="shared" si="11"/>
        <v>0</v>
      </c>
      <c r="I42" s="450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49"/>
      <c r="D43" s="320"/>
      <c r="E43" s="445"/>
      <c r="F43" s="299" t="s">
        <v>186</v>
      </c>
      <c r="G43" s="448"/>
      <c r="H43" s="300">
        <f t="shared" si="11"/>
        <v>0</v>
      </c>
      <c r="I43" s="450"/>
      <c r="J43" s="301"/>
      <c r="K43" s="302"/>
      <c r="L43" s="303"/>
      <c r="M43" s="304"/>
      <c r="N43" s="304"/>
      <c r="O43" s="296"/>
      <c r="P43" s="443"/>
      <c r="Q43" s="305"/>
      <c r="R43" s="305"/>
    </row>
    <row r="44" spans="1:18">
      <c r="A44" s="628"/>
      <c r="B44" s="297">
        <v>0</v>
      </c>
      <c r="C44" s="449"/>
      <c r="D44" s="321"/>
      <c r="E44" s="327"/>
      <c r="F44" s="299" t="s">
        <v>186</v>
      </c>
      <c r="G44" s="328"/>
      <c r="H44" s="329">
        <f t="shared" si="11"/>
        <v>0</v>
      </c>
      <c r="I44" s="451"/>
      <c r="J44" s="301"/>
      <c r="K44" s="302"/>
      <c r="L44" s="303"/>
      <c r="M44" s="304"/>
      <c r="N44" s="304"/>
      <c r="O44" s="296"/>
      <c r="P44" s="443"/>
      <c r="Q44" s="305"/>
      <c r="R44" s="305"/>
    </row>
    <row r="45" spans="1:18">
      <c r="A45" s="628"/>
      <c r="B45" s="297">
        <v>0</v>
      </c>
      <c r="C45" s="449"/>
      <c r="D45" s="337"/>
      <c r="E45" s="322"/>
      <c r="F45" s="299" t="s">
        <v>186</v>
      </c>
      <c r="G45" s="448"/>
      <c r="H45" s="300">
        <f t="shared" si="11"/>
        <v>0</v>
      </c>
      <c r="I45" s="450"/>
      <c r="J45" s="301"/>
      <c r="K45" s="302"/>
      <c r="L45" s="303"/>
      <c r="M45" s="304"/>
      <c r="N45" s="304"/>
      <c r="O45" s="296"/>
      <c r="P45" s="443"/>
      <c r="Q45" s="305"/>
      <c r="R45" s="305"/>
    </row>
    <row r="46" spans="1:18">
      <c r="A46" s="628"/>
      <c r="B46" s="297">
        <v>0</v>
      </c>
      <c r="C46" s="449"/>
      <c r="D46" s="321"/>
      <c r="E46" s="327"/>
      <c r="F46" s="299" t="s">
        <v>186</v>
      </c>
      <c r="G46" s="328"/>
      <c r="H46" s="329">
        <f t="shared" si="11"/>
        <v>0</v>
      </c>
      <c r="I46" s="451"/>
      <c r="J46" s="301"/>
      <c r="K46" s="302"/>
      <c r="L46" s="303"/>
      <c r="M46" s="304"/>
      <c r="N46" s="304"/>
      <c r="O46" s="296"/>
      <c r="P46" s="443"/>
      <c r="Q46" s="305"/>
      <c r="R46" s="305"/>
    </row>
    <row r="47" spans="1:18">
      <c r="A47" s="628"/>
      <c r="B47" s="297">
        <v>0</v>
      </c>
      <c r="C47" s="449"/>
      <c r="D47" s="337"/>
      <c r="E47" s="322"/>
      <c r="F47" s="299" t="s">
        <v>186</v>
      </c>
      <c r="G47" s="448"/>
      <c r="H47" s="300">
        <f t="shared" si="11"/>
        <v>0</v>
      </c>
      <c r="I47" s="450"/>
      <c r="J47" s="301"/>
      <c r="K47" s="302"/>
      <c r="L47" s="303"/>
      <c r="M47" s="304"/>
      <c r="N47" s="304"/>
      <c r="O47" s="296"/>
      <c r="P47" s="443"/>
      <c r="Q47" s="305"/>
      <c r="R47" s="305"/>
    </row>
    <row r="48" spans="1:18">
      <c r="A48" s="629"/>
      <c r="B48" s="297">
        <v>0</v>
      </c>
      <c r="C48" s="448"/>
      <c r="D48" s="321"/>
      <c r="E48" s="376"/>
      <c r="F48" s="299" t="s">
        <v>186</v>
      </c>
      <c r="G48" s="448"/>
      <c r="H48" s="300"/>
      <c r="I48" s="450"/>
      <c r="J48" s="301"/>
      <c r="K48" s="302"/>
      <c r="L48" s="303"/>
      <c r="M48" s="304"/>
      <c r="N48" s="304"/>
      <c r="O48" s="296"/>
      <c r="P48" s="443"/>
      <c r="Q48" s="305"/>
      <c r="R48" s="305"/>
    </row>
    <row r="49" spans="1:18">
      <c r="A49" s="629"/>
      <c r="B49" s="297">
        <v>0</v>
      </c>
      <c r="C49" s="448"/>
      <c r="D49" s="330"/>
      <c r="E49" s="331"/>
      <c r="F49" s="299" t="s">
        <v>186</v>
      </c>
      <c r="G49" s="296"/>
      <c r="H49" s="329">
        <f>F49*G49</f>
        <v>0</v>
      </c>
      <c r="I49" s="443"/>
      <c r="J49" s="301"/>
      <c r="K49" s="302"/>
      <c r="L49" s="303"/>
      <c r="M49" s="304"/>
      <c r="N49" s="304"/>
      <c r="O49" s="296"/>
      <c r="P49" s="443"/>
      <c r="Q49" s="305"/>
      <c r="R49" s="305"/>
    </row>
    <row r="50" spans="1:18">
      <c r="A50" s="629"/>
      <c r="B50" s="297">
        <v>0</v>
      </c>
      <c r="C50" s="448"/>
      <c r="D50" s="330"/>
      <c r="E50" s="331"/>
      <c r="F50" s="299" t="s">
        <v>186</v>
      </c>
      <c r="G50" s="296"/>
      <c r="H50" s="329">
        <f>F50*G50</f>
        <v>0</v>
      </c>
      <c r="I50" s="443"/>
      <c r="J50" s="301"/>
      <c r="K50" s="302"/>
      <c r="L50" s="303"/>
      <c r="M50" s="304"/>
      <c r="N50" s="304"/>
      <c r="O50" s="296"/>
      <c r="P50" s="443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414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422</v>
      </c>
      <c r="B52" s="297" t="s">
        <v>184</v>
      </c>
      <c r="C52" s="449"/>
      <c r="D52" s="320" t="s">
        <v>159</v>
      </c>
      <c r="E52" s="335"/>
      <c r="F52" s="299">
        <v>25.03</v>
      </c>
      <c r="G52" s="448">
        <v>556</v>
      </c>
      <c r="H52" s="300">
        <f>F52*G52</f>
        <v>13916.68</v>
      </c>
      <c r="I52" s="450"/>
      <c r="J52" s="301">
        <v>4</v>
      </c>
      <c r="K52" s="302">
        <f>G52/P52*60</f>
        <v>3336.0000000000118</v>
      </c>
      <c r="L52" s="303">
        <f>K52/J52</f>
        <v>834.00000000000296</v>
      </c>
      <c r="M52" s="304">
        <v>0.2986111111111111</v>
      </c>
      <c r="N52" s="304">
        <v>0.30555555555555552</v>
      </c>
      <c r="O52" s="302">
        <v>10</v>
      </c>
      <c r="P52" s="443">
        <f>(N52-M52)*24*60</f>
        <v>9.9999999999999645</v>
      </c>
      <c r="Q52" s="305"/>
      <c r="R52" s="305"/>
    </row>
    <row r="53" spans="1:18" ht="15.6" customHeight="1">
      <c r="A53" s="632"/>
      <c r="B53" s="297" t="s">
        <v>184</v>
      </c>
      <c r="C53" s="449"/>
      <c r="D53" s="320" t="s">
        <v>160</v>
      </c>
      <c r="E53" s="336"/>
      <c r="F53" s="299">
        <v>24.82</v>
      </c>
      <c r="G53" s="306">
        <v>775</v>
      </c>
      <c r="H53" s="300">
        <f t="shared" ref="H53:H62" si="12">F53*G53</f>
        <v>19235.5</v>
      </c>
      <c r="I53" s="450"/>
      <c r="J53" s="301">
        <v>4</v>
      </c>
      <c r="K53" s="302">
        <f t="shared" ref="K53:K56" si="13">G53/P53*60</f>
        <v>3321.4285714285834</v>
      </c>
      <c r="L53" s="303">
        <f t="shared" ref="L53:L56" si="14">K53/J53</f>
        <v>830.35714285714585</v>
      </c>
      <c r="M53" s="304">
        <v>0.31944444444444448</v>
      </c>
      <c r="N53" s="304">
        <v>0.32916666666666666</v>
      </c>
      <c r="O53" s="302">
        <v>20</v>
      </c>
      <c r="P53" s="443">
        <f t="shared" ref="P53:P56" si="15">(N53-M53)*24*60</f>
        <v>13.99999999999995</v>
      </c>
      <c r="Q53" s="305"/>
      <c r="R53" s="305"/>
    </row>
    <row r="54" spans="1:18" ht="15.6" customHeight="1">
      <c r="A54" s="632"/>
      <c r="B54" s="297" t="s">
        <v>184</v>
      </c>
      <c r="C54" s="449"/>
      <c r="D54" s="320" t="s">
        <v>161</v>
      </c>
      <c r="E54" s="445"/>
      <c r="F54" s="299">
        <v>30</v>
      </c>
      <c r="G54" s="306">
        <v>1291</v>
      </c>
      <c r="H54" s="300">
        <f t="shared" si="12"/>
        <v>38730</v>
      </c>
      <c r="I54" s="450"/>
      <c r="J54" s="301">
        <v>4</v>
      </c>
      <c r="K54" s="302">
        <f t="shared" si="13"/>
        <v>3227.49999999999</v>
      </c>
      <c r="L54" s="303">
        <f t="shared" si="14"/>
        <v>806.8749999999975</v>
      </c>
      <c r="M54" s="304">
        <v>0.3430555555555555</v>
      </c>
      <c r="N54" s="304">
        <v>0.35972222222222222</v>
      </c>
      <c r="O54" s="302">
        <v>20</v>
      </c>
      <c r="P54" s="443">
        <f t="shared" si="15"/>
        <v>24.000000000000075</v>
      </c>
      <c r="Q54" s="305">
        <v>0.35972222222222222</v>
      </c>
      <c r="R54" s="305">
        <v>0.40138888888888885</v>
      </c>
    </row>
    <row r="55" spans="1:18" ht="15.6" customHeight="1">
      <c r="A55" s="632"/>
      <c r="B55" s="297" t="s">
        <v>184</v>
      </c>
      <c r="C55" s="449"/>
      <c r="D55" s="338" t="s">
        <v>162</v>
      </c>
      <c r="E55" s="322"/>
      <c r="F55" s="299">
        <v>14.03</v>
      </c>
      <c r="G55" s="306">
        <v>2349</v>
      </c>
      <c r="H55" s="300">
        <f t="shared" si="12"/>
        <v>32956.47</v>
      </c>
      <c r="I55" s="450"/>
      <c r="J55" s="301">
        <v>3</v>
      </c>
      <c r="K55" s="302">
        <f t="shared" si="13"/>
        <v>3277.6744186046508</v>
      </c>
      <c r="L55" s="303">
        <f t="shared" si="14"/>
        <v>1092.5581395348836</v>
      </c>
      <c r="M55" s="304">
        <v>0.4152777777777778</v>
      </c>
      <c r="N55" s="304">
        <v>0.44513888888888892</v>
      </c>
      <c r="O55" s="302">
        <v>20</v>
      </c>
      <c r="P55" s="443">
        <f t="shared" si="15"/>
        <v>43.000000000000007</v>
      </c>
      <c r="Q55" s="305"/>
      <c r="R55" s="305"/>
    </row>
    <row r="56" spans="1:18" ht="15.6" customHeight="1">
      <c r="A56" s="632"/>
      <c r="B56" s="297" t="s">
        <v>184</v>
      </c>
      <c r="C56" s="449"/>
      <c r="D56" s="321" t="s">
        <v>164</v>
      </c>
      <c r="E56" s="322"/>
      <c r="F56" s="299">
        <v>18.18</v>
      </c>
      <c r="G56" s="306">
        <v>1306</v>
      </c>
      <c r="H56" s="300">
        <f t="shared" si="12"/>
        <v>23743.079999999998</v>
      </c>
      <c r="I56" s="450"/>
      <c r="J56" s="301">
        <v>3</v>
      </c>
      <c r="K56" s="302">
        <f t="shared" si="13"/>
        <v>3265.0000000000118</v>
      </c>
      <c r="L56" s="303">
        <f t="shared" si="14"/>
        <v>1088.3333333333374</v>
      </c>
      <c r="M56" s="304">
        <v>0.45902777777777781</v>
      </c>
      <c r="N56" s="304">
        <v>0.47569444444444442</v>
      </c>
      <c r="O56" s="302">
        <v>20</v>
      </c>
      <c r="P56" s="443">
        <f t="shared" si="15"/>
        <v>23.999999999999915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12"/>
        <v>0</v>
      </c>
      <c r="I57" s="450"/>
      <c r="J57" s="301"/>
      <c r="K57" s="302"/>
      <c r="L57" s="303"/>
      <c r="M57" s="304"/>
      <c r="N57" s="304"/>
      <c r="O57" s="302"/>
      <c r="P57" s="443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12"/>
        <v>0</v>
      </c>
      <c r="I58" s="450"/>
      <c r="J58" s="301"/>
      <c r="K58" s="302"/>
      <c r="L58" s="303"/>
      <c r="M58" s="304"/>
      <c r="N58" s="304"/>
      <c r="O58" s="302"/>
      <c r="P58" s="443"/>
      <c r="Q58" s="305"/>
      <c r="R58" s="305"/>
    </row>
    <row r="59" spans="1:18" ht="15.6" customHeight="1">
      <c r="A59" s="632"/>
      <c r="B59" s="297">
        <v>0</v>
      </c>
      <c r="C59" s="449"/>
      <c r="D59" s="337"/>
      <c r="E59" s="322"/>
      <c r="F59" s="299" t="s">
        <v>186</v>
      </c>
      <c r="G59" s="306"/>
      <c r="H59" s="300">
        <f t="shared" si="12"/>
        <v>0</v>
      </c>
      <c r="I59" s="450"/>
      <c r="J59" s="301"/>
      <c r="K59" s="302"/>
      <c r="L59" s="303"/>
      <c r="M59" s="304"/>
      <c r="N59" s="304"/>
      <c r="O59" s="302"/>
      <c r="P59" s="443"/>
      <c r="Q59" s="305"/>
      <c r="R59" s="305"/>
    </row>
    <row r="60" spans="1:18" ht="15.6" customHeight="1">
      <c r="A60" s="632"/>
      <c r="B60" s="297">
        <v>0</v>
      </c>
      <c r="C60" s="449"/>
      <c r="D60" s="338"/>
      <c r="E60" s="341"/>
      <c r="F60" s="299" t="s">
        <v>186</v>
      </c>
      <c r="G60" s="306"/>
      <c r="H60" s="300">
        <f t="shared" si="12"/>
        <v>0</v>
      </c>
      <c r="I60" s="450"/>
      <c r="J60" s="301"/>
      <c r="K60" s="302"/>
      <c r="L60" s="303"/>
      <c r="M60" s="304"/>
      <c r="N60" s="304"/>
      <c r="O60" s="302"/>
      <c r="P60" s="443"/>
      <c r="Q60" s="305"/>
      <c r="R60" s="305"/>
    </row>
    <row r="61" spans="1:18" ht="15.6" customHeight="1">
      <c r="A61" s="632"/>
      <c r="B61" s="297">
        <v>0</v>
      </c>
      <c r="C61" s="449"/>
      <c r="D61" s="320"/>
      <c r="E61" s="322"/>
      <c r="F61" s="299" t="s">
        <v>186</v>
      </c>
      <c r="G61" s="306"/>
      <c r="H61" s="300">
        <f t="shared" si="12"/>
        <v>0</v>
      </c>
      <c r="I61" s="450"/>
      <c r="J61" s="301"/>
      <c r="K61" s="302"/>
      <c r="L61" s="303"/>
      <c r="M61" s="304"/>
      <c r="N61" s="304"/>
      <c r="O61" s="302"/>
      <c r="P61" s="443"/>
      <c r="Q61" s="305"/>
      <c r="R61" s="305"/>
    </row>
    <row r="62" spans="1:18" ht="15.6" customHeight="1">
      <c r="A62" s="632"/>
      <c r="B62" s="297">
        <v>0</v>
      </c>
      <c r="C62" s="449"/>
      <c r="D62" s="337"/>
      <c r="E62" s="342"/>
      <c r="F62" s="299" t="s">
        <v>186</v>
      </c>
      <c r="G62" s="306"/>
      <c r="H62" s="300">
        <f t="shared" si="12"/>
        <v>0</v>
      </c>
      <c r="I62" s="450"/>
      <c r="J62" s="301"/>
      <c r="K62" s="302"/>
      <c r="L62" s="303"/>
      <c r="M62" s="304"/>
      <c r="N62" s="304"/>
      <c r="O62" s="302"/>
      <c r="P62" s="443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3"/>
        <v>0</v>
      </c>
      <c r="I63" s="451"/>
      <c r="J63" s="301"/>
      <c r="K63" s="302"/>
      <c r="L63" s="303"/>
      <c r="M63" s="304"/>
      <c r="N63" s="304"/>
      <c r="O63" s="296"/>
      <c r="P63" s="443"/>
      <c r="Q63" s="305"/>
      <c r="R63" s="305"/>
    </row>
    <row r="64" spans="1:18" ht="15.75" customHeight="1">
      <c r="A64" s="633"/>
      <c r="B64" s="297">
        <v>0</v>
      </c>
      <c r="C64" s="6" t="s">
        <v>423</v>
      </c>
      <c r="D64" s="613" t="s">
        <v>414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3285.5205980066494</v>
      </c>
      <c r="L64" s="314">
        <f>AVERAGE(L52:L63)</f>
        <v>930.42472314507336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424</v>
      </c>
      <c r="B65" s="297" t="s">
        <v>184</v>
      </c>
      <c r="C65" s="449"/>
      <c r="D65" s="321" t="s">
        <v>425</v>
      </c>
      <c r="E65" s="335"/>
      <c r="F65" s="299">
        <v>16.66</v>
      </c>
      <c r="G65" s="448">
        <v>2272</v>
      </c>
      <c r="H65" s="300">
        <f>F65*G65</f>
        <v>37851.519999999997</v>
      </c>
      <c r="I65" s="450"/>
      <c r="J65" s="301">
        <v>4</v>
      </c>
      <c r="K65" s="302">
        <f t="shared" ref="K65:K69" si="16">G65/P65*60</f>
        <v>3245.7142857142844</v>
      </c>
      <c r="L65" s="303">
        <f t="shared" ref="L65:L69" si="17">K65/J65</f>
        <v>811.4285714285711</v>
      </c>
      <c r="M65" s="304">
        <v>0.18055555555555555</v>
      </c>
      <c r="N65" s="304">
        <v>0.20972222222222223</v>
      </c>
      <c r="O65" s="302">
        <v>20</v>
      </c>
      <c r="P65" s="443">
        <f>(N65-M65)*24*60</f>
        <v>42.000000000000014</v>
      </c>
      <c r="Q65" s="305"/>
      <c r="R65" s="305"/>
    </row>
    <row r="66" spans="1:18" ht="15.6" customHeight="1">
      <c r="A66" s="635"/>
      <c r="B66" s="297" t="s">
        <v>184</v>
      </c>
      <c r="C66" s="449"/>
      <c r="D66" s="321" t="s">
        <v>426</v>
      </c>
      <c r="E66" s="336"/>
      <c r="F66" s="299">
        <v>22.281818181818181</v>
      </c>
      <c r="G66" s="306">
        <v>541</v>
      </c>
      <c r="H66" s="300">
        <f t="shared" ref="H66:H74" si="18">F66*G66</f>
        <v>12054.463636363636</v>
      </c>
      <c r="I66" s="450"/>
      <c r="J66" s="301">
        <v>4</v>
      </c>
      <c r="K66" s="302">
        <f t="shared" si="16"/>
        <v>3245.9999999999986</v>
      </c>
      <c r="L66" s="303">
        <f t="shared" si="17"/>
        <v>811.49999999999966</v>
      </c>
      <c r="M66" s="304">
        <v>0.22361111111111109</v>
      </c>
      <c r="N66" s="304">
        <v>0.23055555555555554</v>
      </c>
      <c r="O66" s="302">
        <v>20</v>
      </c>
      <c r="P66" s="443">
        <f t="shared" ref="P66:P69" si="19">(N66-M66)*24*60</f>
        <v>10.000000000000004</v>
      </c>
      <c r="Q66" s="305"/>
      <c r="R66" s="305"/>
    </row>
    <row r="67" spans="1:18" ht="15.6" customHeight="1">
      <c r="A67" s="635"/>
      <c r="B67" s="297" t="s">
        <v>184</v>
      </c>
      <c r="C67" s="449"/>
      <c r="D67" s="337" t="s">
        <v>427</v>
      </c>
      <c r="E67" s="322"/>
      <c r="F67" s="299">
        <v>17.890909090909091</v>
      </c>
      <c r="G67" s="306">
        <v>1405</v>
      </c>
      <c r="H67" s="300">
        <f t="shared" si="18"/>
        <v>25136.727272727272</v>
      </c>
      <c r="I67" s="450"/>
      <c r="J67" s="301">
        <v>3</v>
      </c>
      <c r="K67" s="302">
        <f t="shared" si="16"/>
        <v>3242.3076923076942</v>
      </c>
      <c r="L67" s="303">
        <f t="shared" si="17"/>
        <v>1080.7692307692314</v>
      </c>
      <c r="M67" s="304">
        <v>0.24444444444444446</v>
      </c>
      <c r="N67" s="304">
        <v>0.26250000000000001</v>
      </c>
      <c r="O67" s="302">
        <v>20</v>
      </c>
      <c r="P67" s="443">
        <f t="shared" si="19"/>
        <v>25.999999999999986</v>
      </c>
      <c r="Q67" s="305">
        <v>0.26250000000000001</v>
      </c>
      <c r="R67" s="305">
        <v>0.30416666666666664</v>
      </c>
    </row>
    <row r="68" spans="1:18" ht="15.6" customHeight="1">
      <c r="A68" s="635"/>
      <c r="B68" s="297" t="s">
        <v>184</v>
      </c>
      <c r="C68" s="449"/>
      <c r="D68" s="320" t="s">
        <v>163</v>
      </c>
      <c r="E68" s="322"/>
      <c r="F68" s="299">
        <v>18.18</v>
      </c>
      <c r="G68" s="306">
        <v>724</v>
      </c>
      <c r="H68" s="300">
        <f t="shared" si="18"/>
        <v>13162.32</v>
      </c>
      <c r="I68" s="450"/>
      <c r="J68" s="301">
        <v>3</v>
      </c>
      <c r="K68" s="302">
        <f t="shared" si="16"/>
        <v>3341.5384615384528</v>
      </c>
      <c r="L68" s="303">
        <f t="shared" si="17"/>
        <v>1113.8461538461509</v>
      </c>
      <c r="M68" s="304">
        <v>0.31805555555555554</v>
      </c>
      <c r="N68" s="304">
        <v>0.32708333333333334</v>
      </c>
      <c r="O68" s="302">
        <v>20</v>
      </c>
      <c r="P68" s="443">
        <f t="shared" si="19"/>
        <v>13.000000000000034</v>
      </c>
      <c r="Q68" s="305"/>
      <c r="R68" s="305"/>
    </row>
    <row r="69" spans="1:18" ht="15.6" customHeight="1">
      <c r="A69" s="635"/>
      <c r="B69" s="297" t="s">
        <v>184</v>
      </c>
      <c r="C69" s="449"/>
      <c r="D69" s="337" t="s">
        <v>165</v>
      </c>
      <c r="E69" s="322"/>
      <c r="F69" s="299">
        <v>14.285714285714283</v>
      </c>
      <c r="G69" s="306">
        <v>3354</v>
      </c>
      <c r="H69" s="300">
        <f t="shared" si="18"/>
        <v>47914.285714285703</v>
      </c>
      <c r="I69" s="450"/>
      <c r="J69" s="301">
        <v>3</v>
      </c>
      <c r="K69" s="302">
        <f t="shared" si="16"/>
        <v>3245.806451612902</v>
      </c>
      <c r="L69" s="303">
        <f t="shared" si="17"/>
        <v>1081.9354838709673</v>
      </c>
      <c r="M69" s="304">
        <v>0.34097222222222223</v>
      </c>
      <c r="N69" s="304">
        <v>0.3840277777777778</v>
      </c>
      <c r="O69" s="302">
        <v>20</v>
      </c>
      <c r="P69" s="443">
        <f t="shared" si="19"/>
        <v>62.000000000000021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18"/>
        <v>0</v>
      </c>
      <c r="I70" s="450"/>
      <c r="J70" s="301"/>
      <c r="K70" s="302"/>
      <c r="L70" s="303"/>
      <c r="M70" s="304"/>
      <c r="N70" s="304"/>
      <c r="O70" s="302"/>
      <c r="P70" s="443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18"/>
        <v>0</v>
      </c>
      <c r="I71" s="450"/>
      <c r="J71" s="301"/>
      <c r="K71" s="302"/>
      <c r="L71" s="303"/>
      <c r="M71" s="304"/>
      <c r="N71" s="304"/>
      <c r="O71" s="302"/>
      <c r="P71" s="443"/>
      <c r="Q71" s="305"/>
      <c r="R71" s="305"/>
    </row>
    <row r="72" spans="1:18" ht="15.6" customHeight="1">
      <c r="A72" s="635"/>
      <c r="B72" s="297">
        <v>0</v>
      </c>
      <c r="C72" s="449"/>
      <c r="D72" s="337"/>
      <c r="E72" s="322"/>
      <c r="F72" s="299" t="s">
        <v>186</v>
      </c>
      <c r="G72" s="306"/>
      <c r="H72" s="300">
        <f t="shared" si="18"/>
        <v>0</v>
      </c>
      <c r="I72" s="450"/>
      <c r="J72" s="301"/>
      <c r="K72" s="302"/>
      <c r="L72" s="303"/>
      <c r="M72" s="304"/>
      <c r="N72" s="304"/>
      <c r="O72" s="302"/>
      <c r="P72" s="443"/>
      <c r="Q72" s="305"/>
      <c r="R72" s="305"/>
    </row>
    <row r="73" spans="1:18" ht="15.6" customHeight="1">
      <c r="A73" s="635"/>
      <c r="B73" s="297">
        <v>0</v>
      </c>
      <c r="C73" s="449"/>
      <c r="D73" s="337"/>
      <c r="E73" s="322"/>
      <c r="F73" s="299" t="s">
        <v>186</v>
      </c>
      <c r="G73" s="306"/>
      <c r="H73" s="300">
        <f t="shared" si="18"/>
        <v>0</v>
      </c>
      <c r="I73" s="450"/>
      <c r="J73" s="301"/>
      <c r="K73" s="302"/>
      <c r="L73" s="303"/>
      <c r="M73" s="304"/>
      <c r="N73" s="304"/>
      <c r="O73" s="302"/>
      <c r="P73" s="443"/>
      <c r="Q73" s="305"/>
      <c r="R73" s="305"/>
    </row>
    <row r="74" spans="1:18" ht="15.6" customHeight="1">
      <c r="A74" s="635"/>
      <c r="B74" s="297">
        <v>0</v>
      </c>
      <c r="C74" s="449"/>
      <c r="D74" s="337"/>
      <c r="E74" s="322"/>
      <c r="F74" s="299" t="s">
        <v>186</v>
      </c>
      <c r="G74" s="306"/>
      <c r="H74" s="300">
        <f t="shared" si="18"/>
        <v>0</v>
      </c>
      <c r="I74" s="450"/>
      <c r="J74" s="301"/>
      <c r="K74" s="302"/>
      <c r="L74" s="303"/>
      <c r="M74" s="304"/>
      <c r="N74" s="304"/>
      <c r="O74" s="302"/>
      <c r="P74" s="443"/>
      <c r="Q74" s="305"/>
      <c r="R74" s="305"/>
    </row>
    <row r="75" spans="1:18" ht="15.75" customHeight="1">
      <c r="A75" s="636"/>
      <c r="B75" s="297">
        <v>0</v>
      </c>
      <c r="C75" s="6" t="s">
        <v>428</v>
      </c>
      <c r="D75" s="613" t="s">
        <v>414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3264.2733782346668</v>
      </c>
      <c r="L75" s="314">
        <f>AVERAGE(L65:L74)</f>
        <v>979.89588798298394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 t="shared" si="3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43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48"/>
      <c r="H77" s="300">
        <f t="shared" si="3"/>
        <v>0</v>
      </c>
      <c r="I77" s="450"/>
      <c r="J77" s="301"/>
      <c r="K77" s="302"/>
      <c r="L77" s="303"/>
      <c r="M77" s="304"/>
      <c r="N77" s="304"/>
      <c r="O77" s="296"/>
      <c r="P77" s="443"/>
      <c r="Q77" s="296"/>
      <c r="R77" s="296"/>
    </row>
    <row r="78" spans="1:18">
      <c r="A78" s="621"/>
      <c r="B78" s="297">
        <v>0</v>
      </c>
      <c r="C78" s="308"/>
      <c r="D78" s="442"/>
      <c r="E78" s="442"/>
      <c r="F78" s="299" t="s">
        <v>186</v>
      </c>
      <c r="G78" s="324"/>
      <c r="H78" s="300">
        <f t="shared" si="3"/>
        <v>0</v>
      </c>
      <c r="I78" s="450"/>
      <c r="J78" s="301"/>
      <c r="K78" s="302"/>
      <c r="L78" s="303"/>
      <c r="M78" s="304"/>
      <c r="N78" s="304"/>
      <c r="O78" s="296"/>
      <c r="P78" s="443"/>
      <c r="Q78" s="296"/>
      <c r="R78" s="296"/>
    </row>
    <row r="79" spans="1:18">
      <c r="A79" s="621"/>
      <c r="B79" s="297">
        <v>0</v>
      </c>
      <c r="C79" s="308"/>
      <c r="D79" s="442"/>
      <c r="E79" s="442"/>
      <c r="F79" s="299" t="s">
        <v>186</v>
      </c>
      <c r="G79" s="324"/>
      <c r="H79" s="300">
        <f t="shared" si="3"/>
        <v>0</v>
      </c>
      <c r="I79" s="450"/>
      <c r="J79" s="301"/>
      <c r="K79" s="302"/>
      <c r="L79" s="303"/>
      <c r="M79" s="304"/>
      <c r="N79" s="304"/>
      <c r="O79" s="296"/>
      <c r="P79" s="443"/>
      <c r="Q79" s="296"/>
      <c r="R79" s="296"/>
    </row>
    <row r="80" spans="1:18">
      <c r="A80" s="621"/>
      <c r="B80" s="297">
        <v>0</v>
      </c>
      <c r="C80" s="308"/>
      <c r="D80" s="442"/>
      <c r="E80" s="442"/>
      <c r="F80" s="299" t="s">
        <v>186</v>
      </c>
      <c r="G80" s="324"/>
      <c r="H80" s="300">
        <f t="shared" si="3"/>
        <v>0</v>
      </c>
      <c r="I80" s="450"/>
      <c r="J80" s="301"/>
      <c r="K80" s="302"/>
      <c r="L80" s="303"/>
      <c r="M80" s="304"/>
      <c r="N80" s="304"/>
      <c r="O80" s="296"/>
      <c r="P80" s="443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414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429</v>
      </c>
      <c r="B82" s="297" t="s">
        <v>184</v>
      </c>
      <c r="C82" s="319"/>
      <c r="D82" s="320" t="s">
        <v>168</v>
      </c>
      <c r="E82" s="346"/>
      <c r="F82" s="299">
        <v>18.18</v>
      </c>
      <c r="G82" s="324">
        <v>369</v>
      </c>
      <c r="H82" s="347">
        <f t="shared" ref="H82:H90" si="20">F82*G82</f>
        <v>6708.42</v>
      </c>
      <c r="I82" s="450"/>
      <c r="J82" s="301">
        <v>4</v>
      </c>
      <c r="K82" s="302">
        <f t="shared" ref="K82" si="21">G82/P82*60</f>
        <v>2767.50000000001</v>
      </c>
      <c r="L82" s="303">
        <f t="shared" ref="L82" si="22">K82/J82</f>
        <v>691.8750000000025</v>
      </c>
      <c r="M82" s="304">
        <v>0.72222222222222221</v>
      </c>
      <c r="N82" s="304">
        <v>0.72777777777777775</v>
      </c>
      <c r="O82" s="302">
        <v>20</v>
      </c>
      <c r="P82" s="443">
        <f>(N82-M82)*24*60</f>
        <v>7.9999999999999716</v>
      </c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20"/>
        <v>0</v>
      </c>
      <c r="I83" s="450"/>
      <c r="J83" s="301"/>
      <c r="K83" s="302"/>
      <c r="L83" s="303"/>
      <c r="M83" s="304"/>
      <c r="N83" s="304"/>
      <c r="O83" s="302"/>
      <c r="P83" s="443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20"/>
        <v>0</v>
      </c>
      <c r="I84" s="450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20"/>
        <v>0</v>
      </c>
      <c r="I85" s="450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48"/>
      <c r="H86" s="348">
        <f t="shared" si="20"/>
        <v>0</v>
      </c>
      <c r="I86" s="450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48"/>
      <c r="H87" s="348">
        <f t="shared" si="20"/>
        <v>0</v>
      </c>
      <c r="I87" s="450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48"/>
      <c r="H88" s="348">
        <f t="shared" si="20"/>
        <v>0</v>
      </c>
      <c r="I88" s="450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48"/>
      <c r="H89" s="348">
        <f t="shared" si="20"/>
        <v>0</v>
      </c>
      <c r="I89" s="450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48"/>
      <c r="H90" s="348">
        <f t="shared" si="20"/>
        <v>0</v>
      </c>
      <c r="I90" s="450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419</v>
      </c>
      <c r="D91" s="641" t="s">
        <v>414</v>
      </c>
      <c r="E91" s="641"/>
      <c r="F91" s="309"/>
      <c r="G91" s="350"/>
      <c r="H91" s="351"/>
      <c r="I91" s="312"/>
      <c r="J91" s="313">
        <f>AVERAGE(J82:J90)</f>
        <v>4</v>
      </c>
      <c r="K91" s="313">
        <f>AVERAGE(K82:K90)</f>
        <v>2767.50000000001</v>
      </c>
      <c r="L91" s="314">
        <f>AVERAGE(L82:L90)</f>
        <v>691.8750000000025</v>
      </c>
      <c r="M91" s="304"/>
      <c r="N91" s="304"/>
      <c r="O91" s="302"/>
      <c r="P91" s="302"/>
      <c r="Q91" s="303"/>
      <c r="R91" s="303"/>
    </row>
    <row r="92" spans="1:18" ht="16.2" customHeight="1">
      <c r="A92" s="642" t="s">
        <v>430</v>
      </c>
      <c r="B92" s="297" t="s">
        <v>184</v>
      </c>
      <c r="C92" s="308"/>
      <c r="D92" s="352" t="s">
        <v>431</v>
      </c>
      <c r="E92" s="346"/>
      <c r="F92" s="299">
        <v>24.54</v>
      </c>
      <c r="G92" s="448">
        <v>1428</v>
      </c>
      <c r="H92" s="300">
        <f t="shared" ref="H92:H97" si="23">F92*G92</f>
        <v>35043.119999999995</v>
      </c>
      <c r="I92" s="450"/>
      <c r="J92" s="301">
        <v>3</v>
      </c>
      <c r="K92" s="302">
        <f>G92/P92*60</f>
        <v>2447.9999999999977</v>
      </c>
      <c r="L92" s="303">
        <f t="shared" ref="L92:L94" si="24">K92/J92</f>
        <v>815.9999999999992</v>
      </c>
      <c r="M92" s="304">
        <v>0.72222222222222221</v>
      </c>
      <c r="N92" s="304">
        <v>0.74652777777777779</v>
      </c>
      <c r="O92" s="296">
        <v>20</v>
      </c>
      <c r="P92" s="443">
        <f>(N92-M92)*24*60</f>
        <v>35.000000000000036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48">
        <v>692</v>
      </c>
      <c r="H93" s="300">
        <f t="shared" si="23"/>
        <v>15556.16</v>
      </c>
      <c r="I93" s="450"/>
      <c r="J93" s="301">
        <v>4</v>
      </c>
      <c r="K93" s="302">
        <f t="shared" ref="K93:K94" si="25">G93/P93*60</f>
        <v>2076.0000000000073</v>
      </c>
      <c r="L93" s="303">
        <f t="shared" si="24"/>
        <v>519.00000000000182</v>
      </c>
      <c r="M93" s="304">
        <v>0.76041666666666663</v>
      </c>
      <c r="N93" s="304">
        <v>0.77430555555555547</v>
      </c>
      <c r="O93" s="296">
        <v>20</v>
      </c>
      <c r="P93" s="443">
        <f>(N93-M93)*24*60</f>
        <v>19.999999999999929</v>
      </c>
      <c r="Q93" s="305"/>
      <c r="R93" s="305"/>
    </row>
    <row r="94" spans="1:18">
      <c r="A94" s="643"/>
      <c r="B94" s="297" t="s">
        <v>184</v>
      </c>
      <c r="C94" s="308"/>
      <c r="D94" s="352" t="s">
        <v>432</v>
      </c>
      <c r="E94" s="341"/>
      <c r="F94" s="299">
        <v>22.21</v>
      </c>
      <c r="G94" s="306">
        <v>1014</v>
      </c>
      <c r="H94" s="300">
        <f t="shared" si="23"/>
        <v>22520.940000000002</v>
      </c>
      <c r="I94" s="450"/>
      <c r="J94" s="301">
        <v>4</v>
      </c>
      <c r="K94" s="302">
        <f t="shared" si="25"/>
        <v>2433.600000000024</v>
      </c>
      <c r="L94" s="303">
        <f t="shared" si="24"/>
        <v>608.400000000006</v>
      </c>
      <c r="M94" s="304">
        <v>0.78819444444444453</v>
      </c>
      <c r="N94" s="304">
        <v>0.80555555555555547</v>
      </c>
      <c r="O94" s="296">
        <v>20</v>
      </c>
      <c r="P94" s="443">
        <f>(N94-M94)*24*60</f>
        <v>24.999999999999751</v>
      </c>
      <c r="Q94" s="305"/>
      <c r="R94" s="305"/>
    </row>
    <row r="95" spans="1:18">
      <c r="A95" s="644"/>
      <c r="B95" s="297">
        <v>0</v>
      </c>
      <c r="C95" s="308"/>
      <c r="D95" s="320"/>
      <c r="E95" s="341"/>
      <c r="F95" s="299" t="s">
        <v>186</v>
      </c>
      <c r="G95" s="306"/>
      <c r="H95" s="300">
        <f t="shared" si="23"/>
        <v>0</v>
      </c>
      <c r="I95" s="450"/>
      <c r="J95" s="301"/>
      <c r="K95" s="302"/>
      <c r="L95" s="303"/>
      <c r="M95" s="304"/>
      <c r="N95" s="304"/>
      <c r="O95" s="296"/>
      <c r="P95" s="443"/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23"/>
        <v>0</v>
      </c>
      <c r="I96" s="450"/>
      <c r="J96" s="301"/>
      <c r="K96" s="302"/>
      <c r="L96" s="303"/>
      <c r="M96" s="304"/>
      <c r="N96" s="304"/>
      <c r="O96" s="296"/>
      <c r="P96" s="443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23"/>
        <v>0</v>
      </c>
      <c r="I97" s="450"/>
      <c r="J97" s="301"/>
      <c r="K97" s="302"/>
      <c r="L97" s="303"/>
      <c r="M97" s="304"/>
      <c r="N97" s="304"/>
      <c r="O97" s="296"/>
      <c r="P97" s="443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50"/>
      <c r="J98" s="301"/>
      <c r="K98" s="302"/>
      <c r="L98" s="303"/>
      <c r="M98" s="304"/>
      <c r="N98" s="304"/>
      <c r="O98" s="296"/>
      <c r="P98" s="443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50"/>
      <c r="J99" s="301"/>
      <c r="K99" s="302"/>
      <c r="L99" s="303"/>
      <c r="M99" s="304"/>
      <c r="N99" s="304"/>
      <c r="O99" s="296"/>
      <c r="P99" s="443"/>
      <c r="Q99" s="305"/>
      <c r="R99" s="305"/>
    </row>
    <row r="100" spans="1:18" ht="15.75" customHeight="1">
      <c r="A100" s="644"/>
      <c r="B100" s="297">
        <v>0</v>
      </c>
      <c r="C100" s="6" t="s">
        <v>433</v>
      </c>
      <c r="D100" s="645" t="s">
        <v>414</v>
      </c>
      <c r="E100" s="646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2319.2000000000098</v>
      </c>
      <c r="L100" s="314">
        <f>AVERAGE(L92:L99)</f>
        <v>647.80000000000234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434</v>
      </c>
      <c r="B101" s="297" t="s">
        <v>184</v>
      </c>
      <c r="C101" s="6"/>
      <c r="D101" s="341" t="s">
        <v>173</v>
      </c>
      <c r="E101" s="354"/>
      <c r="F101" s="299">
        <v>25.03</v>
      </c>
      <c r="G101" s="448">
        <v>938</v>
      </c>
      <c r="H101" s="300">
        <f t="shared" ref="H101:H110" si="26">F101*G101</f>
        <v>23478.14</v>
      </c>
      <c r="I101" s="450"/>
      <c r="J101" s="301">
        <v>4</v>
      </c>
      <c r="K101" s="302">
        <f>G101/P101*60</f>
        <v>2813.9999999999877</v>
      </c>
      <c r="L101" s="303">
        <f t="shared" ref="L101:L105" si="27">K101/J101</f>
        <v>703.49999999999693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48">
        <v>1503</v>
      </c>
      <c r="H102" s="300">
        <f t="shared" si="26"/>
        <v>37304.46</v>
      </c>
      <c r="I102" s="450"/>
      <c r="J102" s="301">
        <v>4</v>
      </c>
      <c r="K102" s="302">
        <f t="shared" ref="K102:K105" si="29">G102/P102*60</f>
        <v>3005.9999999999945</v>
      </c>
      <c r="L102" s="303">
        <f t="shared" si="27"/>
        <v>751.49999999999864</v>
      </c>
      <c r="M102" s="304">
        <v>0.75</v>
      </c>
      <c r="N102" s="304">
        <v>0.77083333333333337</v>
      </c>
      <c r="O102" s="296">
        <v>20</v>
      </c>
      <c r="P102" s="302">
        <f t="shared" si="28"/>
        <v>30.000000000000053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48">
        <v>2647</v>
      </c>
      <c r="H103" s="300">
        <f t="shared" si="26"/>
        <v>75624.789999999994</v>
      </c>
      <c r="I103" s="450"/>
      <c r="J103" s="301">
        <v>3</v>
      </c>
      <c r="K103" s="302">
        <f t="shared" si="29"/>
        <v>3176.399999999991</v>
      </c>
      <c r="L103" s="303">
        <f t="shared" si="27"/>
        <v>1058.799999999997</v>
      </c>
      <c r="M103" s="304">
        <v>0.78472222222222221</v>
      </c>
      <c r="N103" s="304">
        <v>0.81944444444444453</v>
      </c>
      <c r="O103" s="296">
        <v>20</v>
      </c>
      <c r="P103" s="302">
        <f t="shared" si="28"/>
        <v>50.000000000000142</v>
      </c>
      <c r="Q103" s="305"/>
      <c r="R103" s="305"/>
    </row>
    <row r="104" spans="1:18">
      <c r="A104" s="647"/>
      <c r="B104" s="297" t="s">
        <v>184</v>
      </c>
      <c r="C104" s="6"/>
      <c r="D104" s="320" t="s">
        <v>435</v>
      </c>
      <c r="E104" s="341"/>
      <c r="F104" s="299">
        <v>14.03</v>
      </c>
      <c r="G104" s="448">
        <v>5129</v>
      </c>
      <c r="H104" s="300">
        <f t="shared" si="26"/>
        <v>71959.87</v>
      </c>
      <c r="I104" s="450"/>
      <c r="J104" s="301">
        <v>3</v>
      </c>
      <c r="K104" s="302">
        <f t="shared" si="29"/>
        <v>3077.400000000001</v>
      </c>
      <c r="L104" s="303">
        <f t="shared" si="27"/>
        <v>1025.8000000000004</v>
      </c>
      <c r="M104" s="304">
        <v>0.83333333333333337</v>
      </c>
      <c r="N104" s="304">
        <v>0.90277777777777779</v>
      </c>
      <c r="O104" s="296">
        <v>20</v>
      </c>
      <c r="P104" s="302">
        <f>(N104-M104)*24*60</f>
        <v>99.999999999999972</v>
      </c>
      <c r="Q104" s="305">
        <v>0.90277777777777779</v>
      </c>
      <c r="R104" s="305">
        <v>0.94444444444444453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48">
        <v>7027</v>
      </c>
      <c r="H105" s="300">
        <f t="shared" si="26"/>
        <v>100385.71428571426</v>
      </c>
      <c r="I105" s="450"/>
      <c r="J105" s="301">
        <v>3</v>
      </c>
      <c r="K105" s="302">
        <f t="shared" si="29"/>
        <v>3011.5714286715979</v>
      </c>
      <c r="L105" s="303">
        <f t="shared" si="27"/>
        <v>1003.8571428905326</v>
      </c>
      <c r="M105" s="304">
        <v>46116.958333333336</v>
      </c>
      <c r="N105" s="304">
        <v>46117.055555555555</v>
      </c>
      <c r="O105" s="296">
        <v>20</v>
      </c>
      <c r="P105" s="302">
        <f>(N105-M105)*24*60</f>
        <v>139.99999999534339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26"/>
        <v>0</v>
      </c>
      <c r="I106" s="450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48"/>
      <c r="H107" s="300">
        <f t="shared" si="26"/>
        <v>0</v>
      </c>
      <c r="I107" s="450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48"/>
      <c r="H108" s="300">
        <f t="shared" si="26"/>
        <v>0</v>
      </c>
      <c r="I108" s="450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48"/>
      <c r="H109" s="300">
        <f t="shared" si="26"/>
        <v>0</v>
      </c>
      <c r="I109" s="450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48"/>
      <c r="H110" s="300">
        <f t="shared" si="26"/>
        <v>0</v>
      </c>
      <c r="I110" s="450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47"/>
      <c r="B111" s="297">
        <v>0</v>
      </c>
      <c r="C111" s="6" t="s">
        <v>423</v>
      </c>
      <c r="D111" s="624" t="s">
        <v>414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3017.0742857343143</v>
      </c>
      <c r="L111" s="314">
        <f>AVERAGE(L101:L110)</f>
        <v>908.69142857810516</v>
      </c>
      <c r="M111" s="304"/>
      <c r="N111" s="304"/>
      <c r="O111" s="302"/>
      <c r="P111" s="302"/>
      <c r="Q111" s="303"/>
      <c r="R111" s="296"/>
    </row>
    <row r="112" spans="1:18" ht="16.2" customHeight="1">
      <c r="A112" s="637" t="s">
        <v>436</v>
      </c>
      <c r="B112" s="297" t="s">
        <v>184</v>
      </c>
      <c r="C112" s="6"/>
      <c r="D112" s="337" t="s">
        <v>169</v>
      </c>
      <c r="E112" s="357"/>
      <c r="F112" s="299">
        <v>16.7</v>
      </c>
      <c r="G112" s="448">
        <v>1036</v>
      </c>
      <c r="H112" s="347">
        <f t="shared" si="3"/>
        <v>17301.2</v>
      </c>
      <c r="I112" s="450"/>
      <c r="J112" s="301">
        <v>3</v>
      </c>
      <c r="K112" s="302">
        <f t="shared" ref="K112:K117" si="30">G112/P112*60</f>
        <v>3107.9999999999864</v>
      </c>
      <c r="L112" s="303">
        <f t="shared" ref="L112:L117" si="31">K112/J112</f>
        <v>1035.9999999999955</v>
      </c>
      <c r="M112" s="304">
        <v>0.72222222222222221</v>
      </c>
      <c r="N112" s="304">
        <v>0.73611111111111116</v>
      </c>
      <c r="O112" s="296">
        <v>20</v>
      </c>
      <c r="P112" s="443">
        <f t="shared" ref="P112:P117" si="32">(N112-M112)*24*60</f>
        <v>20.000000000000089</v>
      </c>
      <c r="Q112" s="296"/>
      <c r="R112" s="296"/>
    </row>
    <row r="113" spans="1:18">
      <c r="A113" s="637"/>
      <c r="B113" s="297" t="s">
        <v>184</v>
      </c>
      <c r="C113" s="319"/>
      <c r="D113" s="442" t="s">
        <v>177</v>
      </c>
      <c r="E113" s="442"/>
      <c r="F113" s="299">
        <v>18.18</v>
      </c>
      <c r="G113" s="448">
        <v>873</v>
      </c>
      <c r="H113" s="347">
        <f t="shared" si="3"/>
        <v>15871.14</v>
      </c>
      <c r="I113" s="450"/>
      <c r="J113" s="301">
        <v>4</v>
      </c>
      <c r="K113" s="302">
        <f t="shared" si="30"/>
        <v>2619.0000000000091</v>
      </c>
      <c r="L113" s="303">
        <f t="shared" si="31"/>
        <v>654.75000000000227</v>
      </c>
      <c r="M113" s="304">
        <v>0.75</v>
      </c>
      <c r="N113" s="304">
        <v>0.76388888888888884</v>
      </c>
      <c r="O113" s="296">
        <v>20</v>
      </c>
      <c r="P113" s="443">
        <f t="shared" si="32"/>
        <v>19.999999999999929</v>
      </c>
      <c r="Q113" s="305"/>
      <c r="R113" s="305"/>
    </row>
    <row r="114" spans="1:18">
      <c r="A114" s="637"/>
      <c r="B114" s="297" t="s">
        <v>184</v>
      </c>
      <c r="C114" s="319"/>
      <c r="D114" s="442" t="s">
        <v>437</v>
      </c>
      <c r="E114" s="320"/>
      <c r="F114" s="299">
        <v>18.18</v>
      </c>
      <c r="G114" s="448">
        <v>982</v>
      </c>
      <c r="H114" s="347">
        <f>F114*G114</f>
        <v>17852.759999999998</v>
      </c>
      <c r="I114" s="450"/>
      <c r="J114" s="301">
        <v>3</v>
      </c>
      <c r="K114" s="302">
        <f t="shared" si="30"/>
        <v>2946.0000000000105</v>
      </c>
      <c r="L114" s="303">
        <f t="shared" si="31"/>
        <v>982.00000000000352</v>
      </c>
      <c r="M114" s="304">
        <v>0.77777777777777779</v>
      </c>
      <c r="N114" s="304">
        <v>0.79166666666666663</v>
      </c>
      <c r="O114" s="296">
        <v>20</v>
      </c>
      <c r="P114" s="443">
        <f t="shared" si="32"/>
        <v>19.999999999999929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48">
        <v>4679</v>
      </c>
      <c r="H115" s="347">
        <f t="shared" ref="H115:H123" si="33">F115*G115</f>
        <v>77952.14</v>
      </c>
      <c r="I115" s="450"/>
      <c r="J115" s="301">
        <v>4</v>
      </c>
      <c r="K115" s="302">
        <f t="shared" si="30"/>
        <v>2955.1578947368375</v>
      </c>
      <c r="L115" s="303">
        <f t="shared" si="31"/>
        <v>738.78947368420938</v>
      </c>
      <c r="M115" s="304">
        <v>0.80555555555555547</v>
      </c>
      <c r="N115" s="304">
        <v>0.87152777777777779</v>
      </c>
      <c r="O115" s="296">
        <v>20</v>
      </c>
      <c r="P115" s="443">
        <f t="shared" si="32"/>
        <v>95.000000000000142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48">
        <v>962</v>
      </c>
      <c r="H116" s="347">
        <f t="shared" si="33"/>
        <v>21435.109090909089</v>
      </c>
      <c r="I116" s="450"/>
      <c r="J116" s="301">
        <v>4</v>
      </c>
      <c r="K116" s="302">
        <f t="shared" si="30"/>
        <v>2886.0000000000105</v>
      </c>
      <c r="L116" s="303">
        <f t="shared" si="31"/>
        <v>721.50000000000261</v>
      </c>
      <c r="M116" s="304">
        <v>0.88541666666666663</v>
      </c>
      <c r="N116" s="349">
        <v>0.89930555555555547</v>
      </c>
      <c r="O116" s="296">
        <v>20</v>
      </c>
      <c r="P116" s="443">
        <f t="shared" si="32"/>
        <v>19.999999999999929</v>
      </c>
      <c r="Q116" s="305">
        <v>0.89930555555555547</v>
      </c>
      <c r="R116" s="305">
        <v>0.94097222222222221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48">
        <v>3250</v>
      </c>
      <c r="H117" s="347">
        <f t="shared" si="33"/>
        <v>58145.454545454544</v>
      </c>
      <c r="I117" s="450"/>
      <c r="J117" s="301">
        <v>3</v>
      </c>
      <c r="K117" s="302">
        <f t="shared" si="30"/>
        <v>2999.9999998925396</v>
      </c>
      <c r="L117" s="303">
        <f t="shared" si="31"/>
        <v>999.99999996417989</v>
      </c>
      <c r="M117" s="304">
        <v>46116.954861111109</v>
      </c>
      <c r="N117" s="304">
        <v>46117</v>
      </c>
      <c r="O117" s="302">
        <v>20</v>
      </c>
      <c r="P117" s="443">
        <f t="shared" si="32"/>
        <v>65.000000002328306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48"/>
      <c r="H118" s="347">
        <f t="shared" si="33"/>
        <v>0</v>
      </c>
      <c r="I118" s="450"/>
      <c r="J118" s="301"/>
      <c r="K118" s="302"/>
      <c r="L118" s="303"/>
      <c r="M118" s="304"/>
      <c r="N118" s="304"/>
      <c r="O118" s="296"/>
      <c r="P118" s="443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48"/>
      <c r="H119" s="347">
        <f t="shared" si="33"/>
        <v>0</v>
      </c>
      <c r="I119" s="450"/>
      <c r="J119" s="301"/>
      <c r="K119" s="302"/>
      <c r="L119" s="303"/>
      <c r="M119" s="304"/>
      <c r="N119" s="304"/>
      <c r="O119" s="296"/>
      <c r="P119" s="443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48"/>
      <c r="H120" s="347"/>
      <c r="I120" s="450"/>
      <c r="J120" s="301"/>
      <c r="K120" s="302"/>
      <c r="L120" s="303"/>
      <c r="M120" s="304"/>
      <c r="N120" s="304"/>
      <c r="O120" s="296"/>
      <c r="P120" s="443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48"/>
      <c r="H121" s="347"/>
      <c r="I121" s="450"/>
      <c r="J121" s="301"/>
      <c r="K121" s="302"/>
      <c r="L121" s="303"/>
      <c r="M121" s="304"/>
      <c r="N121" s="304"/>
      <c r="O121" s="296"/>
      <c r="P121" s="443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48"/>
      <c r="H122" s="347"/>
      <c r="I122" s="450"/>
      <c r="J122" s="301"/>
      <c r="K122" s="302"/>
      <c r="L122" s="303"/>
      <c r="M122" s="304"/>
      <c r="N122" s="304"/>
      <c r="O122" s="296"/>
      <c r="P122" s="443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48"/>
      <c r="H123" s="347">
        <f t="shared" si="33"/>
        <v>0</v>
      </c>
      <c r="I123" s="450"/>
      <c r="J123" s="301"/>
      <c r="K123" s="302"/>
      <c r="L123" s="303"/>
      <c r="M123" s="304"/>
      <c r="N123" s="304"/>
      <c r="O123" s="296"/>
      <c r="P123" s="443"/>
      <c r="Q123" s="305"/>
      <c r="R123" s="305"/>
    </row>
    <row r="124" spans="1:18" ht="17.399999999999999" customHeight="1">
      <c r="A124" s="637"/>
      <c r="B124" s="308">
        <v>0</v>
      </c>
      <c r="C124" s="6" t="s">
        <v>428</v>
      </c>
      <c r="D124" s="638" t="s">
        <v>414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2919.0263157715658</v>
      </c>
      <c r="L124" s="314">
        <f>AVERAGE(L112:L123)</f>
        <v>855.50657894139886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95" activePane="bottomLeft" state="frozen"/>
      <selection activeCell="A70" sqref="A70:A82"/>
      <selection pane="bottomLeft" activeCell="A70" sqref="A70:A8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233</v>
      </c>
      <c r="B1" s="28"/>
      <c r="C1" s="28"/>
      <c r="D1" s="471" t="s">
        <v>234</v>
      </c>
      <c r="E1" s="29">
        <f>SUM(G5:G173)</f>
        <v>141676</v>
      </c>
      <c r="F1" s="455" t="s">
        <v>3</v>
      </c>
      <c r="G1" s="30">
        <f>SUM(H5:H173)</f>
        <v>5677038.5372762904</v>
      </c>
      <c r="H1" s="470" t="s">
        <v>52</v>
      </c>
      <c r="I1" s="31">
        <f>M17+M30+M43+M56+M69+M82+M95+M108+M121+M134+M147+M160+M173</f>
        <v>196.66666666666669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494</v>
      </c>
      <c r="Q1" s="649"/>
      <c r="R1" s="649"/>
      <c r="S1" s="649"/>
      <c r="T1" s="649" t="s">
        <v>235</v>
      </c>
      <c r="U1" s="649"/>
      <c r="V1" s="649"/>
      <c r="W1" s="649"/>
      <c r="X1" s="649"/>
      <c r="Y1" s="649"/>
      <c r="Z1" s="32" t="s">
        <v>236</v>
      </c>
      <c r="AA1" s="32" t="s">
        <v>264</v>
      </c>
      <c r="AB1" s="665" t="s">
        <v>258</v>
      </c>
      <c r="AC1" s="666"/>
      <c r="AD1" s="32" t="s">
        <v>236</v>
      </c>
      <c r="AE1" s="32" t="s">
        <v>237</v>
      </c>
      <c r="AF1" s="649" t="s">
        <v>238</v>
      </c>
      <c r="AG1" s="650"/>
      <c r="AH1" s="650"/>
    </row>
    <row r="2" spans="1:34" ht="26.25" customHeight="1">
      <c r="A2" s="657" t="s">
        <v>506</v>
      </c>
      <c r="B2" s="657"/>
      <c r="C2" s="471"/>
      <c r="D2" s="471" t="s">
        <v>28</v>
      </c>
      <c r="E2" s="34">
        <f>AVERAGE(O17,O30,O43,O56,O69,O82,O95,O108,O121,O134,O147,O160,O173)</f>
        <v>127.94414546506071</v>
      </c>
      <c r="F2" s="35" t="s">
        <v>55</v>
      </c>
      <c r="G2" s="36">
        <f>G1/E1</f>
        <v>40.070573260653113</v>
      </c>
      <c r="H2" s="470" t="s">
        <v>56</v>
      </c>
      <c r="I2" s="470">
        <f>COUNT(I5:I173)</f>
        <v>4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2</v>
      </c>
      <c r="AE2" s="38">
        <f>AE17+AE30+AE43+AE56+AE69+AE82+AE95+AE108+AE121+AE134+AE147+AE160+AE173</f>
        <v>4</v>
      </c>
      <c r="AF2" s="650"/>
      <c r="AG2" s="650"/>
      <c r="AH2" s="650"/>
    </row>
    <row r="3" spans="1:34" ht="30.6" customHeight="1">
      <c r="A3" s="658" t="s">
        <v>265</v>
      </c>
      <c r="B3" s="658" t="s">
        <v>57</v>
      </c>
      <c r="C3" s="659"/>
      <c r="D3" s="658" t="s">
        <v>260</v>
      </c>
      <c r="E3" s="658"/>
      <c r="F3" s="659" t="s">
        <v>58</v>
      </c>
      <c r="G3" s="674" t="s">
        <v>59</v>
      </c>
      <c r="H3" s="659" t="s">
        <v>60</v>
      </c>
      <c r="I3" s="651" t="s">
        <v>266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267</v>
      </c>
      <c r="O3" s="654" t="s">
        <v>28</v>
      </c>
      <c r="P3" s="652" t="s">
        <v>261</v>
      </c>
      <c r="Q3" s="654" t="s">
        <v>28</v>
      </c>
      <c r="R3" s="655" t="s">
        <v>239</v>
      </c>
      <c r="S3" s="656" t="s">
        <v>240</v>
      </c>
      <c r="T3" s="674" t="s">
        <v>63</v>
      </c>
      <c r="U3" s="674"/>
      <c r="V3" s="675" t="s">
        <v>64</v>
      </c>
      <c r="W3" s="651" t="s">
        <v>262</v>
      </c>
      <c r="X3" s="674" t="s">
        <v>241</v>
      </c>
      <c r="Y3" s="674"/>
      <c r="Z3" s="676" t="s">
        <v>268</v>
      </c>
      <c r="AA3" s="677"/>
      <c r="AB3" s="661" t="s">
        <v>242</v>
      </c>
      <c r="AC3" s="662"/>
      <c r="AD3" s="663" t="s">
        <v>269</v>
      </c>
      <c r="AE3" s="664"/>
      <c r="AF3" s="653" t="s">
        <v>267</v>
      </c>
      <c r="AG3" s="655" t="s">
        <v>239</v>
      </c>
      <c r="AH3" s="656" t="s">
        <v>240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65" t="s">
        <v>65</v>
      </c>
      <c r="U4" s="465" t="s">
        <v>66</v>
      </c>
      <c r="V4" s="674"/>
      <c r="W4" s="651"/>
      <c r="X4" s="455" t="s">
        <v>263</v>
      </c>
      <c r="Y4" s="455" t="s">
        <v>51</v>
      </c>
      <c r="Z4" s="465" t="s">
        <v>243</v>
      </c>
      <c r="AA4" s="465" t="s">
        <v>67</v>
      </c>
      <c r="AB4" s="662"/>
      <c r="AC4" s="662"/>
      <c r="AD4" s="465" t="s">
        <v>68</v>
      </c>
      <c r="AE4" s="39" t="s">
        <v>244</v>
      </c>
      <c r="AF4" s="653"/>
      <c r="AG4" s="655"/>
      <c r="AH4" s="656"/>
    </row>
    <row r="5" spans="1:34" ht="18.75" customHeight="1">
      <c r="A5" s="669" t="s">
        <v>69</v>
      </c>
      <c r="B5" s="40" t="s">
        <v>180</v>
      </c>
      <c r="C5" s="41"/>
      <c r="D5" s="42" t="s">
        <v>70</v>
      </c>
      <c r="E5" s="43"/>
      <c r="F5" s="361">
        <v>37.94</v>
      </c>
      <c r="G5" s="44">
        <v>3545.75</v>
      </c>
      <c r="H5" s="45">
        <f t="shared" ref="H5:H16" si="0">F5*G5</f>
        <v>134525.755</v>
      </c>
      <c r="I5" s="466"/>
      <c r="J5" s="46">
        <v>20</v>
      </c>
      <c r="K5" s="44">
        <v>2400</v>
      </c>
      <c r="L5" s="47">
        <v>120</v>
      </c>
      <c r="M5" s="467">
        <v>20</v>
      </c>
      <c r="N5" s="44">
        <f t="shared" ref="N5:N10" si="1">G5/W5*60</f>
        <v>2287.5806451612907</v>
      </c>
      <c r="O5" s="47">
        <f t="shared" ref="O5:O10" si="2">N5/M5</f>
        <v>114.37903225806454</v>
      </c>
      <c r="P5" s="48">
        <f t="shared" ref="P5:P10" si="3">M5-J5</f>
        <v>0</v>
      </c>
      <c r="Q5" s="49">
        <f t="shared" ref="Q5:Q10" si="4">O5-L5</f>
        <v>-5.6209677419354591</v>
      </c>
      <c r="R5" s="457">
        <f t="shared" ref="R5:R10" si="5">O5/L5</f>
        <v>0.95315860215053783</v>
      </c>
      <c r="S5" s="672">
        <f>R17</f>
        <v>0.93431570794291718</v>
      </c>
      <c r="T5" s="50">
        <v>0.29166666666666669</v>
      </c>
      <c r="U5" s="50">
        <v>0.35625000000000001</v>
      </c>
      <c r="V5" s="455">
        <v>5</v>
      </c>
      <c r="W5" s="466">
        <f>(U5-T5)*24*60</f>
        <v>92.999999999999986</v>
      </c>
      <c r="X5" s="455"/>
      <c r="Y5" s="455"/>
      <c r="Z5" s="51"/>
      <c r="AA5" s="51"/>
      <c r="AB5" s="658"/>
      <c r="AC5" s="658"/>
      <c r="AD5" s="52"/>
      <c r="AE5" s="52"/>
      <c r="AF5" s="48">
        <f t="shared" ref="AF5:AF70" si="6">N5-K5</f>
        <v>-112.4193548387093</v>
      </c>
      <c r="AG5" s="457">
        <f t="shared" ref="AG5:AG70" si="7">N5/K5</f>
        <v>0.95315860215053783</v>
      </c>
      <c r="AH5" s="672">
        <f>AG17</f>
        <v>0.96915150561596419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2169.0500000000002</v>
      </c>
      <c r="H6" s="45">
        <f t="shared" si="0"/>
        <v>67817.80321342306</v>
      </c>
      <c r="I6" s="466"/>
      <c r="J6" s="46">
        <v>18</v>
      </c>
      <c r="K6" s="44">
        <v>2600</v>
      </c>
      <c r="L6" s="47">
        <v>144.44444444444446</v>
      </c>
      <c r="M6" s="467">
        <v>19</v>
      </c>
      <c r="N6" s="44">
        <f t="shared" si="1"/>
        <v>2551.8235294117662</v>
      </c>
      <c r="O6" s="47">
        <f t="shared" si="2"/>
        <v>134.30650154798769</v>
      </c>
      <c r="P6" s="48">
        <f t="shared" si="3"/>
        <v>1</v>
      </c>
      <c r="Q6" s="49">
        <f t="shared" si="4"/>
        <v>-10.137942896456764</v>
      </c>
      <c r="R6" s="457">
        <f t="shared" si="5"/>
        <v>0.92981424148606862</v>
      </c>
      <c r="S6" s="672"/>
      <c r="T6" s="50">
        <v>0.36180555555555555</v>
      </c>
      <c r="U6" s="50">
        <v>0.3972222222222222</v>
      </c>
      <c r="V6" s="455">
        <v>8</v>
      </c>
      <c r="W6" s="466">
        <f t="shared" ref="W6:W17" si="8">(U6-T6)*24*60</f>
        <v>50.999999999999979</v>
      </c>
      <c r="X6" s="53"/>
      <c r="Y6" s="53"/>
      <c r="Z6" s="54"/>
      <c r="AA6" s="54"/>
      <c r="AB6" s="658"/>
      <c r="AC6" s="658"/>
      <c r="AD6" s="453"/>
      <c r="AE6" s="453"/>
      <c r="AF6" s="48">
        <f t="shared" si="6"/>
        <v>-48.176470588233769</v>
      </c>
      <c r="AG6" s="457">
        <f t="shared" si="7"/>
        <v>0.98147058823529465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4416.1600000000008</v>
      </c>
      <c r="H7" s="45">
        <f t="shared" si="0"/>
        <v>167814.08000000002</v>
      </c>
      <c r="I7" s="466"/>
      <c r="J7" s="46">
        <v>19</v>
      </c>
      <c r="K7" s="44">
        <v>2600</v>
      </c>
      <c r="L7" s="47">
        <v>136.84210526315789</v>
      </c>
      <c r="M7" s="467">
        <v>20</v>
      </c>
      <c r="N7" s="44">
        <f t="shared" si="1"/>
        <v>2572.520388349516</v>
      </c>
      <c r="O7" s="47">
        <f t="shared" si="2"/>
        <v>128.62601941747579</v>
      </c>
      <c r="P7" s="48">
        <f t="shared" si="3"/>
        <v>1</v>
      </c>
      <c r="Q7" s="49">
        <f t="shared" si="4"/>
        <v>-8.2160858456821018</v>
      </c>
      <c r="R7" s="457">
        <f t="shared" si="5"/>
        <v>0.93995937266616925</v>
      </c>
      <c r="S7" s="672"/>
      <c r="T7" s="50">
        <v>0.41319444444444442</v>
      </c>
      <c r="U7" s="50">
        <v>0.48472222222222217</v>
      </c>
      <c r="V7" s="455">
        <v>23</v>
      </c>
      <c r="W7" s="466">
        <f t="shared" si="8"/>
        <v>102.99999999999996</v>
      </c>
      <c r="X7" s="53">
        <v>0.40069444444444446</v>
      </c>
      <c r="Y7" s="53">
        <v>0.41041666666666665</v>
      </c>
      <c r="Z7" s="54"/>
      <c r="AA7" s="54"/>
      <c r="AB7" s="658"/>
      <c r="AC7" s="658"/>
      <c r="AD7" s="453"/>
      <c r="AE7" s="453"/>
      <c r="AF7" s="48">
        <f t="shared" si="6"/>
        <v>-27.479611650484003</v>
      </c>
      <c r="AG7" s="457">
        <f t="shared" si="7"/>
        <v>0.98943091859596766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3469.84</v>
      </c>
      <c r="H8" s="45">
        <f t="shared" si="0"/>
        <v>131853.92000000001</v>
      </c>
      <c r="I8" s="466"/>
      <c r="J8" s="46">
        <v>19</v>
      </c>
      <c r="K8" s="44">
        <v>2600</v>
      </c>
      <c r="L8" s="47">
        <v>136.84210526315789</v>
      </c>
      <c r="M8" s="467">
        <v>20</v>
      </c>
      <c r="N8" s="44">
        <f t="shared" si="1"/>
        <v>2570.2518518518509</v>
      </c>
      <c r="O8" s="47">
        <f t="shared" si="2"/>
        <v>128.51259259259254</v>
      </c>
      <c r="P8" s="48">
        <f t="shared" si="3"/>
        <v>1</v>
      </c>
      <c r="Q8" s="49">
        <f t="shared" si="4"/>
        <v>-8.3295126705653502</v>
      </c>
      <c r="R8" s="457">
        <f t="shared" si="5"/>
        <v>0.93913048433048396</v>
      </c>
      <c r="S8" s="672"/>
      <c r="T8" s="50">
        <v>0.52430555555555547</v>
      </c>
      <c r="U8" s="50">
        <v>0.58055555555555549</v>
      </c>
      <c r="V8" s="455">
        <v>5</v>
      </c>
      <c r="W8" s="466">
        <f t="shared" si="8"/>
        <v>81.000000000000028</v>
      </c>
      <c r="X8" s="53"/>
      <c r="Y8" s="53"/>
      <c r="Z8" s="54"/>
      <c r="AA8" s="54"/>
      <c r="AB8" s="658"/>
      <c r="AC8" s="658"/>
      <c r="AD8" s="453"/>
      <c r="AE8" s="453"/>
      <c r="AF8" s="48">
        <f t="shared" si="6"/>
        <v>-29.748148148149085</v>
      </c>
      <c r="AG8" s="457">
        <f t="shared" si="7"/>
        <v>0.98855840455840416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1167.9499999999998</v>
      </c>
      <c r="H9" s="45">
        <f t="shared" si="0"/>
        <v>36517.27865338164</v>
      </c>
      <c r="I9" s="453"/>
      <c r="J9" s="46">
        <v>18</v>
      </c>
      <c r="K9" s="44">
        <v>2600</v>
      </c>
      <c r="L9" s="47">
        <v>144.44444444444446</v>
      </c>
      <c r="M9" s="467">
        <v>19</v>
      </c>
      <c r="N9" s="44">
        <f t="shared" si="1"/>
        <v>2502.7499999999945</v>
      </c>
      <c r="O9" s="47">
        <f t="shared" si="2"/>
        <v>131.72368421052602</v>
      </c>
      <c r="P9" s="48">
        <f t="shared" si="3"/>
        <v>1</v>
      </c>
      <c r="Q9" s="49">
        <f t="shared" si="4"/>
        <v>-12.72076023391844</v>
      </c>
      <c r="R9" s="457">
        <f t="shared" si="5"/>
        <v>0.91193319838056464</v>
      </c>
      <c r="S9" s="672"/>
      <c r="T9" s="50">
        <v>0.58541666666666659</v>
      </c>
      <c r="U9" s="50">
        <v>0.60486111111111107</v>
      </c>
      <c r="V9" s="455">
        <v>7</v>
      </c>
      <c r="W9" s="466">
        <f t="shared" si="8"/>
        <v>28.00000000000006</v>
      </c>
      <c r="X9" s="53"/>
      <c r="Y9" s="53"/>
      <c r="Z9" s="54"/>
      <c r="AA9" s="54"/>
      <c r="AB9" s="658"/>
      <c r="AC9" s="658"/>
      <c r="AD9" s="453">
        <v>1</v>
      </c>
      <c r="AE9" s="453"/>
      <c r="AF9" s="48">
        <f t="shared" si="6"/>
        <v>-97.250000000005457</v>
      </c>
      <c r="AG9" s="457">
        <f t="shared" si="7"/>
        <v>0.96259615384615171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1909.2499999999998</v>
      </c>
      <c r="H10" s="45">
        <f t="shared" si="0"/>
        <v>72436.944999999992</v>
      </c>
      <c r="I10" s="466"/>
      <c r="J10" s="46">
        <v>20</v>
      </c>
      <c r="K10" s="44">
        <v>2400</v>
      </c>
      <c r="L10" s="47">
        <v>120</v>
      </c>
      <c r="M10" s="467">
        <v>20</v>
      </c>
      <c r="N10" s="44">
        <f t="shared" si="1"/>
        <v>2246.1764705882356</v>
      </c>
      <c r="O10" s="47">
        <f t="shared" si="2"/>
        <v>112.30882352941178</v>
      </c>
      <c r="P10" s="48">
        <f t="shared" si="3"/>
        <v>0</v>
      </c>
      <c r="Q10" s="49">
        <f t="shared" si="4"/>
        <v>-7.6911764705882177</v>
      </c>
      <c r="R10" s="457">
        <f t="shared" si="5"/>
        <v>0.93590686274509816</v>
      </c>
      <c r="S10" s="673"/>
      <c r="T10" s="50">
        <v>0.6201388888888888</v>
      </c>
      <c r="U10" s="50">
        <v>0.65555555555555545</v>
      </c>
      <c r="V10" s="455">
        <v>22</v>
      </c>
      <c r="W10" s="466">
        <f t="shared" si="8"/>
        <v>50.999999999999979</v>
      </c>
      <c r="X10" s="53">
        <v>0.60833333333333328</v>
      </c>
      <c r="Y10" s="53">
        <v>0.61736111111111114</v>
      </c>
      <c r="Z10" s="54"/>
      <c r="AA10" s="54"/>
      <c r="AB10" s="658"/>
      <c r="AC10" s="658"/>
      <c r="AD10" s="453"/>
      <c r="AE10" s="453"/>
      <c r="AF10" s="48">
        <f t="shared" si="6"/>
        <v>-153.82352941176441</v>
      </c>
      <c r="AG10" s="457">
        <f t="shared" si="7"/>
        <v>0.93590686274509816</v>
      </c>
      <c r="AH10" s="673"/>
    </row>
    <row r="11" spans="1:34" ht="19.2" customHeight="1">
      <c r="A11" s="671"/>
      <c r="B11" s="40">
        <v>0</v>
      </c>
      <c r="C11" s="41"/>
      <c r="D11" s="42"/>
      <c r="E11" s="43"/>
      <c r="F11" s="361" t="s">
        <v>186</v>
      </c>
      <c r="G11" s="44"/>
      <c r="H11" s="45">
        <f t="shared" si="0"/>
        <v>0</v>
      </c>
      <c r="I11" s="466"/>
      <c r="J11" s="46"/>
      <c r="K11" s="44"/>
      <c r="L11" s="47"/>
      <c r="M11" s="467"/>
      <c r="N11" s="44"/>
      <c r="O11" s="47"/>
      <c r="P11" s="48"/>
      <c r="Q11" s="49"/>
      <c r="R11" s="457"/>
      <c r="S11" s="673"/>
      <c r="T11" s="50"/>
      <c r="U11" s="50"/>
      <c r="V11" s="455"/>
      <c r="W11" s="466"/>
      <c r="X11" s="53"/>
      <c r="Y11" s="53"/>
      <c r="Z11" s="54"/>
      <c r="AA11" s="54"/>
      <c r="AB11" s="658"/>
      <c r="AC11" s="658"/>
      <c r="AD11" s="453"/>
      <c r="AE11" s="453"/>
      <c r="AF11" s="48">
        <f t="shared" si="6"/>
        <v>0</v>
      </c>
      <c r="AG11" s="457" t="e">
        <f t="shared" si="7"/>
        <v>#DIV/0!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66"/>
      <c r="J12" s="46"/>
      <c r="K12" s="44"/>
      <c r="L12" s="47"/>
      <c r="M12" s="467"/>
      <c r="N12" s="44"/>
      <c r="O12" s="47"/>
      <c r="P12" s="48"/>
      <c r="Q12" s="49"/>
      <c r="R12" s="457"/>
      <c r="S12" s="673"/>
      <c r="T12" s="50"/>
      <c r="U12" s="50"/>
      <c r="V12" s="455"/>
      <c r="W12" s="466"/>
      <c r="X12" s="53"/>
      <c r="Y12" s="53"/>
      <c r="Z12" s="54"/>
      <c r="AA12" s="54"/>
      <c r="AB12" s="658"/>
      <c r="AC12" s="658"/>
      <c r="AD12" s="453"/>
      <c r="AE12" s="453"/>
      <c r="AF12" s="48">
        <f t="shared" si="6"/>
        <v>0</v>
      </c>
      <c r="AG12" s="457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68"/>
      <c r="J13" s="46"/>
      <c r="K13" s="44"/>
      <c r="L13" s="47"/>
      <c r="M13" s="62"/>
      <c r="N13" s="44"/>
      <c r="O13" s="47"/>
      <c r="P13" s="48"/>
      <c r="Q13" s="49"/>
      <c r="R13" s="457"/>
      <c r="S13" s="673"/>
      <c r="T13" s="63"/>
      <c r="U13" s="63"/>
      <c r="V13" s="468"/>
      <c r="W13" s="466"/>
      <c r="X13" s="64"/>
      <c r="Y13" s="64"/>
      <c r="Z13" s="54"/>
      <c r="AA13" s="54"/>
      <c r="AB13" s="658"/>
      <c r="AC13" s="658"/>
      <c r="AD13" s="453"/>
      <c r="AE13" s="453"/>
      <c r="AF13" s="48">
        <f t="shared" si="6"/>
        <v>0</v>
      </c>
      <c r="AG13" s="457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68"/>
      <c r="J14" s="46"/>
      <c r="K14" s="44"/>
      <c r="L14" s="47"/>
      <c r="M14" s="62"/>
      <c r="N14" s="44"/>
      <c r="O14" s="47"/>
      <c r="P14" s="48"/>
      <c r="Q14" s="49"/>
      <c r="R14" s="457"/>
      <c r="S14" s="673"/>
      <c r="T14" s="63"/>
      <c r="U14" s="63"/>
      <c r="V14" s="468"/>
      <c r="W14" s="466">
        <f t="shared" si="8"/>
        <v>0</v>
      </c>
      <c r="X14" s="64"/>
      <c r="Y14" s="64"/>
      <c r="Z14" s="54"/>
      <c r="AA14" s="54"/>
      <c r="AB14" s="658"/>
      <c r="AC14" s="658"/>
      <c r="AD14" s="453"/>
      <c r="AE14" s="453"/>
      <c r="AF14" s="65"/>
      <c r="AG14" s="458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68"/>
      <c r="J15" s="46"/>
      <c r="K15" s="44"/>
      <c r="L15" s="47"/>
      <c r="M15" s="62"/>
      <c r="N15" s="68"/>
      <c r="O15" s="47"/>
      <c r="P15" s="48"/>
      <c r="Q15" s="49"/>
      <c r="R15" s="457"/>
      <c r="S15" s="673"/>
      <c r="T15" s="63"/>
      <c r="U15" s="63"/>
      <c r="V15" s="468"/>
      <c r="W15" s="466">
        <f t="shared" si="8"/>
        <v>0</v>
      </c>
      <c r="X15" s="64"/>
      <c r="Y15" s="64"/>
      <c r="Z15" s="54"/>
      <c r="AA15" s="54"/>
      <c r="AB15" s="658"/>
      <c r="AC15" s="658"/>
      <c r="AD15" s="453"/>
      <c r="AE15" s="453"/>
      <c r="AF15" s="65"/>
      <c r="AG15" s="458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68"/>
      <c r="J16" s="46"/>
      <c r="K16" s="44"/>
      <c r="L16" s="47"/>
      <c r="M16" s="62"/>
      <c r="N16" s="68"/>
      <c r="O16" s="47"/>
      <c r="P16" s="48"/>
      <c r="Q16" s="49"/>
      <c r="R16" s="457"/>
      <c r="S16" s="673"/>
      <c r="T16" s="63"/>
      <c r="U16" s="63"/>
      <c r="V16" s="468"/>
      <c r="W16" s="466">
        <f t="shared" si="8"/>
        <v>0</v>
      </c>
      <c r="X16" s="64"/>
      <c r="Y16" s="64"/>
      <c r="Z16" s="54"/>
      <c r="AA16" s="54"/>
      <c r="AB16" s="658"/>
      <c r="AC16" s="658"/>
      <c r="AD16" s="453"/>
      <c r="AE16" s="453"/>
      <c r="AF16" s="65"/>
      <c r="AG16" s="458"/>
      <c r="AH16" s="673"/>
    </row>
    <row r="17" spans="1:34" ht="19.2" customHeight="1">
      <c r="A17" s="671"/>
      <c r="B17" s="69">
        <v>0</v>
      </c>
      <c r="C17" s="69" t="s">
        <v>16</v>
      </c>
      <c r="D17" s="678" t="s">
        <v>245</v>
      </c>
      <c r="E17" s="678"/>
      <c r="F17" s="362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M17:O17" si="9">AVERAGE(M5:M16)</f>
        <v>19.666666666666668</v>
      </c>
      <c r="N17" s="70">
        <f t="shared" si="9"/>
        <v>2455.1838142271095</v>
      </c>
      <c r="O17" s="73">
        <f t="shared" si="9"/>
        <v>124.97610892600973</v>
      </c>
      <c r="P17" s="65">
        <f t="shared" ref="P17:P23" si="10">M17-J17</f>
        <v>0.66666666666666785</v>
      </c>
      <c r="Q17" s="74">
        <f t="shared" ref="Q17:Q23" si="11">O17-L17</f>
        <v>-8.7860743098577387</v>
      </c>
      <c r="R17" s="75">
        <f>O17/L17</f>
        <v>0.93431570794291718</v>
      </c>
      <c r="S17" s="673"/>
      <c r="T17" s="63"/>
      <c r="U17" s="63"/>
      <c r="V17" s="46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1</v>
      </c>
      <c r="AE17" s="79">
        <f>SUM(AE5:AE16)</f>
        <v>0</v>
      </c>
      <c r="AF17" s="65">
        <f t="shared" si="6"/>
        <v>-78.149519106224034</v>
      </c>
      <c r="AG17" s="458">
        <f t="shared" si="7"/>
        <v>0.96915150561596419</v>
      </c>
      <c r="AH17" s="673"/>
    </row>
    <row r="18" spans="1:34" ht="19.2" customHeight="1">
      <c r="A18" s="680" t="s">
        <v>271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3328</v>
      </c>
      <c r="H18" s="84">
        <f t="shared" ref="H18:H29" si="12">F18*G18</f>
        <v>122670.08</v>
      </c>
      <c r="I18" s="453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2124.2553191489355</v>
      </c>
      <c r="O18" s="86">
        <f t="shared" ref="O18:O23" si="14">N18/M18</f>
        <v>118.01418439716309</v>
      </c>
      <c r="P18" s="54">
        <f t="shared" si="10"/>
        <v>1</v>
      </c>
      <c r="Q18" s="88">
        <f t="shared" si="11"/>
        <v>-14.338756779307488</v>
      </c>
      <c r="R18" s="454">
        <f t="shared" ref="R18:R23" si="15">O18/L18</f>
        <v>0.89166272655634338</v>
      </c>
      <c r="S18" s="681">
        <f>R30</f>
        <v>0.88256676938085687</v>
      </c>
      <c r="T18" s="89">
        <v>0.16666666666666666</v>
      </c>
      <c r="U18" s="89">
        <v>0.23194444444444445</v>
      </c>
      <c r="V18" s="453">
        <v>5</v>
      </c>
      <c r="W18" s="90">
        <f>(U18-T18)*24*60</f>
        <v>94.000000000000028</v>
      </c>
      <c r="X18" s="86"/>
      <c r="Y18" s="86"/>
      <c r="Z18" s="54"/>
      <c r="AA18" s="54"/>
      <c r="AB18" s="658"/>
      <c r="AC18" s="658"/>
      <c r="AD18" s="453"/>
      <c r="AE18" s="453"/>
      <c r="AF18" s="91">
        <f t="shared" si="6"/>
        <v>-125.74468085106446</v>
      </c>
      <c r="AG18" s="92">
        <f t="shared" si="7"/>
        <v>0.94411347517730471</v>
      </c>
      <c r="AH18" s="682">
        <f>AG30</f>
        <v>0.91233341422711245</v>
      </c>
    </row>
    <row r="19" spans="1:34" ht="19.2" customHeight="1">
      <c r="A19" s="680"/>
      <c r="B19" s="463" t="s">
        <v>180</v>
      </c>
      <c r="C19" s="462"/>
      <c r="D19" s="82" t="s">
        <v>72</v>
      </c>
      <c r="E19" s="83"/>
      <c r="F19" s="361">
        <v>38.630952380952372</v>
      </c>
      <c r="G19" s="57">
        <v>979.40000000000009</v>
      </c>
      <c r="H19" s="84">
        <f t="shared" si="12"/>
        <v>37835.154761904756</v>
      </c>
      <c r="I19" s="453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2350.5599999999972</v>
      </c>
      <c r="O19" s="95">
        <f t="shared" si="14"/>
        <v>123.71368421052617</v>
      </c>
      <c r="P19" s="54">
        <f t="shared" si="10"/>
        <v>1</v>
      </c>
      <c r="Q19" s="88">
        <f t="shared" si="11"/>
        <v>-20.730760233918289</v>
      </c>
      <c r="R19" s="454">
        <f t="shared" si="15"/>
        <v>0.85647935222671956</v>
      </c>
      <c r="S19" s="681"/>
      <c r="T19" s="89">
        <v>0.23680555555555557</v>
      </c>
      <c r="U19" s="89">
        <v>0.25416666666666671</v>
      </c>
      <c r="V19" s="453">
        <v>7</v>
      </c>
      <c r="W19" s="90">
        <f>(U19-T19)*24*60</f>
        <v>25.000000000000032</v>
      </c>
      <c r="X19" s="96"/>
      <c r="Y19" s="96"/>
      <c r="Z19" s="54"/>
      <c r="AA19" s="54"/>
      <c r="AB19" s="658"/>
      <c r="AC19" s="658"/>
      <c r="AD19" s="453"/>
      <c r="AE19" s="453"/>
      <c r="AF19" s="48">
        <f t="shared" si="6"/>
        <v>-249.44000000000278</v>
      </c>
      <c r="AG19" s="457">
        <f t="shared" si="7"/>
        <v>0.90406153846153736</v>
      </c>
      <c r="AH19" s="683"/>
    </row>
    <row r="20" spans="1:34" ht="19.2" customHeight="1">
      <c r="A20" s="680"/>
      <c r="B20" s="463" t="s">
        <v>182</v>
      </c>
      <c r="C20" s="55"/>
      <c r="D20" s="42" t="s">
        <v>80</v>
      </c>
      <c r="E20" s="83"/>
      <c r="F20" s="361">
        <v>38.39</v>
      </c>
      <c r="G20" s="57">
        <v>2149</v>
      </c>
      <c r="H20" s="84">
        <f t="shared" si="12"/>
        <v>82500.11</v>
      </c>
      <c r="I20" s="453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1432.6666666666665</v>
      </c>
      <c r="O20" s="95">
        <f t="shared" si="14"/>
        <v>84.274509803921561</v>
      </c>
      <c r="P20" s="54">
        <f t="shared" si="10"/>
        <v>1</v>
      </c>
      <c r="Q20" s="88">
        <f t="shared" si="11"/>
        <v>-17.975490196078439</v>
      </c>
      <c r="R20" s="454">
        <f t="shared" si="15"/>
        <v>0.82420058487942849</v>
      </c>
      <c r="S20" s="681"/>
      <c r="T20" s="89">
        <v>0.26944444444444449</v>
      </c>
      <c r="U20" s="89">
        <v>0.33194444444444449</v>
      </c>
      <c r="V20" s="453">
        <v>22</v>
      </c>
      <c r="W20" s="90">
        <f t="shared" ref="W20:W29" si="16">(U20-T20)*24*60</f>
        <v>90</v>
      </c>
      <c r="X20" s="96">
        <v>0.25763888888888892</v>
      </c>
      <c r="Y20" s="96">
        <v>0.26666666666666666</v>
      </c>
      <c r="Z20" s="54"/>
      <c r="AA20" s="54"/>
      <c r="AB20" s="658"/>
      <c r="AC20" s="658"/>
      <c r="AD20" s="453"/>
      <c r="AE20" s="453"/>
      <c r="AF20" s="91">
        <f t="shared" si="6"/>
        <v>-203.33333333333348</v>
      </c>
      <c r="AG20" s="92">
        <f t="shared" si="7"/>
        <v>0.87571312143439273</v>
      </c>
      <c r="AH20" s="683"/>
    </row>
    <row r="21" spans="1:34" ht="19.2" customHeight="1">
      <c r="A21" s="680"/>
      <c r="B21" s="463" t="s">
        <v>183</v>
      </c>
      <c r="C21" s="97"/>
      <c r="D21" s="98" t="s">
        <v>79</v>
      </c>
      <c r="E21" s="43"/>
      <c r="F21" s="361">
        <v>43.14</v>
      </c>
      <c r="G21" s="44">
        <v>1780</v>
      </c>
      <c r="H21" s="84">
        <f t="shared" si="12"/>
        <v>76789.2</v>
      </c>
      <c r="I21" s="455"/>
      <c r="J21" s="93">
        <v>16</v>
      </c>
      <c r="K21" s="44">
        <v>1440</v>
      </c>
      <c r="L21" s="47">
        <v>90</v>
      </c>
      <c r="M21" s="467">
        <v>16</v>
      </c>
      <c r="N21" s="94">
        <f t="shared" si="13"/>
        <v>1387.0129870129877</v>
      </c>
      <c r="O21" s="95">
        <f t="shared" si="14"/>
        <v>86.688311688311728</v>
      </c>
      <c r="P21" s="54">
        <f t="shared" si="10"/>
        <v>0</v>
      </c>
      <c r="Q21" s="88">
        <f t="shared" si="11"/>
        <v>-3.3116883116882718</v>
      </c>
      <c r="R21" s="454">
        <f t="shared" si="15"/>
        <v>0.96320346320346362</v>
      </c>
      <c r="S21" s="681"/>
      <c r="T21" s="89">
        <v>0.33680555555555558</v>
      </c>
      <c r="U21" s="89">
        <v>0.39027777777777778</v>
      </c>
      <c r="V21" s="453">
        <v>7</v>
      </c>
      <c r="W21" s="90">
        <f t="shared" si="16"/>
        <v>76.999999999999972</v>
      </c>
      <c r="X21" s="96"/>
      <c r="Y21" s="96"/>
      <c r="Z21" s="54"/>
      <c r="AA21" s="54"/>
      <c r="AB21" s="658"/>
      <c r="AC21" s="658"/>
      <c r="AD21" s="453"/>
      <c r="AE21" s="453"/>
      <c r="AF21" s="48">
        <f t="shared" si="6"/>
        <v>-52.987012987012349</v>
      </c>
      <c r="AG21" s="457">
        <f t="shared" si="7"/>
        <v>0.96320346320346362</v>
      </c>
      <c r="AH21" s="684"/>
    </row>
    <row r="22" spans="1:34" ht="19.2" customHeight="1">
      <c r="A22" s="680"/>
      <c r="B22" s="463" t="s">
        <v>182</v>
      </c>
      <c r="C22" s="97"/>
      <c r="D22" s="42" t="s">
        <v>198</v>
      </c>
      <c r="E22" s="43"/>
      <c r="F22" s="361">
        <v>38.1</v>
      </c>
      <c r="G22" s="44">
        <v>1194</v>
      </c>
      <c r="H22" s="84">
        <f t="shared" si="12"/>
        <v>45491.4</v>
      </c>
      <c r="I22" s="455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1326.6666666666672</v>
      </c>
      <c r="O22" s="95">
        <f t="shared" si="14"/>
        <v>82.9166666666667</v>
      </c>
      <c r="P22" s="54">
        <f t="shared" si="10"/>
        <v>-1</v>
      </c>
      <c r="Q22" s="88">
        <f t="shared" si="11"/>
        <v>-5.3186274509803582</v>
      </c>
      <c r="R22" s="454">
        <f t="shared" si="15"/>
        <v>0.93972222222222257</v>
      </c>
      <c r="S22" s="681"/>
      <c r="T22" s="89">
        <v>0.39513888888888887</v>
      </c>
      <c r="U22" s="89">
        <v>0.43263888888888885</v>
      </c>
      <c r="V22" s="453">
        <v>7</v>
      </c>
      <c r="W22" s="90">
        <f t="shared" si="16"/>
        <v>53.999999999999972</v>
      </c>
      <c r="X22" s="96"/>
      <c r="Y22" s="96"/>
      <c r="Z22" s="54"/>
      <c r="AA22" s="54"/>
      <c r="AB22" s="658"/>
      <c r="AC22" s="658"/>
      <c r="AD22" s="453">
        <v>1</v>
      </c>
      <c r="AE22" s="453"/>
      <c r="AF22" s="91">
        <f t="shared" si="6"/>
        <v>-173.3333333333328</v>
      </c>
      <c r="AG22" s="92">
        <f t="shared" si="7"/>
        <v>0.88444444444444481</v>
      </c>
      <c r="AH22" s="684"/>
    </row>
    <row r="23" spans="1:34" ht="19.2" customHeight="1">
      <c r="A23" s="680"/>
      <c r="B23" s="463" t="s">
        <v>180</v>
      </c>
      <c r="C23" s="97"/>
      <c r="D23" s="42" t="s">
        <v>72</v>
      </c>
      <c r="E23" s="43"/>
      <c r="F23" s="361">
        <v>38.630952380952372</v>
      </c>
      <c r="G23" s="44">
        <v>3917.6000000000004</v>
      </c>
      <c r="H23" s="84">
        <f t="shared" si="12"/>
        <v>151340.61904761902</v>
      </c>
      <c r="I23" s="455"/>
      <c r="J23" s="93">
        <v>18</v>
      </c>
      <c r="K23" s="44">
        <v>2600</v>
      </c>
      <c r="L23" s="47">
        <v>144.44444444444446</v>
      </c>
      <c r="M23" s="87">
        <v>19</v>
      </c>
      <c r="N23" s="94">
        <f t="shared" si="13"/>
        <v>2350.5599999999995</v>
      </c>
      <c r="O23" s="95">
        <f t="shared" si="14"/>
        <v>123.7136842105263</v>
      </c>
      <c r="P23" s="54">
        <f t="shared" si="10"/>
        <v>1</v>
      </c>
      <c r="Q23" s="88">
        <f t="shared" si="11"/>
        <v>-20.730760233918161</v>
      </c>
      <c r="R23" s="454">
        <f t="shared" si="15"/>
        <v>0.85647935222672045</v>
      </c>
      <c r="S23" s="681"/>
      <c r="T23" s="89">
        <v>0.4729166666666666</v>
      </c>
      <c r="U23" s="89">
        <v>0.54236111111111107</v>
      </c>
      <c r="V23" s="453">
        <v>5</v>
      </c>
      <c r="W23" s="90">
        <f t="shared" si="16"/>
        <v>100.00000000000004</v>
      </c>
      <c r="X23" s="96"/>
      <c r="Y23" s="96"/>
      <c r="Z23" s="54"/>
      <c r="AA23" s="54"/>
      <c r="AB23" s="658"/>
      <c r="AC23" s="658"/>
      <c r="AD23" s="453"/>
      <c r="AE23" s="453"/>
      <c r="AF23" s="48">
        <f t="shared" si="6"/>
        <v>-249.44000000000051</v>
      </c>
      <c r="AG23" s="457">
        <f t="shared" si="7"/>
        <v>0.90406153846153825</v>
      </c>
      <c r="AH23" s="684"/>
    </row>
    <row r="24" spans="1:34" ht="19.2" customHeight="1">
      <c r="A24" s="680"/>
      <c r="B24" s="463">
        <v>0</v>
      </c>
      <c r="C24" s="81"/>
      <c r="D24" s="82"/>
      <c r="E24" s="83"/>
      <c r="F24" s="361" t="s">
        <v>186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54"/>
      <c r="S24" s="681"/>
      <c r="T24" s="89"/>
      <c r="U24" s="89"/>
      <c r="V24" s="453"/>
      <c r="W24" s="90"/>
      <c r="X24" s="453"/>
      <c r="Y24" s="453"/>
      <c r="Z24" s="54"/>
      <c r="AA24" s="54"/>
      <c r="AB24" s="658"/>
      <c r="AC24" s="658"/>
      <c r="AD24" s="453"/>
      <c r="AE24" s="453"/>
      <c r="AF24" s="91">
        <f t="shared" si="6"/>
        <v>0</v>
      </c>
      <c r="AG24" s="92" t="e">
        <f t="shared" si="7"/>
        <v>#DIV/0!</v>
      </c>
      <c r="AH24" s="684"/>
    </row>
    <row r="25" spans="1:34" ht="19.2" customHeight="1">
      <c r="A25" s="680"/>
      <c r="B25" s="463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54"/>
      <c r="S25" s="681"/>
      <c r="T25" s="89"/>
      <c r="U25" s="89"/>
      <c r="V25" s="453"/>
      <c r="W25" s="90">
        <f t="shared" si="16"/>
        <v>0</v>
      </c>
      <c r="X25" s="453"/>
      <c r="Y25" s="453"/>
      <c r="Z25" s="54"/>
      <c r="AA25" s="54"/>
      <c r="AB25" s="658"/>
      <c r="AC25" s="658"/>
      <c r="AD25" s="453"/>
      <c r="AE25" s="453"/>
      <c r="AF25" s="48">
        <f t="shared" si="6"/>
        <v>0</v>
      </c>
      <c r="AG25" s="457" t="e">
        <f t="shared" si="7"/>
        <v>#DIV/0!</v>
      </c>
      <c r="AH25" s="684"/>
    </row>
    <row r="26" spans="1:34" ht="19.2" customHeight="1">
      <c r="A26" s="680"/>
      <c r="B26" s="463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4"/>
      <c r="S26" s="681"/>
      <c r="T26" s="89"/>
      <c r="U26" s="89"/>
      <c r="V26" s="453"/>
      <c r="W26" s="90">
        <f t="shared" si="16"/>
        <v>0</v>
      </c>
      <c r="X26" s="453"/>
      <c r="Y26" s="453"/>
      <c r="Z26" s="54"/>
      <c r="AA26" s="54"/>
      <c r="AB26" s="658"/>
      <c r="AC26" s="658"/>
      <c r="AD26" s="453"/>
      <c r="AE26" s="453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4"/>
      <c r="S27" s="681"/>
      <c r="T27" s="89"/>
      <c r="U27" s="89"/>
      <c r="V27" s="453"/>
      <c r="W27" s="90">
        <f t="shared" si="16"/>
        <v>0</v>
      </c>
      <c r="X27" s="453"/>
      <c r="Y27" s="453"/>
      <c r="Z27" s="54"/>
      <c r="AA27" s="54"/>
      <c r="AB27" s="658"/>
      <c r="AC27" s="658"/>
      <c r="AD27" s="453"/>
      <c r="AE27" s="453"/>
      <c r="AF27" s="48">
        <f t="shared" si="6"/>
        <v>0</v>
      </c>
      <c r="AG27" s="457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4"/>
      <c r="S28" s="681"/>
      <c r="T28" s="89"/>
      <c r="U28" s="89"/>
      <c r="V28" s="453"/>
      <c r="W28" s="90">
        <f t="shared" si="16"/>
        <v>0</v>
      </c>
      <c r="X28" s="453"/>
      <c r="Y28" s="453"/>
      <c r="Z28" s="54"/>
      <c r="AA28" s="54"/>
      <c r="AB28" s="658"/>
      <c r="AC28" s="658"/>
      <c r="AD28" s="453"/>
      <c r="AE28" s="453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4"/>
      <c r="S29" s="681"/>
      <c r="T29" s="89"/>
      <c r="U29" s="89"/>
      <c r="V29" s="453"/>
      <c r="W29" s="90">
        <f t="shared" si="16"/>
        <v>0</v>
      </c>
      <c r="X29" s="453"/>
      <c r="Y29" s="453"/>
      <c r="Z29" s="54"/>
      <c r="AA29" s="54"/>
      <c r="AB29" s="658"/>
      <c r="AC29" s="658"/>
      <c r="AD29" s="453"/>
      <c r="AE29" s="453"/>
      <c r="AF29" s="48">
        <f t="shared" si="6"/>
        <v>0</v>
      </c>
      <c r="AG29" s="457"/>
      <c r="AH29" s="684"/>
    </row>
    <row r="30" spans="1:34" ht="19.2" customHeight="1">
      <c r="A30" s="680"/>
      <c r="B30" s="99">
        <v>0</v>
      </c>
      <c r="C30" s="100" t="s">
        <v>246</v>
      </c>
      <c r="D30" s="679" t="s">
        <v>245</v>
      </c>
      <c r="E30" s="679"/>
      <c r="F30" s="365"/>
      <c r="G30" s="101"/>
      <c r="H30" s="102"/>
      <c r="I30" s="103"/>
      <c r="J30" s="101">
        <v>17</v>
      </c>
      <c r="K30" s="101">
        <v>2004.3333333333333</v>
      </c>
      <c r="L30" s="104">
        <v>116.95452069716777</v>
      </c>
      <c r="M30" s="101">
        <f t="shared" ref="M30:O30" si="17">AVERAGE(M18:M29)</f>
        <v>17.5</v>
      </c>
      <c r="N30" s="101">
        <f t="shared" si="17"/>
        <v>1828.620273249209</v>
      </c>
      <c r="O30" s="104">
        <f t="shared" si="17"/>
        <v>103.22017349618592</v>
      </c>
      <c r="P30" s="54">
        <f t="shared" ref="P30:P34" si="18">M30-J30</f>
        <v>0.5</v>
      </c>
      <c r="Q30" s="88">
        <f t="shared" ref="Q30:Q34" si="19">O30-L30</f>
        <v>-13.734347200981844</v>
      </c>
      <c r="R30" s="105">
        <f t="shared" ref="R30:R34" si="20">O30/L30</f>
        <v>0.88256676938085687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1</v>
      </c>
      <c r="AE30" s="107">
        <f>SUM(AE18:AE29)</f>
        <v>0</v>
      </c>
      <c r="AF30" s="108">
        <f t="shared" si="6"/>
        <v>-175.71306008412421</v>
      </c>
      <c r="AG30" s="109">
        <f t="shared" ref="AG30" si="21">N30/K30</f>
        <v>0.91233341422711245</v>
      </c>
      <c r="AH30" s="685"/>
    </row>
    <row r="31" spans="1:34" ht="19.2" customHeight="1">
      <c r="A31" s="688" t="s">
        <v>272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1957</v>
      </c>
      <c r="H31" s="113">
        <f t="shared" ref="H31:H40" si="22">F31*G31</f>
        <v>69140.81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1893.8709677419363</v>
      </c>
      <c r="O31" s="116">
        <f t="shared" ref="O31:O34" si="24">N31/M31</f>
        <v>157.82258064516137</v>
      </c>
      <c r="P31" s="117">
        <f t="shared" si="18"/>
        <v>0</v>
      </c>
      <c r="Q31" s="118">
        <f t="shared" si="19"/>
        <v>-18.677419354838634</v>
      </c>
      <c r="R31" s="456">
        <f t="shared" si="20"/>
        <v>0.89417892716805303</v>
      </c>
      <c r="S31" s="690">
        <f>R43</f>
        <v>0.85985955838846106</v>
      </c>
      <c r="T31" s="119">
        <v>0.16666666666666666</v>
      </c>
      <c r="U31" s="119">
        <v>0.2097222222222222</v>
      </c>
      <c r="V31" s="52">
        <v>5</v>
      </c>
      <c r="W31" s="120">
        <f t="shared" ref="W31:W42" si="25">(U31-T31)*24*60</f>
        <v>61.999999999999979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-224.12903225806372</v>
      </c>
      <c r="AG31" s="121">
        <f t="shared" si="7"/>
        <v>0.89417892716805303</v>
      </c>
      <c r="AH31" s="686">
        <f>AG43</f>
        <v>0.86425098566497149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1894</v>
      </c>
      <c r="H32" s="84">
        <f t="shared" si="22"/>
        <v>64831.619999999995</v>
      </c>
      <c r="I32" s="466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1894.0000000000005</v>
      </c>
      <c r="O32" s="47">
        <f t="shared" si="24"/>
        <v>157.83333333333337</v>
      </c>
      <c r="P32" s="48">
        <f t="shared" si="18"/>
        <v>0</v>
      </c>
      <c r="Q32" s="49">
        <f t="shared" si="19"/>
        <v>-18.666666666666629</v>
      </c>
      <c r="R32" s="457">
        <f t="shared" si="20"/>
        <v>0.89423984891407005</v>
      </c>
      <c r="S32" s="681"/>
      <c r="T32" s="89">
        <v>0.21527777777777776</v>
      </c>
      <c r="U32" s="89">
        <v>0.25694444444444442</v>
      </c>
      <c r="V32" s="453">
        <v>8</v>
      </c>
      <c r="W32" s="90">
        <f t="shared" si="25"/>
        <v>59.999999999999986</v>
      </c>
      <c r="X32" s="124"/>
      <c r="Y32" s="124"/>
      <c r="Z32" s="125"/>
      <c r="AA32" s="125"/>
      <c r="AB32" s="658"/>
      <c r="AC32" s="658"/>
      <c r="AD32" s="453"/>
      <c r="AE32" s="453">
        <v>1</v>
      </c>
      <c r="AF32" s="48">
        <f t="shared" si="6"/>
        <v>-223.99999999999955</v>
      </c>
      <c r="AG32" s="457">
        <f t="shared" si="7"/>
        <v>0.89423984891407005</v>
      </c>
      <c r="AH32" s="672"/>
    </row>
    <row r="33" spans="1:34" ht="19.2" customHeight="1">
      <c r="A33" s="689"/>
      <c r="B33" s="122" t="s">
        <v>184</v>
      </c>
      <c r="C33" s="453"/>
      <c r="D33" s="82" t="s">
        <v>82</v>
      </c>
      <c r="E33" s="83"/>
      <c r="F33" s="361">
        <v>36.409999999999997</v>
      </c>
      <c r="G33" s="57">
        <v>2680.2000000000003</v>
      </c>
      <c r="H33" s="84">
        <f t="shared" si="22"/>
        <v>97586.081999999995</v>
      </c>
      <c r="I33" s="453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2233.5000000000005</v>
      </c>
      <c r="O33" s="47">
        <f t="shared" si="24"/>
        <v>223.35000000000005</v>
      </c>
      <c r="P33" s="48">
        <f t="shared" si="18"/>
        <v>0</v>
      </c>
      <c r="Q33" s="49">
        <f t="shared" si="19"/>
        <v>-53.549999999999926</v>
      </c>
      <c r="R33" s="457">
        <f t="shared" si="20"/>
        <v>0.80660888407367304</v>
      </c>
      <c r="S33" s="681"/>
      <c r="T33" s="89">
        <v>0.27152777777777776</v>
      </c>
      <c r="U33" s="89">
        <v>0.32152777777777775</v>
      </c>
      <c r="V33" s="453">
        <v>21</v>
      </c>
      <c r="W33" s="90">
        <f t="shared" si="25"/>
        <v>71.999999999999986</v>
      </c>
      <c r="X33" s="124">
        <v>0.26041666666666669</v>
      </c>
      <c r="Y33" s="124">
        <v>0.26874999999999999</v>
      </c>
      <c r="Z33" s="125"/>
      <c r="AA33" s="125"/>
      <c r="AB33" s="658"/>
      <c r="AC33" s="658"/>
      <c r="AD33" s="453"/>
      <c r="AE33" s="453"/>
      <c r="AF33" s="48">
        <f t="shared" si="6"/>
        <v>-535.49999999999955</v>
      </c>
      <c r="AG33" s="126">
        <f t="shared" si="7"/>
        <v>0.80660888407367293</v>
      </c>
      <c r="AH33" s="672"/>
    </row>
    <row r="34" spans="1:34" ht="19.2" customHeight="1">
      <c r="A34" s="689"/>
      <c r="B34" s="122" t="s">
        <v>182</v>
      </c>
      <c r="C34" s="127"/>
      <c r="D34" s="82" t="s">
        <v>503</v>
      </c>
      <c r="E34" s="83"/>
      <c r="F34" s="361">
        <v>47.6</v>
      </c>
      <c r="G34" s="57">
        <v>5560</v>
      </c>
      <c r="H34" s="84">
        <f t="shared" si="22"/>
        <v>264656</v>
      </c>
      <c r="I34" s="453"/>
      <c r="J34" s="46">
        <v>15</v>
      </c>
      <c r="K34" s="44">
        <v>1500</v>
      </c>
      <c r="L34" s="47">
        <v>100</v>
      </c>
      <c r="M34" s="46">
        <v>15</v>
      </c>
      <c r="N34" s="44">
        <f t="shared" si="23"/>
        <v>1329.083665338645</v>
      </c>
      <c r="O34" s="47">
        <f t="shared" si="24"/>
        <v>88.605577689243006</v>
      </c>
      <c r="P34" s="48">
        <f t="shared" si="18"/>
        <v>0</v>
      </c>
      <c r="Q34" s="49">
        <f t="shared" si="19"/>
        <v>-11.394422310756994</v>
      </c>
      <c r="R34" s="457">
        <f t="shared" si="20"/>
        <v>0.88605577689243009</v>
      </c>
      <c r="S34" s="681"/>
      <c r="T34" s="89">
        <v>0.36111111111111105</v>
      </c>
      <c r="U34" s="89">
        <v>0.53541666666666665</v>
      </c>
      <c r="V34" s="453">
        <v>5</v>
      </c>
      <c r="W34" s="90">
        <f t="shared" si="25"/>
        <v>251.00000000000006</v>
      </c>
      <c r="X34" s="124"/>
      <c r="Y34" s="124"/>
      <c r="Z34" s="125"/>
      <c r="AA34" s="125"/>
      <c r="AB34" s="658"/>
      <c r="AC34" s="658"/>
      <c r="AD34" s="453"/>
      <c r="AE34" s="453"/>
      <c r="AF34" s="48">
        <f t="shared" si="6"/>
        <v>-170.91633466135499</v>
      </c>
      <c r="AG34" s="126">
        <f t="shared" si="7"/>
        <v>0.88605577689242998</v>
      </c>
      <c r="AH34" s="672"/>
    </row>
    <row r="35" spans="1:34" ht="19.2" customHeight="1">
      <c r="A35" s="689"/>
      <c r="B35" s="122">
        <v>0</v>
      </c>
      <c r="C35" s="41"/>
      <c r="D35" s="42"/>
      <c r="E35" s="43"/>
      <c r="F35" s="361" t="s">
        <v>186</v>
      </c>
      <c r="G35" s="128"/>
      <c r="H35" s="84">
        <f t="shared" si="22"/>
        <v>0</v>
      </c>
      <c r="I35" s="455"/>
      <c r="J35" s="46"/>
      <c r="K35" s="44"/>
      <c r="L35" s="47"/>
      <c r="M35" s="46"/>
      <c r="N35" s="44"/>
      <c r="O35" s="47"/>
      <c r="P35" s="48"/>
      <c r="Q35" s="49"/>
      <c r="R35" s="457"/>
      <c r="S35" s="681"/>
      <c r="T35" s="89"/>
      <c r="U35" s="89"/>
      <c r="V35" s="453"/>
      <c r="W35" s="90"/>
      <c r="X35" s="124"/>
      <c r="Y35" s="124"/>
      <c r="Z35" s="125"/>
      <c r="AA35" s="125"/>
      <c r="AB35" s="658"/>
      <c r="AC35" s="658"/>
      <c r="AD35" s="453"/>
      <c r="AE35" s="453"/>
      <c r="AF35" s="117">
        <f t="shared" si="6"/>
        <v>0</v>
      </c>
      <c r="AG35" s="121" t="e">
        <f t="shared" si="7"/>
        <v>#DIV/0!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453"/>
      <c r="J36" s="46"/>
      <c r="K36" s="44"/>
      <c r="L36" s="47"/>
      <c r="M36" s="46"/>
      <c r="N36" s="44"/>
      <c r="O36" s="47"/>
      <c r="P36" s="48"/>
      <c r="Q36" s="49"/>
      <c r="R36" s="457"/>
      <c r="S36" s="681"/>
      <c r="T36" s="89"/>
      <c r="U36" s="89"/>
      <c r="V36" s="453"/>
      <c r="W36" s="90">
        <f t="shared" si="25"/>
        <v>0</v>
      </c>
      <c r="X36" s="124"/>
      <c r="Y36" s="124"/>
      <c r="Z36" s="125"/>
      <c r="AA36" s="125"/>
      <c r="AB36" s="658"/>
      <c r="AC36" s="658"/>
      <c r="AD36" s="453"/>
      <c r="AE36" s="453"/>
      <c r="AF36" s="48">
        <f t="shared" si="6"/>
        <v>0</v>
      </c>
      <c r="AG36" s="457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453"/>
      <c r="J37" s="46"/>
      <c r="K37" s="44"/>
      <c r="L37" s="47"/>
      <c r="M37" s="46"/>
      <c r="N37" s="44"/>
      <c r="O37" s="47"/>
      <c r="P37" s="48"/>
      <c r="Q37" s="49"/>
      <c r="R37" s="457"/>
      <c r="S37" s="681"/>
      <c r="T37" s="89"/>
      <c r="U37" s="89"/>
      <c r="V37" s="453"/>
      <c r="W37" s="90">
        <f t="shared" si="25"/>
        <v>0</v>
      </c>
      <c r="X37" s="124"/>
      <c r="Y37" s="124"/>
      <c r="Z37" s="125"/>
      <c r="AA37" s="125"/>
      <c r="AB37" s="658"/>
      <c r="AC37" s="658"/>
      <c r="AD37" s="453"/>
      <c r="AE37" s="453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453"/>
      <c r="J38" s="46"/>
      <c r="K38" s="44"/>
      <c r="L38" s="47"/>
      <c r="M38" s="464"/>
      <c r="N38" s="44"/>
      <c r="O38" s="47"/>
      <c r="P38" s="48"/>
      <c r="Q38" s="49"/>
      <c r="R38" s="457"/>
      <c r="S38" s="681"/>
      <c r="T38" s="89"/>
      <c r="U38" s="89"/>
      <c r="V38" s="453"/>
      <c r="W38" s="90">
        <f t="shared" si="25"/>
        <v>0</v>
      </c>
      <c r="X38" s="124"/>
      <c r="Y38" s="124"/>
      <c r="Z38" s="125"/>
      <c r="AA38" s="125"/>
      <c r="AB38" s="658"/>
      <c r="AC38" s="658"/>
      <c r="AD38" s="453"/>
      <c r="AE38" s="453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453"/>
      <c r="J39" s="46"/>
      <c r="K39" s="44"/>
      <c r="L39" s="47"/>
      <c r="M39" s="464"/>
      <c r="N39" s="44"/>
      <c r="O39" s="47"/>
      <c r="P39" s="48"/>
      <c r="Q39" s="49"/>
      <c r="R39" s="457"/>
      <c r="S39" s="681"/>
      <c r="T39" s="89"/>
      <c r="U39" s="89"/>
      <c r="V39" s="453"/>
      <c r="W39" s="90">
        <f t="shared" si="25"/>
        <v>0</v>
      </c>
      <c r="X39" s="124"/>
      <c r="Y39" s="124"/>
      <c r="Z39" s="125"/>
      <c r="AA39" s="125"/>
      <c r="AB39" s="658"/>
      <c r="AC39" s="658"/>
      <c r="AD39" s="453"/>
      <c r="AE39" s="453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55"/>
      <c r="J40" s="132"/>
      <c r="K40" s="133"/>
      <c r="L40" s="134"/>
      <c r="M40" s="467"/>
      <c r="N40" s="44"/>
      <c r="O40" s="47"/>
      <c r="P40" s="48"/>
      <c r="Q40" s="49"/>
      <c r="R40" s="457"/>
      <c r="S40" s="681"/>
      <c r="T40" s="89"/>
      <c r="U40" s="89"/>
      <c r="V40" s="453"/>
      <c r="W40" s="90">
        <f t="shared" si="25"/>
        <v>0</v>
      </c>
      <c r="X40" s="124"/>
      <c r="Y40" s="124"/>
      <c r="Z40" s="125"/>
      <c r="AA40" s="125"/>
      <c r="AB40" s="658"/>
      <c r="AC40" s="658"/>
      <c r="AD40" s="453"/>
      <c r="AE40" s="453"/>
      <c r="AF40" s="48">
        <f t="shared" si="6"/>
        <v>0</v>
      </c>
      <c r="AG40" s="457" t="e">
        <f t="shared" si="7"/>
        <v>#DIV/0!</v>
      </c>
      <c r="AH40" s="673"/>
    </row>
    <row r="41" spans="1:34" ht="19.2" customHeight="1">
      <c r="A41" s="689"/>
      <c r="B41" s="453">
        <v>0</v>
      </c>
      <c r="C41" s="55"/>
      <c r="D41" s="82"/>
      <c r="E41" s="83"/>
      <c r="F41" s="361" t="s">
        <v>186</v>
      </c>
      <c r="G41" s="57"/>
      <c r="H41" s="84"/>
      <c r="I41" s="453"/>
      <c r="J41" s="87"/>
      <c r="K41" s="57"/>
      <c r="L41" s="86"/>
      <c r="M41" s="464"/>
      <c r="N41" s="57"/>
      <c r="O41" s="86"/>
      <c r="P41" s="54"/>
      <c r="Q41" s="88"/>
      <c r="R41" s="454"/>
      <c r="S41" s="681"/>
      <c r="T41" s="89"/>
      <c r="U41" s="89"/>
      <c r="V41" s="453"/>
      <c r="W41" s="90">
        <f t="shared" si="25"/>
        <v>0</v>
      </c>
      <c r="X41" s="124"/>
      <c r="Y41" s="124"/>
      <c r="Z41" s="125"/>
      <c r="AA41" s="125"/>
      <c r="AB41" s="658"/>
      <c r="AC41" s="658"/>
      <c r="AD41" s="453"/>
      <c r="AE41" s="453"/>
      <c r="AF41" s="48"/>
      <c r="AG41" s="130"/>
      <c r="AH41" s="673"/>
    </row>
    <row r="42" spans="1:34" ht="19.2" customHeight="1">
      <c r="A42" s="689"/>
      <c r="B42" s="453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453"/>
      <c r="J42" s="87"/>
      <c r="K42" s="57"/>
      <c r="L42" s="86"/>
      <c r="M42" s="464"/>
      <c r="N42" s="57"/>
      <c r="O42" s="86"/>
      <c r="P42" s="54"/>
      <c r="Q42" s="88"/>
      <c r="R42" s="454"/>
      <c r="S42" s="681"/>
      <c r="T42" s="89"/>
      <c r="U42" s="89"/>
      <c r="V42" s="453"/>
      <c r="W42" s="90">
        <f t="shared" si="25"/>
        <v>0</v>
      </c>
      <c r="X42" s="124"/>
      <c r="Y42" s="124"/>
      <c r="Z42" s="125"/>
      <c r="AA42" s="125"/>
      <c r="AB42" s="658"/>
      <c r="AC42" s="658"/>
      <c r="AD42" s="453"/>
      <c r="AE42" s="453"/>
      <c r="AF42" s="48"/>
      <c r="AG42" s="130"/>
      <c r="AH42" s="673"/>
    </row>
    <row r="43" spans="1:34" ht="19.2" customHeight="1">
      <c r="A43" s="689"/>
      <c r="B43" s="122">
        <v>0</v>
      </c>
      <c r="C43" s="100" t="s">
        <v>17</v>
      </c>
      <c r="D43" s="687" t="s">
        <v>245</v>
      </c>
      <c r="E43" s="687"/>
      <c r="F43" s="365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M43:O43" si="26">AVERAGE(M31:M42)</f>
        <v>12.25</v>
      </c>
      <c r="N43" s="101">
        <f t="shared" si="26"/>
        <v>1837.6136582701456</v>
      </c>
      <c r="O43" s="104">
        <f t="shared" si="26"/>
        <v>156.90287291693443</v>
      </c>
      <c r="P43" s="54">
        <f>M43-J43</f>
        <v>0</v>
      </c>
      <c r="Q43" s="88">
        <f>N43-K43</f>
        <v>-288.63634172985439</v>
      </c>
      <c r="R43" s="105">
        <f t="shared" ref="R43:R49" si="27">O43/L43</f>
        <v>0.85985955838846106</v>
      </c>
      <c r="S43" s="681"/>
      <c r="T43" s="89"/>
      <c r="U43" s="89"/>
      <c r="V43" s="453"/>
      <c r="W43" s="453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0</v>
      </c>
      <c r="AE43" s="107">
        <f>SUM(AE31:AE42)</f>
        <v>1</v>
      </c>
      <c r="AF43" s="48">
        <f t="shared" ref="AF43:AF54" si="28">N43-K43</f>
        <v>-288.63634172985439</v>
      </c>
      <c r="AG43" s="458">
        <f t="shared" si="7"/>
        <v>0.86425098566497149</v>
      </c>
      <c r="AH43" s="673"/>
    </row>
    <row r="44" spans="1:34" s="148" customFormat="1" ht="19.2" customHeight="1">
      <c r="A44" s="691" t="s">
        <v>84</v>
      </c>
      <c r="B44" s="97" t="s">
        <v>184</v>
      </c>
      <c r="C44" s="136"/>
      <c r="D44" s="42" t="s">
        <v>98</v>
      </c>
      <c r="E44" s="43"/>
      <c r="F44" s="368">
        <v>24.73</v>
      </c>
      <c r="G44" s="137">
        <v>1852</v>
      </c>
      <c r="H44" s="45">
        <f>F44*G44</f>
        <v>45799.96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2178.823529411764</v>
      </c>
      <c r="O44" s="141">
        <f t="shared" ref="O44:O49" si="30">N44/M44</f>
        <v>435.76470588235281</v>
      </c>
      <c r="P44" s="51">
        <f t="shared" ref="P44:P49" si="31">M44-J44</f>
        <v>1</v>
      </c>
      <c r="Q44" s="142">
        <f t="shared" ref="Q44:Q49" si="32">O44-L44</f>
        <v>-64.235294117647186</v>
      </c>
      <c r="R44" s="143">
        <f t="shared" si="27"/>
        <v>0.87152941176470566</v>
      </c>
      <c r="S44" s="672">
        <f>R56</f>
        <v>0.89373958436102274</v>
      </c>
      <c r="T44" s="144">
        <v>0.16666666666666666</v>
      </c>
      <c r="U44" s="144">
        <v>0.20208333333333334</v>
      </c>
      <c r="V44" s="145">
        <v>5</v>
      </c>
      <c r="W44" s="146">
        <f t="shared" ref="W44:W56" si="33">(U44-T44)*24*60</f>
        <v>51.000000000000021</v>
      </c>
      <c r="X44" s="124"/>
      <c r="Y44" s="124"/>
      <c r="Z44" s="125"/>
      <c r="AA44" s="125"/>
      <c r="AB44" s="658"/>
      <c r="AC44" s="658"/>
      <c r="AD44" s="453"/>
      <c r="AE44" s="453"/>
      <c r="AF44" s="147">
        <f t="shared" si="28"/>
        <v>178.82352941176396</v>
      </c>
      <c r="AG44" s="461">
        <f t="shared" si="7"/>
        <v>1.0894117647058821</v>
      </c>
      <c r="AH44" s="694">
        <f>AG56</f>
        <v>1.0265685658555437</v>
      </c>
    </row>
    <row r="45" spans="1:34" s="148" customFormat="1" ht="19.2" customHeight="1">
      <c r="A45" s="692"/>
      <c r="B45" s="97" t="s">
        <v>184</v>
      </c>
      <c r="C45" s="136"/>
      <c r="D45" s="42" t="s">
        <v>99</v>
      </c>
      <c r="E45" s="43"/>
      <c r="F45" s="368">
        <v>24.73</v>
      </c>
      <c r="G45" s="137">
        <v>1860</v>
      </c>
      <c r="H45" s="45">
        <f>F45*G45</f>
        <v>45997.8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2105.6603773584898</v>
      </c>
      <c r="O45" s="141">
        <f t="shared" si="30"/>
        <v>421.13207547169793</v>
      </c>
      <c r="P45" s="51">
        <f t="shared" si="31"/>
        <v>1</v>
      </c>
      <c r="Q45" s="142">
        <f t="shared" si="32"/>
        <v>-78.867924528302069</v>
      </c>
      <c r="R45" s="143">
        <f t="shared" si="27"/>
        <v>0.84226415094339591</v>
      </c>
      <c r="S45" s="672"/>
      <c r="T45" s="144">
        <v>0.20555555555555555</v>
      </c>
      <c r="U45" s="144">
        <v>0.24236111111111111</v>
      </c>
      <c r="V45" s="145">
        <v>5</v>
      </c>
      <c r="W45" s="146">
        <f t="shared" si="33"/>
        <v>53.000000000000014</v>
      </c>
      <c r="X45" s="124"/>
      <c r="Y45" s="124"/>
      <c r="Z45" s="125"/>
      <c r="AA45" s="125"/>
      <c r="AB45" s="658"/>
      <c r="AC45" s="658"/>
      <c r="AD45" s="453"/>
      <c r="AE45" s="453"/>
      <c r="AF45" s="147">
        <f t="shared" si="28"/>
        <v>105.66037735848977</v>
      </c>
      <c r="AG45" s="461">
        <f t="shared" si="7"/>
        <v>1.0528301886792448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199</v>
      </c>
      <c r="E46" s="43"/>
      <c r="F46" s="368">
        <v>21.92</v>
      </c>
      <c r="G46" s="137">
        <v>803</v>
      </c>
      <c r="H46" s="45">
        <f t="shared" ref="H46:H50" si="34">F46*G46</f>
        <v>17601.760000000002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2190.0000000000036</v>
      </c>
      <c r="O46" s="141">
        <f t="shared" si="30"/>
        <v>438.00000000000074</v>
      </c>
      <c r="P46" s="51">
        <f t="shared" si="31"/>
        <v>1</v>
      </c>
      <c r="Q46" s="142">
        <f t="shared" si="32"/>
        <v>-61.999999999999261</v>
      </c>
      <c r="R46" s="143">
        <f t="shared" si="27"/>
        <v>0.87600000000000144</v>
      </c>
      <c r="S46" s="672"/>
      <c r="T46" s="144">
        <v>0.24583333333333332</v>
      </c>
      <c r="U46" s="144">
        <v>0.26111111111111107</v>
      </c>
      <c r="V46" s="145">
        <v>5</v>
      </c>
      <c r="W46" s="146">
        <f t="shared" si="33"/>
        <v>21.999999999999961</v>
      </c>
      <c r="X46" s="124"/>
      <c r="Y46" s="124"/>
      <c r="Z46" s="125"/>
      <c r="AA46" s="125"/>
      <c r="AB46" s="658"/>
      <c r="AC46" s="658"/>
      <c r="AD46" s="453"/>
      <c r="AE46" s="453"/>
      <c r="AF46" s="147">
        <f t="shared" si="28"/>
        <v>190.00000000000364</v>
      </c>
      <c r="AG46" s="461">
        <f t="shared" si="7"/>
        <v>1.0950000000000017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86</v>
      </c>
      <c r="E47" s="151"/>
      <c r="F47" s="368">
        <v>31.43</v>
      </c>
      <c r="G47" s="140">
        <v>1959</v>
      </c>
      <c r="H47" s="45">
        <f t="shared" si="34"/>
        <v>61571.37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1399.2857142857138</v>
      </c>
      <c r="O47" s="141">
        <f t="shared" si="30"/>
        <v>199.89795918367341</v>
      </c>
      <c r="P47" s="51">
        <f t="shared" si="31"/>
        <v>0</v>
      </c>
      <c r="Q47" s="142">
        <f t="shared" si="32"/>
        <v>-14.38775510204087</v>
      </c>
      <c r="R47" s="143">
        <f t="shared" si="27"/>
        <v>0.93285714285714261</v>
      </c>
      <c r="S47" s="672"/>
      <c r="T47" s="144">
        <v>0.27847222222222218</v>
      </c>
      <c r="U47" s="144">
        <v>0.33680555555555552</v>
      </c>
      <c r="V47" s="140">
        <v>25</v>
      </c>
      <c r="W47" s="146">
        <f t="shared" si="33"/>
        <v>84.000000000000028</v>
      </c>
      <c r="X47" s="124">
        <v>0.26458333333333334</v>
      </c>
      <c r="Y47" s="124">
        <v>0.27569444444444446</v>
      </c>
      <c r="Z47" s="125"/>
      <c r="AA47" s="125"/>
      <c r="AB47" s="658"/>
      <c r="AC47" s="658"/>
      <c r="AD47" s="453"/>
      <c r="AE47" s="453"/>
      <c r="AF47" s="147">
        <f t="shared" si="28"/>
        <v>-100.71428571428623</v>
      </c>
      <c r="AG47" s="461">
        <f t="shared" si="7"/>
        <v>0.9328571428571425</v>
      </c>
      <c r="AH47" s="694"/>
    </row>
    <row r="48" spans="1:34" s="148" customFormat="1" ht="19.2" customHeight="1">
      <c r="A48" s="692"/>
      <c r="B48" s="97" t="s">
        <v>183</v>
      </c>
      <c r="C48" s="136"/>
      <c r="D48" s="153" t="s">
        <v>471</v>
      </c>
      <c r="E48" s="151"/>
      <c r="F48" s="368">
        <v>11.26</v>
      </c>
      <c r="G48" s="140">
        <v>2599</v>
      </c>
      <c r="H48" s="45">
        <f t="shared" si="34"/>
        <v>29264.739999999998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1457.3831775700933</v>
      </c>
      <c r="O48" s="141">
        <f t="shared" si="30"/>
        <v>242.89719626168221</v>
      </c>
      <c r="P48" s="51">
        <f t="shared" si="31"/>
        <v>0</v>
      </c>
      <c r="Q48" s="142">
        <f t="shared" si="32"/>
        <v>-7.1028037383177889</v>
      </c>
      <c r="R48" s="143">
        <f t="shared" si="27"/>
        <v>0.97158878504672885</v>
      </c>
      <c r="S48" s="672"/>
      <c r="T48" s="154">
        <v>0.35763888888888884</v>
      </c>
      <c r="U48" s="154">
        <v>0.43194444444444441</v>
      </c>
      <c r="V48" s="137">
        <v>30</v>
      </c>
      <c r="W48" s="146">
        <f t="shared" si="33"/>
        <v>107.00000000000001</v>
      </c>
      <c r="X48" s="124">
        <v>0.34027777777777773</v>
      </c>
      <c r="Y48" s="124">
        <v>0.35486111111111113</v>
      </c>
      <c r="Z48" s="125"/>
      <c r="AA48" s="125"/>
      <c r="AB48" s="658"/>
      <c r="AC48" s="658"/>
      <c r="AD48" s="453"/>
      <c r="AE48" s="453"/>
      <c r="AF48" s="147">
        <f t="shared" si="28"/>
        <v>-42.616822429906733</v>
      </c>
      <c r="AG48" s="461">
        <f t="shared" si="7"/>
        <v>0.97158878504672885</v>
      </c>
      <c r="AH48" s="694"/>
    </row>
    <row r="49" spans="1:34" s="148" customFormat="1" ht="19.2" customHeight="1">
      <c r="A49" s="692"/>
      <c r="B49" s="97" t="s">
        <v>185</v>
      </c>
      <c r="C49" s="136"/>
      <c r="D49" s="153" t="s">
        <v>85</v>
      </c>
      <c r="E49" s="151"/>
      <c r="F49" s="368">
        <v>10.09</v>
      </c>
      <c r="G49" s="137">
        <v>2533.6800000000003</v>
      </c>
      <c r="H49" s="45">
        <f t="shared" si="34"/>
        <v>25564.831200000004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1447.8171428571438</v>
      </c>
      <c r="O49" s="141">
        <f t="shared" si="30"/>
        <v>241.30285714285731</v>
      </c>
      <c r="P49" s="51">
        <f t="shared" si="31"/>
        <v>0</v>
      </c>
      <c r="Q49" s="142">
        <f t="shared" si="32"/>
        <v>-8.6971428571426941</v>
      </c>
      <c r="R49" s="143">
        <f t="shared" si="27"/>
        <v>0.96521142857142928</v>
      </c>
      <c r="S49" s="672"/>
      <c r="T49" s="154">
        <v>0.45277777777777772</v>
      </c>
      <c r="U49" s="154">
        <v>0.52569444444444435</v>
      </c>
      <c r="V49" s="137">
        <v>30</v>
      </c>
      <c r="W49" s="146">
        <f t="shared" si="33"/>
        <v>104.99999999999994</v>
      </c>
      <c r="X49" s="155">
        <v>0.43541666666666662</v>
      </c>
      <c r="Y49" s="155">
        <v>0.45</v>
      </c>
      <c r="Z49" s="156"/>
      <c r="AA49" s="125"/>
      <c r="AB49" s="658"/>
      <c r="AC49" s="658"/>
      <c r="AD49" s="453"/>
      <c r="AE49" s="453"/>
      <c r="AF49" s="147">
        <f t="shared" si="28"/>
        <v>-52.182857142856165</v>
      </c>
      <c r="AG49" s="461">
        <f t="shared" si="7"/>
        <v>0.96521142857142928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453"/>
      <c r="AE50" s="453"/>
      <c r="AF50" s="147">
        <f t="shared" si="28"/>
        <v>0</v>
      </c>
      <c r="AG50" s="461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453"/>
      <c r="AE51" s="453"/>
      <c r="AF51" s="147">
        <f t="shared" si="28"/>
        <v>0</v>
      </c>
      <c r="AG51" s="461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54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453"/>
      <c r="AE52" s="453"/>
      <c r="AF52" s="147">
        <f t="shared" si="28"/>
        <v>0</v>
      </c>
      <c r="AG52" s="461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54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453"/>
      <c r="AE53" s="453"/>
      <c r="AF53" s="147">
        <f t="shared" si="28"/>
        <v>0</v>
      </c>
      <c r="AG53" s="461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54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453"/>
      <c r="AE54" s="453"/>
      <c r="AF54" s="147">
        <f t="shared" si="28"/>
        <v>0</v>
      </c>
      <c r="AG54" s="461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54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453"/>
      <c r="AE55" s="453"/>
      <c r="AF55" s="147"/>
      <c r="AG55" s="461"/>
      <c r="AH55" s="694"/>
    </row>
    <row r="56" spans="1:34" ht="19.2" customHeight="1">
      <c r="A56" s="693"/>
      <c r="B56" s="160">
        <v>0</v>
      </c>
      <c r="C56" s="100" t="s">
        <v>18</v>
      </c>
      <c r="D56" s="687" t="s">
        <v>245</v>
      </c>
      <c r="E56" s="687"/>
      <c r="F56" s="365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M56:O56" si="35">AVERAGE(M44:M55)</f>
        <v>5.666666666666667</v>
      </c>
      <c r="N56" s="101">
        <f t="shared" si="35"/>
        <v>1796.4949902472015</v>
      </c>
      <c r="O56" s="104">
        <f t="shared" si="35"/>
        <v>329.83246565704411</v>
      </c>
      <c r="P56" s="161">
        <f>M56-J56</f>
        <v>0.5</v>
      </c>
      <c r="Q56" s="118">
        <f>N56-K56</f>
        <v>46.494990247201486</v>
      </c>
      <c r="R56" s="162">
        <f t="shared" ref="R56:R61" si="36">O56/L56</f>
        <v>0.89373958436102274</v>
      </c>
      <c r="S56" s="672"/>
      <c r="T56" s="163"/>
      <c r="U56" s="163"/>
      <c r="V56" s="469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0</v>
      </c>
      <c r="AE56" s="107">
        <f>SUM(AE44:AE55)</f>
        <v>0</v>
      </c>
      <c r="AF56" s="165">
        <f>N56-K56</f>
        <v>46.494990247201486</v>
      </c>
      <c r="AG56" s="454">
        <f>N56/K56</f>
        <v>1.0265685658555437</v>
      </c>
      <c r="AH56" s="694"/>
    </row>
    <row r="57" spans="1:34" ht="19.2" customHeight="1">
      <c r="A57" s="697" t="s">
        <v>273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1614</v>
      </c>
      <c r="H57" s="84">
        <f t="shared" ref="H57:H66" si="37">F57*G57</f>
        <v>45611.64</v>
      </c>
      <c r="I57" s="453"/>
      <c r="J57" s="87">
        <v>7</v>
      </c>
      <c r="K57" s="57">
        <v>1500</v>
      </c>
      <c r="L57" s="86">
        <v>214.28571428571428</v>
      </c>
      <c r="M57" s="464">
        <v>7</v>
      </c>
      <c r="N57" s="57">
        <f t="shared" ref="N57:N61" si="38">G57/W57*60</f>
        <v>1489.8461538461534</v>
      </c>
      <c r="O57" s="86">
        <f t="shared" ref="O57:O61" si="39">N57/M57</f>
        <v>212.83516483516476</v>
      </c>
      <c r="P57" s="168">
        <f t="shared" ref="P57:P61" si="40">M57-J57</f>
        <v>0</v>
      </c>
      <c r="Q57" s="49">
        <f t="shared" ref="Q57:Q61" si="41">O57-L57</f>
        <v>-1.4505494505495165</v>
      </c>
      <c r="R57" s="457">
        <f t="shared" si="36"/>
        <v>0.99323076923076892</v>
      </c>
      <c r="S57" s="672">
        <f>R69</f>
        <v>0.983746398363324</v>
      </c>
      <c r="T57" s="144">
        <v>0.16666666666666666</v>
      </c>
      <c r="U57" s="144">
        <v>0.21180555555555555</v>
      </c>
      <c r="V57" s="455">
        <v>5</v>
      </c>
      <c r="W57" s="466">
        <f>(U57-T57)*24*60</f>
        <v>65.000000000000014</v>
      </c>
      <c r="X57" s="53"/>
      <c r="Y57" s="53"/>
      <c r="Z57" s="54"/>
      <c r="AA57" s="54"/>
      <c r="AB57" s="658"/>
      <c r="AC57" s="658"/>
      <c r="AD57" s="453"/>
      <c r="AE57" s="453"/>
      <c r="AF57" s="48">
        <f t="shared" si="6"/>
        <v>-10.153846153846644</v>
      </c>
      <c r="AG57" s="456">
        <f t="shared" si="7"/>
        <v>0.99323076923076892</v>
      </c>
      <c r="AH57" s="686">
        <f>AG69</f>
        <v>0.98456401213549083</v>
      </c>
    </row>
    <row r="58" spans="1:34" ht="19.2" customHeight="1">
      <c r="A58" s="654"/>
      <c r="B58" s="97" t="s">
        <v>183</v>
      </c>
      <c r="C58" s="462"/>
      <c r="D58" s="42" t="s">
        <v>88</v>
      </c>
      <c r="E58" s="43"/>
      <c r="F58" s="361">
        <v>27.88</v>
      </c>
      <c r="G58" s="137">
        <v>2263</v>
      </c>
      <c r="H58" s="45">
        <f t="shared" si="37"/>
        <v>63092.439999999995</v>
      </c>
      <c r="I58" s="455"/>
      <c r="J58" s="46">
        <v>7</v>
      </c>
      <c r="K58" s="44">
        <v>1500</v>
      </c>
      <c r="L58" s="86">
        <v>214.28571428571428</v>
      </c>
      <c r="M58" s="467">
        <v>7</v>
      </c>
      <c r="N58" s="44">
        <f t="shared" si="38"/>
        <v>1475.8695652173919</v>
      </c>
      <c r="O58" s="47">
        <f t="shared" si="39"/>
        <v>210.83850931677028</v>
      </c>
      <c r="P58" s="168">
        <f t="shared" si="40"/>
        <v>0</v>
      </c>
      <c r="Q58" s="49">
        <f t="shared" si="41"/>
        <v>-3.4472049689439928</v>
      </c>
      <c r="R58" s="457">
        <f t="shared" si="36"/>
        <v>0.98391304347826136</v>
      </c>
      <c r="S58" s="672"/>
      <c r="T58" s="169">
        <v>0.22916666666666666</v>
      </c>
      <c r="U58" s="169">
        <v>0.29305555555555551</v>
      </c>
      <c r="V58" s="455">
        <v>25</v>
      </c>
      <c r="W58" s="466">
        <f>(U58-T58)*24*60</f>
        <v>91.999999999999957</v>
      </c>
      <c r="X58" s="53">
        <v>0.21527777777777779</v>
      </c>
      <c r="Y58" s="53">
        <v>0.22638888888888889</v>
      </c>
      <c r="Z58" s="54"/>
      <c r="AA58" s="54"/>
      <c r="AB58" s="695"/>
      <c r="AC58" s="696"/>
      <c r="AD58" s="453"/>
      <c r="AE58" s="453"/>
      <c r="AF58" s="48">
        <f t="shared" si="6"/>
        <v>-24.130434782608063</v>
      </c>
      <c r="AG58" s="457">
        <f t="shared" si="7"/>
        <v>0.98391304347826125</v>
      </c>
      <c r="AH58" s="672"/>
    </row>
    <row r="59" spans="1:34" ht="19.2" customHeight="1">
      <c r="A59" s="654"/>
      <c r="B59" s="97" t="s">
        <v>183</v>
      </c>
      <c r="C59" s="462"/>
      <c r="D59" s="42" t="s">
        <v>89</v>
      </c>
      <c r="E59" s="43"/>
      <c r="F59" s="361">
        <v>28</v>
      </c>
      <c r="G59" s="137">
        <v>2958</v>
      </c>
      <c r="H59" s="45">
        <f t="shared" si="37"/>
        <v>82824</v>
      </c>
      <c r="I59" s="455"/>
      <c r="J59" s="46">
        <v>7</v>
      </c>
      <c r="K59" s="44">
        <v>1500</v>
      </c>
      <c r="L59" s="86">
        <v>214.28571428571428</v>
      </c>
      <c r="M59" s="467">
        <v>7</v>
      </c>
      <c r="N59" s="44">
        <f t="shared" si="38"/>
        <v>1504.0677966101698</v>
      </c>
      <c r="O59" s="47">
        <f t="shared" si="39"/>
        <v>214.86682808716711</v>
      </c>
      <c r="P59" s="168">
        <f t="shared" si="40"/>
        <v>0</v>
      </c>
      <c r="Q59" s="49">
        <f t="shared" si="41"/>
        <v>0.58111380145282965</v>
      </c>
      <c r="R59" s="457">
        <f t="shared" si="36"/>
        <v>1.0027118644067798</v>
      </c>
      <c r="S59" s="672"/>
      <c r="T59" s="169">
        <v>0.31041666666666662</v>
      </c>
      <c r="U59" s="169">
        <v>0.39236111111111105</v>
      </c>
      <c r="V59" s="145">
        <v>25</v>
      </c>
      <c r="W59" s="466">
        <f t="shared" ref="W59:W69" si="42">(U59-T59)*24*60</f>
        <v>117.99999999999999</v>
      </c>
      <c r="X59" s="53">
        <v>0.29652777777777778</v>
      </c>
      <c r="Y59" s="53">
        <v>0.30763888888888891</v>
      </c>
      <c r="Z59" s="54"/>
      <c r="AA59" s="54"/>
      <c r="AB59" s="658"/>
      <c r="AC59" s="658"/>
      <c r="AD59" s="453"/>
      <c r="AE59" s="453"/>
      <c r="AF59" s="48">
        <f t="shared" si="6"/>
        <v>4.0677966101698075</v>
      </c>
      <c r="AG59" s="457">
        <f t="shared" si="7"/>
        <v>1.0027118644067798</v>
      </c>
      <c r="AH59" s="672"/>
    </row>
    <row r="60" spans="1:34" ht="19.2" customHeight="1">
      <c r="A60" s="654"/>
      <c r="B60" s="97" t="s">
        <v>185</v>
      </c>
      <c r="C60" s="462"/>
      <c r="D60" s="42" t="s">
        <v>85</v>
      </c>
      <c r="E60" s="43"/>
      <c r="F60" s="361">
        <v>10.09</v>
      </c>
      <c r="G60" s="137">
        <v>3284.3999999999996</v>
      </c>
      <c r="H60" s="45">
        <f t="shared" si="37"/>
        <v>33139.595999999998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1449.0000000000007</v>
      </c>
      <c r="O60" s="47">
        <f t="shared" si="39"/>
        <v>241.50000000000011</v>
      </c>
      <c r="P60" s="168">
        <f t="shared" si="40"/>
        <v>0</v>
      </c>
      <c r="Q60" s="49">
        <f t="shared" si="41"/>
        <v>-8.4999999999998863</v>
      </c>
      <c r="R60" s="457">
        <f t="shared" si="36"/>
        <v>0.96600000000000041</v>
      </c>
      <c r="S60" s="672"/>
      <c r="T60" s="169">
        <v>0.41319444444444436</v>
      </c>
      <c r="U60" s="169">
        <v>0.50763888888888875</v>
      </c>
      <c r="V60" s="145">
        <v>30</v>
      </c>
      <c r="W60" s="466">
        <f t="shared" si="42"/>
        <v>135.99999999999991</v>
      </c>
      <c r="X60" s="53">
        <v>0.39583333333333331</v>
      </c>
      <c r="Y60" s="53">
        <v>0.41041666666666665</v>
      </c>
      <c r="Z60" s="54"/>
      <c r="AA60" s="54"/>
      <c r="AB60" s="658"/>
      <c r="AC60" s="658"/>
      <c r="AD60" s="453"/>
      <c r="AE60" s="453"/>
      <c r="AF60" s="48">
        <f t="shared" si="6"/>
        <v>-50.999999999999318</v>
      </c>
      <c r="AG60" s="456">
        <f t="shared" si="7"/>
        <v>0.96600000000000041</v>
      </c>
      <c r="AH60" s="672"/>
    </row>
    <row r="61" spans="1:34" ht="19.2" customHeight="1">
      <c r="A61" s="654"/>
      <c r="B61" s="97" t="s">
        <v>185</v>
      </c>
      <c r="C61" s="462"/>
      <c r="D61" s="42" t="s">
        <v>85</v>
      </c>
      <c r="E61" s="43"/>
      <c r="F61" s="361">
        <v>10.09</v>
      </c>
      <c r="G61" s="137">
        <v>3565.92</v>
      </c>
      <c r="H61" s="45">
        <f t="shared" si="37"/>
        <v>35980.132799999999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1465.4465753424661</v>
      </c>
      <c r="O61" s="47">
        <f t="shared" si="39"/>
        <v>244.241095890411</v>
      </c>
      <c r="P61" s="168">
        <f t="shared" si="40"/>
        <v>0</v>
      </c>
      <c r="Q61" s="49">
        <f t="shared" si="41"/>
        <v>-5.7589041095889968</v>
      </c>
      <c r="R61" s="457">
        <f t="shared" si="36"/>
        <v>0.97696438356164406</v>
      </c>
      <c r="S61" s="672"/>
      <c r="T61" s="169">
        <v>0.52847222222222212</v>
      </c>
      <c r="U61" s="169">
        <v>0.62986111111111098</v>
      </c>
      <c r="V61" s="145">
        <v>30</v>
      </c>
      <c r="W61" s="466">
        <f t="shared" si="42"/>
        <v>145.99999999999997</v>
      </c>
      <c r="X61" s="53">
        <v>0.51111111111111118</v>
      </c>
      <c r="Y61" s="53">
        <v>0.52569444444444446</v>
      </c>
      <c r="Z61" s="54"/>
      <c r="AA61" s="54"/>
      <c r="AB61" s="658"/>
      <c r="AC61" s="658"/>
      <c r="AD61" s="453"/>
      <c r="AE61" s="453"/>
      <c r="AF61" s="48">
        <f t="shared" si="6"/>
        <v>-34.553424657533924</v>
      </c>
      <c r="AG61" s="457">
        <f t="shared" si="7"/>
        <v>0.97696438356164406</v>
      </c>
      <c r="AH61" s="672"/>
    </row>
    <row r="62" spans="1:34" ht="19.2" customHeight="1">
      <c r="A62" s="654"/>
      <c r="B62" s="97">
        <v>0</v>
      </c>
      <c r="C62" s="462"/>
      <c r="D62" s="42"/>
      <c r="E62" s="43"/>
      <c r="F62" s="361" t="s">
        <v>186</v>
      </c>
      <c r="G62" s="137"/>
      <c r="H62" s="45">
        <f t="shared" si="37"/>
        <v>0</v>
      </c>
      <c r="I62" s="455"/>
      <c r="J62" s="170"/>
      <c r="K62" s="61"/>
      <c r="L62" s="86"/>
      <c r="M62" s="62"/>
      <c r="N62" s="44"/>
      <c r="O62" s="47"/>
      <c r="P62" s="168"/>
      <c r="Q62" s="49"/>
      <c r="R62" s="457"/>
      <c r="S62" s="672"/>
      <c r="T62" s="169"/>
      <c r="U62" s="169"/>
      <c r="V62" s="145"/>
      <c r="W62" s="466">
        <f t="shared" si="42"/>
        <v>0</v>
      </c>
      <c r="X62" s="53"/>
      <c r="Y62" s="53"/>
      <c r="Z62" s="54"/>
      <c r="AA62" s="54"/>
      <c r="AB62" s="658"/>
      <c r="AC62" s="658"/>
      <c r="AD62" s="453"/>
      <c r="AE62" s="453"/>
      <c r="AF62" s="48">
        <f t="shared" si="6"/>
        <v>0</v>
      </c>
      <c r="AG62" s="457" t="e">
        <f t="shared" si="7"/>
        <v>#DIV/0!</v>
      </c>
      <c r="AH62" s="672"/>
    </row>
    <row r="63" spans="1:34" ht="19.2" customHeight="1">
      <c r="A63" s="654"/>
      <c r="B63" s="97">
        <v>0</v>
      </c>
      <c r="C63" s="462"/>
      <c r="D63" s="42"/>
      <c r="E63" s="43"/>
      <c r="F63" s="361" t="s">
        <v>186</v>
      </c>
      <c r="G63" s="137"/>
      <c r="H63" s="45">
        <f t="shared" si="37"/>
        <v>0</v>
      </c>
      <c r="I63" s="455"/>
      <c r="J63" s="46"/>
      <c r="K63" s="44"/>
      <c r="L63" s="86"/>
      <c r="M63" s="62"/>
      <c r="N63" s="44"/>
      <c r="O63" s="47"/>
      <c r="P63" s="168"/>
      <c r="Q63" s="49"/>
      <c r="R63" s="457"/>
      <c r="S63" s="672"/>
      <c r="T63" s="169"/>
      <c r="U63" s="169"/>
      <c r="V63" s="145"/>
      <c r="W63" s="466">
        <f t="shared" si="42"/>
        <v>0</v>
      </c>
      <c r="X63" s="53"/>
      <c r="Y63" s="53"/>
      <c r="Z63" s="54"/>
      <c r="AA63" s="54"/>
      <c r="AB63" s="658"/>
      <c r="AC63" s="658"/>
      <c r="AD63" s="453"/>
      <c r="AE63" s="453"/>
      <c r="AF63" s="48">
        <f t="shared" si="6"/>
        <v>0</v>
      </c>
      <c r="AG63" s="456" t="e">
        <f t="shared" si="7"/>
        <v>#DIV/0!</v>
      </c>
      <c r="AH63" s="672"/>
    </row>
    <row r="64" spans="1:34" ht="19.2" customHeight="1">
      <c r="A64" s="654"/>
      <c r="B64" s="97">
        <v>0</v>
      </c>
      <c r="C64" s="462"/>
      <c r="D64" s="42"/>
      <c r="E64" s="43"/>
      <c r="F64" s="361" t="s">
        <v>186</v>
      </c>
      <c r="G64" s="137"/>
      <c r="H64" s="45">
        <f t="shared" si="37"/>
        <v>0</v>
      </c>
      <c r="I64" s="455"/>
      <c r="J64" s="170"/>
      <c r="K64" s="61"/>
      <c r="L64" s="86"/>
      <c r="M64" s="62"/>
      <c r="N64" s="44"/>
      <c r="O64" s="47"/>
      <c r="P64" s="168"/>
      <c r="Q64" s="49"/>
      <c r="R64" s="457"/>
      <c r="S64" s="672"/>
      <c r="T64" s="169"/>
      <c r="U64" s="169"/>
      <c r="V64" s="145"/>
      <c r="W64" s="466">
        <f t="shared" si="42"/>
        <v>0</v>
      </c>
      <c r="X64" s="455"/>
      <c r="Y64" s="455"/>
      <c r="Z64" s="54"/>
      <c r="AA64" s="54"/>
      <c r="AB64" s="658"/>
      <c r="AC64" s="658"/>
      <c r="AD64" s="453"/>
      <c r="AE64" s="453"/>
      <c r="AF64" s="48">
        <f t="shared" si="6"/>
        <v>0</v>
      </c>
      <c r="AG64" s="457" t="e">
        <f t="shared" si="7"/>
        <v>#DIV/0!</v>
      </c>
      <c r="AH64" s="672"/>
    </row>
    <row r="65" spans="1:34" ht="19.2" customHeight="1">
      <c r="A65" s="654"/>
      <c r="B65" s="97">
        <v>0</v>
      </c>
      <c r="C65" s="462"/>
      <c r="D65" s="42"/>
      <c r="E65" s="43"/>
      <c r="F65" s="361" t="s">
        <v>186</v>
      </c>
      <c r="G65" s="137"/>
      <c r="H65" s="45">
        <f t="shared" si="37"/>
        <v>0</v>
      </c>
      <c r="I65" s="455"/>
      <c r="J65" s="170"/>
      <c r="K65" s="61"/>
      <c r="L65" s="86"/>
      <c r="M65" s="62"/>
      <c r="N65" s="61"/>
      <c r="O65" s="77"/>
      <c r="P65" s="48"/>
      <c r="Q65" s="49"/>
      <c r="R65" s="457"/>
      <c r="S65" s="672"/>
      <c r="T65" s="169"/>
      <c r="U65" s="169"/>
      <c r="V65" s="145"/>
      <c r="W65" s="466">
        <f t="shared" si="42"/>
        <v>0</v>
      </c>
      <c r="X65" s="455"/>
      <c r="Y65" s="455"/>
      <c r="Z65" s="54"/>
      <c r="AA65" s="54"/>
      <c r="AB65" s="658"/>
      <c r="AC65" s="658"/>
      <c r="AD65" s="453"/>
      <c r="AE65" s="453"/>
      <c r="AF65" s="48">
        <f t="shared" si="6"/>
        <v>0</v>
      </c>
      <c r="AG65" s="457" t="e">
        <f t="shared" si="7"/>
        <v>#DIV/0!</v>
      </c>
      <c r="AH65" s="672"/>
    </row>
    <row r="66" spans="1:34" ht="19.2" customHeight="1">
      <c r="A66" s="654"/>
      <c r="B66" s="97">
        <v>0</v>
      </c>
      <c r="C66" s="462"/>
      <c r="D66" s="42"/>
      <c r="E66" s="43"/>
      <c r="F66" s="361" t="s">
        <v>186</v>
      </c>
      <c r="G66" s="137"/>
      <c r="H66" s="45">
        <f t="shared" si="37"/>
        <v>0</v>
      </c>
      <c r="I66" s="455"/>
      <c r="J66" s="170"/>
      <c r="K66" s="61"/>
      <c r="L66" s="86"/>
      <c r="M66" s="62"/>
      <c r="N66" s="61"/>
      <c r="O66" s="77"/>
      <c r="P66" s="48"/>
      <c r="Q66" s="49"/>
      <c r="R66" s="457"/>
      <c r="S66" s="672"/>
      <c r="T66" s="169"/>
      <c r="U66" s="169"/>
      <c r="V66" s="145"/>
      <c r="W66" s="466">
        <f t="shared" si="42"/>
        <v>0</v>
      </c>
      <c r="X66" s="455"/>
      <c r="Y66" s="455"/>
      <c r="Z66" s="54"/>
      <c r="AA66" s="54"/>
      <c r="AB66" s="658"/>
      <c r="AC66" s="658"/>
      <c r="AD66" s="453"/>
      <c r="AE66" s="453"/>
      <c r="AF66" s="48">
        <f t="shared" si="6"/>
        <v>0</v>
      </c>
      <c r="AG66" s="456" t="e">
        <f t="shared" si="7"/>
        <v>#DIV/0!</v>
      </c>
      <c r="AH66" s="672"/>
    </row>
    <row r="67" spans="1:34" ht="19.2" customHeight="1">
      <c r="A67" s="654"/>
      <c r="B67" s="97">
        <v>0</v>
      </c>
      <c r="C67" s="462"/>
      <c r="D67" s="42"/>
      <c r="E67" s="43"/>
      <c r="F67" s="361" t="s">
        <v>186</v>
      </c>
      <c r="G67" s="137"/>
      <c r="H67" s="45">
        <f>F67*G67</f>
        <v>0</v>
      </c>
      <c r="I67" s="455"/>
      <c r="J67" s="170"/>
      <c r="K67" s="61"/>
      <c r="L67" s="86"/>
      <c r="M67" s="62"/>
      <c r="N67" s="61"/>
      <c r="O67" s="77"/>
      <c r="P67" s="48"/>
      <c r="Q67" s="49"/>
      <c r="R67" s="457"/>
      <c r="S67" s="672"/>
      <c r="T67" s="169"/>
      <c r="U67" s="169"/>
      <c r="V67" s="145"/>
      <c r="W67" s="466">
        <f t="shared" si="42"/>
        <v>0</v>
      </c>
      <c r="X67" s="455"/>
      <c r="Y67" s="455"/>
      <c r="Z67" s="54"/>
      <c r="AA67" s="54"/>
      <c r="AB67" s="658"/>
      <c r="AC67" s="658"/>
      <c r="AD67" s="453"/>
      <c r="AE67" s="453"/>
      <c r="AF67" s="48">
        <f t="shared" si="6"/>
        <v>0</v>
      </c>
      <c r="AG67" s="457" t="e">
        <f t="shared" si="7"/>
        <v>#DIV/0!</v>
      </c>
      <c r="AH67" s="672"/>
    </row>
    <row r="68" spans="1:34" ht="19.2" customHeight="1">
      <c r="A68" s="654"/>
      <c r="B68" s="455">
        <v>0</v>
      </c>
      <c r="C68" s="462"/>
      <c r="D68" s="42"/>
      <c r="E68" s="43"/>
      <c r="F68" s="368" t="s">
        <v>186</v>
      </c>
      <c r="G68" s="137"/>
      <c r="H68" s="45">
        <f>F68*G68</f>
        <v>0</v>
      </c>
      <c r="I68" s="455"/>
      <c r="J68" s="170"/>
      <c r="K68" s="61"/>
      <c r="L68" s="86"/>
      <c r="M68" s="62"/>
      <c r="N68" s="61"/>
      <c r="O68" s="77"/>
      <c r="P68" s="48"/>
      <c r="Q68" s="49"/>
      <c r="R68" s="457"/>
      <c r="S68" s="672"/>
      <c r="T68" s="169"/>
      <c r="U68" s="169"/>
      <c r="V68" s="145"/>
      <c r="W68" s="466">
        <f t="shared" si="42"/>
        <v>0</v>
      </c>
      <c r="X68" s="455"/>
      <c r="Y68" s="455"/>
      <c r="Z68" s="54"/>
      <c r="AA68" s="54"/>
      <c r="AB68" s="658"/>
      <c r="AC68" s="658"/>
      <c r="AD68" s="453"/>
      <c r="AE68" s="453"/>
      <c r="AF68" s="48"/>
      <c r="AG68" s="457"/>
      <c r="AH68" s="672"/>
    </row>
    <row r="69" spans="1:34" ht="19.2" customHeight="1">
      <c r="A69" s="654"/>
      <c r="B69" s="171">
        <v>0</v>
      </c>
      <c r="C69" s="6" t="s">
        <v>247</v>
      </c>
      <c r="D69" s="687" t="s">
        <v>245</v>
      </c>
      <c r="E69" s="687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1476.8460182032363</v>
      </c>
      <c r="O69" s="73">
        <f t="shared" si="43"/>
        <v>224.85631962590264</v>
      </c>
      <c r="P69" s="48">
        <f>M69-J69</f>
        <v>0</v>
      </c>
      <c r="Q69" s="49">
        <f>N69-K69</f>
        <v>-23.153981796763674</v>
      </c>
      <c r="R69" s="175">
        <f t="shared" ref="R69:R75" si="44">O69/L69</f>
        <v>0.983746398363324</v>
      </c>
      <c r="S69" s="672"/>
      <c r="T69" s="144"/>
      <c r="U69" s="144"/>
      <c r="V69" s="44"/>
      <c r="W69" s="46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0</v>
      </c>
      <c r="AF69" s="48">
        <f t="shared" si="6"/>
        <v>-23.153981796763674</v>
      </c>
      <c r="AG69" s="457">
        <f t="shared" si="7"/>
        <v>0.98456401213549083</v>
      </c>
      <c r="AH69" s="672"/>
    </row>
    <row r="70" spans="1:34" ht="19.2" customHeight="1">
      <c r="A70" s="656" t="s">
        <v>90</v>
      </c>
      <c r="B70" s="455" t="s">
        <v>182</v>
      </c>
      <c r="C70" s="97"/>
      <c r="D70" s="42" t="s">
        <v>91</v>
      </c>
      <c r="E70" s="43"/>
      <c r="F70" s="361">
        <v>62.13</v>
      </c>
      <c r="G70" s="44">
        <v>432</v>
      </c>
      <c r="H70" s="45">
        <f>F70*G70</f>
        <v>26840.16</v>
      </c>
      <c r="I70" s="455"/>
      <c r="J70" s="46">
        <v>14</v>
      </c>
      <c r="K70" s="44">
        <v>1500</v>
      </c>
      <c r="L70" s="47">
        <v>107.14285714285714</v>
      </c>
      <c r="M70" s="467">
        <v>13</v>
      </c>
      <c r="N70" s="44">
        <f t="shared" ref="N70:N75" si="45">G70/W70*60</f>
        <v>1234.285714285714</v>
      </c>
      <c r="O70" s="47">
        <f t="shared" ref="O70:O75" si="46">N70/M70</f>
        <v>94.94505494505492</v>
      </c>
      <c r="P70" s="48">
        <f t="shared" ref="P70:P75" si="47">M70-J70</f>
        <v>-1</v>
      </c>
      <c r="Q70" s="49">
        <f t="shared" ref="Q70:Q75" si="48">O70-L70</f>
        <v>-12.197802197802218</v>
      </c>
      <c r="R70" s="457">
        <f t="shared" si="44"/>
        <v>0.88615384615384596</v>
      </c>
      <c r="S70" s="672">
        <f>R82</f>
        <v>0.89261553848575059</v>
      </c>
      <c r="T70" s="50">
        <v>0.29166666666666669</v>
      </c>
      <c r="U70" s="50">
        <v>0.30625000000000002</v>
      </c>
      <c r="V70" s="455">
        <v>5</v>
      </c>
      <c r="W70" s="466">
        <f>(U70-T70)*24*60</f>
        <v>21.000000000000007</v>
      </c>
      <c r="X70" s="455"/>
      <c r="Y70" s="455"/>
      <c r="Z70" s="54"/>
      <c r="AA70" s="54"/>
      <c r="AB70" s="658"/>
      <c r="AC70" s="658"/>
      <c r="AD70" s="453"/>
      <c r="AE70" s="453"/>
      <c r="AF70" s="48">
        <f t="shared" si="6"/>
        <v>-265.71428571428601</v>
      </c>
      <c r="AG70" s="457">
        <f t="shared" si="7"/>
        <v>0.82285714285714262</v>
      </c>
      <c r="AH70" s="672">
        <f>AG82</f>
        <v>0.88079345679896015</v>
      </c>
    </row>
    <row r="71" spans="1:34" ht="19.2" customHeight="1">
      <c r="A71" s="656"/>
      <c r="B71" s="455" t="s">
        <v>181</v>
      </c>
      <c r="C71" s="41"/>
      <c r="D71" s="176" t="s">
        <v>92</v>
      </c>
      <c r="E71" s="43"/>
      <c r="F71" s="361">
        <v>47.65</v>
      </c>
      <c r="G71" s="44">
        <v>1786.4</v>
      </c>
      <c r="H71" s="45">
        <f>F71*G71</f>
        <v>85121.96</v>
      </c>
      <c r="I71" s="455"/>
      <c r="J71" s="46">
        <v>18</v>
      </c>
      <c r="K71" s="177">
        <v>1440</v>
      </c>
      <c r="L71" s="47">
        <v>80</v>
      </c>
      <c r="M71" s="464">
        <v>18</v>
      </c>
      <c r="N71" s="44">
        <f t="shared" si="45"/>
        <v>1339.7999999999997</v>
      </c>
      <c r="O71" s="47">
        <f t="shared" si="46"/>
        <v>74.433333333333323</v>
      </c>
      <c r="P71" s="48">
        <f t="shared" si="47"/>
        <v>0</v>
      </c>
      <c r="Q71" s="49">
        <f t="shared" si="48"/>
        <v>-5.5666666666666771</v>
      </c>
      <c r="R71" s="457">
        <f t="shared" si="44"/>
        <v>0.93041666666666656</v>
      </c>
      <c r="S71" s="672"/>
      <c r="T71" s="50">
        <v>0.31111111111111112</v>
      </c>
      <c r="U71" s="50">
        <v>0.3666666666666667</v>
      </c>
      <c r="V71" s="455">
        <v>7</v>
      </c>
      <c r="W71" s="466">
        <f t="shared" ref="W71:W81" si="49">(U71-T71)*24*60</f>
        <v>80.000000000000028</v>
      </c>
      <c r="X71" s="53"/>
      <c r="Y71" s="53"/>
      <c r="Z71" s="54"/>
      <c r="AA71" s="54"/>
      <c r="AB71" s="658"/>
      <c r="AC71" s="658"/>
      <c r="AD71" s="453"/>
      <c r="AE71" s="453"/>
      <c r="AF71" s="48">
        <f>N71-K71</f>
        <v>-100.20000000000027</v>
      </c>
      <c r="AG71" s="457">
        <f>N71/K71</f>
        <v>0.93041666666666645</v>
      </c>
      <c r="AH71" s="672"/>
    </row>
    <row r="72" spans="1:34" ht="19.2" customHeight="1">
      <c r="A72" s="656"/>
      <c r="B72" s="455" t="s">
        <v>185</v>
      </c>
      <c r="C72" s="66"/>
      <c r="D72" s="176" t="s">
        <v>200</v>
      </c>
      <c r="E72" s="43"/>
      <c r="F72" s="361">
        <v>56.85</v>
      </c>
      <c r="G72" s="57">
        <v>2216</v>
      </c>
      <c r="H72" s="45">
        <f t="shared" ref="H72:H80" si="50">F72*G72</f>
        <v>125979.6</v>
      </c>
      <c r="I72" s="455"/>
      <c r="J72" s="87">
        <v>18</v>
      </c>
      <c r="K72" s="57">
        <v>1636</v>
      </c>
      <c r="L72" s="86">
        <v>90.888888888888886</v>
      </c>
      <c r="M72" s="467">
        <v>18</v>
      </c>
      <c r="N72" s="44">
        <f t="shared" si="45"/>
        <v>1219.8165137614678</v>
      </c>
      <c r="O72" s="47">
        <f t="shared" si="46"/>
        <v>67.767584097859327</v>
      </c>
      <c r="P72" s="48">
        <f t="shared" si="47"/>
        <v>0</v>
      </c>
      <c r="Q72" s="49">
        <f t="shared" si="48"/>
        <v>-23.121304791029559</v>
      </c>
      <c r="R72" s="457">
        <f t="shared" si="44"/>
        <v>0.74560911599111734</v>
      </c>
      <c r="S72" s="672"/>
      <c r="T72" s="50">
        <v>0.38263888888888892</v>
      </c>
      <c r="U72" s="50">
        <v>0.45833333333333337</v>
      </c>
      <c r="V72" s="455">
        <v>23</v>
      </c>
      <c r="W72" s="466">
        <f t="shared" si="49"/>
        <v>109.00000000000001</v>
      </c>
      <c r="X72" s="53">
        <v>0.37013888888888885</v>
      </c>
      <c r="Y72" s="53">
        <v>0.37986111111111115</v>
      </c>
      <c r="Z72" s="54"/>
      <c r="AA72" s="54"/>
      <c r="AB72" s="658"/>
      <c r="AC72" s="658"/>
      <c r="AD72" s="453"/>
      <c r="AE72" s="453">
        <v>1</v>
      </c>
      <c r="AF72" s="48">
        <f>N72-K72</f>
        <v>-416.18348623853217</v>
      </c>
      <c r="AG72" s="457">
        <f>N72/K72</f>
        <v>0.74560911599111723</v>
      </c>
      <c r="AH72" s="672"/>
    </row>
    <row r="73" spans="1:34" ht="19.2" customHeight="1">
      <c r="A73" s="656"/>
      <c r="B73" s="455" t="s">
        <v>181</v>
      </c>
      <c r="C73" s="178"/>
      <c r="D73" s="179" t="s">
        <v>94</v>
      </c>
      <c r="E73" s="180"/>
      <c r="F73" s="361">
        <v>53.76</v>
      </c>
      <c r="G73" s="57">
        <v>2033</v>
      </c>
      <c r="H73" s="45">
        <f t="shared" si="50"/>
        <v>109294.08</v>
      </c>
      <c r="I73" s="453"/>
      <c r="J73" s="181">
        <v>16</v>
      </c>
      <c r="K73" s="182">
        <v>1440</v>
      </c>
      <c r="L73" s="86">
        <v>90</v>
      </c>
      <c r="M73" s="464">
        <v>16</v>
      </c>
      <c r="N73" s="44">
        <f t="shared" si="45"/>
        <v>1355.3333333333333</v>
      </c>
      <c r="O73" s="47">
        <f t="shared" si="46"/>
        <v>84.708333333333329</v>
      </c>
      <c r="P73" s="48">
        <f t="shared" si="47"/>
        <v>0</v>
      </c>
      <c r="Q73" s="49">
        <f t="shared" si="48"/>
        <v>-5.2916666666666714</v>
      </c>
      <c r="R73" s="457">
        <f t="shared" si="44"/>
        <v>0.94120370370370365</v>
      </c>
      <c r="S73" s="672"/>
      <c r="T73" s="50">
        <v>0.49861111111111112</v>
      </c>
      <c r="U73" s="50">
        <v>0.56111111111111112</v>
      </c>
      <c r="V73" s="455">
        <v>5</v>
      </c>
      <c r="W73" s="466">
        <f t="shared" si="49"/>
        <v>90</v>
      </c>
      <c r="X73" s="183"/>
      <c r="Y73" s="183"/>
      <c r="Z73" s="125"/>
      <c r="AA73" s="125"/>
      <c r="AB73" s="658"/>
      <c r="AC73" s="658"/>
      <c r="AD73" s="453"/>
      <c r="AE73" s="453"/>
      <c r="AF73" s="48">
        <f>N73-K73</f>
        <v>-84.666666666666742</v>
      </c>
      <c r="AG73" s="457">
        <f>N73/K73</f>
        <v>0.94120370370370365</v>
      </c>
      <c r="AH73" s="672"/>
    </row>
    <row r="74" spans="1:34" ht="19.2" customHeight="1">
      <c r="A74" s="656"/>
      <c r="B74" s="455" t="s">
        <v>181</v>
      </c>
      <c r="C74" s="178"/>
      <c r="D74" s="179" t="s">
        <v>95</v>
      </c>
      <c r="E74" s="180"/>
      <c r="F74" s="361">
        <v>47.51</v>
      </c>
      <c r="G74" s="177">
        <v>2240</v>
      </c>
      <c r="H74" s="45">
        <f t="shared" si="50"/>
        <v>106422.39999999999</v>
      </c>
      <c r="I74" s="455"/>
      <c r="J74" s="46">
        <v>17</v>
      </c>
      <c r="K74" s="177">
        <v>1440</v>
      </c>
      <c r="L74" s="47">
        <v>84.705882352941174</v>
      </c>
      <c r="M74" s="467">
        <v>17</v>
      </c>
      <c r="N74" s="44">
        <f t="shared" si="45"/>
        <v>1357.575757575758</v>
      </c>
      <c r="O74" s="47">
        <f t="shared" si="46"/>
        <v>79.857397504456344</v>
      </c>
      <c r="P74" s="48">
        <f t="shared" si="47"/>
        <v>0</v>
      </c>
      <c r="Q74" s="49">
        <f t="shared" si="48"/>
        <v>-4.84848484848483</v>
      </c>
      <c r="R74" s="457">
        <f t="shared" si="44"/>
        <v>0.94276094276094302</v>
      </c>
      <c r="S74" s="672"/>
      <c r="T74" s="50">
        <v>0.57708333333333339</v>
      </c>
      <c r="U74" s="50">
        <v>0.64583333333333337</v>
      </c>
      <c r="V74" s="455">
        <v>23</v>
      </c>
      <c r="W74" s="466">
        <f t="shared" si="49"/>
        <v>98.999999999999972</v>
      </c>
      <c r="X74" s="183">
        <v>0.56458333333333333</v>
      </c>
      <c r="Y74" s="183">
        <v>0.57430555555555551</v>
      </c>
      <c r="Z74" s="125"/>
      <c r="AA74" s="125"/>
      <c r="AB74" s="658"/>
      <c r="AC74" s="658"/>
      <c r="AD74" s="453"/>
      <c r="AE74" s="453"/>
      <c r="AF74" s="48">
        <f t="shared" ref="AF74:AF80" si="51">N74-K74</f>
        <v>-82.424242424242038</v>
      </c>
      <c r="AG74" s="457">
        <f t="shared" ref="AG74:AG80" si="52">N74/K74</f>
        <v>0.94276094276094302</v>
      </c>
      <c r="AH74" s="672"/>
    </row>
    <row r="75" spans="1:34" ht="19.2" customHeight="1">
      <c r="A75" s="656"/>
      <c r="B75" s="455" t="s">
        <v>181</v>
      </c>
      <c r="C75" s="66"/>
      <c r="D75" s="176" t="s">
        <v>92</v>
      </c>
      <c r="E75" s="43"/>
      <c r="F75" s="361">
        <v>47.65</v>
      </c>
      <c r="G75" s="57">
        <v>243.6</v>
      </c>
      <c r="H75" s="45">
        <f t="shared" si="50"/>
        <v>11607.539999999999</v>
      </c>
      <c r="I75" s="455"/>
      <c r="J75" s="181">
        <v>18</v>
      </c>
      <c r="K75" s="182">
        <v>1440</v>
      </c>
      <c r="L75" s="86">
        <v>80</v>
      </c>
      <c r="M75" s="467">
        <v>18</v>
      </c>
      <c r="N75" s="44">
        <f t="shared" si="45"/>
        <v>1328.7272727272773</v>
      </c>
      <c r="O75" s="47">
        <f t="shared" si="46"/>
        <v>73.818181818182069</v>
      </c>
      <c r="P75" s="48">
        <f t="shared" si="47"/>
        <v>0</v>
      </c>
      <c r="Q75" s="49">
        <f t="shared" si="48"/>
        <v>-6.1818181818179312</v>
      </c>
      <c r="R75" s="457">
        <f t="shared" si="44"/>
        <v>0.92272727272727584</v>
      </c>
      <c r="S75" s="672"/>
      <c r="T75" s="50">
        <v>0.65138888888888891</v>
      </c>
      <c r="U75" s="50">
        <v>0.65902777777777777</v>
      </c>
      <c r="V75" s="455">
        <v>8</v>
      </c>
      <c r="W75" s="466">
        <f t="shared" si="49"/>
        <v>10.999999999999961</v>
      </c>
      <c r="X75" s="183"/>
      <c r="Y75" s="183"/>
      <c r="Z75" s="125"/>
      <c r="AA75" s="125"/>
      <c r="AB75" s="658"/>
      <c r="AC75" s="658"/>
      <c r="AD75" s="453"/>
      <c r="AE75" s="453"/>
      <c r="AF75" s="48">
        <f t="shared" si="51"/>
        <v>-111.2727272727227</v>
      </c>
      <c r="AG75" s="457">
        <f t="shared" si="52"/>
        <v>0.92272727272727595</v>
      </c>
      <c r="AH75" s="672"/>
    </row>
    <row r="76" spans="1:34" ht="19.2" customHeight="1">
      <c r="A76" s="656"/>
      <c r="B76" s="455">
        <v>0</v>
      </c>
      <c r="C76" s="178"/>
      <c r="D76" s="179"/>
      <c r="E76" s="180"/>
      <c r="F76" s="361" t="s">
        <v>186</v>
      </c>
      <c r="G76" s="177"/>
      <c r="H76" s="45">
        <f t="shared" si="50"/>
        <v>0</v>
      </c>
      <c r="I76" s="455"/>
      <c r="J76" s="181"/>
      <c r="K76" s="182"/>
      <c r="L76" s="86"/>
      <c r="M76" s="464"/>
      <c r="N76" s="44"/>
      <c r="O76" s="47"/>
      <c r="P76" s="48"/>
      <c r="Q76" s="49"/>
      <c r="R76" s="457"/>
      <c r="S76" s="672"/>
      <c r="T76" s="50"/>
      <c r="U76" s="50"/>
      <c r="V76" s="455"/>
      <c r="W76" s="466"/>
      <c r="X76" s="183"/>
      <c r="Y76" s="183"/>
      <c r="Z76" s="125"/>
      <c r="AA76" s="125"/>
      <c r="AB76" s="658"/>
      <c r="AC76" s="658"/>
      <c r="AD76" s="453"/>
      <c r="AE76" s="453"/>
      <c r="AF76" s="48">
        <f t="shared" si="51"/>
        <v>0</v>
      </c>
      <c r="AG76" s="457" t="e">
        <f t="shared" si="52"/>
        <v>#DIV/0!</v>
      </c>
      <c r="AH76" s="672"/>
    </row>
    <row r="77" spans="1:34" ht="19.2" customHeight="1">
      <c r="A77" s="656"/>
      <c r="B77" s="455">
        <v>0</v>
      </c>
      <c r="C77" s="462"/>
      <c r="D77" s="179"/>
      <c r="E77" s="43"/>
      <c r="F77" s="361" t="s">
        <v>186</v>
      </c>
      <c r="G77" s="177"/>
      <c r="H77" s="45">
        <f t="shared" si="50"/>
        <v>0</v>
      </c>
      <c r="I77" s="453"/>
      <c r="J77" s="181"/>
      <c r="K77" s="182"/>
      <c r="L77" s="86"/>
      <c r="M77" s="464" t="s">
        <v>30</v>
      </c>
      <c r="N77" s="44"/>
      <c r="O77" s="47"/>
      <c r="P77" s="48"/>
      <c r="Q77" s="49"/>
      <c r="R77" s="457"/>
      <c r="S77" s="672"/>
      <c r="T77" s="50"/>
      <c r="U77" s="50"/>
      <c r="V77" s="455"/>
      <c r="W77" s="466"/>
      <c r="X77" s="183"/>
      <c r="Y77" s="183"/>
      <c r="Z77" s="125"/>
      <c r="AA77" s="125"/>
      <c r="AB77" s="658"/>
      <c r="AC77" s="658"/>
      <c r="AD77" s="453"/>
      <c r="AE77" s="453"/>
      <c r="AF77" s="48">
        <f t="shared" si="51"/>
        <v>0</v>
      </c>
      <c r="AG77" s="457" t="e">
        <f t="shared" si="52"/>
        <v>#DIV/0!</v>
      </c>
      <c r="AH77" s="672"/>
    </row>
    <row r="78" spans="1:34" ht="19.2" customHeight="1">
      <c r="A78" s="656"/>
      <c r="B78" s="455">
        <v>0</v>
      </c>
      <c r="C78" s="462"/>
      <c r="D78" s="42"/>
      <c r="E78" s="43"/>
      <c r="F78" s="361" t="s">
        <v>186</v>
      </c>
      <c r="G78" s="57"/>
      <c r="H78" s="45">
        <f t="shared" si="50"/>
        <v>0</v>
      </c>
      <c r="I78" s="453"/>
      <c r="J78" s="87"/>
      <c r="K78" s="57"/>
      <c r="L78" s="86"/>
      <c r="M78" s="464"/>
      <c r="N78" s="44"/>
      <c r="O78" s="47"/>
      <c r="P78" s="48"/>
      <c r="Q78" s="49"/>
      <c r="R78" s="457"/>
      <c r="S78" s="672"/>
      <c r="T78" s="50"/>
      <c r="U78" s="50"/>
      <c r="V78" s="455"/>
      <c r="W78" s="466">
        <f t="shared" si="49"/>
        <v>0</v>
      </c>
      <c r="X78" s="183"/>
      <c r="Y78" s="183"/>
      <c r="Z78" s="125"/>
      <c r="AA78" s="125"/>
      <c r="AB78" s="658"/>
      <c r="AC78" s="658"/>
      <c r="AD78" s="453"/>
      <c r="AE78" s="453"/>
      <c r="AF78" s="48">
        <f t="shared" si="51"/>
        <v>0</v>
      </c>
      <c r="AG78" s="457" t="e">
        <f t="shared" si="52"/>
        <v>#DIV/0!</v>
      </c>
      <c r="AH78" s="672"/>
    </row>
    <row r="79" spans="1:34" ht="19.2" customHeight="1">
      <c r="A79" s="656"/>
      <c r="B79" s="455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453"/>
      <c r="J79" s="87"/>
      <c r="K79" s="57"/>
      <c r="L79" s="86"/>
      <c r="M79" s="464"/>
      <c r="N79" s="57"/>
      <c r="O79" s="184"/>
      <c r="P79" s="108"/>
      <c r="Q79" s="185"/>
      <c r="R79" s="109"/>
      <c r="S79" s="672"/>
      <c r="T79" s="50"/>
      <c r="U79" s="50"/>
      <c r="V79" s="455"/>
      <c r="W79" s="466">
        <f t="shared" si="49"/>
        <v>0</v>
      </c>
      <c r="X79" s="183"/>
      <c r="Y79" s="183"/>
      <c r="Z79" s="125"/>
      <c r="AA79" s="125"/>
      <c r="AB79" s="658"/>
      <c r="AC79" s="658"/>
      <c r="AD79" s="453"/>
      <c r="AE79" s="453"/>
      <c r="AF79" s="48">
        <f t="shared" si="51"/>
        <v>0</v>
      </c>
      <c r="AG79" s="457" t="e">
        <f t="shared" si="52"/>
        <v>#DIV/0!</v>
      </c>
      <c r="AH79" s="672"/>
    </row>
    <row r="80" spans="1:34" ht="19.2" customHeight="1">
      <c r="A80" s="656"/>
      <c r="B80" s="455">
        <v>0</v>
      </c>
      <c r="C80" s="462"/>
      <c r="D80" s="42"/>
      <c r="E80" s="43"/>
      <c r="F80" s="361"/>
      <c r="G80" s="57"/>
      <c r="H80" s="45">
        <f t="shared" si="50"/>
        <v>0</v>
      </c>
      <c r="I80" s="453"/>
      <c r="J80" s="87"/>
      <c r="K80" s="57"/>
      <c r="L80" s="86"/>
      <c r="M80" s="464"/>
      <c r="N80" s="57"/>
      <c r="O80" s="186"/>
      <c r="P80" s="54"/>
      <c r="Q80" s="88"/>
      <c r="R80" s="459"/>
      <c r="S80" s="672"/>
      <c r="T80" s="50"/>
      <c r="U80" s="50"/>
      <c r="V80" s="455"/>
      <c r="W80" s="466">
        <f t="shared" si="49"/>
        <v>0</v>
      </c>
      <c r="X80" s="183"/>
      <c r="Y80" s="183"/>
      <c r="Z80" s="125"/>
      <c r="AA80" s="125"/>
      <c r="AB80" s="658"/>
      <c r="AC80" s="658"/>
      <c r="AD80" s="453"/>
      <c r="AE80" s="453"/>
      <c r="AF80" s="48">
        <f t="shared" si="51"/>
        <v>0</v>
      </c>
      <c r="AG80" s="457" t="e">
        <f t="shared" si="52"/>
        <v>#DIV/0!</v>
      </c>
      <c r="AH80" s="672"/>
    </row>
    <row r="81" spans="1:34" ht="19.2" customHeight="1">
      <c r="A81" s="656"/>
      <c r="B81" s="455">
        <v>0</v>
      </c>
      <c r="C81" s="462"/>
      <c r="D81" s="42"/>
      <c r="E81" s="43"/>
      <c r="F81" s="368"/>
      <c r="G81" s="57"/>
      <c r="H81" s="84"/>
      <c r="I81" s="453"/>
      <c r="J81" s="87"/>
      <c r="K81" s="57"/>
      <c r="L81" s="86"/>
      <c r="M81" s="464"/>
      <c r="N81" s="57"/>
      <c r="O81" s="186"/>
      <c r="P81" s="54"/>
      <c r="Q81" s="88"/>
      <c r="R81" s="459"/>
      <c r="S81" s="672"/>
      <c r="T81" s="50"/>
      <c r="U81" s="50"/>
      <c r="V81" s="455"/>
      <c r="W81" s="466">
        <f t="shared" si="49"/>
        <v>0</v>
      </c>
      <c r="X81" s="183"/>
      <c r="Y81" s="183"/>
      <c r="Z81" s="125"/>
      <c r="AA81" s="125"/>
      <c r="AB81" s="658"/>
      <c r="AC81" s="658"/>
      <c r="AD81" s="453"/>
      <c r="AE81" s="453"/>
      <c r="AF81" s="48"/>
      <c r="AG81" s="126"/>
      <c r="AH81" s="672"/>
    </row>
    <row r="82" spans="1:34" ht="19.2" customHeight="1">
      <c r="A82" s="698"/>
      <c r="B82" s="171">
        <v>0</v>
      </c>
      <c r="C82" s="100" t="s">
        <v>19</v>
      </c>
      <c r="D82" s="687" t="s">
        <v>245</v>
      </c>
      <c r="E82" s="687"/>
      <c r="F82" s="371"/>
      <c r="G82" s="101"/>
      <c r="H82" s="102"/>
      <c r="I82" s="103"/>
      <c r="J82" s="101">
        <v>16.833333333333332</v>
      </c>
      <c r="K82" s="101">
        <v>1482.6666666666667</v>
      </c>
      <c r="L82" s="104">
        <v>88.789604730781207</v>
      </c>
      <c r="M82" s="101">
        <f t="shared" ref="M82:O82" si="53">AVERAGE(M70:M81)</f>
        <v>16.666666666666668</v>
      </c>
      <c r="N82" s="101">
        <f t="shared" si="53"/>
        <v>1305.923098613925</v>
      </c>
      <c r="O82" s="187">
        <f t="shared" si="53"/>
        <v>79.254980838703219</v>
      </c>
      <c r="P82" s="117">
        <f>M82-J82</f>
        <v>-0.1666666666666643</v>
      </c>
      <c r="Q82" s="118">
        <f>N82-K82</f>
        <v>-176.74356805274169</v>
      </c>
      <c r="R82" s="175">
        <f>O82/L82</f>
        <v>0.89261553848575059</v>
      </c>
      <c r="S82" s="672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0</v>
      </c>
      <c r="AE82" s="107">
        <f>SUM(AE70:AE81)</f>
        <v>1</v>
      </c>
      <c r="AF82" s="48">
        <f>N82-K82</f>
        <v>-176.74356805274169</v>
      </c>
      <c r="AG82" s="457">
        <f>N82/K82</f>
        <v>0.88079345679896015</v>
      </c>
      <c r="AH82" s="672"/>
    </row>
    <row r="83" spans="1:34" ht="19.2" customHeight="1">
      <c r="A83" s="699" t="s">
        <v>248</v>
      </c>
      <c r="B83" s="110" t="s">
        <v>185</v>
      </c>
      <c r="C83" s="66"/>
      <c r="D83" s="377" t="s">
        <v>270</v>
      </c>
      <c r="E83" s="43"/>
      <c r="F83" s="368">
        <v>54.09</v>
      </c>
      <c r="G83" s="57">
        <v>1516.23</v>
      </c>
      <c r="H83" s="84">
        <f t="shared" ref="H83:H94" si="54">F83*G83</f>
        <v>82012.880700000009</v>
      </c>
      <c r="I83" s="453"/>
      <c r="J83" s="87">
        <v>18</v>
      </c>
      <c r="K83" s="57">
        <v>1500</v>
      </c>
      <c r="L83" s="86">
        <v>83.333333333333329</v>
      </c>
      <c r="M83" s="464">
        <v>18</v>
      </c>
      <c r="N83" s="57">
        <f t="shared" ref="N83:N87" si="55">G83/W83*60</f>
        <v>1378.390909090909</v>
      </c>
      <c r="O83" s="186">
        <f t="shared" ref="O83:O87" si="56">N83/M83</f>
        <v>76.577272727272714</v>
      </c>
      <c r="P83" s="54">
        <f t="shared" ref="P83:P87" si="57">M83-J83</f>
        <v>0</v>
      </c>
      <c r="Q83" s="88">
        <f t="shared" ref="Q83:Q87" si="58">O83-L83</f>
        <v>-6.7560606060606148</v>
      </c>
      <c r="R83" s="188">
        <f t="shared" ref="R83:R87" si="59">O83/L83</f>
        <v>0.91892727272727259</v>
      </c>
      <c r="S83" s="672">
        <f>R95</f>
        <v>0.91580121528528557</v>
      </c>
      <c r="T83" s="50">
        <v>0.33333333333333331</v>
      </c>
      <c r="U83" s="50">
        <v>0.37916666666666665</v>
      </c>
      <c r="V83" s="455">
        <v>5</v>
      </c>
      <c r="W83" s="466">
        <f t="shared" ref="W83:W93" si="60">(U83-T83)*24*60</f>
        <v>66</v>
      </c>
      <c r="X83" s="53"/>
      <c r="Y83" s="53"/>
      <c r="Z83" s="54"/>
      <c r="AA83" s="54"/>
      <c r="AB83" s="658"/>
      <c r="AC83" s="658"/>
      <c r="AD83" s="453"/>
      <c r="AE83" s="453"/>
      <c r="AF83" s="48">
        <f t="shared" ref="AF83:AF173" si="61">N83-K83</f>
        <v>-121.60909090909104</v>
      </c>
      <c r="AG83" s="457">
        <f t="shared" ref="AG83:AG173" si="62">N83/K83</f>
        <v>0.91892727272727259</v>
      </c>
      <c r="AH83" s="672">
        <f>AG95</f>
        <v>0.9054927873858476</v>
      </c>
    </row>
    <row r="84" spans="1:34" ht="19.2" customHeight="1">
      <c r="A84" s="700"/>
      <c r="B84" s="110" t="s">
        <v>181</v>
      </c>
      <c r="C84" s="462"/>
      <c r="D84" s="189" t="s">
        <v>93</v>
      </c>
      <c r="E84" s="43"/>
      <c r="F84" s="368">
        <v>53.36</v>
      </c>
      <c r="G84" s="44">
        <v>3463.98</v>
      </c>
      <c r="H84" s="84">
        <f t="shared" si="54"/>
        <v>184837.97279999999</v>
      </c>
      <c r="I84" s="455"/>
      <c r="J84" s="87">
        <v>19</v>
      </c>
      <c r="K84" s="57">
        <v>1440</v>
      </c>
      <c r="L84" s="86">
        <v>75.78947368421052</v>
      </c>
      <c r="M84" s="464">
        <v>19</v>
      </c>
      <c r="N84" s="57">
        <f t="shared" si="55"/>
        <v>1323.8140127388535</v>
      </c>
      <c r="O84" s="186">
        <f t="shared" si="56"/>
        <v>69.674421723097552</v>
      </c>
      <c r="P84" s="54">
        <f t="shared" si="57"/>
        <v>0</v>
      </c>
      <c r="Q84" s="88">
        <f t="shared" si="58"/>
        <v>-6.1150519611129681</v>
      </c>
      <c r="R84" s="188">
        <f t="shared" si="59"/>
        <v>0.91931528662420392</v>
      </c>
      <c r="S84" s="672"/>
      <c r="T84" s="50">
        <v>0.39444444444444443</v>
      </c>
      <c r="U84" s="50">
        <v>0.50347222222222221</v>
      </c>
      <c r="V84" s="455">
        <v>22</v>
      </c>
      <c r="W84" s="466">
        <f t="shared" si="60"/>
        <v>157</v>
      </c>
      <c r="X84" s="53">
        <v>0.38263888888888892</v>
      </c>
      <c r="Y84" s="53">
        <v>0.39166666666666666</v>
      </c>
      <c r="Z84" s="54"/>
      <c r="AA84" s="54"/>
      <c r="AB84" s="658"/>
      <c r="AC84" s="658"/>
      <c r="AD84" s="453"/>
      <c r="AE84" s="453"/>
      <c r="AF84" s="48">
        <f t="shared" si="61"/>
        <v>-116.18598726114647</v>
      </c>
      <c r="AG84" s="457">
        <f t="shared" si="62"/>
        <v>0.91931528662420381</v>
      </c>
      <c r="AH84" s="672"/>
    </row>
    <row r="85" spans="1:34" ht="19.2" customHeight="1">
      <c r="A85" s="700"/>
      <c r="B85" s="110" t="s">
        <v>181</v>
      </c>
      <c r="C85" s="123"/>
      <c r="D85" s="189" t="s">
        <v>77</v>
      </c>
      <c r="E85" s="43"/>
      <c r="F85" s="368">
        <v>59.54</v>
      </c>
      <c r="G85" s="44">
        <v>1230</v>
      </c>
      <c r="H85" s="84">
        <f t="shared" si="54"/>
        <v>73234.2</v>
      </c>
      <c r="I85" s="455"/>
      <c r="J85" s="87">
        <v>18</v>
      </c>
      <c r="K85" s="57">
        <v>1385</v>
      </c>
      <c r="L85" s="86">
        <v>76.944444444444443</v>
      </c>
      <c r="M85" s="464">
        <v>18</v>
      </c>
      <c r="N85" s="57">
        <f t="shared" si="55"/>
        <v>1272.4137931034493</v>
      </c>
      <c r="O85" s="186">
        <f t="shared" si="56"/>
        <v>70.68965517241385</v>
      </c>
      <c r="P85" s="54">
        <f t="shared" si="57"/>
        <v>0</v>
      </c>
      <c r="Q85" s="88">
        <f t="shared" si="58"/>
        <v>-6.2547892720305924</v>
      </c>
      <c r="R85" s="188">
        <f t="shared" si="59"/>
        <v>0.91871031993028829</v>
      </c>
      <c r="S85" s="672"/>
      <c r="T85" s="50">
        <v>0.54374999999999996</v>
      </c>
      <c r="U85" s="50">
        <v>0.5840277777777777</v>
      </c>
      <c r="V85" s="455">
        <v>5</v>
      </c>
      <c r="W85" s="466">
        <f t="shared" si="60"/>
        <v>57.999999999999957</v>
      </c>
      <c r="X85" s="53"/>
      <c r="Y85" s="53"/>
      <c r="Z85" s="54"/>
      <c r="AA85" s="54"/>
      <c r="AB85" s="658"/>
      <c r="AC85" s="658"/>
      <c r="AD85" s="453"/>
      <c r="AE85" s="453"/>
      <c r="AF85" s="48">
        <f t="shared" si="61"/>
        <v>-112.58620689655072</v>
      </c>
      <c r="AG85" s="457">
        <f t="shared" si="62"/>
        <v>0.91871031993028829</v>
      </c>
      <c r="AH85" s="672"/>
    </row>
    <row r="86" spans="1:34" ht="19.2" customHeight="1">
      <c r="A86" s="700"/>
      <c r="B86" s="110" t="s">
        <v>181</v>
      </c>
      <c r="C86" s="97"/>
      <c r="D86" s="189" t="s">
        <v>360</v>
      </c>
      <c r="E86" s="43"/>
      <c r="F86" s="368">
        <v>73.94</v>
      </c>
      <c r="G86" s="44">
        <v>1461</v>
      </c>
      <c r="H86" s="84">
        <f t="shared" si="54"/>
        <v>108026.34</v>
      </c>
      <c r="I86" s="455"/>
      <c r="J86" s="87">
        <v>19</v>
      </c>
      <c r="K86" s="57">
        <v>1440</v>
      </c>
      <c r="L86" s="86">
        <v>75.78947368421052</v>
      </c>
      <c r="M86" s="464">
        <v>18</v>
      </c>
      <c r="N86" s="57">
        <f t="shared" si="55"/>
        <v>1328.1818181818196</v>
      </c>
      <c r="O86" s="186">
        <f t="shared" si="56"/>
        <v>73.787878787878867</v>
      </c>
      <c r="P86" s="54">
        <f t="shared" si="57"/>
        <v>-1</v>
      </c>
      <c r="Q86" s="88">
        <f t="shared" si="58"/>
        <v>-2.0015948963316532</v>
      </c>
      <c r="R86" s="188">
        <f t="shared" si="59"/>
        <v>0.97359006734006848</v>
      </c>
      <c r="S86" s="672"/>
      <c r="T86" s="50">
        <v>0.5888888888888888</v>
      </c>
      <c r="U86" s="50">
        <v>0.63472222222222208</v>
      </c>
      <c r="V86" s="455">
        <v>7</v>
      </c>
      <c r="W86" s="466">
        <f t="shared" si="60"/>
        <v>65.999999999999929</v>
      </c>
      <c r="X86" s="53"/>
      <c r="Y86" s="53"/>
      <c r="Z86" s="54"/>
      <c r="AA86" s="54"/>
      <c r="AB86" s="658"/>
      <c r="AC86" s="658"/>
      <c r="AD86" s="453"/>
      <c r="AE86" s="453"/>
      <c r="AF86" s="48">
        <f t="shared" si="61"/>
        <v>-111.81818181818039</v>
      </c>
      <c r="AG86" s="457">
        <f t="shared" si="62"/>
        <v>0.92234848484848586</v>
      </c>
      <c r="AH86" s="672"/>
    </row>
    <row r="87" spans="1:34" ht="19.2" customHeight="1">
      <c r="A87" s="700"/>
      <c r="B87" s="110" t="s">
        <v>181</v>
      </c>
      <c r="C87" s="97"/>
      <c r="D87" s="189" t="s">
        <v>93</v>
      </c>
      <c r="E87" s="43"/>
      <c r="F87" s="368">
        <v>53.36</v>
      </c>
      <c r="G87" s="44">
        <v>977.02</v>
      </c>
      <c r="H87" s="84">
        <f t="shared" si="54"/>
        <v>52133.787199999999</v>
      </c>
      <c r="I87" s="455">
        <v>1</v>
      </c>
      <c r="J87" s="87">
        <v>19</v>
      </c>
      <c r="K87" s="57">
        <v>1440</v>
      </c>
      <c r="L87" s="86">
        <v>75.78947368421052</v>
      </c>
      <c r="M87" s="464">
        <v>19</v>
      </c>
      <c r="N87" s="57">
        <f t="shared" si="55"/>
        <v>1221.2750000000003</v>
      </c>
      <c r="O87" s="186">
        <f t="shared" si="56"/>
        <v>64.277631578947378</v>
      </c>
      <c r="P87" s="54">
        <f t="shared" si="57"/>
        <v>0</v>
      </c>
      <c r="Q87" s="88">
        <f t="shared" si="58"/>
        <v>-11.511842105263142</v>
      </c>
      <c r="R87" s="188">
        <f t="shared" si="59"/>
        <v>0.84810763888888907</v>
      </c>
      <c r="S87" s="672"/>
      <c r="T87" s="50">
        <v>0.64930555555555536</v>
      </c>
      <c r="U87" s="50">
        <v>0.68263888888888868</v>
      </c>
      <c r="V87" s="455">
        <v>21</v>
      </c>
      <c r="W87" s="466">
        <f t="shared" si="60"/>
        <v>47.999999999999986</v>
      </c>
      <c r="X87" s="53">
        <v>0.6381944444444444</v>
      </c>
      <c r="Y87" s="53">
        <v>0.64652777777777781</v>
      </c>
      <c r="Z87" s="54"/>
      <c r="AA87" s="54"/>
      <c r="AB87" s="658"/>
      <c r="AC87" s="658"/>
      <c r="AD87" s="453"/>
      <c r="AE87" s="453"/>
      <c r="AF87" s="48">
        <f t="shared" si="61"/>
        <v>-218.72499999999968</v>
      </c>
      <c r="AG87" s="457">
        <f t="shared" si="62"/>
        <v>0.84810763888888907</v>
      </c>
      <c r="AH87" s="672"/>
    </row>
    <row r="88" spans="1:34" ht="19.2" customHeight="1">
      <c r="A88" s="700"/>
      <c r="B88" s="110">
        <v>0</v>
      </c>
      <c r="C88" s="462"/>
      <c r="D88" s="189"/>
      <c r="E88" s="43"/>
      <c r="F88" s="368" t="s">
        <v>186</v>
      </c>
      <c r="G88" s="57"/>
      <c r="H88" s="84">
        <f t="shared" si="54"/>
        <v>0</v>
      </c>
      <c r="I88" s="455"/>
      <c r="J88" s="87"/>
      <c r="K88" s="57"/>
      <c r="L88" s="86"/>
      <c r="M88" s="464"/>
      <c r="N88" s="57"/>
      <c r="O88" s="186"/>
      <c r="P88" s="54"/>
      <c r="Q88" s="88"/>
      <c r="R88" s="188"/>
      <c r="S88" s="672"/>
      <c r="T88" s="50"/>
      <c r="U88" s="50"/>
      <c r="V88" s="455"/>
      <c r="W88" s="466"/>
      <c r="X88" s="53"/>
      <c r="Y88" s="53"/>
      <c r="Z88" s="54"/>
      <c r="AA88" s="54"/>
      <c r="AB88" s="658"/>
      <c r="AC88" s="658"/>
      <c r="AD88" s="453"/>
      <c r="AE88" s="453"/>
      <c r="AF88" s="48">
        <f t="shared" si="61"/>
        <v>0</v>
      </c>
      <c r="AG88" s="457" t="e">
        <f t="shared" si="62"/>
        <v>#DIV/0!</v>
      </c>
      <c r="AH88" s="672"/>
    </row>
    <row r="89" spans="1:34" ht="19.2" customHeight="1">
      <c r="A89" s="700"/>
      <c r="B89" s="110">
        <v>0</v>
      </c>
      <c r="C89" s="462"/>
      <c r="D89" s="42"/>
      <c r="E89" s="43"/>
      <c r="F89" s="368" t="s">
        <v>186</v>
      </c>
      <c r="G89" s="115"/>
      <c r="H89" s="84">
        <f t="shared" si="54"/>
        <v>0</v>
      </c>
      <c r="I89" s="455"/>
      <c r="J89" s="87"/>
      <c r="K89" s="57"/>
      <c r="L89" s="86"/>
      <c r="M89" s="464"/>
      <c r="N89" s="57"/>
      <c r="O89" s="186"/>
      <c r="P89" s="54"/>
      <c r="Q89" s="88"/>
      <c r="R89" s="188"/>
      <c r="S89" s="672"/>
      <c r="T89" s="50"/>
      <c r="U89" s="50"/>
      <c r="V89" s="455"/>
      <c r="W89" s="466"/>
      <c r="X89" s="53"/>
      <c r="Y89" s="53"/>
      <c r="Z89" s="54"/>
      <c r="AA89" s="54"/>
      <c r="AB89" s="658"/>
      <c r="AC89" s="658"/>
      <c r="AD89" s="453"/>
      <c r="AE89" s="453"/>
      <c r="AF89" s="48">
        <f t="shared" si="61"/>
        <v>0</v>
      </c>
      <c r="AG89" s="457" t="e">
        <f t="shared" si="62"/>
        <v>#DIV/0!</v>
      </c>
      <c r="AH89" s="672"/>
    </row>
    <row r="90" spans="1:34" ht="19.2" customHeight="1">
      <c r="A90" s="700"/>
      <c r="B90" s="110">
        <v>0</v>
      </c>
      <c r="C90" s="462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64"/>
      <c r="N90" s="57"/>
      <c r="O90" s="186"/>
      <c r="P90" s="54"/>
      <c r="Q90" s="88"/>
      <c r="R90" s="188"/>
      <c r="S90" s="672"/>
      <c r="T90" s="50"/>
      <c r="U90" s="50"/>
      <c r="V90" s="455"/>
      <c r="W90" s="466"/>
      <c r="X90" s="191"/>
      <c r="Y90" s="191"/>
      <c r="Z90" s="54"/>
      <c r="AA90" s="54"/>
      <c r="AB90" s="658"/>
      <c r="AC90" s="658"/>
      <c r="AD90" s="453"/>
      <c r="AE90" s="453"/>
      <c r="AF90" s="48">
        <f t="shared" si="61"/>
        <v>0</v>
      </c>
      <c r="AG90" s="457" t="e">
        <f t="shared" si="62"/>
        <v>#DIV/0!</v>
      </c>
      <c r="AH90" s="672"/>
    </row>
    <row r="91" spans="1:34" ht="19.2" customHeight="1">
      <c r="A91" s="700"/>
      <c r="B91" s="110">
        <v>0</v>
      </c>
      <c r="C91" s="462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64" t="s">
        <v>30</v>
      </c>
      <c r="N91" s="57"/>
      <c r="O91" s="186"/>
      <c r="P91" s="54"/>
      <c r="Q91" s="88"/>
      <c r="R91" s="188"/>
      <c r="S91" s="673"/>
      <c r="T91" s="50"/>
      <c r="U91" s="50"/>
      <c r="V91" s="455"/>
      <c r="W91" s="466">
        <f t="shared" si="60"/>
        <v>0</v>
      </c>
      <c r="X91" s="116"/>
      <c r="Y91" s="116"/>
      <c r="Z91" s="54"/>
      <c r="AA91" s="54"/>
      <c r="AB91" s="658"/>
      <c r="AC91" s="658"/>
      <c r="AD91" s="453"/>
      <c r="AE91" s="453"/>
      <c r="AF91" s="48">
        <f t="shared" si="61"/>
        <v>0</v>
      </c>
      <c r="AG91" s="457" t="e">
        <f t="shared" si="62"/>
        <v>#DIV/0!</v>
      </c>
      <c r="AH91" s="673"/>
    </row>
    <row r="92" spans="1:34" ht="19.2" customHeight="1">
      <c r="A92" s="700"/>
      <c r="B92" s="110">
        <v>0</v>
      </c>
      <c r="C92" s="462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460"/>
      <c r="S92" s="673"/>
      <c r="T92" s="50"/>
      <c r="U92" s="50"/>
      <c r="V92" s="455"/>
      <c r="W92" s="466"/>
      <c r="X92" s="183"/>
      <c r="Y92" s="183"/>
      <c r="Z92" s="125"/>
      <c r="AA92" s="125"/>
      <c r="AB92" s="658"/>
      <c r="AC92" s="658"/>
      <c r="AD92" s="453"/>
      <c r="AE92" s="453"/>
      <c r="AF92" s="48">
        <f t="shared" si="61"/>
        <v>0</v>
      </c>
      <c r="AG92" s="457" t="e">
        <f t="shared" si="62"/>
        <v>#DIV/0!</v>
      </c>
      <c r="AH92" s="673"/>
    </row>
    <row r="93" spans="1:34" ht="19.2" customHeight="1">
      <c r="A93" s="700"/>
      <c r="B93" s="468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64"/>
      <c r="N93" s="57"/>
      <c r="O93" s="86"/>
      <c r="P93" s="54"/>
      <c r="Q93" s="88"/>
      <c r="R93" s="454"/>
      <c r="S93" s="701"/>
      <c r="T93" s="63"/>
      <c r="U93" s="63"/>
      <c r="V93" s="468"/>
      <c r="W93" s="466">
        <f t="shared" si="60"/>
        <v>0</v>
      </c>
      <c r="X93" s="200"/>
      <c r="Y93" s="200"/>
      <c r="Z93" s="125"/>
      <c r="AA93" s="125"/>
      <c r="AB93" s="658"/>
      <c r="AC93" s="658"/>
      <c r="AD93" s="453"/>
      <c r="AE93" s="453"/>
      <c r="AF93" s="48">
        <f t="shared" si="61"/>
        <v>0</v>
      </c>
      <c r="AG93" s="457" t="e">
        <f t="shared" si="62"/>
        <v>#DIV/0!</v>
      </c>
      <c r="AH93" s="673"/>
    </row>
    <row r="94" spans="1:34" ht="19.2" customHeight="1">
      <c r="A94" s="700"/>
      <c r="B94" s="468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54"/>
      <c r="S94" s="701"/>
      <c r="T94" s="63"/>
      <c r="U94" s="63"/>
      <c r="V94" s="468"/>
      <c r="W94" s="466">
        <f>(U94-T94)*24*60</f>
        <v>0</v>
      </c>
      <c r="X94" s="200"/>
      <c r="Y94" s="200"/>
      <c r="Z94" s="125"/>
      <c r="AA94" s="125"/>
      <c r="AB94" s="658"/>
      <c r="AC94" s="658"/>
      <c r="AD94" s="453"/>
      <c r="AE94" s="453"/>
      <c r="AF94" s="48">
        <f t="shared" si="61"/>
        <v>0</v>
      </c>
      <c r="AG94" s="457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20</v>
      </c>
      <c r="D95" s="687" t="s">
        <v>245</v>
      </c>
      <c r="E95" s="687"/>
      <c r="F95" s="362"/>
      <c r="G95" s="70"/>
      <c r="H95" s="204"/>
      <c r="I95" s="103"/>
      <c r="J95" s="205">
        <v>18.600000000000001</v>
      </c>
      <c r="K95" s="205">
        <v>1441</v>
      </c>
      <c r="L95" s="206">
        <v>77.529239766081872</v>
      </c>
      <c r="M95" s="205">
        <f t="shared" ref="M95:O95" si="63">AVERAGE(M83:M94)</f>
        <v>18.399999999999999</v>
      </c>
      <c r="N95" s="205">
        <f t="shared" si="63"/>
        <v>1304.8151066230064</v>
      </c>
      <c r="O95" s="206">
        <f t="shared" si="63"/>
        <v>71.001371997922064</v>
      </c>
      <c r="P95" s="207">
        <f>M95-J95</f>
        <v>-0.20000000000000284</v>
      </c>
      <c r="Q95" s="208">
        <f t="shared" ref="Q95:Q101" si="64">O95-L95</f>
        <v>-6.5278677681598083</v>
      </c>
      <c r="R95" s="209">
        <f>O95/L95</f>
        <v>0.91580121528528557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0</v>
      </c>
      <c r="AF95" s="65">
        <f t="shared" si="61"/>
        <v>-136.18489337699361</v>
      </c>
      <c r="AG95" s="458">
        <f t="shared" si="62"/>
        <v>0.9054927873858476</v>
      </c>
      <c r="AH95" s="673"/>
    </row>
    <row r="96" spans="1:34" ht="19.2" customHeight="1">
      <c r="A96" s="702" t="s">
        <v>249</v>
      </c>
      <c r="B96" s="455" t="s">
        <v>183</v>
      </c>
      <c r="C96" s="97"/>
      <c r="D96" s="42" t="s">
        <v>250</v>
      </c>
      <c r="E96" s="43"/>
      <c r="F96" s="361">
        <v>36.92</v>
      </c>
      <c r="G96" s="44">
        <v>2150</v>
      </c>
      <c r="H96" s="45">
        <f t="shared" ref="H96:H106" si="65">F96*G96</f>
        <v>79378</v>
      </c>
      <c r="I96" s="455"/>
      <c r="J96" s="46">
        <v>6</v>
      </c>
      <c r="K96" s="44">
        <v>1636</v>
      </c>
      <c r="L96" s="47">
        <v>272.66666666666669</v>
      </c>
      <c r="M96" s="467">
        <v>6</v>
      </c>
      <c r="N96" s="44">
        <f t="shared" ref="N96:N101" si="66">G96/W96*60</f>
        <v>1554.2168674698789</v>
      </c>
      <c r="O96" s="47">
        <f t="shared" ref="O96:O101" si="67">N96/M96</f>
        <v>259.03614457831316</v>
      </c>
      <c r="P96" s="48">
        <f t="shared" ref="P96:P101" si="68">M96-J96</f>
        <v>0</v>
      </c>
      <c r="Q96" s="49">
        <f t="shared" si="64"/>
        <v>-13.63052208835353</v>
      </c>
      <c r="R96" s="457">
        <f t="shared" ref="R96:R101" si="69">O96/L96</f>
        <v>0.95001031018941251</v>
      </c>
      <c r="S96" s="672">
        <f>R108</f>
        <v>0.92065200164860561</v>
      </c>
      <c r="T96" s="89">
        <v>0.33333333333333331</v>
      </c>
      <c r="U96" s="89">
        <v>0.39097222222222222</v>
      </c>
      <c r="V96" s="453">
        <v>5</v>
      </c>
      <c r="W96" s="90">
        <f t="shared" ref="W96:W122" si="70">(U96-T96)*24*60</f>
        <v>83.000000000000028</v>
      </c>
      <c r="X96" s="96"/>
      <c r="Y96" s="96"/>
      <c r="Z96" s="54"/>
      <c r="AA96" s="54"/>
      <c r="AB96" s="658"/>
      <c r="AC96" s="658"/>
      <c r="AD96" s="453"/>
      <c r="AE96" s="453"/>
      <c r="AF96" s="54">
        <f t="shared" si="61"/>
        <v>-81.783132530121065</v>
      </c>
      <c r="AG96" s="454">
        <f t="shared" si="62"/>
        <v>0.95001031018941251</v>
      </c>
      <c r="AH96" s="681">
        <f>AG108</f>
        <v>0.91053005550304611</v>
      </c>
    </row>
    <row r="97" spans="1:34" s="218" customFormat="1" ht="19.2" customHeight="1">
      <c r="A97" s="702"/>
      <c r="B97" s="455" t="s">
        <v>183</v>
      </c>
      <c r="C97" s="210"/>
      <c r="D97" s="211" t="s">
        <v>83</v>
      </c>
      <c r="E97" s="56"/>
      <c r="F97" s="372">
        <v>29.113149847094796</v>
      </c>
      <c r="G97" s="212">
        <v>3117</v>
      </c>
      <c r="H97" s="213">
        <f t="shared" si="65"/>
        <v>90745.688073394485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1416.8181818181818</v>
      </c>
      <c r="O97" s="47">
        <f t="shared" si="67"/>
        <v>70.840909090909093</v>
      </c>
      <c r="P97" s="48">
        <f t="shared" si="68"/>
        <v>0</v>
      </c>
      <c r="Q97" s="49">
        <f t="shared" si="64"/>
        <v>-4.1590909090909065</v>
      </c>
      <c r="R97" s="457">
        <f t="shared" si="69"/>
        <v>0.94454545454545458</v>
      </c>
      <c r="S97" s="672"/>
      <c r="T97" s="214">
        <v>0.40625</v>
      </c>
      <c r="U97" s="214">
        <v>0.49791666666666667</v>
      </c>
      <c r="V97" s="215">
        <v>22</v>
      </c>
      <c r="W97" s="90">
        <f t="shared" si="70"/>
        <v>132</v>
      </c>
      <c r="X97" s="53">
        <v>0.39444444444444443</v>
      </c>
      <c r="Y97" s="53">
        <v>0.40347222222222223</v>
      </c>
      <c r="Z97" s="54"/>
      <c r="AA97" s="54"/>
      <c r="AB97" s="658"/>
      <c r="AC97" s="658"/>
      <c r="AD97" s="215"/>
      <c r="AE97" s="215"/>
      <c r="AF97" s="216">
        <f t="shared" si="61"/>
        <v>-83.181818181818244</v>
      </c>
      <c r="AG97" s="217">
        <f t="shared" si="62"/>
        <v>0.94454545454545447</v>
      </c>
      <c r="AH97" s="681"/>
    </row>
    <row r="98" spans="1:34" s="221" customFormat="1" ht="19.2" customHeight="1">
      <c r="A98" s="702"/>
      <c r="B98" s="455" t="s">
        <v>181</v>
      </c>
      <c r="C98" s="55"/>
      <c r="D98" s="42" t="s">
        <v>76</v>
      </c>
      <c r="E98" s="83"/>
      <c r="F98" s="372">
        <v>77.34</v>
      </c>
      <c r="G98" s="57">
        <v>748</v>
      </c>
      <c r="H98" s="213">
        <f t="shared" si="65"/>
        <v>57850.32</v>
      </c>
      <c r="I98" s="453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1282.2857142857129</v>
      </c>
      <c r="O98" s="47">
        <f t="shared" si="67"/>
        <v>71.238095238095156</v>
      </c>
      <c r="P98" s="48">
        <f t="shared" si="68"/>
        <v>0</v>
      </c>
      <c r="Q98" s="49">
        <f t="shared" si="64"/>
        <v>-8.7619047619048445</v>
      </c>
      <c r="R98" s="457">
        <f t="shared" si="69"/>
        <v>0.89047619047618942</v>
      </c>
      <c r="S98" s="672"/>
      <c r="T98" s="89">
        <v>0.53819444444444442</v>
      </c>
      <c r="U98" s="89">
        <v>0.5625</v>
      </c>
      <c r="V98" s="453">
        <v>5</v>
      </c>
      <c r="W98" s="90">
        <f t="shared" si="70"/>
        <v>35.000000000000036</v>
      </c>
      <c r="X98" s="219"/>
      <c r="Y98" s="219"/>
      <c r="Z98" s="220"/>
      <c r="AA98" s="220"/>
      <c r="AB98" s="658"/>
      <c r="AC98" s="658"/>
      <c r="AD98" s="453"/>
      <c r="AE98" s="453"/>
      <c r="AF98" s="54">
        <f t="shared" si="61"/>
        <v>-157.71428571428714</v>
      </c>
      <c r="AG98" s="454">
        <f t="shared" si="62"/>
        <v>0.89047619047618953</v>
      </c>
      <c r="AH98" s="681"/>
    </row>
    <row r="99" spans="1:34" ht="19.2" customHeight="1">
      <c r="A99" s="702"/>
      <c r="B99" s="455" t="s">
        <v>181</v>
      </c>
      <c r="C99" s="81"/>
      <c r="D99" s="82" t="s">
        <v>74</v>
      </c>
      <c r="E99" s="83"/>
      <c r="F99" s="372">
        <v>59.34</v>
      </c>
      <c r="G99" s="57">
        <v>814</v>
      </c>
      <c r="H99" s="213">
        <f t="shared" si="65"/>
        <v>48302.76</v>
      </c>
      <c r="I99" s="453"/>
      <c r="J99" s="46">
        <v>17</v>
      </c>
      <c r="K99" s="44">
        <v>1440</v>
      </c>
      <c r="L99" s="47">
        <v>84.705882352941174</v>
      </c>
      <c r="M99" s="467">
        <v>17</v>
      </c>
      <c r="N99" s="44">
        <f t="shared" si="66"/>
        <v>1285.2631578947357</v>
      </c>
      <c r="O99" s="47">
        <f t="shared" si="67"/>
        <v>75.603715170278576</v>
      </c>
      <c r="P99" s="48">
        <f t="shared" si="68"/>
        <v>0</v>
      </c>
      <c r="Q99" s="49">
        <f t="shared" si="64"/>
        <v>-9.1021671826625976</v>
      </c>
      <c r="R99" s="457">
        <f t="shared" si="69"/>
        <v>0.89254385964912208</v>
      </c>
      <c r="S99" s="672"/>
      <c r="T99" s="89">
        <v>0.56666666666666665</v>
      </c>
      <c r="U99" s="89">
        <v>0.59305555555555556</v>
      </c>
      <c r="V99" s="453">
        <v>6</v>
      </c>
      <c r="W99" s="90">
        <f t="shared" si="70"/>
        <v>38.000000000000028</v>
      </c>
      <c r="X99" s="183"/>
      <c r="Y99" s="183"/>
      <c r="Z99" s="125"/>
      <c r="AA99" s="125"/>
      <c r="AB99" s="658"/>
      <c r="AC99" s="658"/>
      <c r="AD99" s="453"/>
      <c r="AE99" s="453"/>
      <c r="AF99" s="216">
        <f t="shared" si="61"/>
        <v>-154.73684210526426</v>
      </c>
      <c r="AG99" s="217">
        <f t="shared" si="62"/>
        <v>0.89254385964912208</v>
      </c>
      <c r="AH99" s="681"/>
    </row>
    <row r="100" spans="1:34" s="221" customFormat="1" ht="19.2" customHeight="1">
      <c r="A100" s="702"/>
      <c r="B100" s="455" t="s">
        <v>181</v>
      </c>
      <c r="C100" s="55"/>
      <c r="D100" s="42" t="s">
        <v>75</v>
      </c>
      <c r="E100" s="83"/>
      <c r="F100" s="372">
        <v>71.55</v>
      </c>
      <c r="G100" s="57">
        <v>916</v>
      </c>
      <c r="H100" s="213">
        <f t="shared" si="65"/>
        <v>65539.8</v>
      </c>
      <c r="I100" s="453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1221.3333333333333</v>
      </c>
      <c r="O100" s="47">
        <f t="shared" si="67"/>
        <v>67.851851851851848</v>
      </c>
      <c r="P100" s="48">
        <f t="shared" si="68"/>
        <v>0</v>
      </c>
      <c r="Q100" s="49">
        <f t="shared" si="64"/>
        <v>-9.0925925925925952</v>
      </c>
      <c r="R100" s="457">
        <f t="shared" si="69"/>
        <v>0.88182912154031279</v>
      </c>
      <c r="S100" s="672"/>
      <c r="T100" s="214">
        <v>0.59791666666666665</v>
      </c>
      <c r="U100" s="214">
        <v>0.62916666666666665</v>
      </c>
      <c r="V100" s="215">
        <v>7</v>
      </c>
      <c r="W100" s="90">
        <f t="shared" si="70"/>
        <v>45</v>
      </c>
      <c r="X100" s="222"/>
      <c r="Y100" s="222"/>
      <c r="Z100" s="220"/>
      <c r="AA100" s="220"/>
      <c r="AB100" s="658"/>
      <c r="AC100" s="658"/>
      <c r="AD100" s="453"/>
      <c r="AE100" s="453"/>
      <c r="AF100" s="54">
        <f t="shared" si="61"/>
        <v>-163.66666666666674</v>
      </c>
      <c r="AG100" s="454">
        <f t="shared" si="62"/>
        <v>0.88182912154031279</v>
      </c>
      <c r="AH100" s="681"/>
    </row>
    <row r="101" spans="1:34" s="221" customFormat="1" ht="19.2" customHeight="1">
      <c r="A101" s="702"/>
      <c r="B101" s="455" t="s">
        <v>185</v>
      </c>
      <c r="C101" s="55"/>
      <c r="D101" s="82" t="s">
        <v>270</v>
      </c>
      <c r="E101" s="83"/>
      <c r="F101" s="372">
        <v>54.09</v>
      </c>
      <c r="G101" s="57">
        <v>1456.77</v>
      </c>
      <c r="H101" s="213">
        <f t="shared" si="65"/>
        <v>78796.689299999998</v>
      </c>
      <c r="I101" s="453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6"/>
        <v>1344.7107692307707</v>
      </c>
      <c r="O101" s="47">
        <f t="shared" si="67"/>
        <v>74.706153846153924</v>
      </c>
      <c r="P101" s="48">
        <f t="shared" si="68"/>
        <v>0</v>
      </c>
      <c r="Q101" s="49">
        <f t="shared" si="64"/>
        <v>-8.6271794871794043</v>
      </c>
      <c r="R101" s="457">
        <f t="shared" si="69"/>
        <v>0.89647384615384718</v>
      </c>
      <c r="S101" s="672"/>
      <c r="T101" s="214">
        <v>0.63472222222222219</v>
      </c>
      <c r="U101" s="89">
        <v>0.67986111111111103</v>
      </c>
      <c r="V101" s="215">
        <v>8</v>
      </c>
      <c r="W101" s="90">
        <f t="shared" si="70"/>
        <v>64.999999999999929</v>
      </c>
      <c r="X101" s="223"/>
      <c r="Y101" s="223"/>
      <c r="Z101" s="220"/>
      <c r="AA101" s="220"/>
      <c r="AB101" s="658"/>
      <c r="AC101" s="658"/>
      <c r="AD101" s="453"/>
      <c r="AE101" s="453"/>
      <c r="AF101" s="216">
        <f t="shared" si="61"/>
        <v>-155.28923076922933</v>
      </c>
      <c r="AG101" s="217">
        <f t="shared" si="62"/>
        <v>0.89647384615384706</v>
      </c>
      <c r="AH101" s="681"/>
    </row>
    <row r="102" spans="1:34" s="221" customFormat="1" ht="19.2" customHeight="1">
      <c r="A102" s="702"/>
      <c r="B102" s="455">
        <v>0</v>
      </c>
      <c r="C102" s="178"/>
      <c r="D102" s="179"/>
      <c r="E102" s="180"/>
      <c r="F102" s="372" t="s">
        <v>186</v>
      </c>
      <c r="G102" s="57"/>
      <c r="H102" s="213">
        <f t="shared" si="65"/>
        <v>0</v>
      </c>
      <c r="I102" s="455"/>
      <c r="J102" s="46"/>
      <c r="K102" s="44"/>
      <c r="L102" s="47"/>
      <c r="M102" s="87"/>
      <c r="N102" s="44"/>
      <c r="O102" s="47"/>
      <c r="P102" s="48"/>
      <c r="Q102" s="49"/>
      <c r="R102" s="457"/>
      <c r="S102" s="672"/>
      <c r="T102" s="214"/>
      <c r="U102" s="214"/>
      <c r="V102" s="215"/>
      <c r="W102" s="90"/>
      <c r="X102" s="223"/>
      <c r="Y102" s="223"/>
      <c r="Z102" s="220"/>
      <c r="AA102" s="220"/>
      <c r="AB102" s="658"/>
      <c r="AC102" s="658"/>
      <c r="AD102" s="453"/>
      <c r="AE102" s="453"/>
      <c r="AF102" s="54">
        <f t="shared" si="61"/>
        <v>0</v>
      </c>
      <c r="AG102" s="454" t="e">
        <f t="shared" si="62"/>
        <v>#DIV/0!</v>
      </c>
      <c r="AH102" s="681"/>
    </row>
    <row r="103" spans="1:34" s="221" customFormat="1" ht="19.2" customHeight="1">
      <c r="A103" s="702"/>
      <c r="B103" s="455">
        <v>0</v>
      </c>
      <c r="C103" s="224"/>
      <c r="D103" s="82"/>
      <c r="E103" s="83"/>
      <c r="F103" s="372" t="s">
        <v>186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57"/>
      <c r="S103" s="672"/>
      <c r="T103" s="214"/>
      <c r="U103" s="214"/>
      <c r="V103" s="215"/>
      <c r="W103" s="90"/>
      <c r="X103" s="223"/>
      <c r="Y103" s="223"/>
      <c r="Z103" s="220"/>
      <c r="AA103" s="220"/>
      <c r="AB103" s="658"/>
      <c r="AC103" s="658"/>
      <c r="AD103" s="453"/>
      <c r="AE103" s="453"/>
      <c r="AF103" s="216">
        <f t="shared" si="61"/>
        <v>0</v>
      </c>
      <c r="AG103" s="217" t="e">
        <f t="shared" si="62"/>
        <v>#DIV/0!</v>
      </c>
      <c r="AH103" s="681"/>
    </row>
    <row r="104" spans="1:34" s="221" customFormat="1" ht="19.2" customHeight="1">
      <c r="A104" s="702"/>
      <c r="B104" s="455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57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453"/>
      <c r="AE104" s="453"/>
      <c r="AF104" s="54">
        <f t="shared" si="61"/>
        <v>0</v>
      </c>
      <c r="AG104" s="454" t="e">
        <f t="shared" si="62"/>
        <v>#DIV/0!</v>
      </c>
      <c r="AH104" s="681"/>
    </row>
    <row r="105" spans="1:34" s="221" customFormat="1" ht="19.2" customHeight="1">
      <c r="A105" s="702"/>
      <c r="B105" s="455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57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453"/>
      <c r="AE105" s="453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55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54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453"/>
      <c r="AE106" s="453"/>
      <c r="AF106" s="220"/>
      <c r="AG106" s="454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54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453"/>
      <c r="AE107" s="453"/>
      <c r="AF107" s="220"/>
      <c r="AG107" s="454"/>
      <c r="AH107" s="681"/>
    </row>
    <row r="108" spans="1:34" ht="19.2" customHeight="1">
      <c r="A108" s="702"/>
      <c r="B108" s="110">
        <v>0</v>
      </c>
      <c r="C108" s="100" t="s">
        <v>21</v>
      </c>
      <c r="D108" s="687" t="s">
        <v>245</v>
      </c>
      <c r="E108" s="687"/>
      <c r="F108" s="373"/>
      <c r="G108" s="101"/>
      <c r="H108" s="102"/>
      <c r="I108" s="103"/>
      <c r="J108" s="101">
        <v>16.166666666666668</v>
      </c>
      <c r="K108" s="101">
        <v>1483.5</v>
      </c>
      <c r="L108" s="104">
        <v>112.10838779956428</v>
      </c>
      <c r="M108" s="101">
        <f t="shared" ref="M108:O108" si="71">AVERAGE(M96:M107)</f>
        <v>16.166666666666668</v>
      </c>
      <c r="N108" s="101">
        <f t="shared" si="71"/>
        <v>1350.7713373387689</v>
      </c>
      <c r="O108" s="104">
        <f t="shared" si="71"/>
        <v>103.21281162926698</v>
      </c>
      <c r="P108" s="54">
        <f t="shared" ref="P108:P116" si="72">M108-J108</f>
        <v>0</v>
      </c>
      <c r="Q108" s="88">
        <f t="shared" ref="Q108:Q116" si="73">O108-L108</f>
        <v>-8.8955761702973035</v>
      </c>
      <c r="R108" s="105">
        <f t="shared" ref="R108:R116" si="74">O108/L108</f>
        <v>0.92065200164860561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0</v>
      </c>
      <c r="AE108" s="107">
        <f>SUM(AE96:AE107)</f>
        <v>0</v>
      </c>
      <c r="AF108" s="54">
        <f t="shared" si="61"/>
        <v>-132.72866266123106</v>
      </c>
      <c r="AG108" s="454">
        <f t="shared" si="62"/>
        <v>0.91053005550304611</v>
      </c>
      <c r="AH108" s="681"/>
    </row>
    <row r="109" spans="1:34" ht="19.2" customHeight="1">
      <c r="A109" s="703" t="s">
        <v>251</v>
      </c>
      <c r="B109" s="455" t="s">
        <v>185</v>
      </c>
      <c r="C109" s="462"/>
      <c r="D109" s="179" t="s">
        <v>104</v>
      </c>
      <c r="E109" s="43"/>
      <c r="F109" s="361">
        <v>51.75</v>
      </c>
      <c r="G109" s="44">
        <v>998</v>
      </c>
      <c r="H109" s="45">
        <f t="shared" ref="H109:H119" si="75">F109*G109</f>
        <v>51646.5</v>
      </c>
      <c r="I109" s="455"/>
      <c r="J109" s="46">
        <v>21</v>
      </c>
      <c r="K109" s="44">
        <v>1500</v>
      </c>
      <c r="L109" s="47">
        <v>71.428571428571431</v>
      </c>
      <c r="M109" s="467">
        <v>21</v>
      </c>
      <c r="N109" s="44">
        <f t="shared" ref="N109:N116" si="76">G109/W109*60</f>
        <v>1360.909090909091</v>
      </c>
      <c r="O109" s="47">
        <f t="shared" ref="O109:O116" si="77">N109/M109</f>
        <v>64.805194805194816</v>
      </c>
      <c r="P109" s="48">
        <f t="shared" si="72"/>
        <v>0</v>
      </c>
      <c r="Q109" s="49">
        <f t="shared" si="73"/>
        <v>-6.6233766233766147</v>
      </c>
      <c r="R109" s="457">
        <f t="shared" si="74"/>
        <v>0.90727272727272734</v>
      </c>
      <c r="S109" s="706">
        <f>R121</f>
        <v>0.85836194293447765</v>
      </c>
      <c r="T109" s="230">
        <v>0.5</v>
      </c>
      <c r="U109" s="230">
        <v>0.53055555555555556</v>
      </c>
      <c r="V109" s="231">
        <v>5</v>
      </c>
      <c r="W109" s="466">
        <f t="shared" si="70"/>
        <v>44</v>
      </c>
      <c r="X109" s="53"/>
      <c r="Y109" s="53"/>
      <c r="Z109" s="54"/>
      <c r="AA109" s="54"/>
      <c r="AB109" s="658"/>
      <c r="AC109" s="658"/>
      <c r="AD109" s="453"/>
      <c r="AE109" s="453"/>
      <c r="AF109" s="48">
        <f t="shared" si="61"/>
        <v>-139.09090909090901</v>
      </c>
      <c r="AG109" s="126">
        <f t="shared" si="62"/>
        <v>0.90727272727272734</v>
      </c>
      <c r="AH109" s="681">
        <f>AG121</f>
        <v>0.87178899665790233</v>
      </c>
    </row>
    <row r="110" spans="1:34" ht="19.2" customHeight="1">
      <c r="A110" s="704"/>
      <c r="B110" s="455" t="s">
        <v>185</v>
      </c>
      <c r="C110" s="178"/>
      <c r="D110" s="42" t="s">
        <v>103</v>
      </c>
      <c r="E110" s="180"/>
      <c r="F110" s="361">
        <v>56.43</v>
      </c>
      <c r="G110" s="177">
        <v>936</v>
      </c>
      <c r="H110" s="45">
        <f t="shared" si="75"/>
        <v>52818.48</v>
      </c>
      <c r="I110" s="455"/>
      <c r="J110" s="46">
        <v>18</v>
      </c>
      <c r="K110" s="44">
        <v>1500</v>
      </c>
      <c r="L110" s="47">
        <v>83.333333333333329</v>
      </c>
      <c r="M110" s="467">
        <v>18</v>
      </c>
      <c r="N110" s="44">
        <f t="shared" si="76"/>
        <v>1337.1428571428567</v>
      </c>
      <c r="O110" s="47">
        <f t="shared" si="77"/>
        <v>74.285714285714263</v>
      </c>
      <c r="P110" s="48">
        <f t="shared" si="72"/>
        <v>0</v>
      </c>
      <c r="Q110" s="49">
        <f t="shared" si="73"/>
        <v>-9.0476190476190652</v>
      </c>
      <c r="R110" s="457">
        <f t="shared" si="74"/>
        <v>0.89142857142857124</v>
      </c>
      <c r="S110" s="707"/>
      <c r="T110" s="230">
        <v>0.53541666666666665</v>
      </c>
      <c r="U110" s="230">
        <v>0.56458333333333333</v>
      </c>
      <c r="V110" s="231">
        <v>7</v>
      </c>
      <c r="W110" s="466">
        <f t="shared" si="70"/>
        <v>42.000000000000014</v>
      </c>
      <c r="X110" s="191"/>
      <c r="Y110" s="191"/>
      <c r="Z110" s="54"/>
      <c r="AA110" s="54"/>
      <c r="AB110" s="658"/>
      <c r="AC110" s="658"/>
      <c r="AD110" s="453"/>
      <c r="AE110" s="453"/>
      <c r="AF110" s="48">
        <f t="shared" si="61"/>
        <v>-162.85714285714334</v>
      </c>
      <c r="AG110" s="126">
        <f t="shared" si="62"/>
        <v>0.89142857142857113</v>
      </c>
      <c r="AH110" s="681"/>
    </row>
    <row r="111" spans="1:34" ht="19.2" customHeight="1">
      <c r="A111" s="704"/>
      <c r="B111" s="455" t="s">
        <v>185</v>
      </c>
      <c r="C111" s="178"/>
      <c r="D111" s="42" t="s">
        <v>308</v>
      </c>
      <c r="E111" s="180"/>
      <c r="F111" s="361">
        <v>50.67</v>
      </c>
      <c r="G111" s="57">
        <v>1795</v>
      </c>
      <c r="H111" s="45">
        <f t="shared" si="75"/>
        <v>90952.650000000009</v>
      </c>
      <c r="I111" s="455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1329.6296296296291</v>
      </c>
      <c r="O111" s="47">
        <f t="shared" si="77"/>
        <v>73.868312757201622</v>
      </c>
      <c r="P111" s="48">
        <f t="shared" si="72"/>
        <v>0</v>
      </c>
      <c r="Q111" s="49">
        <f t="shared" si="73"/>
        <v>-9.4650205761317068</v>
      </c>
      <c r="R111" s="457">
        <f t="shared" si="74"/>
        <v>0.88641975308641952</v>
      </c>
      <c r="S111" s="707"/>
      <c r="T111" s="230">
        <v>0.57986111111111105</v>
      </c>
      <c r="U111" s="230">
        <v>0.63611111111111107</v>
      </c>
      <c r="V111" s="231">
        <v>22</v>
      </c>
      <c r="W111" s="466">
        <f t="shared" si="70"/>
        <v>81.000000000000028</v>
      </c>
      <c r="X111" s="53">
        <v>0.56805555555555554</v>
      </c>
      <c r="Y111" s="53">
        <v>0.57708333333333328</v>
      </c>
      <c r="Z111" s="54"/>
      <c r="AA111" s="54"/>
      <c r="AB111" s="658"/>
      <c r="AC111" s="658"/>
      <c r="AD111" s="453"/>
      <c r="AE111" s="453"/>
      <c r="AF111" s="48">
        <f t="shared" si="61"/>
        <v>-170.37037037037089</v>
      </c>
      <c r="AG111" s="126">
        <f t="shared" si="62"/>
        <v>0.8864197530864194</v>
      </c>
      <c r="AH111" s="681"/>
    </row>
    <row r="112" spans="1:34" ht="19.2" customHeight="1">
      <c r="A112" s="704"/>
      <c r="B112" s="455" t="s">
        <v>185</v>
      </c>
      <c r="C112" s="178"/>
      <c r="D112" s="179" t="s">
        <v>106</v>
      </c>
      <c r="E112" s="180"/>
      <c r="F112" s="361">
        <v>55.32</v>
      </c>
      <c r="G112" s="57">
        <v>628</v>
      </c>
      <c r="H112" s="45">
        <f t="shared" si="75"/>
        <v>34740.959999999999</v>
      </c>
      <c r="I112" s="453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1255.9999999999977</v>
      </c>
      <c r="O112" s="47">
        <f t="shared" si="77"/>
        <v>83.733333333333178</v>
      </c>
      <c r="P112" s="48">
        <f t="shared" si="72"/>
        <v>1</v>
      </c>
      <c r="Q112" s="49">
        <f t="shared" si="73"/>
        <v>-19.123809523809683</v>
      </c>
      <c r="R112" s="457">
        <f t="shared" si="74"/>
        <v>0.81407407407407251</v>
      </c>
      <c r="S112" s="707"/>
      <c r="T112" s="230">
        <v>0.70833333333333337</v>
      </c>
      <c r="U112" s="230">
        <v>0.72916666666666674</v>
      </c>
      <c r="V112" s="231">
        <v>5</v>
      </c>
      <c r="W112" s="466">
        <f t="shared" si="70"/>
        <v>30.000000000000053</v>
      </c>
      <c r="X112" s="53"/>
      <c r="Y112" s="53"/>
      <c r="Z112" s="54"/>
      <c r="AA112" s="54"/>
      <c r="AB112" s="658"/>
      <c r="AC112" s="658"/>
      <c r="AD112" s="453"/>
      <c r="AE112" s="453"/>
      <c r="AF112" s="48">
        <f t="shared" si="61"/>
        <v>-184.00000000000227</v>
      </c>
      <c r="AG112" s="126">
        <f t="shared" si="62"/>
        <v>0.87222222222222068</v>
      </c>
      <c r="AH112" s="681"/>
    </row>
    <row r="113" spans="1:34" s="221" customFormat="1" ht="19.2" customHeight="1">
      <c r="A113" s="704"/>
      <c r="B113" s="455" t="s">
        <v>185</v>
      </c>
      <c r="C113" s="178"/>
      <c r="D113" s="179" t="s">
        <v>107</v>
      </c>
      <c r="E113" s="180"/>
      <c r="F113" s="361">
        <v>55.56</v>
      </c>
      <c r="G113" s="57">
        <v>815</v>
      </c>
      <c r="H113" s="45">
        <f t="shared" si="75"/>
        <v>45281.4</v>
      </c>
      <c r="I113" s="453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1286.842105263157</v>
      </c>
      <c r="O113" s="47">
        <f t="shared" si="77"/>
        <v>80.427631578947313</v>
      </c>
      <c r="P113" s="48">
        <f t="shared" si="72"/>
        <v>0</v>
      </c>
      <c r="Q113" s="49">
        <f t="shared" si="73"/>
        <v>-9.5723684210526869</v>
      </c>
      <c r="R113" s="457">
        <f t="shared" si="74"/>
        <v>0.8936403508771924</v>
      </c>
      <c r="S113" s="707"/>
      <c r="T113" s="230">
        <v>0.73402777777777783</v>
      </c>
      <c r="U113" s="230">
        <v>0.76041666666666674</v>
      </c>
      <c r="V113" s="231">
        <v>7</v>
      </c>
      <c r="W113" s="466">
        <f t="shared" si="70"/>
        <v>38.000000000000028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-153.15789473684299</v>
      </c>
      <c r="AG113" s="126">
        <f t="shared" si="62"/>
        <v>0.8936403508771924</v>
      </c>
      <c r="AH113" s="681"/>
    </row>
    <row r="114" spans="1:34" s="221" customFormat="1" ht="19.2" customHeight="1">
      <c r="A114" s="704"/>
      <c r="B114" s="455" t="s">
        <v>185</v>
      </c>
      <c r="C114" s="178"/>
      <c r="D114" s="179" t="s">
        <v>105</v>
      </c>
      <c r="E114" s="180"/>
      <c r="F114" s="361">
        <v>54.29</v>
      </c>
      <c r="G114" s="57">
        <v>727</v>
      </c>
      <c r="H114" s="45">
        <f t="shared" si="75"/>
        <v>39468.83</v>
      </c>
      <c r="I114" s="453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1282.9411764705865</v>
      </c>
      <c r="O114" s="47">
        <f t="shared" si="77"/>
        <v>85.52941176470577</v>
      </c>
      <c r="P114" s="48">
        <f t="shared" si="72"/>
        <v>0</v>
      </c>
      <c r="Q114" s="49">
        <f t="shared" si="73"/>
        <v>-10.47058823529423</v>
      </c>
      <c r="R114" s="457">
        <f t="shared" si="74"/>
        <v>0.89093137254901844</v>
      </c>
      <c r="S114" s="707"/>
      <c r="T114" s="230">
        <v>0.76527777777777783</v>
      </c>
      <c r="U114" s="230">
        <v>0.78888888888888897</v>
      </c>
      <c r="V114" s="231">
        <v>7</v>
      </c>
      <c r="W114" s="466">
        <f t="shared" si="70"/>
        <v>34.000000000000043</v>
      </c>
      <c r="X114" s="219"/>
      <c r="Y114" s="219"/>
      <c r="Z114" s="220"/>
      <c r="AA114" s="220"/>
      <c r="AB114" s="658"/>
      <c r="AC114" s="658"/>
      <c r="AD114" s="224"/>
      <c r="AE114" s="224"/>
      <c r="AF114" s="48">
        <f t="shared" si="61"/>
        <v>-157.05882352941353</v>
      </c>
      <c r="AG114" s="126">
        <f t="shared" si="62"/>
        <v>0.89093137254901833</v>
      </c>
      <c r="AH114" s="681"/>
    </row>
    <row r="115" spans="1:34" s="221" customFormat="1" ht="19.2" customHeight="1">
      <c r="A115" s="704"/>
      <c r="B115" s="455" t="s">
        <v>184</v>
      </c>
      <c r="C115" s="178"/>
      <c r="D115" s="179" t="s">
        <v>259</v>
      </c>
      <c r="E115" s="180"/>
      <c r="F115" s="361">
        <v>20.170000000000002</v>
      </c>
      <c r="G115" s="177">
        <v>260</v>
      </c>
      <c r="H115" s="45">
        <f t="shared" si="75"/>
        <v>5244.2000000000007</v>
      </c>
      <c r="I115" s="453"/>
      <c r="J115" s="46">
        <v>12</v>
      </c>
      <c r="K115" s="44">
        <v>1500</v>
      </c>
      <c r="L115" s="47">
        <v>125</v>
      </c>
      <c r="M115" s="467">
        <v>12</v>
      </c>
      <c r="N115" s="44">
        <f t="shared" si="76"/>
        <v>1200.0000000000043</v>
      </c>
      <c r="O115" s="47">
        <f t="shared" si="77"/>
        <v>100.00000000000036</v>
      </c>
      <c r="P115" s="48">
        <f t="shared" si="72"/>
        <v>0</v>
      </c>
      <c r="Q115" s="49">
        <f t="shared" si="73"/>
        <v>-24.999999999999645</v>
      </c>
      <c r="R115" s="457">
        <f t="shared" si="74"/>
        <v>0.80000000000000282</v>
      </c>
      <c r="S115" s="707"/>
      <c r="T115" s="230">
        <v>0.80347222222222225</v>
      </c>
      <c r="U115" s="230">
        <v>0.8125</v>
      </c>
      <c r="V115" s="231">
        <v>21</v>
      </c>
      <c r="W115" s="466">
        <f t="shared" si="70"/>
        <v>12.999999999999954</v>
      </c>
      <c r="X115" s="219">
        <v>0.79236111111111107</v>
      </c>
      <c r="Y115" s="219">
        <v>0.80069444444444438</v>
      </c>
      <c r="Z115" s="220"/>
      <c r="AA115" s="220"/>
      <c r="AB115" s="658"/>
      <c r="AC115" s="658"/>
      <c r="AD115" s="224"/>
      <c r="AE115" s="224">
        <v>2</v>
      </c>
      <c r="AF115" s="48">
        <f t="shared" si="61"/>
        <v>-299.99999999999568</v>
      </c>
      <c r="AG115" s="126">
        <f t="shared" si="62"/>
        <v>0.80000000000000293</v>
      </c>
      <c r="AH115" s="681"/>
    </row>
    <row r="116" spans="1:34" s="221" customFormat="1" ht="19.2" customHeight="1">
      <c r="A116" s="704"/>
      <c r="B116" s="455" t="s">
        <v>184</v>
      </c>
      <c r="C116" s="55"/>
      <c r="D116" s="82" t="s">
        <v>309</v>
      </c>
      <c r="E116" s="83"/>
      <c r="F116" s="361">
        <v>19.41</v>
      </c>
      <c r="G116" s="57">
        <v>1543</v>
      </c>
      <c r="H116" s="45">
        <f t="shared" si="75"/>
        <v>29949.63</v>
      </c>
      <c r="I116" s="453"/>
      <c r="J116" s="46">
        <v>12</v>
      </c>
      <c r="K116" s="44">
        <v>1500</v>
      </c>
      <c r="L116" s="47">
        <v>125</v>
      </c>
      <c r="M116" s="464">
        <v>12</v>
      </c>
      <c r="N116" s="44">
        <f t="shared" si="76"/>
        <v>1251.0810810810829</v>
      </c>
      <c r="O116" s="47">
        <f t="shared" si="77"/>
        <v>104.2567567567569</v>
      </c>
      <c r="P116" s="48">
        <f t="shared" si="72"/>
        <v>0</v>
      </c>
      <c r="Q116" s="49">
        <f t="shared" si="73"/>
        <v>-20.7432432432431</v>
      </c>
      <c r="R116" s="457">
        <f t="shared" si="74"/>
        <v>0.83405405405405519</v>
      </c>
      <c r="S116" s="707"/>
      <c r="T116" s="230">
        <v>0.81736111111111109</v>
      </c>
      <c r="U116" s="230">
        <v>0.86874999999999991</v>
      </c>
      <c r="V116" s="231">
        <v>7</v>
      </c>
      <c r="W116" s="466">
        <f t="shared" si="70"/>
        <v>73.999999999999901</v>
      </c>
      <c r="X116" s="219"/>
      <c r="Y116" s="219"/>
      <c r="Z116" s="220"/>
      <c r="AA116" s="220"/>
      <c r="AB116" s="658"/>
      <c r="AC116" s="658"/>
      <c r="AD116" s="224"/>
      <c r="AE116" s="224"/>
      <c r="AF116" s="48">
        <f t="shared" si="61"/>
        <v>-248.91891891891714</v>
      </c>
      <c r="AG116" s="126">
        <f t="shared" si="62"/>
        <v>0.83405405405405519</v>
      </c>
      <c r="AH116" s="681"/>
    </row>
    <row r="117" spans="1:34" s="221" customFormat="1" ht="19.2" customHeight="1">
      <c r="A117" s="704"/>
      <c r="B117" s="455">
        <v>0</v>
      </c>
      <c r="C117" s="55"/>
      <c r="D117" s="179"/>
      <c r="E117" s="83"/>
      <c r="F117" s="361" t="s">
        <v>186</v>
      </c>
      <c r="G117" s="57"/>
      <c r="H117" s="45">
        <f t="shared" si="75"/>
        <v>0</v>
      </c>
      <c r="I117" s="453"/>
      <c r="J117" s="46"/>
      <c r="K117" s="44"/>
      <c r="L117" s="47"/>
      <c r="M117" s="464"/>
      <c r="N117" s="44"/>
      <c r="O117" s="47"/>
      <c r="P117" s="48"/>
      <c r="Q117" s="49"/>
      <c r="R117" s="457"/>
      <c r="S117" s="707"/>
      <c r="T117" s="230"/>
      <c r="U117" s="230"/>
      <c r="V117" s="231"/>
      <c r="W117" s="466"/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0</v>
      </c>
      <c r="AG117" s="126" t="e">
        <f t="shared" si="62"/>
        <v>#DIV/0!</v>
      </c>
      <c r="AH117" s="681"/>
    </row>
    <row r="118" spans="1:34" s="221" customFormat="1" ht="19.2" customHeight="1">
      <c r="A118" s="704"/>
      <c r="B118" s="455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453"/>
      <c r="J118" s="46"/>
      <c r="K118" s="44"/>
      <c r="L118" s="47"/>
      <c r="M118" s="464"/>
      <c r="N118" s="44"/>
      <c r="O118" s="47"/>
      <c r="P118" s="48"/>
      <c r="Q118" s="49"/>
      <c r="R118" s="457"/>
      <c r="S118" s="707"/>
      <c r="T118" s="230"/>
      <c r="U118" s="230"/>
      <c r="V118" s="231"/>
      <c r="W118" s="466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453"/>
      <c r="J119" s="181"/>
      <c r="K119" s="235"/>
      <c r="L119" s="47"/>
      <c r="M119" s="464"/>
      <c r="N119" s="182"/>
      <c r="O119" s="228"/>
      <c r="P119" s="168"/>
      <c r="Q119" s="49"/>
      <c r="R119" s="457"/>
      <c r="S119" s="707"/>
      <c r="T119" s="230"/>
      <c r="U119" s="230"/>
      <c r="V119" s="231"/>
      <c r="W119" s="466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453"/>
      <c r="J120" s="181"/>
      <c r="K120" s="235"/>
      <c r="L120" s="47"/>
      <c r="M120" s="464"/>
      <c r="N120" s="182"/>
      <c r="O120" s="228"/>
      <c r="P120" s="168"/>
      <c r="Q120" s="49"/>
      <c r="R120" s="457"/>
      <c r="S120" s="707"/>
      <c r="T120" s="230"/>
      <c r="U120" s="230"/>
      <c r="V120" s="231"/>
      <c r="W120" s="466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22</v>
      </c>
      <c r="D121" s="236" t="s">
        <v>245</v>
      </c>
      <c r="E121" s="237"/>
      <c r="F121" s="370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M121:O121" si="78">AVERAGE(M109:M120)</f>
        <v>15.875</v>
      </c>
      <c r="N121" s="205">
        <f t="shared" si="78"/>
        <v>1288.0682425620507</v>
      </c>
      <c r="O121" s="206">
        <f t="shared" si="78"/>
        <v>83.363294410231774</v>
      </c>
      <c r="P121" s="48">
        <f t="shared" ref="P121:P129" si="79">M121-J121</f>
        <v>0.125</v>
      </c>
      <c r="Q121" s="49">
        <f t="shared" ref="Q121:Q129" si="80">O121-L121</f>
        <v>-13.755753208815847</v>
      </c>
      <c r="R121" s="175">
        <f t="shared" ref="R121:R129" si="81">O121/L121</f>
        <v>0.85836194293447765</v>
      </c>
      <c r="S121" s="686"/>
      <c r="T121" s="50"/>
      <c r="U121" s="50"/>
      <c r="V121" s="44"/>
      <c r="W121" s="46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0</v>
      </c>
      <c r="AE121" s="107">
        <f>SUM(AE109:AE120)</f>
        <v>2</v>
      </c>
      <c r="AF121" s="48">
        <f>N121-K121</f>
        <v>-189.43175743794927</v>
      </c>
      <c r="AG121" s="126">
        <f>N121/K121</f>
        <v>0.87178899665790233</v>
      </c>
      <c r="AH121" s="681"/>
    </row>
    <row r="122" spans="1:34" ht="19.2" customHeight="1">
      <c r="A122" s="708" t="s">
        <v>252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1376</v>
      </c>
      <c r="H122" s="45">
        <f t="shared" ref="H122:H132" si="82">F122*G122</f>
        <v>80729.919999999998</v>
      </c>
      <c r="I122" s="455"/>
      <c r="J122" s="46">
        <v>19</v>
      </c>
      <c r="K122" s="44">
        <v>1440</v>
      </c>
      <c r="L122" s="47">
        <v>75.78947368421052</v>
      </c>
      <c r="M122" s="467">
        <v>19</v>
      </c>
      <c r="N122" s="177">
        <f t="shared" ref="N122:N129" si="83">G122/W122*60</f>
        <v>1376.0000000000014</v>
      </c>
      <c r="O122" s="241">
        <f t="shared" ref="O122:O129" si="84">N122/M122</f>
        <v>72.421052631579016</v>
      </c>
      <c r="P122" s="108">
        <f t="shared" si="79"/>
        <v>0</v>
      </c>
      <c r="Q122" s="185">
        <f t="shared" si="80"/>
        <v>-3.3684210526315042</v>
      </c>
      <c r="R122" s="109">
        <f t="shared" si="81"/>
        <v>0.95555555555555649</v>
      </c>
      <c r="S122" s="672">
        <f>R134</f>
        <v>0.89532238434934741</v>
      </c>
      <c r="T122" s="50">
        <v>0.5</v>
      </c>
      <c r="U122" s="50">
        <v>0.54166666666666663</v>
      </c>
      <c r="V122" s="231">
        <v>5</v>
      </c>
      <c r="W122" s="466">
        <f t="shared" si="70"/>
        <v>59.999999999999943</v>
      </c>
      <c r="X122" s="53"/>
      <c r="Y122" s="53"/>
      <c r="Z122" s="54"/>
      <c r="AA122" s="54"/>
      <c r="AB122" s="658"/>
      <c r="AC122" s="658"/>
      <c r="AD122" s="453"/>
      <c r="AE122" s="453"/>
      <c r="AF122" s="48">
        <f t="shared" si="61"/>
        <v>-63.999999999998636</v>
      </c>
      <c r="AG122" s="457">
        <f t="shared" si="62"/>
        <v>0.95555555555555649</v>
      </c>
      <c r="AH122" s="686">
        <f>AG134</f>
        <v>0.90973644342157056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1733</v>
      </c>
      <c r="H123" s="45">
        <f t="shared" si="82"/>
        <v>103148.16</v>
      </c>
      <c r="I123" s="453"/>
      <c r="J123" s="87">
        <v>21</v>
      </c>
      <c r="K123" s="57">
        <v>1385</v>
      </c>
      <c r="L123" s="86">
        <v>65.952380952380949</v>
      </c>
      <c r="M123" s="464">
        <v>21</v>
      </c>
      <c r="N123" s="57">
        <f t="shared" si="83"/>
        <v>1316.2025316455688</v>
      </c>
      <c r="O123" s="86">
        <f t="shared" si="84"/>
        <v>62.676311030741374</v>
      </c>
      <c r="P123" s="54">
        <f t="shared" si="79"/>
        <v>0</v>
      </c>
      <c r="Q123" s="88">
        <f t="shared" si="80"/>
        <v>-3.276069921639575</v>
      </c>
      <c r="R123" s="454">
        <f t="shared" si="81"/>
        <v>0.95032673765023024</v>
      </c>
      <c r="S123" s="672"/>
      <c r="T123" s="50">
        <v>0.55694444444444435</v>
      </c>
      <c r="U123" s="50">
        <v>0.61180555555555549</v>
      </c>
      <c r="V123" s="231">
        <v>22</v>
      </c>
      <c r="W123" s="466">
        <f>(U123-T123)*24*60</f>
        <v>79.000000000000043</v>
      </c>
      <c r="X123" s="53">
        <v>0.54513888888888895</v>
      </c>
      <c r="Y123" s="53">
        <v>0.5541666666666667</v>
      </c>
      <c r="Z123" s="54"/>
      <c r="AA123" s="54"/>
      <c r="AB123" s="658"/>
      <c r="AC123" s="658"/>
      <c r="AD123" s="453"/>
      <c r="AE123" s="453"/>
      <c r="AF123" s="48">
        <f t="shared" si="61"/>
        <v>-68.797468354431203</v>
      </c>
      <c r="AG123" s="457">
        <f t="shared" si="62"/>
        <v>0.95032673765023012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1255</v>
      </c>
      <c r="H124" s="45">
        <f t="shared" si="82"/>
        <v>71271.45</v>
      </c>
      <c r="I124" s="242"/>
      <c r="J124" s="87">
        <v>18</v>
      </c>
      <c r="K124" s="57">
        <v>1636</v>
      </c>
      <c r="L124" s="86">
        <v>90.888888888888886</v>
      </c>
      <c r="M124" s="467">
        <v>18</v>
      </c>
      <c r="N124" s="177">
        <f t="shared" si="83"/>
        <v>1536.7346938775513</v>
      </c>
      <c r="O124" s="241">
        <f t="shared" si="84"/>
        <v>85.37414965986396</v>
      </c>
      <c r="P124" s="108">
        <f t="shared" si="79"/>
        <v>0</v>
      </c>
      <c r="Q124" s="185">
        <f t="shared" si="80"/>
        <v>-5.5147392290249257</v>
      </c>
      <c r="R124" s="109">
        <f t="shared" si="81"/>
        <v>0.93932438501072824</v>
      </c>
      <c r="S124" s="709"/>
      <c r="T124" s="50">
        <v>0.70833333333333337</v>
      </c>
      <c r="U124" s="50">
        <v>0.74236111111111114</v>
      </c>
      <c r="V124" s="231">
        <v>5</v>
      </c>
      <c r="W124" s="243">
        <f>(U124-T124)*24*60</f>
        <v>48.999999999999986</v>
      </c>
      <c r="X124" s="191"/>
      <c r="Y124" s="191"/>
      <c r="Z124" s="54"/>
      <c r="AA124" s="54"/>
      <c r="AB124" s="658"/>
      <c r="AC124" s="658"/>
      <c r="AD124" s="453"/>
      <c r="AE124" s="453"/>
      <c r="AF124" s="108">
        <f t="shared" si="61"/>
        <v>-99.265306122448692</v>
      </c>
      <c r="AG124" s="109">
        <f t="shared" si="62"/>
        <v>0.93932438501072824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948</v>
      </c>
      <c r="H125" s="45">
        <f t="shared" si="82"/>
        <v>53912.759999999995</v>
      </c>
      <c r="I125" s="455"/>
      <c r="J125" s="87">
        <v>18</v>
      </c>
      <c r="K125" s="57">
        <v>1636</v>
      </c>
      <c r="L125" s="86">
        <v>90.888888888888886</v>
      </c>
      <c r="M125" s="467">
        <v>18</v>
      </c>
      <c r="N125" s="57">
        <f t="shared" si="83"/>
        <v>1537.2972972972962</v>
      </c>
      <c r="O125" s="86">
        <f t="shared" si="84"/>
        <v>85.405405405405347</v>
      </c>
      <c r="P125" s="54">
        <f t="shared" si="79"/>
        <v>0</v>
      </c>
      <c r="Q125" s="88">
        <f t="shared" si="80"/>
        <v>-5.4834834834835391</v>
      </c>
      <c r="R125" s="454">
        <f t="shared" si="81"/>
        <v>0.93966827463159919</v>
      </c>
      <c r="S125" s="709"/>
      <c r="T125" s="50">
        <v>0.74652777777777779</v>
      </c>
      <c r="U125" s="50">
        <v>0.77222222222222225</v>
      </c>
      <c r="V125" s="231">
        <v>6</v>
      </c>
      <c r="W125" s="243">
        <f t="shared" ref="W125:W133" si="85">(U125-T125)*24*60</f>
        <v>37.000000000000028</v>
      </c>
      <c r="X125" s="64"/>
      <c r="Y125" s="64"/>
      <c r="Z125" s="54"/>
      <c r="AA125" s="54"/>
      <c r="AB125" s="658"/>
      <c r="AC125" s="658"/>
      <c r="AD125" s="453"/>
      <c r="AE125" s="453"/>
      <c r="AF125" s="48">
        <f t="shared" si="61"/>
        <v>-98.702702702703846</v>
      </c>
      <c r="AG125" s="457">
        <f t="shared" si="62"/>
        <v>0.93966827463159908</v>
      </c>
      <c r="AH125" s="673"/>
    </row>
    <row r="126" spans="1:34" ht="19.2" customHeight="1">
      <c r="A126" s="708"/>
      <c r="B126" s="131" t="s">
        <v>185</v>
      </c>
      <c r="C126" s="453"/>
      <c r="D126" s="42" t="s">
        <v>113</v>
      </c>
      <c r="E126" s="180"/>
      <c r="F126" s="361">
        <v>54.09</v>
      </c>
      <c r="G126" s="57">
        <v>871</v>
      </c>
      <c r="H126" s="45">
        <f t="shared" si="82"/>
        <v>47112.39</v>
      </c>
      <c r="I126" s="453"/>
      <c r="J126" s="87">
        <v>17</v>
      </c>
      <c r="K126" s="57">
        <v>1565</v>
      </c>
      <c r="L126" s="86">
        <v>92.058823529411768</v>
      </c>
      <c r="M126" s="464">
        <v>18</v>
      </c>
      <c r="N126" s="57">
        <f t="shared" si="83"/>
        <v>1375.2631578947357</v>
      </c>
      <c r="O126" s="86">
        <f t="shared" si="84"/>
        <v>76.403508771929765</v>
      </c>
      <c r="P126" s="54">
        <f t="shared" si="79"/>
        <v>1</v>
      </c>
      <c r="Q126" s="88">
        <f t="shared" si="80"/>
        <v>-15.655314757482003</v>
      </c>
      <c r="R126" s="454">
        <f t="shared" si="81"/>
        <v>0.82994226781009961</v>
      </c>
      <c r="S126" s="709"/>
      <c r="T126" s="50">
        <v>0.77708333333333335</v>
      </c>
      <c r="U126" s="50">
        <v>0.80347222222222225</v>
      </c>
      <c r="V126" s="231">
        <v>7</v>
      </c>
      <c r="W126" s="243">
        <f t="shared" si="85"/>
        <v>38.000000000000028</v>
      </c>
      <c r="X126" s="64"/>
      <c r="Y126" s="64"/>
      <c r="Z126" s="54"/>
      <c r="AA126" s="54"/>
      <c r="AB126" s="658"/>
      <c r="AC126" s="658"/>
      <c r="AD126" s="453"/>
      <c r="AE126" s="453"/>
      <c r="AF126" s="108">
        <f t="shared" si="61"/>
        <v>-189.73684210526426</v>
      </c>
      <c r="AG126" s="109">
        <f t="shared" si="62"/>
        <v>0.87876240121069371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1228</v>
      </c>
      <c r="H127" s="45">
        <f t="shared" si="82"/>
        <v>58452.800000000003</v>
      </c>
      <c r="I127" s="224"/>
      <c r="J127" s="87">
        <v>19</v>
      </c>
      <c r="K127" s="57">
        <v>1440</v>
      </c>
      <c r="L127" s="86">
        <v>75.78947368421052</v>
      </c>
      <c r="M127" s="467">
        <v>19</v>
      </c>
      <c r="N127" s="177">
        <f t="shared" si="83"/>
        <v>1339.6363636363644</v>
      </c>
      <c r="O127" s="241">
        <f t="shared" si="84"/>
        <v>70.507177033492866</v>
      </c>
      <c r="P127" s="108">
        <f t="shared" si="79"/>
        <v>0</v>
      </c>
      <c r="Q127" s="185">
        <f t="shared" si="80"/>
        <v>-5.2822966507176545</v>
      </c>
      <c r="R127" s="109">
        <f t="shared" si="81"/>
        <v>0.93030303030303096</v>
      </c>
      <c r="S127" s="709"/>
      <c r="T127" s="50">
        <v>0.81874999999999998</v>
      </c>
      <c r="U127" s="50">
        <v>0.8569444444444444</v>
      </c>
      <c r="V127" s="455">
        <v>22</v>
      </c>
      <c r="W127" s="243">
        <f t="shared" si="85"/>
        <v>54.999999999999964</v>
      </c>
      <c r="X127" s="64">
        <v>0.80694444444444446</v>
      </c>
      <c r="Y127" s="64">
        <v>0.81597222222222221</v>
      </c>
      <c r="Z127" s="54"/>
      <c r="AA127" s="54"/>
      <c r="AB127" s="658"/>
      <c r="AC127" s="658"/>
      <c r="AD127" s="453"/>
      <c r="AE127" s="453"/>
      <c r="AF127" s="108">
        <f t="shared" si="61"/>
        <v>-100.36363636363558</v>
      </c>
      <c r="AG127" s="109">
        <f t="shared" si="62"/>
        <v>0.93030303030303085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254</v>
      </c>
      <c r="H128" s="45">
        <f t="shared" si="82"/>
        <v>12870.18</v>
      </c>
      <c r="I128" s="453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1270.0000000000045</v>
      </c>
      <c r="O128" s="86">
        <f t="shared" si="84"/>
        <v>60.476190476190695</v>
      </c>
      <c r="P128" s="54">
        <f t="shared" si="79"/>
        <v>0</v>
      </c>
      <c r="Q128" s="88">
        <f t="shared" si="80"/>
        <v>-17.428571428571203</v>
      </c>
      <c r="R128" s="454">
        <f t="shared" si="81"/>
        <v>0.77628361858190997</v>
      </c>
      <c r="S128" s="709"/>
      <c r="T128" s="50">
        <v>0.86180555555555549</v>
      </c>
      <c r="U128" s="50">
        <v>0.8701388888888888</v>
      </c>
      <c r="V128" s="455">
        <v>7</v>
      </c>
      <c r="W128" s="243">
        <f t="shared" si="85"/>
        <v>11.999999999999957</v>
      </c>
      <c r="X128" s="64"/>
      <c r="Y128" s="64"/>
      <c r="Z128" s="54"/>
      <c r="AA128" s="54"/>
      <c r="AB128" s="658"/>
      <c r="AC128" s="658"/>
      <c r="AD128" s="453"/>
      <c r="AE128" s="453"/>
      <c r="AF128" s="108">
        <f t="shared" si="61"/>
        <v>-365.99999999999545</v>
      </c>
      <c r="AG128" s="109">
        <f t="shared" si="62"/>
        <v>0.77628361858190986</v>
      </c>
      <c r="AH128" s="673"/>
    </row>
    <row r="129" spans="1:34" ht="19.2" customHeight="1">
      <c r="A129" s="708"/>
      <c r="B129" s="131" t="s">
        <v>185</v>
      </c>
      <c r="C129" s="160"/>
      <c r="D129" s="59" t="s">
        <v>121</v>
      </c>
      <c r="E129" s="60"/>
      <c r="F129" s="361">
        <v>50.49</v>
      </c>
      <c r="G129" s="57">
        <v>1217</v>
      </c>
      <c r="H129" s="45">
        <f t="shared" si="82"/>
        <v>61446.33</v>
      </c>
      <c r="I129" s="453"/>
      <c r="J129" s="87">
        <v>14</v>
      </c>
      <c r="K129" s="57">
        <v>1440</v>
      </c>
      <c r="L129" s="86">
        <v>102.85714285714286</v>
      </c>
      <c r="M129" s="464">
        <v>15</v>
      </c>
      <c r="N129" s="57">
        <f t="shared" si="83"/>
        <v>1327.6363636363646</v>
      </c>
      <c r="O129" s="86">
        <f t="shared" si="84"/>
        <v>88.509090909090972</v>
      </c>
      <c r="P129" s="54">
        <f t="shared" si="79"/>
        <v>1</v>
      </c>
      <c r="Q129" s="88">
        <f t="shared" si="80"/>
        <v>-14.348051948051889</v>
      </c>
      <c r="R129" s="454">
        <f t="shared" si="81"/>
        <v>0.86050505050505111</v>
      </c>
      <c r="S129" s="709"/>
      <c r="T129" s="50">
        <v>0.87430555555555545</v>
      </c>
      <c r="U129" s="50">
        <v>0.91249999999999987</v>
      </c>
      <c r="V129" s="455">
        <v>6</v>
      </c>
      <c r="W129" s="243">
        <f t="shared" si="85"/>
        <v>54.999999999999964</v>
      </c>
      <c r="X129" s="64"/>
      <c r="Y129" s="64"/>
      <c r="Z129" s="54"/>
      <c r="AA129" s="54"/>
      <c r="AB129" s="658"/>
      <c r="AC129" s="658"/>
      <c r="AD129" s="453"/>
      <c r="AE129" s="453"/>
      <c r="AF129" s="108"/>
      <c r="AG129" s="109"/>
      <c r="AH129" s="673"/>
    </row>
    <row r="130" spans="1:34" ht="19.2" customHeight="1">
      <c r="A130" s="708"/>
      <c r="B130" s="203">
        <v>0</v>
      </c>
      <c r="C130" s="160"/>
      <c r="D130" s="59"/>
      <c r="E130" s="60"/>
      <c r="F130" s="361" t="s">
        <v>186</v>
      </c>
      <c r="G130" s="57"/>
      <c r="H130" s="45">
        <f t="shared" si="82"/>
        <v>0</v>
      </c>
      <c r="I130" s="453"/>
      <c r="J130" s="87"/>
      <c r="K130" s="57"/>
      <c r="L130" s="86"/>
      <c r="M130" s="464"/>
      <c r="N130" s="177"/>
      <c r="O130" s="241"/>
      <c r="P130" s="108"/>
      <c r="Q130" s="185"/>
      <c r="R130" s="109"/>
      <c r="S130" s="709"/>
      <c r="T130" s="50"/>
      <c r="U130" s="50"/>
      <c r="V130" s="455"/>
      <c r="W130" s="243"/>
      <c r="X130" s="64"/>
      <c r="Y130" s="64"/>
      <c r="Z130" s="54"/>
      <c r="AA130" s="54"/>
      <c r="AB130" s="658"/>
      <c r="AC130" s="658"/>
      <c r="AD130" s="453"/>
      <c r="AE130" s="453"/>
      <c r="AF130" s="65"/>
      <c r="AG130" s="458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54"/>
      <c r="S131" s="709"/>
      <c r="T131" s="50"/>
      <c r="U131" s="50"/>
      <c r="V131" s="455"/>
      <c r="W131" s="243"/>
      <c r="X131" s="64"/>
      <c r="Y131" s="64"/>
      <c r="Z131" s="54"/>
      <c r="AA131" s="54"/>
      <c r="AB131" s="658"/>
      <c r="AC131" s="658"/>
      <c r="AD131" s="453"/>
      <c r="AE131" s="453"/>
      <c r="AF131" s="65"/>
      <c r="AG131" s="458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453"/>
      <c r="J132" s="87"/>
      <c r="K132" s="57"/>
      <c r="L132" s="86"/>
      <c r="M132" s="464"/>
      <c r="N132" s="57"/>
      <c r="O132" s="86"/>
      <c r="P132" s="54"/>
      <c r="Q132" s="88"/>
      <c r="R132" s="454"/>
      <c r="S132" s="709"/>
      <c r="T132" s="50"/>
      <c r="U132" s="50"/>
      <c r="V132" s="455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453"/>
      <c r="AE132" s="453"/>
      <c r="AF132" s="65"/>
      <c r="AG132" s="458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453"/>
      <c r="J133" s="87"/>
      <c r="K133" s="57"/>
      <c r="L133" s="86"/>
      <c r="M133" s="464"/>
      <c r="N133" s="57"/>
      <c r="O133" s="86"/>
      <c r="P133" s="54"/>
      <c r="Q133" s="88"/>
      <c r="R133" s="454"/>
      <c r="S133" s="709"/>
      <c r="T133" s="50"/>
      <c r="U133" s="50"/>
      <c r="V133" s="455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453"/>
      <c r="AE133" s="453"/>
      <c r="AF133" s="65"/>
      <c r="AG133" s="458"/>
      <c r="AH133" s="673"/>
    </row>
    <row r="134" spans="1:34" ht="19.2" customHeight="1">
      <c r="A134" s="708"/>
      <c r="B134" s="171">
        <v>0</v>
      </c>
      <c r="C134" s="100" t="s">
        <v>23</v>
      </c>
      <c r="D134" s="687" t="s">
        <v>245</v>
      </c>
      <c r="E134" s="687"/>
      <c r="F134" s="371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M134:O134" si="86">AVERAGE(M122:M133)</f>
        <v>18.625</v>
      </c>
      <c r="N134" s="246">
        <f t="shared" si="86"/>
        <v>1384.8463009984857</v>
      </c>
      <c r="O134" s="247">
        <f t="shared" si="86"/>
        <v>75.221610739786755</v>
      </c>
      <c r="P134" s="51">
        <f t="shared" ref="P134:P142" si="87">M134-J134</f>
        <v>0.25</v>
      </c>
      <c r="Q134" s="142">
        <f t="shared" ref="Q134:Q142" si="88">O134-L134</f>
        <v>-8.7946185589502903</v>
      </c>
      <c r="R134" s="248">
        <f t="shared" ref="R134:R142" si="89">O134/L134</f>
        <v>0.89532238434934741</v>
      </c>
      <c r="S134" s="672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0</v>
      </c>
      <c r="AE134" s="107">
        <f>SUM(AE122:AE133)</f>
        <v>0</v>
      </c>
      <c r="AF134" s="48">
        <f t="shared" si="61"/>
        <v>-137.40369900151427</v>
      </c>
      <c r="AG134" s="457">
        <f t="shared" si="62"/>
        <v>0.90973644342157056</v>
      </c>
      <c r="AH134" s="673"/>
    </row>
    <row r="135" spans="1:34" ht="19.2" customHeight="1">
      <c r="A135" s="710" t="s">
        <v>253</v>
      </c>
      <c r="B135" s="455" t="s">
        <v>185</v>
      </c>
      <c r="C135" s="453"/>
      <c r="D135" s="82" t="s">
        <v>101</v>
      </c>
      <c r="E135" s="83"/>
      <c r="F135" s="361">
        <v>53.68</v>
      </c>
      <c r="G135" s="57">
        <v>878</v>
      </c>
      <c r="H135" s="249">
        <f t="shared" ref="H135:H146" si="90">F135*G135</f>
        <v>47131.040000000001</v>
      </c>
      <c r="I135" s="453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1386.315789473683</v>
      </c>
      <c r="O135" s="116">
        <f t="shared" ref="O135:O142" si="92">N135/M135</f>
        <v>86.644736842105189</v>
      </c>
      <c r="P135" s="54">
        <f t="shared" si="87"/>
        <v>0</v>
      </c>
      <c r="Q135" s="88">
        <f t="shared" si="88"/>
        <v>-7.1052631578948109</v>
      </c>
      <c r="R135" s="454">
        <f t="shared" si="89"/>
        <v>0.92421052631578871</v>
      </c>
      <c r="S135" s="707">
        <f>R147</f>
        <v>0.93067762039825541</v>
      </c>
      <c r="T135" s="250">
        <v>0.5</v>
      </c>
      <c r="U135" s="50">
        <v>0.52638888888888891</v>
      </c>
      <c r="V135" s="145">
        <v>5</v>
      </c>
      <c r="W135" s="251">
        <f t="shared" ref="W135:W147" si="93">(U135-T135)*24*60</f>
        <v>38.000000000000028</v>
      </c>
      <c r="X135" s="469"/>
      <c r="Y135" s="469"/>
      <c r="Z135" s="54"/>
      <c r="AA135" s="54"/>
      <c r="AB135" s="658"/>
      <c r="AC135" s="658"/>
      <c r="AD135" s="453"/>
      <c r="AE135" s="453"/>
      <c r="AF135" s="117">
        <f t="shared" si="61"/>
        <v>-113.68421052631697</v>
      </c>
      <c r="AG135" s="121">
        <f t="shared" si="62"/>
        <v>0.92421052631578871</v>
      </c>
      <c r="AH135" s="681">
        <f>AG147</f>
        <v>0.93114470801226201</v>
      </c>
    </row>
    <row r="136" spans="1:34" ht="19.2" customHeight="1">
      <c r="A136" s="711"/>
      <c r="B136" s="455" t="s">
        <v>185</v>
      </c>
      <c r="C136" s="453"/>
      <c r="D136" s="82" t="s">
        <v>102</v>
      </c>
      <c r="E136" s="252"/>
      <c r="F136" s="361">
        <v>57.734999999999999</v>
      </c>
      <c r="G136" s="57">
        <v>1584</v>
      </c>
      <c r="H136" s="84">
        <f t="shared" si="90"/>
        <v>91452.24</v>
      </c>
      <c r="I136" s="453"/>
      <c r="J136" s="46">
        <v>16</v>
      </c>
      <c r="K136" s="57">
        <v>1565</v>
      </c>
      <c r="L136" s="86">
        <v>97.8125</v>
      </c>
      <c r="M136" s="464">
        <v>16</v>
      </c>
      <c r="N136" s="57">
        <f t="shared" si="91"/>
        <v>1397.6470588235277</v>
      </c>
      <c r="O136" s="86">
        <f t="shared" si="92"/>
        <v>87.35294117647048</v>
      </c>
      <c r="P136" s="54">
        <f t="shared" si="87"/>
        <v>0</v>
      </c>
      <c r="Q136" s="88">
        <f t="shared" si="88"/>
        <v>-10.45955882352952</v>
      </c>
      <c r="R136" s="454">
        <f t="shared" si="89"/>
        <v>0.89306521330576849</v>
      </c>
      <c r="S136" s="707"/>
      <c r="T136" s="250">
        <v>0.53125</v>
      </c>
      <c r="U136" s="50">
        <v>0.57847222222222228</v>
      </c>
      <c r="V136" s="145">
        <v>7</v>
      </c>
      <c r="W136" s="251">
        <f t="shared" si="93"/>
        <v>68.000000000000085</v>
      </c>
      <c r="X136" s="53"/>
      <c r="Y136" s="53"/>
      <c r="Z136" s="54"/>
      <c r="AA136" s="54"/>
      <c r="AB136" s="658"/>
      <c r="AC136" s="658"/>
      <c r="AD136" s="453"/>
      <c r="AE136" s="453"/>
      <c r="AF136" s="48">
        <f t="shared" si="61"/>
        <v>-167.35294117647231</v>
      </c>
      <c r="AG136" s="126">
        <f t="shared" si="62"/>
        <v>0.89306521330576849</v>
      </c>
      <c r="AH136" s="681"/>
    </row>
    <row r="137" spans="1:34" ht="19.2" customHeight="1">
      <c r="A137" s="711"/>
      <c r="B137" s="455" t="s">
        <v>185</v>
      </c>
      <c r="C137" s="453"/>
      <c r="D137" s="82" t="s">
        <v>116</v>
      </c>
      <c r="E137" s="83"/>
      <c r="F137" s="361">
        <v>50.67</v>
      </c>
      <c r="G137" s="212">
        <v>867</v>
      </c>
      <c r="H137" s="84">
        <f t="shared" si="90"/>
        <v>43930.89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1405.9459459459449</v>
      </c>
      <c r="O137" s="86">
        <f t="shared" si="92"/>
        <v>82.702702702702638</v>
      </c>
      <c r="P137" s="54">
        <f t="shared" si="87"/>
        <v>0</v>
      </c>
      <c r="Q137" s="88">
        <f t="shared" si="88"/>
        <v>-5.5325914149444202</v>
      </c>
      <c r="R137" s="454">
        <f t="shared" si="89"/>
        <v>0.93729729729729661</v>
      </c>
      <c r="S137" s="707"/>
      <c r="T137" s="50">
        <v>0.70833333333333337</v>
      </c>
      <c r="U137" s="50">
        <v>0.73402777777777783</v>
      </c>
      <c r="V137" s="253">
        <v>5</v>
      </c>
      <c r="W137" s="251">
        <f t="shared" si="93"/>
        <v>37.000000000000028</v>
      </c>
      <c r="X137" s="53"/>
      <c r="Y137" s="53"/>
      <c r="Z137" s="54"/>
      <c r="AA137" s="54"/>
      <c r="AB137" s="658"/>
      <c r="AC137" s="658"/>
      <c r="AD137" s="453"/>
      <c r="AE137" s="453"/>
      <c r="AF137" s="48">
        <f t="shared" si="61"/>
        <v>-94.054054054055086</v>
      </c>
      <c r="AG137" s="126">
        <f t="shared" si="62"/>
        <v>0.93729729729729661</v>
      </c>
      <c r="AH137" s="681"/>
    </row>
    <row r="138" spans="1:34" ht="19.2" customHeight="1">
      <c r="A138" s="711"/>
      <c r="B138" s="455" t="s">
        <v>185</v>
      </c>
      <c r="C138" s="226"/>
      <c r="D138" s="82" t="s">
        <v>117</v>
      </c>
      <c r="E138" s="83"/>
      <c r="F138" s="361">
        <v>50.98</v>
      </c>
      <c r="G138" s="57">
        <v>1649</v>
      </c>
      <c r="H138" s="84">
        <f t="shared" si="90"/>
        <v>84066.01999999999</v>
      </c>
      <c r="I138" s="453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1319.1999999999989</v>
      </c>
      <c r="O138" s="86">
        <f t="shared" si="92"/>
        <v>65.959999999999951</v>
      </c>
      <c r="P138" s="54">
        <f t="shared" si="87"/>
        <v>0</v>
      </c>
      <c r="Q138" s="88">
        <f t="shared" si="88"/>
        <v>-6.0400000000000489</v>
      </c>
      <c r="R138" s="459">
        <f t="shared" si="89"/>
        <v>0.91611111111111043</v>
      </c>
      <c r="S138" s="707"/>
      <c r="T138" s="50">
        <v>0.73819444444444449</v>
      </c>
      <c r="U138" s="50">
        <v>0.79027777777777786</v>
      </c>
      <c r="V138" s="253">
        <v>6</v>
      </c>
      <c r="W138" s="251">
        <f t="shared" si="93"/>
        <v>75.000000000000057</v>
      </c>
      <c r="X138" s="53"/>
      <c r="Y138" s="53"/>
      <c r="Z138" s="54"/>
      <c r="AA138" s="54"/>
      <c r="AB138" s="658"/>
      <c r="AC138" s="658"/>
      <c r="AD138" s="453"/>
      <c r="AE138" s="453"/>
      <c r="AF138" s="48">
        <f t="shared" si="61"/>
        <v>-120.80000000000109</v>
      </c>
      <c r="AG138" s="126">
        <f t="shared" si="62"/>
        <v>0.91611111111111032</v>
      </c>
      <c r="AH138" s="681"/>
    </row>
    <row r="139" spans="1:34" ht="19.2" customHeight="1">
      <c r="A139" s="711"/>
      <c r="B139" s="455" t="s">
        <v>185</v>
      </c>
      <c r="C139" s="462"/>
      <c r="D139" s="42" t="s">
        <v>118</v>
      </c>
      <c r="E139" s="43"/>
      <c r="F139" s="361">
        <v>54.09</v>
      </c>
      <c r="G139" s="57">
        <v>846</v>
      </c>
      <c r="H139" s="84">
        <f t="shared" si="90"/>
        <v>45760.14</v>
      </c>
      <c r="I139" s="453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1409.9999999999989</v>
      </c>
      <c r="O139" s="86">
        <f t="shared" si="92"/>
        <v>74.210526315789409</v>
      </c>
      <c r="P139" s="54">
        <f t="shared" si="87"/>
        <v>0</v>
      </c>
      <c r="Q139" s="88">
        <f t="shared" si="88"/>
        <v>-4.7368421052632215</v>
      </c>
      <c r="R139" s="454">
        <f t="shared" si="89"/>
        <v>0.93999999999999917</v>
      </c>
      <c r="S139" s="707"/>
      <c r="T139" s="50">
        <v>0.79513888888888895</v>
      </c>
      <c r="U139" s="50">
        <v>0.82013888888888897</v>
      </c>
      <c r="V139" s="254">
        <v>7</v>
      </c>
      <c r="W139" s="251">
        <f t="shared" si="93"/>
        <v>36.000000000000028</v>
      </c>
      <c r="X139" s="53"/>
      <c r="Y139" s="53"/>
      <c r="Z139" s="54"/>
      <c r="AA139" s="54"/>
      <c r="AB139" s="658"/>
      <c r="AC139" s="658"/>
      <c r="AD139" s="453"/>
      <c r="AE139" s="453"/>
      <c r="AF139" s="48">
        <f t="shared" si="61"/>
        <v>-90.000000000001137</v>
      </c>
      <c r="AG139" s="126">
        <f t="shared" si="62"/>
        <v>0.93999999999999928</v>
      </c>
      <c r="AH139" s="681"/>
    </row>
    <row r="140" spans="1:34" ht="19.2" customHeight="1">
      <c r="A140" s="712"/>
      <c r="B140" s="455" t="s">
        <v>185</v>
      </c>
      <c r="C140" s="462"/>
      <c r="D140" s="255" t="s">
        <v>119</v>
      </c>
      <c r="E140" s="83"/>
      <c r="F140" s="361">
        <v>50.92</v>
      </c>
      <c r="G140" s="57">
        <v>1947</v>
      </c>
      <c r="H140" s="84">
        <f t="shared" si="90"/>
        <v>99141.24</v>
      </c>
      <c r="I140" s="453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1358.3720930232557</v>
      </c>
      <c r="O140" s="86">
        <f t="shared" si="92"/>
        <v>71.493268053855559</v>
      </c>
      <c r="P140" s="54">
        <f t="shared" si="87"/>
        <v>0</v>
      </c>
      <c r="Q140" s="88">
        <f t="shared" si="88"/>
        <v>-4.2962056303549616</v>
      </c>
      <c r="R140" s="454">
        <f t="shared" si="89"/>
        <v>0.94331395348837199</v>
      </c>
      <c r="S140" s="714"/>
      <c r="T140" s="63">
        <v>0.8354166666666667</v>
      </c>
      <c r="U140" s="256">
        <v>0.89513888888888893</v>
      </c>
      <c r="V140" s="257">
        <v>22</v>
      </c>
      <c r="W140" s="251">
        <f t="shared" si="93"/>
        <v>86.000000000000014</v>
      </c>
      <c r="X140" s="53">
        <v>0.82361111111111107</v>
      </c>
      <c r="Y140" s="53">
        <v>0.83263888888888893</v>
      </c>
      <c r="Z140" s="54"/>
      <c r="AA140" s="54"/>
      <c r="AB140" s="658"/>
      <c r="AC140" s="658"/>
      <c r="AD140" s="453"/>
      <c r="AE140" s="453"/>
      <c r="AF140" s="48">
        <f t="shared" si="61"/>
        <v>-81.627906976744271</v>
      </c>
      <c r="AG140" s="126">
        <f t="shared" si="62"/>
        <v>0.94331395348837199</v>
      </c>
      <c r="AH140" s="681"/>
    </row>
    <row r="141" spans="1:34" ht="19.2" customHeight="1">
      <c r="A141" s="712"/>
      <c r="B141" s="455" t="s">
        <v>185</v>
      </c>
      <c r="C141" s="462"/>
      <c r="D141" s="42" t="s">
        <v>120</v>
      </c>
      <c r="E141" s="258"/>
      <c r="F141" s="361">
        <v>50.67</v>
      </c>
      <c r="G141" s="57">
        <v>779</v>
      </c>
      <c r="H141" s="84">
        <f t="shared" si="90"/>
        <v>39471.93</v>
      </c>
      <c r="I141" s="453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1374.7058823529394</v>
      </c>
      <c r="O141" s="86">
        <f t="shared" si="92"/>
        <v>80.865051903114079</v>
      </c>
      <c r="P141" s="54">
        <f t="shared" si="87"/>
        <v>0</v>
      </c>
      <c r="Q141" s="88">
        <f t="shared" si="88"/>
        <v>-3.8408304498270951</v>
      </c>
      <c r="R141" s="454">
        <f t="shared" si="89"/>
        <v>0.95465686274509676</v>
      </c>
      <c r="S141" s="714"/>
      <c r="T141" s="63">
        <v>0.89930555555555558</v>
      </c>
      <c r="U141" s="256">
        <v>0.92291666666666672</v>
      </c>
      <c r="V141" s="55">
        <v>6</v>
      </c>
      <c r="W141" s="251">
        <f t="shared" si="93"/>
        <v>34.000000000000043</v>
      </c>
      <c r="X141" s="53"/>
      <c r="Y141" s="53"/>
      <c r="Z141" s="54"/>
      <c r="AA141" s="54"/>
      <c r="AB141" s="658"/>
      <c r="AC141" s="658"/>
      <c r="AD141" s="453"/>
      <c r="AE141" s="453"/>
      <c r="AF141" s="48">
        <f t="shared" si="61"/>
        <v>-65.294117647060602</v>
      </c>
      <c r="AG141" s="126">
        <f t="shared" si="62"/>
        <v>0.95465686274509676</v>
      </c>
      <c r="AH141" s="681"/>
    </row>
    <row r="142" spans="1:34" ht="19.2" customHeight="1">
      <c r="A142" s="712"/>
      <c r="B142" s="455" t="s">
        <v>185</v>
      </c>
      <c r="C142" s="462"/>
      <c r="D142" s="42" t="s">
        <v>123</v>
      </c>
      <c r="E142" s="258"/>
      <c r="F142" s="361">
        <v>57.3</v>
      </c>
      <c r="G142" s="57">
        <v>1108</v>
      </c>
      <c r="H142" s="84">
        <f t="shared" si="90"/>
        <v>63488.399999999994</v>
      </c>
      <c r="I142" s="453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1414.4680851063831</v>
      </c>
      <c r="O142" s="86">
        <f t="shared" si="92"/>
        <v>78.581560283687949</v>
      </c>
      <c r="P142" s="54">
        <f t="shared" si="87"/>
        <v>0</v>
      </c>
      <c r="Q142" s="88">
        <f t="shared" si="88"/>
        <v>-4.7517730496453794</v>
      </c>
      <c r="R142" s="454">
        <f t="shared" si="89"/>
        <v>0.94297872340425548</v>
      </c>
      <c r="S142" s="714"/>
      <c r="T142" s="63">
        <v>0.92777777777777781</v>
      </c>
      <c r="U142" s="256">
        <v>0.9604166666666667</v>
      </c>
      <c r="V142" s="55">
        <v>7</v>
      </c>
      <c r="W142" s="251">
        <f t="shared" si="93"/>
        <v>46.999999999999993</v>
      </c>
      <c r="X142" s="53"/>
      <c r="Y142" s="53"/>
      <c r="Z142" s="54"/>
      <c r="AA142" s="54"/>
      <c r="AB142" s="658"/>
      <c r="AC142" s="658"/>
      <c r="AD142" s="453"/>
      <c r="AE142" s="453"/>
      <c r="AF142" s="48">
        <f t="shared" si="61"/>
        <v>-85.531914893616886</v>
      </c>
      <c r="AG142" s="126">
        <f t="shared" si="62"/>
        <v>0.94297872340425537</v>
      </c>
      <c r="AH142" s="681"/>
    </row>
    <row r="143" spans="1:34" ht="19.2" customHeight="1">
      <c r="A143" s="712"/>
      <c r="B143" s="455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453"/>
      <c r="J143" s="46"/>
      <c r="K143" s="44"/>
      <c r="L143" s="47"/>
      <c r="M143" s="232"/>
      <c r="N143" s="57"/>
      <c r="O143" s="86"/>
      <c r="P143" s="54"/>
      <c r="Q143" s="88"/>
      <c r="R143" s="454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453"/>
      <c r="AE143" s="453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55">
        <v>0</v>
      </c>
      <c r="C144" s="462"/>
      <c r="D144" s="42"/>
      <c r="E144" s="258"/>
      <c r="F144" s="361" t="s">
        <v>186</v>
      </c>
      <c r="G144" s="57"/>
      <c r="H144" s="84">
        <f t="shared" si="90"/>
        <v>0</v>
      </c>
      <c r="I144" s="453"/>
      <c r="J144" s="46"/>
      <c r="K144" s="57"/>
      <c r="L144" s="86"/>
      <c r="M144" s="464"/>
      <c r="N144" s="57"/>
      <c r="O144" s="86"/>
      <c r="P144" s="54"/>
      <c r="Q144" s="88"/>
      <c r="R144" s="459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453"/>
      <c r="AE144" s="453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55">
        <v>0</v>
      </c>
      <c r="C145" s="462"/>
      <c r="D145" s="42"/>
      <c r="E145" s="258"/>
      <c r="F145" s="361" t="s">
        <v>186</v>
      </c>
      <c r="G145" s="57"/>
      <c r="H145" s="84">
        <f t="shared" si="90"/>
        <v>0</v>
      </c>
      <c r="I145" s="453"/>
      <c r="J145" s="87"/>
      <c r="K145" s="57"/>
      <c r="L145" s="86"/>
      <c r="M145" s="464"/>
      <c r="N145" s="57"/>
      <c r="O145" s="86"/>
      <c r="P145" s="54"/>
      <c r="Q145" s="88"/>
      <c r="R145" s="454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453"/>
      <c r="AE145" s="453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69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453"/>
      <c r="J146" s="87"/>
      <c r="K146" s="57"/>
      <c r="L146" s="86"/>
      <c r="M146" s="464"/>
      <c r="N146" s="57"/>
      <c r="O146" s="86"/>
      <c r="P146" s="54"/>
      <c r="Q146" s="88"/>
      <c r="R146" s="454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453"/>
      <c r="AE146" s="453"/>
      <c r="AF146" s="54"/>
      <c r="AG146" s="454"/>
      <c r="AH146" s="681"/>
    </row>
    <row r="147" spans="1:34" ht="19.2" customHeight="1">
      <c r="A147" s="713"/>
      <c r="B147" s="261">
        <v>0</v>
      </c>
      <c r="C147" s="100" t="s">
        <v>507</v>
      </c>
      <c r="D147" s="687" t="s">
        <v>508</v>
      </c>
      <c r="E147" s="687"/>
      <c r="F147" s="375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M147:O147" si="94">AVERAGE(M135:M146)</f>
        <v>17.75</v>
      </c>
      <c r="N147" s="246">
        <f t="shared" si="94"/>
        <v>1383.3318568407167</v>
      </c>
      <c r="O147" s="247">
        <f t="shared" si="94"/>
        <v>78.476348409715655</v>
      </c>
      <c r="P147" s="51">
        <f t="shared" ref="P147:P153" si="95">M147-J147</f>
        <v>0</v>
      </c>
      <c r="Q147" s="142">
        <f t="shared" ref="Q147:Q153" si="96">O147-L147</f>
        <v>-5.8453830789324428</v>
      </c>
      <c r="R147" s="262">
        <f t="shared" ref="R147:R153" si="97">O147/L147</f>
        <v>0.93067762039825541</v>
      </c>
      <c r="S147" s="715"/>
      <c r="T147" s="63"/>
      <c r="U147" s="63"/>
      <c r="V147" s="55"/>
      <c r="W147" s="466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0</v>
      </c>
      <c r="AE147" s="107">
        <f>SUM(AE135:AE146)</f>
        <v>0</v>
      </c>
      <c r="AF147" s="207">
        <f t="shared" si="61"/>
        <v>-102.29314315928332</v>
      </c>
      <c r="AG147" s="263">
        <f t="shared" si="62"/>
        <v>0.93114470801226201</v>
      </c>
      <c r="AH147" s="681"/>
    </row>
    <row r="148" spans="1:34" ht="19.2" customHeight="1">
      <c r="A148" s="717" t="s">
        <v>509</v>
      </c>
      <c r="B148" s="453" t="s">
        <v>185</v>
      </c>
      <c r="C148" s="122"/>
      <c r="D148" s="176" t="s">
        <v>201</v>
      </c>
      <c r="E148" s="43"/>
      <c r="F148" s="368">
        <v>44.98</v>
      </c>
      <c r="G148" s="57">
        <v>1208.1999999999998</v>
      </c>
      <c r="H148" s="84">
        <f t="shared" ref="H148:H172" si="98">F148*G148</f>
        <v>54344.835999999988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1169.2258064516138</v>
      </c>
      <c r="O148" s="47">
        <f t="shared" ref="O148:O153" si="100">N148/M148</f>
        <v>61.538200339558621</v>
      </c>
      <c r="P148" s="48">
        <f t="shared" si="95"/>
        <v>0</v>
      </c>
      <c r="Q148" s="49">
        <f t="shared" si="96"/>
        <v>-17.409168081494009</v>
      </c>
      <c r="R148" s="457">
        <f t="shared" si="97"/>
        <v>0.77948387096774252</v>
      </c>
      <c r="S148" s="718">
        <f>R160</f>
        <v>0.81432880125272789</v>
      </c>
      <c r="T148" s="250">
        <v>0.70833333333333337</v>
      </c>
      <c r="U148" s="50">
        <v>0.75138888888888888</v>
      </c>
      <c r="V148" s="455">
        <v>5</v>
      </c>
      <c r="W148" s="466">
        <f>(U148-T148)*24*60</f>
        <v>61.999999999999943</v>
      </c>
      <c r="X148" s="53"/>
      <c r="Y148" s="53"/>
      <c r="Z148" s="54"/>
      <c r="AA148" s="54"/>
      <c r="AB148" s="658"/>
      <c r="AC148" s="658"/>
      <c r="AD148" s="453"/>
      <c r="AE148" s="453"/>
      <c r="AF148" s="48">
        <f t="shared" si="61"/>
        <v>-330.77419354838617</v>
      </c>
      <c r="AG148" s="126">
        <f t="shared" si="62"/>
        <v>0.77948387096774252</v>
      </c>
      <c r="AH148" s="681">
        <f>AG160</f>
        <v>0.81482995783344925</v>
      </c>
    </row>
    <row r="149" spans="1:34" ht="19.2" customHeight="1">
      <c r="A149" s="717"/>
      <c r="B149" s="453" t="s">
        <v>185</v>
      </c>
      <c r="C149" s="224"/>
      <c r="D149" s="255" t="s">
        <v>97</v>
      </c>
      <c r="E149" s="60"/>
      <c r="F149" s="368">
        <v>53.68</v>
      </c>
      <c r="G149" s="57">
        <v>950</v>
      </c>
      <c r="H149" s="84">
        <f t="shared" si="98"/>
        <v>50996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1187.5000000000002</v>
      </c>
      <c r="O149" s="47">
        <f t="shared" si="100"/>
        <v>59.375000000000014</v>
      </c>
      <c r="P149" s="48">
        <f t="shared" si="95"/>
        <v>0</v>
      </c>
      <c r="Q149" s="49">
        <f t="shared" si="96"/>
        <v>-15.624999999999986</v>
      </c>
      <c r="R149" s="457">
        <f t="shared" si="97"/>
        <v>0.79166666666666685</v>
      </c>
      <c r="S149" s="719"/>
      <c r="T149" s="250">
        <v>0.75624999999999998</v>
      </c>
      <c r="U149" s="50">
        <v>0.7895833333333333</v>
      </c>
      <c r="V149" s="455">
        <v>7</v>
      </c>
      <c r="W149" s="466">
        <f t="shared" ref="W149:W159" si="101">(U149-T149)*24*60</f>
        <v>47.999999999999986</v>
      </c>
      <c r="X149" s="53"/>
      <c r="Y149" s="53"/>
      <c r="Z149" s="54"/>
      <c r="AA149" s="54"/>
      <c r="AB149" s="658"/>
      <c r="AC149" s="658"/>
      <c r="AD149" s="453"/>
      <c r="AE149" s="453"/>
      <c r="AF149" s="48">
        <f t="shared" si="61"/>
        <v>-312.49999999999977</v>
      </c>
      <c r="AG149" s="126">
        <f t="shared" si="62"/>
        <v>0.79166666666666685</v>
      </c>
      <c r="AH149" s="721"/>
    </row>
    <row r="150" spans="1:34" ht="19.2" customHeight="1">
      <c r="A150" s="717"/>
      <c r="B150" s="453" t="s">
        <v>185</v>
      </c>
      <c r="C150" s="224"/>
      <c r="D150" s="179" t="s">
        <v>96</v>
      </c>
      <c r="E150" s="60"/>
      <c r="F150" s="368">
        <v>58.17</v>
      </c>
      <c r="G150" s="57">
        <v>875</v>
      </c>
      <c r="H150" s="84">
        <f t="shared" si="98"/>
        <v>50898.75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1166.6666666666665</v>
      </c>
      <c r="O150" s="47">
        <f t="shared" si="100"/>
        <v>61.403508771929815</v>
      </c>
      <c r="P150" s="48">
        <f t="shared" si="95"/>
        <v>0</v>
      </c>
      <c r="Q150" s="49">
        <f t="shared" si="96"/>
        <v>-11.491228070175445</v>
      </c>
      <c r="R150" s="457">
        <f t="shared" si="97"/>
        <v>0.84235860409145602</v>
      </c>
      <c r="S150" s="719"/>
      <c r="T150" s="250">
        <v>0.79513888888888884</v>
      </c>
      <c r="U150" s="50">
        <v>0.82638888888888884</v>
      </c>
      <c r="V150" s="455">
        <v>8</v>
      </c>
      <c r="W150" s="466">
        <f t="shared" si="101"/>
        <v>45</v>
      </c>
      <c r="X150" s="219"/>
      <c r="Y150" s="219"/>
      <c r="Z150" s="220"/>
      <c r="AA150" s="220"/>
      <c r="AB150" s="658"/>
      <c r="AC150" s="658"/>
      <c r="AD150" s="453"/>
      <c r="AE150" s="453"/>
      <c r="AF150" s="48">
        <f t="shared" si="61"/>
        <v>-218.33333333333348</v>
      </c>
      <c r="AG150" s="126">
        <f t="shared" si="62"/>
        <v>0.84235860409145602</v>
      </c>
      <c r="AH150" s="721"/>
    </row>
    <row r="151" spans="1:34" s="221" customFormat="1" ht="19.2" customHeight="1">
      <c r="A151" s="717"/>
      <c r="B151" s="453" t="s">
        <v>185</v>
      </c>
      <c r="C151" s="224"/>
      <c r="D151" s="59" t="s">
        <v>108</v>
      </c>
      <c r="E151" s="60"/>
      <c r="F151" s="368">
        <v>57.73</v>
      </c>
      <c r="G151" s="57">
        <v>668</v>
      </c>
      <c r="H151" s="84">
        <f t="shared" si="98"/>
        <v>38563.64</v>
      </c>
      <c r="I151" s="264"/>
      <c r="J151" s="87">
        <v>16</v>
      </c>
      <c r="K151" s="57">
        <v>1440</v>
      </c>
      <c r="L151" s="86">
        <v>90</v>
      </c>
      <c r="M151" s="232">
        <v>16</v>
      </c>
      <c r="N151" s="44">
        <f t="shared" si="99"/>
        <v>1113.3333333333323</v>
      </c>
      <c r="O151" s="47">
        <f t="shared" si="100"/>
        <v>69.583333333333272</v>
      </c>
      <c r="P151" s="48">
        <f t="shared" si="95"/>
        <v>0</v>
      </c>
      <c r="Q151" s="49">
        <f t="shared" si="96"/>
        <v>-20.416666666666728</v>
      </c>
      <c r="R151" s="457">
        <f t="shared" si="97"/>
        <v>0.77314814814814747</v>
      </c>
      <c r="S151" s="719"/>
      <c r="T151" s="250">
        <v>0.83124999999999993</v>
      </c>
      <c r="U151" s="50">
        <v>0.85624999999999996</v>
      </c>
      <c r="V151" s="455">
        <v>7</v>
      </c>
      <c r="W151" s="466">
        <f t="shared" si="101"/>
        <v>36.000000000000028</v>
      </c>
      <c r="X151" s="219"/>
      <c r="Y151" s="219"/>
      <c r="Z151" s="220"/>
      <c r="AA151" s="220"/>
      <c r="AB151" s="658"/>
      <c r="AC151" s="658"/>
      <c r="AD151" s="224"/>
      <c r="AE151" s="224"/>
      <c r="AF151" s="48">
        <f t="shared" si="61"/>
        <v>-326.66666666666765</v>
      </c>
      <c r="AG151" s="126">
        <f t="shared" si="62"/>
        <v>0.77314814814814747</v>
      </c>
      <c r="AH151" s="721"/>
    </row>
    <row r="152" spans="1:34" s="221" customFormat="1" ht="19.2" customHeight="1">
      <c r="A152" s="717"/>
      <c r="B152" s="453" t="s">
        <v>185</v>
      </c>
      <c r="C152" s="224"/>
      <c r="D152" s="255" t="s">
        <v>197</v>
      </c>
      <c r="E152" s="60"/>
      <c r="F152" s="368">
        <v>50.67</v>
      </c>
      <c r="G152" s="57">
        <v>1224</v>
      </c>
      <c r="H152" s="84">
        <f t="shared" si="98"/>
        <v>62020.08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1311.4285714285725</v>
      </c>
      <c r="O152" s="47">
        <f t="shared" si="100"/>
        <v>72.857142857142918</v>
      </c>
      <c r="P152" s="48">
        <f t="shared" si="95"/>
        <v>0</v>
      </c>
      <c r="Q152" s="49">
        <f t="shared" si="96"/>
        <v>-10.476190476190411</v>
      </c>
      <c r="R152" s="457">
        <f t="shared" si="97"/>
        <v>0.87428571428571511</v>
      </c>
      <c r="S152" s="719"/>
      <c r="T152" s="265">
        <v>0.87222222222222223</v>
      </c>
      <c r="U152" s="63">
        <v>0.91111111111111109</v>
      </c>
      <c r="V152" s="468">
        <v>23</v>
      </c>
      <c r="W152" s="466">
        <f t="shared" si="101"/>
        <v>55.999999999999957</v>
      </c>
      <c r="X152" s="222">
        <v>0.85972222222222217</v>
      </c>
      <c r="Y152" s="222">
        <v>0.86944444444444446</v>
      </c>
      <c r="Z152" s="220"/>
      <c r="AA152" s="220"/>
      <c r="AB152" s="658"/>
      <c r="AC152" s="658"/>
      <c r="AD152" s="224"/>
      <c r="AE152" s="224"/>
      <c r="AF152" s="48">
        <f t="shared" si="61"/>
        <v>-188.57142857142753</v>
      </c>
      <c r="AG152" s="126">
        <f t="shared" si="62"/>
        <v>0.874285714285715</v>
      </c>
      <c r="AH152" s="721"/>
    </row>
    <row r="153" spans="1:34" s="221" customFormat="1" ht="19.2" customHeight="1">
      <c r="A153" s="717"/>
      <c r="B153" s="453" t="s">
        <v>185</v>
      </c>
      <c r="C153" s="224"/>
      <c r="D153" s="255" t="s">
        <v>201</v>
      </c>
      <c r="E153" s="60"/>
      <c r="F153" s="368">
        <v>44.98</v>
      </c>
      <c r="G153" s="57">
        <v>517.79999999999995</v>
      </c>
      <c r="H153" s="84">
        <f t="shared" si="98"/>
        <v>23290.643999999997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1242.7200000000043</v>
      </c>
      <c r="O153" s="47">
        <f t="shared" si="100"/>
        <v>65.406315789473908</v>
      </c>
      <c r="P153" s="48">
        <f t="shared" si="95"/>
        <v>0</v>
      </c>
      <c r="Q153" s="49">
        <f t="shared" si="96"/>
        <v>-13.541052631578722</v>
      </c>
      <c r="R153" s="457">
        <f t="shared" si="97"/>
        <v>0.82848000000000288</v>
      </c>
      <c r="S153" s="719"/>
      <c r="T153" s="265">
        <v>0.91597222222222219</v>
      </c>
      <c r="U153" s="63">
        <v>0.93333333333333324</v>
      </c>
      <c r="V153" s="468">
        <v>7</v>
      </c>
      <c r="W153" s="466">
        <f t="shared" si="101"/>
        <v>24.999999999999911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-257.27999999999565</v>
      </c>
      <c r="AG153" s="126">
        <f t="shared" si="62"/>
        <v>0.82848000000000288</v>
      </c>
      <c r="AH153" s="721"/>
    </row>
    <row r="154" spans="1:34" s="221" customFormat="1" ht="19.2" customHeight="1">
      <c r="A154" s="717"/>
      <c r="B154" s="453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68"/>
      <c r="W154" s="466">
        <f t="shared" si="101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453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68"/>
      <c r="W155" s="466">
        <f t="shared" si="101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68"/>
      <c r="W156" s="269">
        <f t="shared" si="101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68"/>
      <c r="W157" s="269">
        <f t="shared" si="101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68"/>
      <c r="W158" s="269">
        <f t="shared" si="101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64"/>
      <c r="N159" s="182"/>
      <c r="O159" s="228"/>
      <c r="P159" s="267"/>
      <c r="Q159" s="74"/>
      <c r="R159" s="130"/>
      <c r="S159" s="719"/>
      <c r="T159" s="265"/>
      <c r="U159" s="63"/>
      <c r="V159" s="468"/>
      <c r="W159" s="270">
        <f t="shared" si="101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25</v>
      </c>
      <c r="D160" s="716" t="s">
        <v>245</v>
      </c>
      <c r="E160" s="678"/>
      <c r="F160" s="362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M160:O160" si="102">AVERAGE(M148:M159)</f>
        <v>18.5</v>
      </c>
      <c r="N160" s="273">
        <f t="shared" si="102"/>
        <v>1198.4790629800316</v>
      </c>
      <c r="O160" s="274">
        <f t="shared" si="102"/>
        <v>65.027250181906439</v>
      </c>
      <c r="P160" s="65">
        <f t="shared" ref="P160:P165" si="103">M160-J160</f>
        <v>0</v>
      </c>
      <c r="Q160" s="74">
        <f t="shared" ref="Q160:Q165" si="104">O160-L160</f>
        <v>-14.826550987684215</v>
      </c>
      <c r="R160" s="275">
        <f>O160/L160</f>
        <v>0.81432880125272789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0</v>
      </c>
      <c r="AF160" s="65">
        <f t="shared" si="61"/>
        <v>-272.35427035330167</v>
      </c>
      <c r="AG160" s="130">
        <f t="shared" si="62"/>
        <v>0.81482995783344925</v>
      </c>
      <c r="AH160" s="721"/>
    </row>
    <row r="161" spans="1:36" ht="19.2" customHeight="1">
      <c r="A161" s="680" t="s">
        <v>255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1750</v>
      </c>
      <c r="H161" s="84">
        <f t="shared" ref="H161:H170" si="105">F161*G161</f>
        <v>52439.613526570043</v>
      </c>
      <c r="I161" s="45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1220.9302325581393</v>
      </c>
      <c r="O161" s="86">
        <f t="shared" ref="O161:O165" si="107">N161/M161</f>
        <v>67.829457364341067</v>
      </c>
      <c r="P161" s="54">
        <f t="shared" si="103"/>
        <v>0</v>
      </c>
      <c r="Q161" s="88">
        <f t="shared" si="104"/>
        <v>1.1627906976743958</v>
      </c>
      <c r="R161" s="454">
        <f t="shared" ref="R161:R165" si="108">O161/L161</f>
        <v>1.0174418604651159</v>
      </c>
      <c r="S161" s="681">
        <f>R173</f>
        <v>0.93891687900640519</v>
      </c>
      <c r="T161" s="89">
        <v>0.16666666666666666</v>
      </c>
      <c r="U161" s="89">
        <v>0.22638888888888889</v>
      </c>
      <c r="V161" s="453">
        <v>5</v>
      </c>
      <c r="W161" s="90">
        <f t="shared" ref="W161:W172" si="109">(U161-T161)*24*60</f>
        <v>86.000000000000014</v>
      </c>
      <c r="X161" s="96"/>
      <c r="Y161" s="96"/>
      <c r="Z161" s="54"/>
      <c r="AA161" s="54"/>
      <c r="AB161" s="658"/>
      <c r="AC161" s="658"/>
      <c r="AD161" s="453"/>
      <c r="AE161" s="453"/>
      <c r="AF161" s="54">
        <f t="shared" si="61"/>
        <v>20.930232558139323</v>
      </c>
      <c r="AG161" s="454">
        <f t="shared" si="62"/>
        <v>1.0174418604651161</v>
      </c>
      <c r="AH161" s="681">
        <f>AG173</f>
        <v>0.94562979832605365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2786</v>
      </c>
      <c r="H162" s="84">
        <f t="shared" si="105"/>
        <v>95364.779999999984</v>
      </c>
      <c r="I162" s="45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2199.4736842105272</v>
      </c>
      <c r="O162" s="86">
        <f t="shared" si="107"/>
        <v>169.19028340080979</v>
      </c>
      <c r="P162" s="54">
        <f t="shared" si="103"/>
        <v>0</v>
      </c>
      <c r="Q162" s="88">
        <f t="shared" si="104"/>
        <v>-3.8866396761132762</v>
      </c>
      <c r="R162" s="454">
        <f t="shared" si="108"/>
        <v>0.97754385964912327</v>
      </c>
      <c r="S162" s="681"/>
      <c r="T162" s="89">
        <v>0.23125000000000001</v>
      </c>
      <c r="U162" s="89">
        <v>0.28402777777777777</v>
      </c>
      <c r="V162" s="453">
        <v>7</v>
      </c>
      <c r="W162" s="90">
        <f t="shared" si="109"/>
        <v>75.999999999999972</v>
      </c>
      <c r="X162" s="96"/>
      <c r="Y162" s="96"/>
      <c r="Z162" s="54"/>
      <c r="AA162" s="54"/>
      <c r="AB162" s="658"/>
      <c r="AC162" s="658"/>
      <c r="AD162" s="453"/>
      <c r="AE162" s="453"/>
      <c r="AF162" s="54">
        <f t="shared" si="61"/>
        <v>-50.526315789472847</v>
      </c>
      <c r="AG162" s="454">
        <f t="shared" si="62"/>
        <v>0.97754385964912316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3468</v>
      </c>
      <c r="H163" s="84">
        <f t="shared" si="105"/>
        <v>118709.63999999998</v>
      </c>
      <c r="I163" s="453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2123.2653061224496</v>
      </c>
      <c r="O163" s="86">
        <f t="shared" si="107"/>
        <v>163.32810047095765</v>
      </c>
      <c r="P163" s="54">
        <f t="shared" si="103"/>
        <v>0</v>
      </c>
      <c r="Q163" s="88">
        <f t="shared" si="104"/>
        <v>-9.7488226059654153</v>
      </c>
      <c r="R163" s="454">
        <f t="shared" si="108"/>
        <v>0.94367346938775543</v>
      </c>
      <c r="S163" s="681"/>
      <c r="T163" s="89">
        <v>0.2986111111111111</v>
      </c>
      <c r="U163" s="89">
        <v>0.36666666666666664</v>
      </c>
      <c r="V163" s="453">
        <v>21</v>
      </c>
      <c r="W163" s="90">
        <f t="shared" si="109"/>
        <v>97.999999999999972</v>
      </c>
      <c r="X163" s="96">
        <v>0.28750000000000003</v>
      </c>
      <c r="Y163" s="96">
        <v>0.29583333333333334</v>
      </c>
      <c r="Z163" s="54"/>
      <c r="AA163" s="54"/>
      <c r="AB163" s="658"/>
      <c r="AC163" s="658"/>
      <c r="AD163" s="453"/>
      <c r="AE163" s="453"/>
      <c r="AF163" s="54">
        <f t="shared" si="61"/>
        <v>-126.7346938775504</v>
      </c>
      <c r="AG163" s="454">
        <f t="shared" si="62"/>
        <v>0.94367346938775543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4501</v>
      </c>
      <c r="H164" s="84">
        <f t="shared" si="105"/>
        <v>161270.82999999999</v>
      </c>
      <c r="I164" s="45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2195.6097560975618</v>
      </c>
      <c r="O164" s="86">
        <f t="shared" si="107"/>
        <v>199.60088691796017</v>
      </c>
      <c r="P164" s="54">
        <f t="shared" si="103"/>
        <v>0</v>
      </c>
      <c r="Q164" s="88">
        <f t="shared" si="104"/>
        <v>-4.9445676274943651</v>
      </c>
      <c r="R164" s="454">
        <f t="shared" si="108"/>
        <v>0.97582655826558307</v>
      </c>
      <c r="S164" s="681"/>
      <c r="T164" s="89">
        <v>0.40694444444444439</v>
      </c>
      <c r="U164" s="89">
        <v>0.49236111111111103</v>
      </c>
      <c r="V164" s="453">
        <v>5</v>
      </c>
      <c r="W164" s="90">
        <f t="shared" si="109"/>
        <v>122.99999999999996</v>
      </c>
      <c r="X164" s="96"/>
      <c r="Y164" s="96"/>
      <c r="Z164" s="54"/>
      <c r="AA164" s="54"/>
      <c r="AB164" s="658"/>
      <c r="AC164" s="658"/>
      <c r="AD164" s="453"/>
      <c r="AE164" s="453"/>
      <c r="AF164" s="54">
        <f t="shared" si="61"/>
        <v>-54.390243902438215</v>
      </c>
      <c r="AG164" s="454">
        <f t="shared" si="62"/>
        <v>0.97582655826558307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3275.8</v>
      </c>
      <c r="H165" s="84">
        <f t="shared" si="105"/>
        <v>119271.878</v>
      </c>
      <c r="I165" s="453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2396.9268292682918</v>
      </c>
      <c r="O165" s="86">
        <f t="shared" si="107"/>
        <v>239.69268292682918</v>
      </c>
      <c r="P165" s="54">
        <f t="shared" si="103"/>
        <v>0</v>
      </c>
      <c r="Q165" s="88">
        <f t="shared" si="104"/>
        <v>-37.207317073170799</v>
      </c>
      <c r="R165" s="454">
        <f t="shared" si="108"/>
        <v>0.86562904632296567</v>
      </c>
      <c r="S165" s="681"/>
      <c r="T165" s="89">
        <v>0.50763888888888875</v>
      </c>
      <c r="U165" s="89">
        <v>0.56458333333333321</v>
      </c>
      <c r="V165" s="453">
        <v>22</v>
      </c>
      <c r="W165" s="90">
        <f t="shared" si="109"/>
        <v>82.000000000000028</v>
      </c>
      <c r="X165" s="96">
        <v>0.49583333333333335</v>
      </c>
      <c r="Y165" s="96">
        <v>0.50486111111111109</v>
      </c>
      <c r="Z165" s="54"/>
      <c r="AA165" s="54"/>
      <c r="AB165" s="658"/>
      <c r="AC165" s="658"/>
      <c r="AD165" s="453"/>
      <c r="AE165" s="453"/>
      <c r="AF165" s="54">
        <f t="shared" si="61"/>
        <v>-372.07317073170816</v>
      </c>
      <c r="AG165" s="454">
        <f t="shared" si="62"/>
        <v>0.86562904632296567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5"/>
        <v>0</v>
      </c>
      <c r="I166" s="453"/>
      <c r="J166" s="87"/>
      <c r="K166" s="57"/>
      <c r="L166" s="86"/>
      <c r="M166" s="87"/>
      <c r="N166" s="57"/>
      <c r="O166" s="86"/>
      <c r="P166" s="54"/>
      <c r="Q166" s="88"/>
      <c r="R166" s="454"/>
      <c r="S166" s="681"/>
      <c r="T166" s="89"/>
      <c r="U166" s="89"/>
      <c r="V166" s="453"/>
      <c r="W166" s="90">
        <f t="shared" si="109"/>
        <v>0</v>
      </c>
      <c r="X166" s="96"/>
      <c r="Y166" s="96"/>
      <c r="Z166" s="54"/>
      <c r="AA166" s="54"/>
      <c r="AB166" s="658"/>
      <c r="AC166" s="658"/>
      <c r="AD166" s="453"/>
      <c r="AE166" s="453"/>
      <c r="AF166" s="54">
        <f t="shared" si="61"/>
        <v>0</v>
      </c>
      <c r="AG166" s="454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5"/>
        <v>0</v>
      </c>
      <c r="I167" s="453"/>
      <c r="J167" s="87"/>
      <c r="K167" s="57"/>
      <c r="L167" s="86"/>
      <c r="M167" s="87"/>
      <c r="N167" s="57"/>
      <c r="O167" s="86"/>
      <c r="P167" s="54"/>
      <c r="Q167" s="88"/>
      <c r="R167" s="454"/>
      <c r="S167" s="681"/>
      <c r="T167" s="89"/>
      <c r="U167" s="89"/>
      <c r="V167" s="453"/>
      <c r="W167" s="90">
        <f t="shared" si="109"/>
        <v>0</v>
      </c>
      <c r="X167" s="96"/>
      <c r="Y167" s="96"/>
      <c r="Z167" s="54"/>
      <c r="AA167" s="54"/>
      <c r="AB167" s="658"/>
      <c r="AC167" s="658"/>
      <c r="AD167" s="453"/>
      <c r="AE167" s="453"/>
      <c r="AF167" s="54">
        <f t="shared" si="61"/>
        <v>0</v>
      </c>
      <c r="AG167" s="454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5"/>
        <v>0</v>
      </c>
      <c r="I168" s="453"/>
      <c r="J168" s="87"/>
      <c r="K168" s="57"/>
      <c r="L168" s="86"/>
      <c r="M168" s="87"/>
      <c r="N168" s="57"/>
      <c r="O168" s="86"/>
      <c r="P168" s="54"/>
      <c r="Q168" s="88"/>
      <c r="R168" s="454"/>
      <c r="S168" s="681"/>
      <c r="T168" s="89"/>
      <c r="U168" s="89"/>
      <c r="V168" s="453"/>
      <c r="W168" s="90">
        <f t="shared" si="109"/>
        <v>0</v>
      </c>
      <c r="X168" s="96"/>
      <c r="Y168" s="96"/>
      <c r="Z168" s="54"/>
      <c r="AA168" s="54"/>
      <c r="AB168" s="658"/>
      <c r="AC168" s="658"/>
      <c r="AD168" s="453"/>
      <c r="AE168" s="453"/>
      <c r="AF168" s="54">
        <f t="shared" si="61"/>
        <v>0</v>
      </c>
      <c r="AG168" s="454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5"/>
        <v>0</v>
      </c>
      <c r="I169" s="453"/>
      <c r="J169" s="87"/>
      <c r="K169" s="57"/>
      <c r="L169" s="86"/>
      <c r="M169" s="87"/>
      <c r="N169" s="57"/>
      <c r="O169" s="86"/>
      <c r="P169" s="54"/>
      <c r="Q169" s="88"/>
      <c r="R169" s="454"/>
      <c r="S169" s="681"/>
      <c r="T169" s="89"/>
      <c r="U169" s="89"/>
      <c r="V169" s="453" t="s">
        <v>30</v>
      </c>
      <c r="W169" s="90">
        <f t="shared" si="109"/>
        <v>0</v>
      </c>
      <c r="X169" s="96"/>
      <c r="Y169" s="96"/>
      <c r="Z169" s="54"/>
      <c r="AA169" s="54"/>
      <c r="AB169" s="658"/>
      <c r="AC169" s="658"/>
      <c r="AD169" s="453"/>
      <c r="AE169" s="453"/>
      <c r="AF169" s="54">
        <f t="shared" si="61"/>
        <v>0</v>
      </c>
      <c r="AG169" s="454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5"/>
        <v>0</v>
      </c>
      <c r="I170" s="453"/>
      <c r="J170" s="87"/>
      <c r="K170" s="57"/>
      <c r="L170" s="86"/>
      <c r="M170" s="87"/>
      <c r="N170" s="57"/>
      <c r="O170" s="86"/>
      <c r="P170" s="54"/>
      <c r="Q170" s="88"/>
      <c r="R170" s="454"/>
      <c r="S170" s="681"/>
      <c r="T170" s="89"/>
      <c r="U170" s="89"/>
      <c r="V170" s="453"/>
      <c r="W170" s="90">
        <f t="shared" si="109"/>
        <v>0</v>
      </c>
      <c r="X170" s="96"/>
      <c r="Y170" s="96"/>
      <c r="Z170" s="54"/>
      <c r="AA170" s="54"/>
      <c r="AB170" s="658"/>
      <c r="AC170" s="658"/>
      <c r="AD170" s="453"/>
      <c r="AE170" s="453"/>
      <c r="AF170" s="54">
        <f t="shared" si="61"/>
        <v>0</v>
      </c>
      <c r="AG170" s="454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453"/>
      <c r="J171" s="87"/>
      <c r="K171" s="57"/>
      <c r="L171" s="86"/>
      <c r="M171" s="87"/>
      <c r="N171" s="57"/>
      <c r="O171" s="86"/>
      <c r="P171" s="54"/>
      <c r="Q171" s="88"/>
      <c r="R171" s="454"/>
      <c r="S171" s="681"/>
      <c r="T171" s="89"/>
      <c r="U171" s="89"/>
      <c r="V171" s="453"/>
      <c r="W171" s="90">
        <f t="shared" si="109"/>
        <v>0</v>
      </c>
      <c r="X171" s="96"/>
      <c r="Y171" s="96"/>
      <c r="Z171" s="54"/>
      <c r="AA171" s="54"/>
      <c r="AB171" s="658"/>
      <c r="AC171" s="658"/>
      <c r="AD171" s="453"/>
      <c r="AE171" s="453"/>
      <c r="AF171" s="54"/>
      <c r="AG171" s="454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453"/>
      <c r="J172" s="87"/>
      <c r="K172" s="57"/>
      <c r="L172" s="86"/>
      <c r="M172" s="87"/>
      <c r="N172" s="57"/>
      <c r="O172" s="86"/>
      <c r="P172" s="54"/>
      <c r="Q172" s="88"/>
      <c r="R172" s="454"/>
      <c r="S172" s="681"/>
      <c r="T172" s="89"/>
      <c r="U172" s="89"/>
      <c r="V172" s="453"/>
      <c r="W172" s="90">
        <f t="shared" si="109"/>
        <v>0</v>
      </c>
      <c r="X172" s="96"/>
      <c r="Y172" s="96"/>
      <c r="Z172" s="54"/>
      <c r="AA172" s="54"/>
      <c r="AB172" s="658"/>
      <c r="AC172" s="658"/>
      <c r="AD172" s="453"/>
      <c r="AE172" s="453"/>
      <c r="AF172" s="54"/>
      <c r="AG172" s="454"/>
      <c r="AH172" s="681"/>
    </row>
    <row r="173" spans="1:36" ht="19.2" customHeight="1">
      <c r="A173" s="680"/>
      <c r="B173" s="122">
        <v>0</v>
      </c>
      <c r="C173" s="100" t="s">
        <v>26</v>
      </c>
      <c r="D173" s="687" t="s">
        <v>245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0">AVERAGE(M161:M172)</f>
        <v>13</v>
      </c>
      <c r="N173" s="101">
        <f t="shared" si="110"/>
        <v>2027.2411616513939</v>
      </c>
      <c r="O173" s="104">
        <f t="shared" si="110"/>
        <v>167.92828221617958</v>
      </c>
      <c r="P173" s="54">
        <f>M173-J173</f>
        <v>0</v>
      </c>
      <c r="Q173" s="88">
        <f>O173-L173</f>
        <v>-10.924911257013889</v>
      </c>
      <c r="R173" s="105">
        <f>O173/L173</f>
        <v>0.93891687900640519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0</v>
      </c>
      <c r="AE173" s="107">
        <f>SUM(AE161:AE172)</f>
        <v>0</v>
      </c>
      <c r="AF173" s="54">
        <f t="shared" si="61"/>
        <v>-116.55883834860629</v>
      </c>
      <c r="AG173" s="454">
        <f t="shared" si="62"/>
        <v>0.94562979832605365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256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257</v>
      </c>
    </row>
    <row r="186" spans="23:36">
      <c r="W186" s="33"/>
      <c r="AJ186" s="279" t="s">
        <v>275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9775" priority="3256" operator="lessThan">
      <formula>0</formula>
    </cfRule>
  </conditionalFormatting>
  <conditionalFormatting sqref="AH57 AH70 S43 S123 S95 AH95 S5:S9 AH5:AH9 S134 AH17:AH18 S17:S18 S32 S82 AH82 S57:S70">
    <cfRule type="cellIs" dxfId="9774" priority="3255" operator="lessThan">
      <formula>0.8</formula>
    </cfRule>
  </conditionalFormatting>
  <conditionalFormatting sqref="R147 R173 R30 R121 R95 R43 R134 R82 R154:R159 R17:R18 R109:R117 R57:R70">
    <cfRule type="cellIs" dxfId="9773" priority="3253" operator="lessThan">
      <formula>0.8</formula>
    </cfRule>
    <cfRule type="cellIs" dxfId="9772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9771" priority="3251" operator="greaterThan">
      <formula>1</formula>
    </cfRule>
    <cfRule type="cellIs" dxfId="9770" priority="3252" operator="lessThan">
      <formula>0.8</formula>
    </cfRule>
  </conditionalFormatting>
  <conditionalFormatting sqref="P147 P30 P121 P95 P43 P134 P82 P154:P159 P17:P18 P109:P117 P57:P70">
    <cfRule type="cellIs" dxfId="9769" priority="3250" operator="greaterThan">
      <formula>0</formula>
    </cfRule>
  </conditionalFormatting>
  <conditionalFormatting sqref="S161">
    <cfRule type="cellIs" dxfId="9768" priority="3249" operator="lessThan">
      <formula>0.8</formula>
    </cfRule>
  </conditionalFormatting>
  <conditionalFormatting sqref="Q161:Q166">
    <cfRule type="cellIs" dxfId="9767" priority="3248" operator="lessThan">
      <formula>0</formula>
    </cfRule>
  </conditionalFormatting>
  <conditionalFormatting sqref="R161:R166">
    <cfRule type="cellIs" dxfId="9766" priority="3246" operator="lessThan">
      <formula>0.8</formula>
    </cfRule>
    <cfRule type="cellIs" dxfId="9765" priority="3247" operator="greaterThan">
      <formula>1</formula>
    </cfRule>
  </conditionalFormatting>
  <conditionalFormatting sqref="R161:R166">
    <cfRule type="cellIs" dxfId="9764" priority="3244" operator="greaterThan">
      <formula>1</formula>
    </cfRule>
    <cfRule type="cellIs" dxfId="9763" priority="3245" operator="lessThan">
      <formula>0.8</formula>
    </cfRule>
  </conditionalFormatting>
  <conditionalFormatting sqref="P161:P166">
    <cfRule type="cellIs" dxfId="9762" priority="3243" operator="greaterThan">
      <formula>0</formula>
    </cfRule>
  </conditionalFormatting>
  <conditionalFormatting sqref="Q169:Q172 AF161:AF172">
    <cfRule type="cellIs" dxfId="9761" priority="3242" operator="lessThan">
      <formula>0</formula>
    </cfRule>
  </conditionalFormatting>
  <conditionalFormatting sqref="R169:R172">
    <cfRule type="cellIs" dxfId="9760" priority="3240" operator="lessThan">
      <formula>0.8</formula>
    </cfRule>
    <cfRule type="cellIs" dxfId="9759" priority="3241" operator="greaterThan">
      <formula>1</formula>
    </cfRule>
  </conditionalFormatting>
  <conditionalFormatting sqref="R169:R172 AG161:AG172">
    <cfRule type="cellIs" dxfId="9758" priority="3238" operator="greaterThan">
      <formula>1</formula>
    </cfRule>
    <cfRule type="cellIs" dxfId="9757" priority="3239" operator="lessThan">
      <formula>0.8</formula>
    </cfRule>
  </conditionalFormatting>
  <conditionalFormatting sqref="P169:P172">
    <cfRule type="cellIs" dxfId="9756" priority="3237" operator="greaterThan">
      <formula>0</formula>
    </cfRule>
  </conditionalFormatting>
  <conditionalFormatting sqref="AF145">
    <cfRule type="cellIs" dxfId="9755" priority="3236" operator="lessThan">
      <formula>0</formula>
    </cfRule>
  </conditionalFormatting>
  <conditionalFormatting sqref="AG145">
    <cfRule type="cellIs" dxfId="9754" priority="3234" operator="greaterThan">
      <formula>1</formula>
    </cfRule>
    <cfRule type="cellIs" dxfId="9753" priority="3235" operator="lessThan">
      <formula>0.8</formula>
    </cfRule>
  </conditionalFormatting>
  <conditionalFormatting sqref="AF44:AF54">
    <cfRule type="cellIs" dxfId="9752" priority="3233" operator="lessThan">
      <formula>0</formula>
    </cfRule>
  </conditionalFormatting>
  <conditionalFormatting sqref="AG44:AG54">
    <cfRule type="cellIs" dxfId="9751" priority="3231" operator="greaterThan">
      <formula>1</formula>
    </cfRule>
    <cfRule type="cellIs" dxfId="9750" priority="3232" operator="lessThan">
      <formula>0.8</formula>
    </cfRule>
  </conditionalFormatting>
  <conditionalFormatting sqref="AF83:AF94">
    <cfRule type="cellIs" dxfId="9749" priority="3230" operator="lessThan">
      <formula>0</formula>
    </cfRule>
  </conditionalFormatting>
  <conditionalFormatting sqref="AH83">
    <cfRule type="cellIs" dxfId="9748" priority="3229" operator="lessThan">
      <formula>0.8</formula>
    </cfRule>
  </conditionalFormatting>
  <conditionalFormatting sqref="AG83:AG94">
    <cfRule type="cellIs" dxfId="9747" priority="3227" operator="greaterThan">
      <formula>1</formula>
    </cfRule>
    <cfRule type="cellIs" dxfId="9746" priority="3228" operator="lessThan">
      <formula>0.8</formula>
    </cfRule>
  </conditionalFormatting>
  <conditionalFormatting sqref="S83">
    <cfRule type="cellIs" dxfId="9745" priority="3226" operator="lessThan">
      <formula>0.8</formula>
    </cfRule>
  </conditionalFormatting>
  <conditionalFormatting sqref="AH84">
    <cfRule type="cellIs" dxfId="9744" priority="3225" operator="lessThan">
      <formula>0.8</formula>
    </cfRule>
  </conditionalFormatting>
  <conditionalFormatting sqref="S84">
    <cfRule type="cellIs" dxfId="9743" priority="3224" operator="lessThan">
      <formula>0.8</formula>
    </cfRule>
  </conditionalFormatting>
  <conditionalFormatting sqref="S90">
    <cfRule type="cellIs" dxfId="9742" priority="3223" operator="lessThan">
      <formula>0.8</formula>
    </cfRule>
  </conditionalFormatting>
  <conditionalFormatting sqref="AH90">
    <cfRule type="cellIs" dxfId="9741" priority="3222" operator="lessThan">
      <formula>0.8</formula>
    </cfRule>
  </conditionalFormatting>
  <conditionalFormatting sqref="AF122">
    <cfRule type="cellIs" dxfId="9740" priority="3221" operator="lessThan">
      <formula>0</formula>
    </cfRule>
  </conditionalFormatting>
  <conditionalFormatting sqref="S122">
    <cfRule type="cellIs" dxfId="9739" priority="3220" operator="lessThan">
      <formula>0.8</formula>
    </cfRule>
  </conditionalFormatting>
  <conditionalFormatting sqref="AG122">
    <cfRule type="cellIs" dxfId="9738" priority="3218" operator="greaterThan">
      <formula>1</formula>
    </cfRule>
    <cfRule type="cellIs" dxfId="9737" priority="3219" operator="lessThan">
      <formula>0.8</formula>
    </cfRule>
  </conditionalFormatting>
  <conditionalFormatting sqref="P162:P168">
    <cfRule type="cellIs" dxfId="9736" priority="3212" operator="greaterThan">
      <formula>0</formula>
    </cfRule>
  </conditionalFormatting>
  <conditionalFormatting sqref="R162:R168">
    <cfRule type="cellIs" dxfId="9735" priority="3215" operator="lessThan">
      <formula>0.8</formula>
    </cfRule>
    <cfRule type="cellIs" dxfId="9734" priority="3216" operator="greaterThan">
      <formula>1</formula>
    </cfRule>
  </conditionalFormatting>
  <conditionalFormatting sqref="R162:R168">
    <cfRule type="cellIs" dxfId="9733" priority="3213" operator="greaterThan">
      <formula>1</formula>
    </cfRule>
    <cfRule type="cellIs" dxfId="9732" priority="3214" operator="lessThan">
      <formula>0.8</formula>
    </cfRule>
  </conditionalFormatting>
  <conditionalFormatting sqref="Q162:Q168">
    <cfRule type="cellIs" dxfId="9731" priority="3217" operator="lessThan">
      <formula>0</formula>
    </cfRule>
  </conditionalFormatting>
  <conditionalFormatting sqref="P132:P133">
    <cfRule type="cellIs" dxfId="9730" priority="3205" operator="greaterThan">
      <formula>0</formula>
    </cfRule>
  </conditionalFormatting>
  <conditionalFormatting sqref="AF124 Q132:Q133 AF126:AF133">
    <cfRule type="cellIs" dxfId="9729" priority="3211" operator="lessThan">
      <formula>0</formula>
    </cfRule>
  </conditionalFormatting>
  <conditionalFormatting sqref="S124:S133">
    <cfRule type="cellIs" dxfId="9728" priority="3210" operator="lessThan">
      <formula>0.8</formula>
    </cfRule>
  </conditionalFormatting>
  <conditionalFormatting sqref="R132:R133">
    <cfRule type="cellIs" dxfId="9727" priority="3208" operator="lessThan">
      <formula>0.8</formula>
    </cfRule>
    <cfRule type="cellIs" dxfId="9726" priority="3209" operator="greaterThan">
      <formula>1</formula>
    </cfRule>
  </conditionalFormatting>
  <conditionalFormatting sqref="AG124 R132:R133 AG126:AG133">
    <cfRule type="cellIs" dxfId="9725" priority="3206" operator="greaterThan">
      <formula>1</formula>
    </cfRule>
    <cfRule type="cellIs" dxfId="9724" priority="3207" operator="lessThan">
      <formula>0.8</formula>
    </cfRule>
  </conditionalFormatting>
  <conditionalFormatting sqref="AH109">
    <cfRule type="cellIs" dxfId="9723" priority="3204" operator="lessThan">
      <formula>0.8</formula>
    </cfRule>
  </conditionalFormatting>
  <conditionalFormatting sqref="R160 AG160">
    <cfRule type="cellIs" dxfId="9722" priority="3199" operator="greaterThan">
      <formula>1</formula>
    </cfRule>
    <cfRule type="cellIs" dxfId="9721" priority="3200" operator="lessThan">
      <formula>0.8</formula>
    </cfRule>
  </conditionalFormatting>
  <conditionalFormatting sqref="R160">
    <cfRule type="cellIs" dxfId="9720" priority="3201" operator="lessThan">
      <formula>0.8</formula>
    </cfRule>
    <cfRule type="cellIs" dxfId="9719" priority="3202" operator="greaterThan">
      <formula>1</formula>
    </cfRule>
  </conditionalFormatting>
  <conditionalFormatting sqref="P160">
    <cfRule type="cellIs" dxfId="9718" priority="3198" operator="greaterThan">
      <formula>0</formula>
    </cfRule>
  </conditionalFormatting>
  <conditionalFormatting sqref="AH148">
    <cfRule type="cellIs" dxfId="9717" priority="3197" operator="lessThan">
      <formula>0.8</formula>
    </cfRule>
  </conditionalFormatting>
  <conditionalFormatting sqref="Q160 AF160">
    <cfRule type="cellIs" dxfId="9716" priority="3203" operator="lessThan">
      <formula>0</formula>
    </cfRule>
  </conditionalFormatting>
  <conditionalFormatting sqref="AF148:AF154">
    <cfRule type="cellIs" dxfId="9715" priority="3196" operator="lessThan">
      <formula>0</formula>
    </cfRule>
  </conditionalFormatting>
  <conditionalFormatting sqref="S148">
    <cfRule type="cellIs" dxfId="9714" priority="3195" operator="lessThan">
      <formula>0.8</formula>
    </cfRule>
  </conditionalFormatting>
  <conditionalFormatting sqref="AG148:AG154">
    <cfRule type="cellIs" dxfId="9713" priority="3193" operator="greaterThan">
      <formula>1</formula>
    </cfRule>
    <cfRule type="cellIs" dxfId="9712" priority="3194" operator="lessThan">
      <formula>0.8</formula>
    </cfRule>
  </conditionalFormatting>
  <conditionalFormatting sqref="S86">
    <cfRule type="cellIs" dxfId="9711" priority="3192" operator="lessThan">
      <formula>0.8</formula>
    </cfRule>
  </conditionalFormatting>
  <conditionalFormatting sqref="S88 AH88">
    <cfRule type="cellIs" dxfId="9710" priority="3187" operator="lessThan">
      <formula>0.8</formula>
    </cfRule>
  </conditionalFormatting>
  <conditionalFormatting sqref="AH86">
    <cfRule type="cellIs" dxfId="9709" priority="3191" operator="lessThan">
      <formula>0.8</formula>
    </cfRule>
  </conditionalFormatting>
  <conditionalFormatting sqref="S87">
    <cfRule type="cellIs" dxfId="9708" priority="3190" operator="lessThan">
      <formula>0.8</formula>
    </cfRule>
  </conditionalFormatting>
  <conditionalFormatting sqref="AH87">
    <cfRule type="cellIs" dxfId="9707" priority="3189" operator="lessThan">
      <formula>0.8</formula>
    </cfRule>
  </conditionalFormatting>
  <conditionalFormatting sqref="S89 AH89">
    <cfRule type="cellIs" dxfId="9706" priority="3188" operator="lessThan">
      <formula>0.8</formula>
    </cfRule>
  </conditionalFormatting>
  <conditionalFormatting sqref="AF31 AF35 AF39">
    <cfRule type="cellIs" dxfId="9705" priority="3186" operator="lessThan">
      <formula>0</formula>
    </cfRule>
  </conditionalFormatting>
  <conditionalFormatting sqref="AH31 S31">
    <cfRule type="cellIs" dxfId="9704" priority="3185" operator="lessThan">
      <formula>0.8</formula>
    </cfRule>
  </conditionalFormatting>
  <conditionalFormatting sqref="AG31 AG35 AG39">
    <cfRule type="cellIs" dxfId="9703" priority="3183" operator="greaterThan">
      <formula>1</formula>
    </cfRule>
    <cfRule type="cellIs" dxfId="9702" priority="3184" operator="lessThan">
      <formula>0.8</formula>
    </cfRule>
  </conditionalFormatting>
  <conditionalFormatting sqref="AF135">
    <cfRule type="cellIs" dxfId="9701" priority="3182" operator="lessThan">
      <formula>0</formula>
    </cfRule>
  </conditionalFormatting>
  <conditionalFormatting sqref="AH135 S135">
    <cfRule type="cellIs" dxfId="9700" priority="3181" operator="lessThan">
      <formula>0.8</formula>
    </cfRule>
  </conditionalFormatting>
  <conditionalFormatting sqref="AG135">
    <cfRule type="cellIs" dxfId="9699" priority="3179" operator="greaterThan">
      <formula>1</formula>
    </cfRule>
    <cfRule type="cellIs" dxfId="9698" priority="3180" operator="lessThan">
      <formula>0.8</formula>
    </cfRule>
  </conditionalFormatting>
  <conditionalFormatting sqref="AF108 Q108">
    <cfRule type="cellIs" dxfId="9697" priority="3178" operator="lessThan">
      <formula>0</formula>
    </cfRule>
  </conditionalFormatting>
  <conditionalFormatting sqref="R108">
    <cfRule type="cellIs" dxfId="9696" priority="3176" operator="lessThan">
      <formula>0.8</formula>
    </cfRule>
    <cfRule type="cellIs" dxfId="9695" priority="3177" operator="greaterThan">
      <formula>1</formula>
    </cfRule>
  </conditionalFormatting>
  <conditionalFormatting sqref="AG108 R108">
    <cfRule type="cellIs" dxfId="9694" priority="3174" operator="greaterThan">
      <formula>1</formula>
    </cfRule>
    <cfRule type="cellIs" dxfId="9693" priority="3175" operator="lessThan">
      <formula>0.8</formula>
    </cfRule>
  </conditionalFormatting>
  <conditionalFormatting sqref="P108">
    <cfRule type="cellIs" dxfId="9692" priority="3173" operator="greaterThan">
      <formula>0</formula>
    </cfRule>
  </conditionalFormatting>
  <conditionalFormatting sqref="AH97">
    <cfRule type="cellIs" dxfId="9691" priority="3168" operator="lessThan">
      <formula>0.8</formula>
    </cfRule>
  </conditionalFormatting>
  <conditionalFormatting sqref="AG96 AG98 AG100 AG102 AG104">
    <cfRule type="cellIs" dxfId="9690" priority="3170" operator="greaterThan">
      <formula>1</formula>
    </cfRule>
    <cfRule type="cellIs" dxfId="9689" priority="3171" operator="lessThan">
      <formula>0.8</formula>
    </cfRule>
  </conditionalFormatting>
  <conditionalFormatting sqref="AF96 AF98 AF100 AF102 AF104">
    <cfRule type="cellIs" dxfId="9688" priority="3172" operator="lessThan">
      <formula>0</formula>
    </cfRule>
  </conditionalFormatting>
  <conditionalFormatting sqref="AG97 AG99 AG101 AG103 AG105">
    <cfRule type="cellIs" dxfId="9687" priority="3166" operator="greaterThan">
      <formula>1</formula>
    </cfRule>
    <cfRule type="cellIs" dxfId="9686" priority="3167" operator="lessThan">
      <formula>0.8</formula>
    </cfRule>
  </conditionalFormatting>
  <conditionalFormatting sqref="AF97 AF99 AF101 AF103 AF105">
    <cfRule type="cellIs" dxfId="9685" priority="3169" operator="lessThan">
      <formula>0</formula>
    </cfRule>
  </conditionalFormatting>
  <conditionalFormatting sqref="AF71 AF73 AF75 AF79 AF77">
    <cfRule type="cellIs" dxfId="9684" priority="3163" operator="lessThan">
      <formula>0</formula>
    </cfRule>
  </conditionalFormatting>
  <conditionalFormatting sqref="S71 AH71">
    <cfRule type="cellIs" dxfId="9683" priority="3162" operator="lessThan">
      <formula>0.8</formula>
    </cfRule>
  </conditionalFormatting>
  <conditionalFormatting sqref="AG71 AG73 AG75 AG79 AG77">
    <cfRule type="cellIs" dxfId="9682" priority="3160" operator="greaterThan">
      <formula>1</formula>
    </cfRule>
    <cfRule type="cellIs" dxfId="9681" priority="3161" operator="lessThan">
      <formula>0.8</formula>
    </cfRule>
  </conditionalFormatting>
  <conditionalFormatting sqref="AF72 AF76 AF80">
    <cfRule type="cellIs" dxfId="9680" priority="3159" operator="lessThan">
      <formula>0</formula>
    </cfRule>
  </conditionalFormatting>
  <conditionalFormatting sqref="S72 AH72">
    <cfRule type="cellIs" dxfId="9679" priority="3158" operator="lessThan">
      <formula>0.8</formula>
    </cfRule>
  </conditionalFormatting>
  <conditionalFormatting sqref="S11">
    <cfRule type="cellIs" dxfId="9678" priority="3165" operator="lessThan">
      <formula>0.8</formula>
    </cfRule>
  </conditionalFormatting>
  <conditionalFormatting sqref="S10">
    <cfRule type="cellIs" dxfId="9677" priority="3164" operator="lessThan">
      <formula>0.8</formula>
    </cfRule>
  </conditionalFormatting>
  <conditionalFormatting sqref="AG72 AG76 AG80">
    <cfRule type="cellIs" dxfId="9676" priority="3156" operator="greaterThan">
      <formula>1</formula>
    </cfRule>
    <cfRule type="cellIs" dxfId="9675" priority="3157" operator="lessThan">
      <formula>0.8</formula>
    </cfRule>
  </conditionalFormatting>
  <conditionalFormatting sqref="AF14:AF16 Q15:Q16">
    <cfRule type="cellIs" dxfId="9674" priority="3155" operator="lessThan">
      <formula>0</formula>
    </cfRule>
  </conditionalFormatting>
  <conditionalFormatting sqref="R15:R16">
    <cfRule type="cellIs" dxfId="9673" priority="3153" operator="lessThan">
      <formula>0.8</formula>
    </cfRule>
    <cfRule type="cellIs" dxfId="9672" priority="3154" operator="greaterThan">
      <formula>1</formula>
    </cfRule>
  </conditionalFormatting>
  <conditionalFormatting sqref="AG14:AG16 R15:R16">
    <cfRule type="cellIs" dxfId="9671" priority="3151" operator="greaterThan">
      <formula>1</formula>
    </cfRule>
    <cfRule type="cellIs" dxfId="9670" priority="3152" operator="lessThan">
      <formula>0.8</formula>
    </cfRule>
  </conditionalFormatting>
  <conditionalFormatting sqref="P15:P16">
    <cfRule type="cellIs" dxfId="9669" priority="3150" operator="greaterThan">
      <formula>0</formula>
    </cfRule>
  </conditionalFormatting>
  <conditionalFormatting sqref="AH98">
    <cfRule type="cellIs" dxfId="9668" priority="3149" operator="lessThan">
      <formula>0.8</formula>
    </cfRule>
  </conditionalFormatting>
  <conditionalFormatting sqref="AF33 AF37">
    <cfRule type="cellIs" dxfId="9667" priority="3148" operator="lessThan">
      <formula>0</formula>
    </cfRule>
  </conditionalFormatting>
  <conditionalFormatting sqref="AG33 AG37">
    <cfRule type="cellIs" dxfId="9666" priority="3146" operator="greaterThan">
      <formula>1</formula>
    </cfRule>
    <cfRule type="cellIs" dxfId="9665" priority="3147" operator="lessThan">
      <formula>0.8</formula>
    </cfRule>
  </conditionalFormatting>
  <conditionalFormatting sqref="P41:P42">
    <cfRule type="cellIs" dxfId="9664" priority="3140" operator="greaterThan">
      <formula>0</formula>
    </cfRule>
  </conditionalFormatting>
  <conditionalFormatting sqref="Q41:Q42 AF34 AF41:AF42 AF38">
    <cfRule type="cellIs" dxfId="9663" priority="3145" operator="lessThan">
      <formula>0</formula>
    </cfRule>
  </conditionalFormatting>
  <conditionalFormatting sqref="R41:R42">
    <cfRule type="cellIs" dxfId="9662" priority="3143" operator="lessThan">
      <formula>0.8</formula>
    </cfRule>
    <cfRule type="cellIs" dxfId="9661" priority="3144" operator="greaterThan">
      <formula>1</formula>
    </cfRule>
  </conditionalFormatting>
  <conditionalFormatting sqref="R41:R42 AG34 AG41:AG42 AG38">
    <cfRule type="cellIs" dxfId="9660" priority="3141" operator="greaterThan">
      <formula>1</formula>
    </cfRule>
    <cfRule type="cellIs" dxfId="9659" priority="3142" operator="lessThan">
      <formula>0.8</formula>
    </cfRule>
  </conditionalFormatting>
  <conditionalFormatting sqref="AF137:AF144">
    <cfRule type="cellIs" dxfId="9658" priority="3139" operator="lessThan">
      <formula>0</formula>
    </cfRule>
  </conditionalFormatting>
  <conditionalFormatting sqref="AH137 S137">
    <cfRule type="cellIs" dxfId="9657" priority="3138" operator="lessThan">
      <formula>0.8</formula>
    </cfRule>
  </conditionalFormatting>
  <conditionalFormatting sqref="AG137:AG144">
    <cfRule type="cellIs" dxfId="9656" priority="3136" operator="greaterThan">
      <formula>1</formula>
    </cfRule>
    <cfRule type="cellIs" dxfId="9655" priority="3137" operator="lessThan">
      <formula>0.8</formula>
    </cfRule>
  </conditionalFormatting>
  <conditionalFormatting sqref="AF55">
    <cfRule type="cellIs" dxfId="9654" priority="3135" operator="lessThan">
      <formula>0</formula>
    </cfRule>
  </conditionalFormatting>
  <conditionalFormatting sqref="AG55">
    <cfRule type="cellIs" dxfId="9653" priority="3133" operator="greaterThan">
      <formula>1</formula>
    </cfRule>
    <cfRule type="cellIs" dxfId="9652" priority="3134" operator="lessThan">
      <formula>0.8</formula>
    </cfRule>
  </conditionalFormatting>
  <conditionalFormatting sqref="AF56 Q56">
    <cfRule type="cellIs" dxfId="9651" priority="3132" operator="lessThan">
      <formula>0</formula>
    </cfRule>
  </conditionalFormatting>
  <conditionalFormatting sqref="R56">
    <cfRule type="cellIs" dxfId="9650" priority="3130" operator="lessThan">
      <formula>0.8</formula>
    </cfRule>
    <cfRule type="cellIs" dxfId="9649" priority="3131" operator="greaterThan">
      <formula>1</formula>
    </cfRule>
  </conditionalFormatting>
  <conditionalFormatting sqref="AG56 R56">
    <cfRule type="cellIs" dxfId="9648" priority="3128" operator="greaterThan">
      <formula>1</formula>
    </cfRule>
    <cfRule type="cellIs" dxfId="9647" priority="3129" operator="lessThan">
      <formula>0.8</formula>
    </cfRule>
  </conditionalFormatting>
  <conditionalFormatting sqref="P56">
    <cfRule type="cellIs" dxfId="9646" priority="3127" operator="greaterThan">
      <formula>0</formula>
    </cfRule>
  </conditionalFormatting>
  <conditionalFormatting sqref="P52:P55">
    <cfRule type="cellIs" dxfId="9645" priority="3121" operator="greaterThan">
      <formula>0</formula>
    </cfRule>
  </conditionalFormatting>
  <conditionalFormatting sqref="Q52:Q55">
    <cfRule type="cellIs" dxfId="9644" priority="3126" operator="lessThan">
      <formula>0</formula>
    </cfRule>
  </conditionalFormatting>
  <conditionalFormatting sqref="R52:R55">
    <cfRule type="cellIs" dxfId="9643" priority="3124" operator="lessThan">
      <formula>0.8</formula>
    </cfRule>
    <cfRule type="cellIs" dxfId="9642" priority="3125" operator="greaterThan">
      <formula>1</formula>
    </cfRule>
  </conditionalFormatting>
  <conditionalFormatting sqref="R52:R55">
    <cfRule type="cellIs" dxfId="9641" priority="3122" operator="greaterThan">
      <formula>1</formula>
    </cfRule>
    <cfRule type="cellIs" dxfId="9640" priority="3123" operator="lessThan">
      <formula>0.8</formula>
    </cfRule>
  </conditionalFormatting>
  <conditionalFormatting sqref="P80:P81">
    <cfRule type="cellIs" dxfId="9639" priority="3115" operator="greaterThan">
      <formula>0</formula>
    </cfRule>
  </conditionalFormatting>
  <conditionalFormatting sqref="AF81 Q80:Q81">
    <cfRule type="cellIs" dxfId="9638" priority="3120" operator="lessThan">
      <formula>0</formula>
    </cfRule>
  </conditionalFormatting>
  <conditionalFormatting sqref="R80:R81">
    <cfRule type="cellIs" dxfId="9637" priority="3118" operator="lessThan">
      <formula>0.8</formula>
    </cfRule>
    <cfRule type="cellIs" dxfId="9636" priority="3119" operator="greaterThan">
      <formula>1</formula>
    </cfRule>
  </conditionalFormatting>
  <conditionalFormatting sqref="AG81 R80:R81">
    <cfRule type="cellIs" dxfId="9635" priority="3116" operator="greaterThan">
      <formula>1</formula>
    </cfRule>
    <cfRule type="cellIs" dxfId="9634" priority="3117" operator="lessThan">
      <formula>0.8</formula>
    </cfRule>
  </conditionalFormatting>
  <conditionalFormatting sqref="AH85">
    <cfRule type="cellIs" dxfId="9633" priority="3114" operator="lessThan">
      <formula>0.8</formula>
    </cfRule>
  </conditionalFormatting>
  <conditionalFormatting sqref="S85">
    <cfRule type="cellIs" dxfId="9632" priority="3113" operator="lessThan">
      <formula>0.8</formula>
    </cfRule>
  </conditionalFormatting>
  <conditionalFormatting sqref="AF106:AF107">
    <cfRule type="cellIs" dxfId="9631" priority="3112" operator="lessThan">
      <formula>0</formula>
    </cfRule>
  </conditionalFormatting>
  <conditionalFormatting sqref="AH100:AH107">
    <cfRule type="cellIs" dxfId="9630" priority="3111" operator="lessThan">
      <formula>0.8</formula>
    </cfRule>
  </conditionalFormatting>
  <conditionalFormatting sqref="AG106:AG107">
    <cfRule type="cellIs" dxfId="9629" priority="3109" operator="greaterThan">
      <formula>1</formula>
    </cfRule>
    <cfRule type="cellIs" dxfId="9628" priority="3110" operator="lessThan">
      <formula>0.8</formula>
    </cfRule>
  </conditionalFormatting>
  <conditionalFormatting sqref="P106:P107">
    <cfRule type="cellIs" dxfId="9627" priority="3103" operator="greaterThan">
      <formula>0</formula>
    </cfRule>
  </conditionalFormatting>
  <conditionalFormatting sqref="Q106:Q107">
    <cfRule type="cellIs" dxfId="9626" priority="3108" operator="lessThan">
      <formula>0</formula>
    </cfRule>
  </conditionalFormatting>
  <conditionalFormatting sqref="R106:R107">
    <cfRule type="cellIs" dxfId="9625" priority="3106" operator="lessThan">
      <formula>0.8</formula>
    </cfRule>
    <cfRule type="cellIs" dxfId="9624" priority="3107" operator="greaterThan">
      <formula>1</formula>
    </cfRule>
  </conditionalFormatting>
  <conditionalFormatting sqref="R106:R107">
    <cfRule type="cellIs" dxfId="9623" priority="3104" operator="greaterThan">
      <formula>1</formula>
    </cfRule>
    <cfRule type="cellIs" dxfId="9622" priority="3105" operator="lessThan">
      <formula>0.8</formula>
    </cfRule>
  </conditionalFormatting>
  <conditionalFormatting sqref="AF109:AF120">
    <cfRule type="cellIs" dxfId="9621" priority="3102" operator="lessThan">
      <formula>0</formula>
    </cfRule>
  </conditionalFormatting>
  <conditionalFormatting sqref="S109">
    <cfRule type="cellIs" dxfId="9620" priority="3101" operator="lessThan">
      <formula>0.8</formula>
    </cfRule>
  </conditionalFormatting>
  <conditionalFormatting sqref="AG109:AG120">
    <cfRule type="cellIs" dxfId="9619" priority="3099" operator="greaterThan">
      <formula>1</formula>
    </cfRule>
    <cfRule type="cellIs" dxfId="9618" priority="3100" operator="lessThan">
      <formula>0.8</formula>
    </cfRule>
  </conditionalFormatting>
  <conditionalFormatting sqref="S150">
    <cfRule type="cellIs" dxfId="9617" priority="3098" operator="lessThan">
      <formula>0.8</formula>
    </cfRule>
  </conditionalFormatting>
  <conditionalFormatting sqref="AH150">
    <cfRule type="cellIs" dxfId="9616" priority="3097" operator="lessThan">
      <formula>0.8</formula>
    </cfRule>
  </conditionalFormatting>
  <conditionalFormatting sqref="S149">
    <cfRule type="cellIs" dxfId="9615" priority="3096" operator="lessThan">
      <formula>0.8</formula>
    </cfRule>
  </conditionalFormatting>
  <conditionalFormatting sqref="Q26:Q29">
    <cfRule type="cellIs" dxfId="9614" priority="3095" operator="lessThan">
      <formula>0</formula>
    </cfRule>
  </conditionalFormatting>
  <conditionalFormatting sqref="S21:S29 AH21:AH29">
    <cfRule type="cellIs" dxfId="9613" priority="3094" operator="lessThan">
      <formula>0.8</formula>
    </cfRule>
  </conditionalFormatting>
  <conditionalFormatting sqref="R26:R29">
    <cfRule type="cellIs" dxfId="9612" priority="3092" operator="lessThan">
      <formula>0.8</formula>
    </cfRule>
    <cfRule type="cellIs" dxfId="9611" priority="3093" operator="greaterThan">
      <formula>1</formula>
    </cfRule>
  </conditionalFormatting>
  <conditionalFormatting sqref="R26:R29">
    <cfRule type="cellIs" dxfId="9610" priority="3090" operator="greaterThan">
      <formula>1</formula>
    </cfRule>
    <cfRule type="cellIs" dxfId="9609" priority="3091" operator="lessThan">
      <formula>0.8</formula>
    </cfRule>
  </conditionalFormatting>
  <conditionalFormatting sqref="P26:P29">
    <cfRule type="cellIs" dxfId="9608" priority="3089" operator="greaterThan">
      <formula>0</formula>
    </cfRule>
  </conditionalFormatting>
  <conditionalFormatting sqref="AH91 S91">
    <cfRule type="cellIs" dxfId="9607" priority="3088" operator="lessThan">
      <formula>0.8</formula>
    </cfRule>
  </conditionalFormatting>
  <conditionalFormatting sqref="P92:P94">
    <cfRule type="cellIs" dxfId="9606" priority="3082" operator="greaterThan">
      <formula>0</formula>
    </cfRule>
  </conditionalFormatting>
  <conditionalFormatting sqref="Q92:Q94">
    <cfRule type="cellIs" dxfId="9605" priority="3087" operator="lessThan">
      <formula>0</formula>
    </cfRule>
  </conditionalFormatting>
  <conditionalFormatting sqref="R92:R94">
    <cfRule type="cellIs" dxfId="9604" priority="3085" operator="lessThan">
      <formula>0.8</formula>
    </cfRule>
    <cfRule type="cellIs" dxfId="9603" priority="3086" operator="greaterThan">
      <formula>1</formula>
    </cfRule>
  </conditionalFormatting>
  <conditionalFormatting sqref="R92:R94">
    <cfRule type="cellIs" dxfId="9602" priority="3083" operator="greaterThan">
      <formula>1</formula>
    </cfRule>
    <cfRule type="cellIs" dxfId="9601" priority="3084" operator="lessThan">
      <formula>0.8</formula>
    </cfRule>
  </conditionalFormatting>
  <conditionalFormatting sqref="AF146 Q145:Q146">
    <cfRule type="cellIs" dxfId="9600" priority="3081" operator="lessThan">
      <formula>0</formula>
    </cfRule>
  </conditionalFormatting>
  <conditionalFormatting sqref="AH139:AH146 S139:S146">
    <cfRule type="cellIs" dxfId="9599" priority="3080" operator="lessThan">
      <formula>0.8</formula>
    </cfRule>
  </conditionalFormatting>
  <conditionalFormatting sqref="R145:R146">
    <cfRule type="cellIs" dxfId="9598" priority="3078" operator="lessThan">
      <formula>0.8</formula>
    </cfRule>
    <cfRule type="cellIs" dxfId="9597" priority="3079" operator="greaterThan">
      <formula>1</formula>
    </cfRule>
  </conditionalFormatting>
  <conditionalFormatting sqref="AG146 R145:R146">
    <cfRule type="cellIs" dxfId="9596" priority="3076" operator="greaterThan">
      <formula>1</formula>
    </cfRule>
    <cfRule type="cellIs" dxfId="9595" priority="3077" operator="lessThan">
      <formula>0.8</formula>
    </cfRule>
  </conditionalFormatting>
  <conditionalFormatting sqref="P145:P146">
    <cfRule type="cellIs" dxfId="9594" priority="3075" operator="greaterThan">
      <formula>0</formula>
    </cfRule>
  </conditionalFormatting>
  <conditionalFormatting sqref="Q119:Q120">
    <cfRule type="cellIs" dxfId="9593" priority="3074" operator="lessThan">
      <formula>0</formula>
    </cfRule>
  </conditionalFormatting>
  <conditionalFormatting sqref="R119:R120">
    <cfRule type="cellIs" dxfId="9592" priority="3072" operator="lessThan">
      <formula>0.8</formula>
    </cfRule>
    <cfRule type="cellIs" dxfId="9591" priority="3073" operator="greaterThan">
      <formula>1</formula>
    </cfRule>
  </conditionalFormatting>
  <conditionalFormatting sqref="R119:R120">
    <cfRule type="cellIs" dxfId="9590" priority="3070" operator="greaterThan">
      <formula>1</formula>
    </cfRule>
    <cfRule type="cellIs" dxfId="9589" priority="3071" operator="lessThan">
      <formula>0.8</formula>
    </cfRule>
  </conditionalFormatting>
  <conditionalFormatting sqref="P119:P120">
    <cfRule type="cellIs" dxfId="9588" priority="3069" operator="greaterThan">
      <formula>0</formula>
    </cfRule>
  </conditionalFormatting>
  <conditionalFormatting sqref="S44:S56">
    <cfRule type="cellIs" dxfId="9587" priority="3068" operator="lessThan">
      <formula>0.8</formula>
    </cfRule>
  </conditionalFormatting>
  <conditionalFormatting sqref="S108">
    <cfRule type="cellIs" dxfId="9586" priority="3067" operator="lessThan">
      <formula>0.8</formula>
    </cfRule>
  </conditionalFormatting>
  <conditionalFormatting sqref="S96">
    <cfRule type="cellIs" dxfId="9585" priority="3066" operator="lessThan">
      <formula>0.8</formula>
    </cfRule>
  </conditionalFormatting>
  <conditionalFormatting sqref="S97">
    <cfRule type="cellIs" dxfId="9584" priority="3065" operator="lessThan">
      <formula>0.8</formula>
    </cfRule>
  </conditionalFormatting>
  <conditionalFormatting sqref="S103">
    <cfRule type="cellIs" dxfId="9583" priority="3064" operator="lessThan">
      <formula>0.8</formula>
    </cfRule>
  </conditionalFormatting>
  <conditionalFormatting sqref="S99">
    <cfRule type="cellIs" dxfId="9582" priority="3063" operator="lessThan">
      <formula>0.8</formula>
    </cfRule>
  </conditionalFormatting>
  <conditionalFormatting sqref="S101">
    <cfRule type="cellIs" dxfId="9581" priority="3060" operator="lessThan">
      <formula>0.8</formula>
    </cfRule>
  </conditionalFormatting>
  <conditionalFormatting sqref="S100">
    <cfRule type="cellIs" dxfId="9580" priority="3062" operator="lessThan">
      <formula>0.8</formula>
    </cfRule>
  </conditionalFormatting>
  <conditionalFormatting sqref="S102">
    <cfRule type="cellIs" dxfId="9579" priority="3061" operator="lessThan">
      <formula>0.8</formula>
    </cfRule>
  </conditionalFormatting>
  <conditionalFormatting sqref="S98">
    <cfRule type="cellIs" dxfId="9578" priority="3059" operator="lessThan">
      <formula>0.8</formula>
    </cfRule>
  </conditionalFormatting>
  <conditionalFormatting sqref="S104">
    <cfRule type="cellIs" dxfId="9577" priority="3058" operator="lessThan">
      <formula>0.8</formula>
    </cfRule>
  </conditionalFormatting>
  <conditionalFormatting sqref="P118">
    <cfRule type="cellIs" dxfId="9576" priority="3052" operator="greaterThan">
      <formula>0</formula>
    </cfRule>
  </conditionalFormatting>
  <conditionalFormatting sqref="Q118">
    <cfRule type="cellIs" dxfId="9575" priority="3057" operator="lessThan">
      <formula>0</formula>
    </cfRule>
  </conditionalFormatting>
  <conditionalFormatting sqref="R118">
    <cfRule type="cellIs" dxfId="9574" priority="3055" operator="lessThan">
      <formula>0.8</formula>
    </cfRule>
    <cfRule type="cellIs" dxfId="9573" priority="3056" operator="greaterThan">
      <formula>1</formula>
    </cfRule>
  </conditionalFormatting>
  <conditionalFormatting sqref="R118">
    <cfRule type="cellIs" dxfId="9572" priority="3053" operator="greaterThan">
      <formula>1</formula>
    </cfRule>
    <cfRule type="cellIs" dxfId="9571" priority="3054" operator="lessThan">
      <formula>0.8</formula>
    </cfRule>
  </conditionalFormatting>
  <conditionalFormatting sqref="Q162:Q166">
    <cfRule type="cellIs" dxfId="9570" priority="3051" operator="lessThan">
      <formula>0</formula>
    </cfRule>
  </conditionalFormatting>
  <conditionalFormatting sqref="R162:R166">
    <cfRule type="cellIs" dxfId="9569" priority="3049" operator="lessThan">
      <formula>0.8</formula>
    </cfRule>
    <cfRule type="cellIs" dxfId="9568" priority="3050" operator="greaterThan">
      <formula>1</formula>
    </cfRule>
  </conditionalFormatting>
  <conditionalFormatting sqref="R162:R166">
    <cfRule type="cellIs" dxfId="9567" priority="3047" operator="greaterThan">
      <formula>1</formula>
    </cfRule>
    <cfRule type="cellIs" dxfId="9566" priority="3048" operator="lessThan">
      <formula>0.8</formula>
    </cfRule>
  </conditionalFormatting>
  <conditionalFormatting sqref="P162:P166">
    <cfRule type="cellIs" dxfId="9565" priority="3046" operator="greaterThan">
      <formula>0</formula>
    </cfRule>
  </conditionalFormatting>
  <conditionalFormatting sqref="P167:P168">
    <cfRule type="cellIs" dxfId="9564" priority="3040" operator="greaterThan">
      <formula>0</formula>
    </cfRule>
  </conditionalFormatting>
  <conditionalFormatting sqref="R167:R168">
    <cfRule type="cellIs" dxfId="9563" priority="3043" operator="lessThan">
      <formula>0.8</formula>
    </cfRule>
    <cfRule type="cellIs" dxfId="9562" priority="3044" operator="greaterThan">
      <formula>1</formula>
    </cfRule>
  </conditionalFormatting>
  <conditionalFormatting sqref="R167:R168">
    <cfRule type="cellIs" dxfId="9561" priority="3041" operator="greaterThan">
      <formula>1</formula>
    </cfRule>
    <cfRule type="cellIs" dxfId="9560" priority="3042" operator="lessThan">
      <formula>0.8</formula>
    </cfRule>
  </conditionalFormatting>
  <conditionalFormatting sqref="Q167:Q168">
    <cfRule type="cellIs" dxfId="9559" priority="3045" operator="lessThan">
      <formula>0</formula>
    </cfRule>
  </conditionalFormatting>
  <conditionalFormatting sqref="Q83">
    <cfRule type="cellIs" dxfId="9558" priority="3039" operator="lessThan">
      <formula>0</formula>
    </cfRule>
  </conditionalFormatting>
  <conditionalFormatting sqref="R83">
    <cfRule type="cellIs" dxfId="9557" priority="3037" operator="lessThan">
      <formula>0.8</formula>
    </cfRule>
    <cfRule type="cellIs" dxfId="9556" priority="3038" operator="greaterThan">
      <formula>1</formula>
    </cfRule>
  </conditionalFormatting>
  <conditionalFormatting sqref="R83">
    <cfRule type="cellIs" dxfId="9555" priority="3035" operator="greaterThan">
      <formula>1</formula>
    </cfRule>
    <cfRule type="cellIs" dxfId="9554" priority="3036" operator="lessThan">
      <formula>0.8</formula>
    </cfRule>
  </conditionalFormatting>
  <conditionalFormatting sqref="P83">
    <cfRule type="cellIs" dxfId="9553" priority="3034" operator="greaterThan">
      <formula>0</formula>
    </cfRule>
  </conditionalFormatting>
  <conditionalFormatting sqref="Q83">
    <cfRule type="cellIs" dxfId="9552" priority="3033" operator="lessThan">
      <formula>0</formula>
    </cfRule>
  </conditionalFormatting>
  <conditionalFormatting sqref="R83">
    <cfRule type="cellIs" dxfId="9551" priority="3031" operator="lessThan">
      <formula>0.8</formula>
    </cfRule>
    <cfRule type="cellIs" dxfId="9550" priority="3032" operator="greaterThan">
      <formula>1</formula>
    </cfRule>
  </conditionalFormatting>
  <conditionalFormatting sqref="R83">
    <cfRule type="cellIs" dxfId="9549" priority="3029" operator="greaterThan">
      <formula>1</formula>
    </cfRule>
    <cfRule type="cellIs" dxfId="9548" priority="3030" operator="lessThan">
      <formula>0.8</formula>
    </cfRule>
  </conditionalFormatting>
  <conditionalFormatting sqref="P83">
    <cfRule type="cellIs" dxfId="9547" priority="3028" operator="greaterThan">
      <formula>0</formula>
    </cfRule>
  </conditionalFormatting>
  <conditionalFormatting sqref="Q83">
    <cfRule type="cellIs" dxfId="9546" priority="3027" operator="lessThan">
      <formula>0</formula>
    </cfRule>
  </conditionalFormatting>
  <conditionalFormatting sqref="R83">
    <cfRule type="cellIs" dxfId="9545" priority="3025" operator="lessThan">
      <formula>0.8</formula>
    </cfRule>
    <cfRule type="cellIs" dxfId="9544" priority="3026" operator="greaterThan">
      <formula>1</formula>
    </cfRule>
  </conditionalFormatting>
  <conditionalFormatting sqref="R83">
    <cfRule type="cellIs" dxfId="9543" priority="3023" operator="greaterThan">
      <formula>1</formula>
    </cfRule>
    <cfRule type="cellIs" dxfId="9542" priority="3024" operator="lessThan">
      <formula>0.8</formula>
    </cfRule>
  </conditionalFormatting>
  <conditionalFormatting sqref="P83">
    <cfRule type="cellIs" dxfId="9541" priority="3022" operator="greaterThan">
      <formula>0</formula>
    </cfRule>
  </conditionalFormatting>
  <conditionalFormatting sqref="Q83">
    <cfRule type="cellIs" dxfId="9540" priority="3021" operator="lessThan">
      <formula>0</formula>
    </cfRule>
  </conditionalFormatting>
  <conditionalFormatting sqref="R83">
    <cfRule type="cellIs" dxfId="9539" priority="3019" operator="lessThan">
      <formula>0.8</formula>
    </cfRule>
    <cfRule type="cellIs" dxfId="9538" priority="3020" operator="greaterThan">
      <formula>1</formula>
    </cfRule>
  </conditionalFormatting>
  <conditionalFormatting sqref="R83">
    <cfRule type="cellIs" dxfId="9537" priority="3017" operator="greaterThan">
      <formula>1</formula>
    </cfRule>
    <cfRule type="cellIs" dxfId="9536" priority="3018" operator="lessThan">
      <formula>0.8</formula>
    </cfRule>
  </conditionalFormatting>
  <conditionalFormatting sqref="P83">
    <cfRule type="cellIs" dxfId="9535" priority="3016" operator="greaterThan">
      <formula>0</formula>
    </cfRule>
  </conditionalFormatting>
  <conditionalFormatting sqref="P83">
    <cfRule type="cellIs" dxfId="9534" priority="3010" operator="greaterThan">
      <formula>0</formula>
    </cfRule>
  </conditionalFormatting>
  <conditionalFormatting sqref="Q83">
    <cfRule type="cellIs" dxfId="9533" priority="3015" operator="lessThan">
      <formula>0</formula>
    </cfRule>
  </conditionalFormatting>
  <conditionalFormatting sqref="R83">
    <cfRule type="cellIs" dxfId="9532" priority="3013" operator="lessThan">
      <formula>0.8</formula>
    </cfRule>
    <cfRule type="cellIs" dxfId="9531" priority="3014" operator="greaterThan">
      <formula>1</formula>
    </cfRule>
  </conditionalFormatting>
  <conditionalFormatting sqref="R83">
    <cfRule type="cellIs" dxfId="9530" priority="3011" operator="greaterThan">
      <formula>1</formula>
    </cfRule>
    <cfRule type="cellIs" dxfId="9529" priority="3012" operator="lessThan">
      <formula>0.8</formula>
    </cfRule>
  </conditionalFormatting>
  <conditionalFormatting sqref="P83">
    <cfRule type="cellIs" dxfId="9528" priority="3004" operator="greaterThan">
      <formula>0</formula>
    </cfRule>
  </conditionalFormatting>
  <conditionalFormatting sqref="Q83">
    <cfRule type="cellIs" dxfId="9527" priority="3009" operator="lessThan">
      <formula>0</formula>
    </cfRule>
  </conditionalFormatting>
  <conditionalFormatting sqref="R83">
    <cfRule type="cellIs" dxfId="9526" priority="3007" operator="lessThan">
      <formula>0.8</formula>
    </cfRule>
    <cfRule type="cellIs" dxfId="9525" priority="3008" operator="greaterThan">
      <formula>1</formula>
    </cfRule>
  </conditionalFormatting>
  <conditionalFormatting sqref="R83">
    <cfRule type="cellIs" dxfId="9524" priority="3005" operator="greaterThan">
      <formula>1</formula>
    </cfRule>
    <cfRule type="cellIs" dxfId="9523" priority="3006" operator="lessThan">
      <formula>0.8</formula>
    </cfRule>
  </conditionalFormatting>
  <conditionalFormatting sqref="R83">
    <cfRule type="cellIs" dxfId="9522" priority="3001" operator="lessThan">
      <formula>0.8</formula>
    </cfRule>
    <cfRule type="cellIs" dxfId="9521" priority="3002" operator="greaterThan">
      <formula>1</formula>
    </cfRule>
  </conditionalFormatting>
  <conditionalFormatting sqref="R83">
    <cfRule type="cellIs" dxfId="9520" priority="2999" operator="greaterThan">
      <formula>1</formula>
    </cfRule>
    <cfRule type="cellIs" dxfId="9519" priority="3000" operator="lessThan">
      <formula>0.8</formula>
    </cfRule>
  </conditionalFormatting>
  <conditionalFormatting sqref="P83">
    <cfRule type="cellIs" dxfId="9518" priority="2998" operator="greaterThan">
      <formula>0</formula>
    </cfRule>
  </conditionalFormatting>
  <conditionalFormatting sqref="Q83">
    <cfRule type="cellIs" dxfId="9517" priority="3003" operator="lessThan">
      <formula>0</formula>
    </cfRule>
  </conditionalFormatting>
  <conditionalFormatting sqref="Q83">
    <cfRule type="cellIs" dxfId="9516" priority="2997" operator="lessThan">
      <formula>0</formula>
    </cfRule>
  </conditionalFormatting>
  <conditionalFormatting sqref="R83">
    <cfRule type="cellIs" dxfId="9515" priority="2995" operator="lessThan">
      <formula>0.8</formula>
    </cfRule>
    <cfRule type="cellIs" dxfId="9514" priority="2996" operator="greaterThan">
      <formula>1</formula>
    </cfRule>
  </conditionalFormatting>
  <conditionalFormatting sqref="R83">
    <cfRule type="cellIs" dxfId="9513" priority="2993" operator="greaterThan">
      <formula>1</formula>
    </cfRule>
    <cfRule type="cellIs" dxfId="9512" priority="2994" operator="lessThan">
      <formula>0.8</formula>
    </cfRule>
  </conditionalFormatting>
  <conditionalFormatting sqref="P83">
    <cfRule type="cellIs" dxfId="9511" priority="2992" operator="greaterThan">
      <formula>0</formula>
    </cfRule>
  </conditionalFormatting>
  <conditionalFormatting sqref="P83">
    <cfRule type="cellIs" dxfId="9510" priority="2986" operator="greaterThan">
      <formula>0</formula>
    </cfRule>
  </conditionalFormatting>
  <conditionalFormatting sqref="Q83">
    <cfRule type="cellIs" dxfId="9509" priority="2991" operator="lessThan">
      <formula>0</formula>
    </cfRule>
  </conditionalFormatting>
  <conditionalFormatting sqref="R83">
    <cfRule type="cellIs" dxfId="9508" priority="2989" operator="lessThan">
      <formula>0.8</formula>
    </cfRule>
    <cfRule type="cellIs" dxfId="9507" priority="2990" operator="greaterThan">
      <formula>1</formula>
    </cfRule>
  </conditionalFormatting>
  <conditionalFormatting sqref="R83">
    <cfRule type="cellIs" dxfId="9506" priority="2987" operator="greaterThan">
      <formula>1</formula>
    </cfRule>
    <cfRule type="cellIs" dxfId="9505" priority="2988" operator="lessThan">
      <formula>0.8</formula>
    </cfRule>
  </conditionalFormatting>
  <conditionalFormatting sqref="P83">
    <cfRule type="cellIs" dxfId="9504" priority="2980" operator="greaterThan">
      <formula>0</formula>
    </cfRule>
  </conditionalFormatting>
  <conditionalFormatting sqref="Q83">
    <cfRule type="cellIs" dxfId="9503" priority="2985" operator="lessThan">
      <formula>0</formula>
    </cfRule>
  </conditionalFormatting>
  <conditionalFormatting sqref="R83">
    <cfRule type="cellIs" dxfId="9502" priority="2983" operator="lessThan">
      <formula>0.8</formula>
    </cfRule>
    <cfRule type="cellIs" dxfId="9501" priority="2984" operator="greaterThan">
      <formula>1</formula>
    </cfRule>
  </conditionalFormatting>
  <conditionalFormatting sqref="R83">
    <cfRule type="cellIs" dxfId="9500" priority="2981" operator="greaterThan">
      <formula>1</formula>
    </cfRule>
    <cfRule type="cellIs" dxfId="9499" priority="2982" operator="lessThan">
      <formula>0.8</formula>
    </cfRule>
  </conditionalFormatting>
  <conditionalFormatting sqref="R83">
    <cfRule type="cellIs" dxfId="9498" priority="2977" operator="lessThan">
      <formula>0.8</formula>
    </cfRule>
    <cfRule type="cellIs" dxfId="9497" priority="2978" operator="greaterThan">
      <formula>1</formula>
    </cfRule>
  </conditionalFormatting>
  <conditionalFormatting sqref="R83">
    <cfRule type="cellIs" dxfId="9496" priority="2975" operator="greaterThan">
      <formula>1</formula>
    </cfRule>
    <cfRule type="cellIs" dxfId="9495" priority="2976" operator="lessThan">
      <formula>0.8</formula>
    </cfRule>
  </conditionalFormatting>
  <conditionalFormatting sqref="P83">
    <cfRule type="cellIs" dxfId="9494" priority="2974" operator="greaterThan">
      <formula>0</formula>
    </cfRule>
  </conditionalFormatting>
  <conditionalFormatting sqref="Q83">
    <cfRule type="cellIs" dxfId="9493" priority="2979" operator="lessThan">
      <formula>0</formula>
    </cfRule>
  </conditionalFormatting>
  <conditionalFormatting sqref="P83">
    <cfRule type="cellIs" dxfId="9492" priority="2968" operator="greaterThan">
      <formula>0</formula>
    </cfRule>
  </conditionalFormatting>
  <conditionalFormatting sqref="Q83">
    <cfRule type="cellIs" dxfId="9491" priority="2973" operator="lessThan">
      <formula>0</formula>
    </cfRule>
  </conditionalFormatting>
  <conditionalFormatting sqref="R83">
    <cfRule type="cellIs" dxfId="9490" priority="2971" operator="lessThan">
      <formula>0.8</formula>
    </cfRule>
    <cfRule type="cellIs" dxfId="9489" priority="2972" operator="greaterThan">
      <formula>1</formula>
    </cfRule>
  </conditionalFormatting>
  <conditionalFormatting sqref="R83">
    <cfRule type="cellIs" dxfId="9488" priority="2969" operator="greaterThan">
      <formula>1</formula>
    </cfRule>
    <cfRule type="cellIs" dxfId="9487" priority="2970" operator="lessThan">
      <formula>0.8</formula>
    </cfRule>
  </conditionalFormatting>
  <conditionalFormatting sqref="R83">
    <cfRule type="cellIs" dxfId="9486" priority="2965" operator="lessThan">
      <formula>0.8</formula>
    </cfRule>
    <cfRule type="cellIs" dxfId="9485" priority="2966" operator="greaterThan">
      <formula>1</formula>
    </cfRule>
  </conditionalFormatting>
  <conditionalFormatting sqref="R83">
    <cfRule type="cellIs" dxfId="9484" priority="2963" operator="greaterThan">
      <formula>1</formula>
    </cfRule>
    <cfRule type="cellIs" dxfId="9483" priority="2964" operator="lessThan">
      <formula>0.8</formula>
    </cfRule>
  </conditionalFormatting>
  <conditionalFormatting sqref="P83">
    <cfRule type="cellIs" dxfId="9482" priority="2962" operator="greaterThan">
      <formula>0</formula>
    </cfRule>
  </conditionalFormatting>
  <conditionalFormatting sqref="Q83">
    <cfRule type="cellIs" dxfId="9481" priority="2967" operator="lessThan">
      <formula>0</formula>
    </cfRule>
  </conditionalFormatting>
  <conditionalFormatting sqref="R83">
    <cfRule type="cellIs" dxfId="9480" priority="2959" operator="lessThan">
      <formula>0.8</formula>
    </cfRule>
    <cfRule type="cellIs" dxfId="9479" priority="2960" operator="greaterThan">
      <formula>1</formula>
    </cfRule>
  </conditionalFormatting>
  <conditionalFormatting sqref="R83">
    <cfRule type="cellIs" dxfId="9478" priority="2957" operator="greaterThan">
      <formula>1</formula>
    </cfRule>
    <cfRule type="cellIs" dxfId="9477" priority="2958" operator="lessThan">
      <formula>0.8</formula>
    </cfRule>
  </conditionalFormatting>
  <conditionalFormatting sqref="P83">
    <cfRule type="cellIs" dxfId="9476" priority="2956" operator="greaterThan">
      <formula>0</formula>
    </cfRule>
  </conditionalFormatting>
  <conditionalFormatting sqref="Q83">
    <cfRule type="cellIs" dxfId="9475" priority="2961" operator="lessThan">
      <formula>0</formula>
    </cfRule>
  </conditionalFormatting>
  <conditionalFormatting sqref="Q83">
    <cfRule type="cellIs" dxfId="9474" priority="2955" operator="lessThan">
      <formula>0</formula>
    </cfRule>
  </conditionalFormatting>
  <conditionalFormatting sqref="R83">
    <cfRule type="cellIs" dxfId="9473" priority="2953" operator="lessThan">
      <formula>0.8</formula>
    </cfRule>
    <cfRule type="cellIs" dxfId="9472" priority="2954" operator="greaterThan">
      <formula>1</formula>
    </cfRule>
  </conditionalFormatting>
  <conditionalFormatting sqref="R83">
    <cfRule type="cellIs" dxfId="9471" priority="2951" operator="greaterThan">
      <formula>1</formula>
    </cfRule>
    <cfRule type="cellIs" dxfId="9470" priority="2952" operator="lessThan">
      <formula>0.8</formula>
    </cfRule>
  </conditionalFormatting>
  <conditionalFormatting sqref="P83">
    <cfRule type="cellIs" dxfId="9469" priority="2950" operator="greaterThan">
      <formula>0</formula>
    </cfRule>
  </conditionalFormatting>
  <conditionalFormatting sqref="Q83">
    <cfRule type="cellIs" dxfId="9468" priority="2944" operator="lessThan">
      <formula>0</formula>
    </cfRule>
  </conditionalFormatting>
  <conditionalFormatting sqref="R83">
    <cfRule type="cellIs" dxfId="9467" priority="2948" operator="lessThan">
      <formula>0.8</formula>
    </cfRule>
    <cfRule type="cellIs" dxfId="9466" priority="2949" operator="greaterThan">
      <formula>1</formula>
    </cfRule>
  </conditionalFormatting>
  <conditionalFormatting sqref="R83">
    <cfRule type="cellIs" dxfId="9465" priority="2946" operator="greaterThan">
      <formula>1</formula>
    </cfRule>
    <cfRule type="cellIs" dxfId="9464" priority="2947" operator="lessThan">
      <formula>0.8</formula>
    </cfRule>
  </conditionalFormatting>
  <conditionalFormatting sqref="P83">
    <cfRule type="cellIs" dxfId="9463" priority="2945" operator="greaterThan">
      <formula>0</formula>
    </cfRule>
  </conditionalFormatting>
  <conditionalFormatting sqref="Q83">
    <cfRule type="cellIs" dxfId="9462" priority="2943" operator="lessThan">
      <formula>0</formula>
    </cfRule>
  </conditionalFormatting>
  <conditionalFormatting sqref="R83">
    <cfRule type="cellIs" dxfId="9461" priority="2941" operator="lessThan">
      <formula>0.8</formula>
    </cfRule>
    <cfRule type="cellIs" dxfId="9460" priority="2942" operator="greaterThan">
      <formula>1</formula>
    </cfRule>
  </conditionalFormatting>
  <conditionalFormatting sqref="R83">
    <cfRule type="cellIs" dxfId="9459" priority="2939" operator="greaterThan">
      <formula>1</formula>
    </cfRule>
    <cfRule type="cellIs" dxfId="9458" priority="2940" operator="lessThan">
      <formula>0.8</formula>
    </cfRule>
  </conditionalFormatting>
  <conditionalFormatting sqref="P83">
    <cfRule type="cellIs" dxfId="9457" priority="2938" operator="greaterThan">
      <formula>0</formula>
    </cfRule>
  </conditionalFormatting>
  <conditionalFormatting sqref="Q83">
    <cfRule type="cellIs" dxfId="9456" priority="2937" operator="lessThan">
      <formula>0</formula>
    </cfRule>
  </conditionalFormatting>
  <conditionalFormatting sqref="R83">
    <cfRule type="cellIs" dxfId="9455" priority="2935" operator="lessThan">
      <formula>0.8</formula>
    </cfRule>
    <cfRule type="cellIs" dxfId="9454" priority="2936" operator="greaterThan">
      <formula>1</formula>
    </cfRule>
  </conditionalFormatting>
  <conditionalFormatting sqref="R83">
    <cfRule type="cellIs" dxfId="9453" priority="2933" operator="greaterThan">
      <formula>1</formula>
    </cfRule>
    <cfRule type="cellIs" dxfId="9452" priority="2934" operator="lessThan">
      <formula>0.8</formula>
    </cfRule>
  </conditionalFormatting>
  <conditionalFormatting sqref="P83">
    <cfRule type="cellIs" dxfId="9451" priority="2932" operator="greaterThan">
      <formula>0</formula>
    </cfRule>
  </conditionalFormatting>
  <conditionalFormatting sqref="Q83">
    <cfRule type="cellIs" dxfId="9450" priority="2931" operator="lessThan">
      <formula>0</formula>
    </cfRule>
  </conditionalFormatting>
  <conditionalFormatting sqref="R83">
    <cfRule type="cellIs" dxfId="9449" priority="2929" operator="lessThan">
      <formula>0.8</formula>
    </cfRule>
    <cfRule type="cellIs" dxfId="9448" priority="2930" operator="greaterThan">
      <formula>1</formula>
    </cfRule>
  </conditionalFormatting>
  <conditionalFormatting sqref="R83">
    <cfRule type="cellIs" dxfId="9447" priority="2927" operator="greaterThan">
      <formula>1</formula>
    </cfRule>
    <cfRule type="cellIs" dxfId="9446" priority="2928" operator="lessThan">
      <formula>0.8</formula>
    </cfRule>
  </conditionalFormatting>
  <conditionalFormatting sqref="P83">
    <cfRule type="cellIs" dxfId="9445" priority="2926" operator="greaterThan">
      <formula>0</formula>
    </cfRule>
  </conditionalFormatting>
  <conditionalFormatting sqref="Q83">
    <cfRule type="cellIs" dxfId="9444" priority="2925" operator="lessThan">
      <formula>0</formula>
    </cfRule>
  </conditionalFormatting>
  <conditionalFormatting sqref="R83">
    <cfRule type="cellIs" dxfId="9443" priority="2923" operator="lessThan">
      <formula>0.8</formula>
    </cfRule>
    <cfRule type="cellIs" dxfId="9442" priority="2924" operator="greaterThan">
      <formula>1</formula>
    </cfRule>
  </conditionalFormatting>
  <conditionalFormatting sqref="R83">
    <cfRule type="cellIs" dxfId="9441" priority="2921" operator="greaterThan">
      <formula>1</formula>
    </cfRule>
    <cfRule type="cellIs" dxfId="9440" priority="2922" operator="lessThan">
      <formula>0.8</formula>
    </cfRule>
  </conditionalFormatting>
  <conditionalFormatting sqref="P83">
    <cfRule type="cellIs" dxfId="9439" priority="2920" operator="greaterThan">
      <formula>0</formula>
    </cfRule>
  </conditionalFormatting>
  <conditionalFormatting sqref="Q83">
    <cfRule type="cellIs" dxfId="9438" priority="2919" operator="lessThan">
      <formula>0</formula>
    </cfRule>
  </conditionalFormatting>
  <conditionalFormatting sqref="R83">
    <cfRule type="cellIs" dxfId="9437" priority="2917" operator="lessThan">
      <formula>0.8</formula>
    </cfRule>
    <cfRule type="cellIs" dxfId="9436" priority="2918" operator="greaterThan">
      <formula>1</formula>
    </cfRule>
  </conditionalFormatting>
  <conditionalFormatting sqref="R83">
    <cfRule type="cellIs" dxfId="9435" priority="2915" operator="greaterThan">
      <formula>1</formula>
    </cfRule>
    <cfRule type="cellIs" dxfId="9434" priority="2916" operator="lessThan">
      <formula>0.8</formula>
    </cfRule>
  </conditionalFormatting>
  <conditionalFormatting sqref="P83">
    <cfRule type="cellIs" dxfId="9433" priority="2914" operator="greaterThan">
      <formula>0</formula>
    </cfRule>
  </conditionalFormatting>
  <conditionalFormatting sqref="P83">
    <cfRule type="cellIs" dxfId="9432" priority="2908" operator="greaterThan">
      <formula>0</formula>
    </cfRule>
  </conditionalFormatting>
  <conditionalFormatting sqref="Q83">
    <cfRule type="cellIs" dxfId="9431" priority="2913" operator="lessThan">
      <formula>0</formula>
    </cfRule>
  </conditionalFormatting>
  <conditionalFormatting sqref="R83">
    <cfRule type="cellIs" dxfId="9430" priority="2911" operator="lessThan">
      <formula>0.8</formula>
    </cfRule>
    <cfRule type="cellIs" dxfId="9429" priority="2912" operator="greaterThan">
      <formula>1</formula>
    </cfRule>
  </conditionalFormatting>
  <conditionalFormatting sqref="R83">
    <cfRule type="cellIs" dxfId="9428" priority="2909" operator="greaterThan">
      <formula>1</formula>
    </cfRule>
    <cfRule type="cellIs" dxfId="9427" priority="2910" operator="lessThan">
      <formula>0.8</formula>
    </cfRule>
  </conditionalFormatting>
  <conditionalFormatting sqref="P83">
    <cfRule type="cellIs" dxfId="9426" priority="2902" operator="greaterThan">
      <formula>0</formula>
    </cfRule>
  </conditionalFormatting>
  <conditionalFormatting sqref="Q83">
    <cfRule type="cellIs" dxfId="9425" priority="2907" operator="lessThan">
      <formula>0</formula>
    </cfRule>
  </conditionalFormatting>
  <conditionalFormatting sqref="R83">
    <cfRule type="cellIs" dxfId="9424" priority="2905" operator="lessThan">
      <formula>0.8</formula>
    </cfRule>
    <cfRule type="cellIs" dxfId="9423" priority="2906" operator="greaterThan">
      <formula>1</formula>
    </cfRule>
  </conditionalFormatting>
  <conditionalFormatting sqref="R83">
    <cfRule type="cellIs" dxfId="9422" priority="2903" operator="greaterThan">
      <formula>1</formula>
    </cfRule>
    <cfRule type="cellIs" dxfId="9421" priority="2904" operator="lessThan">
      <formula>0.8</formula>
    </cfRule>
  </conditionalFormatting>
  <conditionalFormatting sqref="R83">
    <cfRule type="cellIs" dxfId="9420" priority="2899" operator="lessThan">
      <formula>0.8</formula>
    </cfRule>
    <cfRule type="cellIs" dxfId="9419" priority="2900" operator="greaterThan">
      <formula>1</formula>
    </cfRule>
  </conditionalFormatting>
  <conditionalFormatting sqref="R83">
    <cfRule type="cellIs" dxfId="9418" priority="2897" operator="greaterThan">
      <formula>1</formula>
    </cfRule>
    <cfRule type="cellIs" dxfId="9417" priority="2898" operator="lessThan">
      <formula>0.8</formula>
    </cfRule>
  </conditionalFormatting>
  <conditionalFormatting sqref="P83">
    <cfRule type="cellIs" dxfId="9416" priority="2896" operator="greaterThan">
      <formula>0</formula>
    </cfRule>
  </conditionalFormatting>
  <conditionalFormatting sqref="Q83">
    <cfRule type="cellIs" dxfId="9415" priority="2901" operator="lessThan">
      <formula>0</formula>
    </cfRule>
  </conditionalFormatting>
  <conditionalFormatting sqref="Q83">
    <cfRule type="cellIs" dxfId="9414" priority="2895" operator="lessThan">
      <formula>0</formula>
    </cfRule>
  </conditionalFormatting>
  <conditionalFormatting sqref="R83">
    <cfRule type="cellIs" dxfId="9413" priority="2893" operator="lessThan">
      <formula>0.8</formula>
    </cfRule>
    <cfRule type="cellIs" dxfId="9412" priority="2894" operator="greaterThan">
      <formula>1</formula>
    </cfRule>
  </conditionalFormatting>
  <conditionalFormatting sqref="R83">
    <cfRule type="cellIs" dxfId="9411" priority="2891" operator="greaterThan">
      <formula>1</formula>
    </cfRule>
    <cfRule type="cellIs" dxfId="9410" priority="2892" operator="lessThan">
      <formula>0.8</formula>
    </cfRule>
  </conditionalFormatting>
  <conditionalFormatting sqref="P83">
    <cfRule type="cellIs" dxfId="9409" priority="2890" operator="greaterThan">
      <formula>0</formula>
    </cfRule>
  </conditionalFormatting>
  <conditionalFormatting sqref="Q83">
    <cfRule type="cellIs" dxfId="9408" priority="2889" operator="lessThan">
      <formula>0</formula>
    </cfRule>
  </conditionalFormatting>
  <conditionalFormatting sqref="R83">
    <cfRule type="cellIs" dxfId="9407" priority="2887" operator="lessThan">
      <formula>0.8</formula>
    </cfRule>
    <cfRule type="cellIs" dxfId="9406" priority="2888" operator="greaterThan">
      <formula>1</formula>
    </cfRule>
  </conditionalFormatting>
  <conditionalFormatting sqref="R83">
    <cfRule type="cellIs" dxfId="9405" priority="2885" operator="greaterThan">
      <formula>1</formula>
    </cfRule>
    <cfRule type="cellIs" dxfId="9404" priority="2886" operator="lessThan">
      <formula>0.8</formula>
    </cfRule>
  </conditionalFormatting>
  <conditionalFormatting sqref="P83">
    <cfRule type="cellIs" dxfId="9403" priority="2884" operator="greaterThan">
      <formula>0</formula>
    </cfRule>
  </conditionalFormatting>
  <conditionalFormatting sqref="Q83">
    <cfRule type="cellIs" dxfId="9402" priority="2883" operator="lessThan">
      <formula>0</formula>
    </cfRule>
  </conditionalFormatting>
  <conditionalFormatting sqref="R83">
    <cfRule type="cellIs" dxfId="9401" priority="2881" operator="lessThan">
      <formula>0.8</formula>
    </cfRule>
    <cfRule type="cellIs" dxfId="9400" priority="2882" operator="greaterThan">
      <formula>1</formula>
    </cfRule>
  </conditionalFormatting>
  <conditionalFormatting sqref="R83">
    <cfRule type="cellIs" dxfId="9399" priority="2879" operator="greaterThan">
      <formula>1</formula>
    </cfRule>
    <cfRule type="cellIs" dxfId="9398" priority="2880" operator="lessThan">
      <formula>0.8</formula>
    </cfRule>
  </conditionalFormatting>
  <conditionalFormatting sqref="P83">
    <cfRule type="cellIs" dxfId="9397" priority="2878" operator="greaterThan">
      <formula>0</formula>
    </cfRule>
  </conditionalFormatting>
  <conditionalFormatting sqref="Q83">
    <cfRule type="cellIs" dxfId="9396" priority="2877" operator="lessThan">
      <formula>0</formula>
    </cfRule>
  </conditionalFormatting>
  <conditionalFormatting sqref="R83">
    <cfRule type="cellIs" dxfId="9395" priority="2875" operator="lessThan">
      <formula>0.8</formula>
    </cfRule>
    <cfRule type="cellIs" dxfId="9394" priority="2876" operator="greaterThan">
      <formula>1</formula>
    </cfRule>
  </conditionalFormatting>
  <conditionalFormatting sqref="R83">
    <cfRule type="cellIs" dxfId="9393" priority="2873" operator="greaterThan">
      <formula>1</formula>
    </cfRule>
    <cfRule type="cellIs" dxfId="9392" priority="2874" operator="lessThan">
      <formula>0.8</formula>
    </cfRule>
  </conditionalFormatting>
  <conditionalFormatting sqref="P83">
    <cfRule type="cellIs" dxfId="9391" priority="2872" operator="greaterThan">
      <formula>0</formula>
    </cfRule>
  </conditionalFormatting>
  <conditionalFormatting sqref="P83">
    <cfRule type="cellIs" dxfId="9390" priority="2866" operator="greaterThan">
      <formula>0</formula>
    </cfRule>
  </conditionalFormatting>
  <conditionalFormatting sqref="Q83">
    <cfRule type="cellIs" dxfId="9389" priority="2871" operator="lessThan">
      <formula>0</formula>
    </cfRule>
  </conditionalFormatting>
  <conditionalFormatting sqref="R83">
    <cfRule type="cellIs" dxfId="9388" priority="2869" operator="lessThan">
      <formula>0.8</formula>
    </cfRule>
    <cfRule type="cellIs" dxfId="9387" priority="2870" operator="greaterThan">
      <formula>1</formula>
    </cfRule>
  </conditionalFormatting>
  <conditionalFormatting sqref="R83">
    <cfRule type="cellIs" dxfId="9386" priority="2867" operator="greaterThan">
      <formula>1</formula>
    </cfRule>
    <cfRule type="cellIs" dxfId="9385" priority="2868" operator="lessThan">
      <formula>0.8</formula>
    </cfRule>
  </conditionalFormatting>
  <conditionalFormatting sqref="P83">
    <cfRule type="cellIs" dxfId="9384" priority="2860" operator="greaterThan">
      <formula>0</formula>
    </cfRule>
  </conditionalFormatting>
  <conditionalFormatting sqref="Q83">
    <cfRule type="cellIs" dxfId="9383" priority="2865" operator="lessThan">
      <formula>0</formula>
    </cfRule>
  </conditionalFormatting>
  <conditionalFormatting sqref="R83">
    <cfRule type="cellIs" dxfId="9382" priority="2863" operator="lessThan">
      <formula>0.8</formula>
    </cfRule>
    <cfRule type="cellIs" dxfId="9381" priority="2864" operator="greaterThan">
      <formula>1</formula>
    </cfRule>
  </conditionalFormatting>
  <conditionalFormatting sqref="R83">
    <cfRule type="cellIs" dxfId="9380" priority="2861" operator="greaterThan">
      <formula>1</formula>
    </cfRule>
    <cfRule type="cellIs" dxfId="9379" priority="2862" operator="lessThan">
      <formula>0.8</formula>
    </cfRule>
  </conditionalFormatting>
  <conditionalFormatting sqref="R83">
    <cfRule type="cellIs" dxfId="9378" priority="2857" operator="lessThan">
      <formula>0.8</formula>
    </cfRule>
    <cfRule type="cellIs" dxfId="9377" priority="2858" operator="greaterThan">
      <formula>1</formula>
    </cfRule>
  </conditionalFormatting>
  <conditionalFormatting sqref="R83">
    <cfRule type="cellIs" dxfId="9376" priority="2855" operator="greaterThan">
      <formula>1</formula>
    </cfRule>
    <cfRule type="cellIs" dxfId="9375" priority="2856" operator="lessThan">
      <formula>0.8</formula>
    </cfRule>
  </conditionalFormatting>
  <conditionalFormatting sqref="P83">
    <cfRule type="cellIs" dxfId="9374" priority="2854" operator="greaterThan">
      <formula>0</formula>
    </cfRule>
  </conditionalFormatting>
  <conditionalFormatting sqref="Q83">
    <cfRule type="cellIs" dxfId="9373" priority="2859" operator="lessThan">
      <formula>0</formula>
    </cfRule>
  </conditionalFormatting>
  <conditionalFormatting sqref="Q83">
    <cfRule type="cellIs" dxfId="9372" priority="2853" operator="lessThan">
      <formula>0</formula>
    </cfRule>
  </conditionalFormatting>
  <conditionalFormatting sqref="R83">
    <cfRule type="cellIs" dxfId="9371" priority="2851" operator="lessThan">
      <formula>0.8</formula>
    </cfRule>
    <cfRule type="cellIs" dxfId="9370" priority="2852" operator="greaterThan">
      <formula>1</formula>
    </cfRule>
  </conditionalFormatting>
  <conditionalFormatting sqref="R83">
    <cfRule type="cellIs" dxfId="9369" priority="2849" operator="greaterThan">
      <formula>1</formula>
    </cfRule>
    <cfRule type="cellIs" dxfId="9368" priority="2850" operator="lessThan">
      <formula>0.8</formula>
    </cfRule>
  </conditionalFormatting>
  <conditionalFormatting sqref="P83">
    <cfRule type="cellIs" dxfId="9367" priority="2848" operator="greaterThan">
      <formula>0</formula>
    </cfRule>
  </conditionalFormatting>
  <conditionalFormatting sqref="P83">
    <cfRule type="cellIs" dxfId="9366" priority="2842" operator="greaterThan">
      <formula>0</formula>
    </cfRule>
  </conditionalFormatting>
  <conditionalFormatting sqref="Q83">
    <cfRule type="cellIs" dxfId="9365" priority="2847" operator="lessThan">
      <formula>0</formula>
    </cfRule>
  </conditionalFormatting>
  <conditionalFormatting sqref="R83">
    <cfRule type="cellIs" dxfId="9364" priority="2845" operator="lessThan">
      <formula>0.8</formula>
    </cfRule>
    <cfRule type="cellIs" dxfId="9363" priority="2846" operator="greaterThan">
      <formula>1</formula>
    </cfRule>
  </conditionalFormatting>
  <conditionalFormatting sqref="R83">
    <cfRule type="cellIs" dxfId="9362" priority="2843" operator="greaterThan">
      <formula>1</formula>
    </cfRule>
    <cfRule type="cellIs" dxfId="9361" priority="2844" operator="lessThan">
      <formula>0.8</formula>
    </cfRule>
  </conditionalFormatting>
  <conditionalFormatting sqref="P83">
    <cfRule type="cellIs" dxfId="9360" priority="2836" operator="greaterThan">
      <formula>0</formula>
    </cfRule>
  </conditionalFormatting>
  <conditionalFormatting sqref="Q83">
    <cfRule type="cellIs" dxfId="9359" priority="2841" operator="lessThan">
      <formula>0</formula>
    </cfRule>
  </conditionalFormatting>
  <conditionalFormatting sqref="R83">
    <cfRule type="cellIs" dxfId="9358" priority="2839" operator="lessThan">
      <formula>0.8</formula>
    </cfRule>
    <cfRule type="cellIs" dxfId="9357" priority="2840" operator="greaterThan">
      <formula>1</formula>
    </cfRule>
  </conditionalFormatting>
  <conditionalFormatting sqref="R83">
    <cfRule type="cellIs" dxfId="9356" priority="2837" operator="greaterThan">
      <formula>1</formula>
    </cfRule>
    <cfRule type="cellIs" dxfId="9355" priority="2838" operator="lessThan">
      <formula>0.8</formula>
    </cfRule>
  </conditionalFormatting>
  <conditionalFormatting sqref="R83">
    <cfRule type="cellIs" dxfId="9354" priority="2833" operator="lessThan">
      <formula>0.8</formula>
    </cfRule>
    <cfRule type="cellIs" dxfId="9353" priority="2834" operator="greaterThan">
      <formula>1</formula>
    </cfRule>
  </conditionalFormatting>
  <conditionalFormatting sqref="R83">
    <cfRule type="cellIs" dxfId="9352" priority="2831" operator="greaterThan">
      <formula>1</formula>
    </cfRule>
    <cfRule type="cellIs" dxfId="9351" priority="2832" operator="lessThan">
      <formula>0.8</formula>
    </cfRule>
  </conditionalFormatting>
  <conditionalFormatting sqref="P83">
    <cfRule type="cellIs" dxfId="9350" priority="2830" operator="greaterThan">
      <formula>0</formula>
    </cfRule>
  </conditionalFormatting>
  <conditionalFormatting sqref="Q83">
    <cfRule type="cellIs" dxfId="9349" priority="2835" operator="lessThan">
      <formula>0</formula>
    </cfRule>
  </conditionalFormatting>
  <conditionalFormatting sqref="P83">
    <cfRule type="cellIs" dxfId="9348" priority="2824" operator="greaterThan">
      <formula>0</formula>
    </cfRule>
  </conditionalFormatting>
  <conditionalFormatting sqref="Q83">
    <cfRule type="cellIs" dxfId="9347" priority="2829" operator="lessThan">
      <formula>0</formula>
    </cfRule>
  </conditionalFormatting>
  <conditionalFormatting sqref="R83">
    <cfRule type="cellIs" dxfId="9346" priority="2827" operator="lessThan">
      <formula>0.8</formula>
    </cfRule>
    <cfRule type="cellIs" dxfId="9345" priority="2828" operator="greaterThan">
      <formula>1</formula>
    </cfRule>
  </conditionalFormatting>
  <conditionalFormatting sqref="R83">
    <cfRule type="cellIs" dxfId="9344" priority="2825" operator="greaterThan">
      <formula>1</formula>
    </cfRule>
    <cfRule type="cellIs" dxfId="9343" priority="2826" operator="lessThan">
      <formula>0.8</formula>
    </cfRule>
  </conditionalFormatting>
  <conditionalFormatting sqref="R83">
    <cfRule type="cellIs" dxfId="9342" priority="2821" operator="lessThan">
      <formula>0.8</formula>
    </cfRule>
    <cfRule type="cellIs" dxfId="9341" priority="2822" operator="greaterThan">
      <formula>1</formula>
    </cfRule>
  </conditionalFormatting>
  <conditionalFormatting sqref="R83">
    <cfRule type="cellIs" dxfId="9340" priority="2819" operator="greaterThan">
      <formula>1</formula>
    </cfRule>
    <cfRule type="cellIs" dxfId="9339" priority="2820" operator="lessThan">
      <formula>0.8</formula>
    </cfRule>
  </conditionalFormatting>
  <conditionalFormatting sqref="P83">
    <cfRule type="cellIs" dxfId="9338" priority="2818" operator="greaterThan">
      <formula>0</formula>
    </cfRule>
  </conditionalFormatting>
  <conditionalFormatting sqref="Q83">
    <cfRule type="cellIs" dxfId="9337" priority="2823" operator="lessThan">
      <formula>0</formula>
    </cfRule>
  </conditionalFormatting>
  <conditionalFormatting sqref="R83">
    <cfRule type="cellIs" dxfId="9336" priority="2815" operator="lessThan">
      <formula>0.8</formula>
    </cfRule>
    <cfRule type="cellIs" dxfId="9335" priority="2816" operator="greaterThan">
      <formula>1</formula>
    </cfRule>
  </conditionalFormatting>
  <conditionalFormatting sqref="R83">
    <cfRule type="cellIs" dxfId="9334" priority="2813" operator="greaterThan">
      <formula>1</formula>
    </cfRule>
    <cfRule type="cellIs" dxfId="9333" priority="2814" operator="lessThan">
      <formula>0.8</formula>
    </cfRule>
  </conditionalFormatting>
  <conditionalFormatting sqref="P83">
    <cfRule type="cellIs" dxfId="9332" priority="2812" operator="greaterThan">
      <formula>0</formula>
    </cfRule>
  </conditionalFormatting>
  <conditionalFormatting sqref="Q83">
    <cfRule type="cellIs" dxfId="9331" priority="2817" operator="lessThan">
      <formula>0</formula>
    </cfRule>
  </conditionalFormatting>
  <conditionalFormatting sqref="Q83">
    <cfRule type="cellIs" dxfId="9330" priority="2811" operator="lessThan">
      <formula>0</formula>
    </cfRule>
  </conditionalFormatting>
  <conditionalFormatting sqref="R83">
    <cfRule type="cellIs" dxfId="9329" priority="2809" operator="lessThan">
      <formula>0.8</formula>
    </cfRule>
    <cfRule type="cellIs" dxfId="9328" priority="2810" operator="greaterThan">
      <formula>1</formula>
    </cfRule>
  </conditionalFormatting>
  <conditionalFormatting sqref="R83">
    <cfRule type="cellIs" dxfId="9327" priority="2807" operator="greaterThan">
      <formula>1</formula>
    </cfRule>
    <cfRule type="cellIs" dxfId="9326" priority="2808" operator="lessThan">
      <formula>0.8</formula>
    </cfRule>
  </conditionalFormatting>
  <conditionalFormatting sqref="P83">
    <cfRule type="cellIs" dxfId="9325" priority="2806" operator="greaterThan">
      <formula>0</formula>
    </cfRule>
  </conditionalFormatting>
  <conditionalFormatting sqref="Q83">
    <cfRule type="cellIs" dxfId="9324" priority="2800" operator="lessThan">
      <formula>0</formula>
    </cfRule>
  </conditionalFormatting>
  <conditionalFormatting sqref="R83">
    <cfRule type="cellIs" dxfId="9323" priority="2804" operator="lessThan">
      <formula>0.8</formula>
    </cfRule>
    <cfRule type="cellIs" dxfId="9322" priority="2805" operator="greaterThan">
      <formula>1</formula>
    </cfRule>
  </conditionalFormatting>
  <conditionalFormatting sqref="R83">
    <cfRule type="cellIs" dxfId="9321" priority="2802" operator="greaterThan">
      <formula>1</formula>
    </cfRule>
    <cfRule type="cellIs" dxfId="9320" priority="2803" operator="lessThan">
      <formula>0.8</formula>
    </cfRule>
  </conditionalFormatting>
  <conditionalFormatting sqref="P83">
    <cfRule type="cellIs" dxfId="9319" priority="2801" operator="greaterThan">
      <formula>0</formula>
    </cfRule>
  </conditionalFormatting>
  <conditionalFormatting sqref="Q83">
    <cfRule type="cellIs" dxfId="9318" priority="2799" operator="lessThan">
      <formula>0</formula>
    </cfRule>
  </conditionalFormatting>
  <conditionalFormatting sqref="R83">
    <cfRule type="cellIs" dxfId="9317" priority="2797" operator="lessThan">
      <formula>0.8</formula>
    </cfRule>
    <cfRule type="cellIs" dxfId="9316" priority="2798" operator="greaterThan">
      <formula>1</formula>
    </cfRule>
  </conditionalFormatting>
  <conditionalFormatting sqref="R83">
    <cfRule type="cellIs" dxfId="9315" priority="2795" operator="greaterThan">
      <formula>1</formula>
    </cfRule>
    <cfRule type="cellIs" dxfId="9314" priority="2796" operator="lessThan">
      <formula>0.8</formula>
    </cfRule>
  </conditionalFormatting>
  <conditionalFormatting sqref="P83">
    <cfRule type="cellIs" dxfId="9313" priority="2794" operator="greaterThan">
      <formula>0</formula>
    </cfRule>
  </conditionalFormatting>
  <conditionalFormatting sqref="Q83">
    <cfRule type="cellIs" dxfId="9312" priority="2793" operator="lessThan">
      <formula>0</formula>
    </cfRule>
  </conditionalFormatting>
  <conditionalFormatting sqref="R83">
    <cfRule type="cellIs" dxfId="9311" priority="2791" operator="lessThan">
      <formula>0.8</formula>
    </cfRule>
    <cfRule type="cellIs" dxfId="9310" priority="2792" operator="greaterThan">
      <formula>1</formula>
    </cfRule>
  </conditionalFormatting>
  <conditionalFormatting sqref="R83">
    <cfRule type="cellIs" dxfId="9309" priority="2789" operator="greaterThan">
      <formula>1</formula>
    </cfRule>
    <cfRule type="cellIs" dxfId="9308" priority="2790" operator="lessThan">
      <formula>0.8</formula>
    </cfRule>
  </conditionalFormatting>
  <conditionalFormatting sqref="P83">
    <cfRule type="cellIs" dxfId="9307" priority="2788" operator="greaterThan">
      <formula>0</formula>
    </cfRule>
  </conditionalFormatting>
  <conditionalFormatting sqref="Q83">
    <cfRule type="cellIs" dxfId="9306" priority="2787" operator="lessThan">
      <formula>0</formula>
    </cfRule>
  </conditionalFormatting>
  <conditionalFormatting sqref="R83">
    <cfRule type="cellIs" dxfId="9305" priority="2785" operator="lessThan">
      <formula>0.8</formula>
    </cfRule>
    <cfRule type="cellIs" dxfId="9304" priority="2786" operator="greaterThan">
      <formula>1</formula>
    </cfRule>
  </conditionalFormatting>
  <conditionalFormatting sqref="R83">
    <cfRule type="cellIs" dxfId="9303" priority="2783" operator="greaterThan">
      <formula>1</formula>
    </cfRule>
    <cfRule type="cellIs" dxfId="9302" priority="2784" operator="lessThan">
      <formula>0.8</formula>
    </cfRule>
  </conditionalFormatting>
  <conditionalFormatting sqref="P83">
    <cfRule type="cellIs" dxfId="9301" priority="2782" operator="greaterThan">
      <formula>0</formula>
    </cfRule>
  </conditionalFormatting>
  <conditionalFormatting sqref="Q83">
    <cfRule type="cellIs" dxfId="9300" priority="2781" operator="lessThan">
      <formula>0</formula>
    </cfRule>
  </conditionalFormatting>
  <conditionalFormatting sqref="R83">
    <cfRule type="cellIs" dxfId="9299" priority="2779" operator="lessThan">
      <formula>0.8</formula>
    </cfRule>
    <cfRule type="cellIs" dxfId="9298" priority="2780" operator="greaterThan">
      <formula>1</formula>
    </cfRule>
  </conditionalFormatting>
  <conditionalFormatting sqref="R83">
    <cfRule type="cellIs" dxfId="9297" priority="2777" operator="greaterThan">
      <formula>1</formula>
    </cfRule>
    <cfRule type="cellIs" dxfId="9296" priority="2778" operator="lessThan">
      <formula>0.8</formula>
    </cfRule>
  </conditionalFormatting>
  <conditionalFormatting sqref="P83">
    <cfRule type="cellIs" dxfId="9295" priority="2776" operator="greaterThan">
      <formula>0</formula>
    </cfRule>
  </conditionalFormatting>
  <conditionalFormatting sqref="Q83">
    <cfRule type="cellIs" dxfId="9294" priority="2775" operator="lessThan">
      <formula>0</formula>
    </cfRule>
  </conditionalFormatting>
  <conditionalFormatting sqref="R83">
    <cfRule type="cellIs" dxfId="9293" priority="2773" operator="lessThan">
      <formula>0.8</formula>
    </cfRule>
    <cfRule type="cellIs" dxfId="9292" priority="2774" operator="greaterThan">
      <formula>1</formula>
    </cfRule>
  </conditionalFormatting>
  <conditionalFormatting sqref="R83">
    <cfRule type="cellIs" dxfId="9291" priority="2771" operator="greaterThan">
      <formula>1</formula>
    </cfRule>
    <cfRule type="cellIs" dxfId="9290" priority="2772" operator="lessThan">
      <formula>0.8</formula>
    </cfRule>
  </conditionalFormatting>
  <conditionalFormatting sqref="P83">
    <cfRule type="cellIs" dxfId="9289" priority="2770" operator="greaterThan">
      <formula>0</formula>
    </cfRule>
  </conditionalFormatting>
  <conditionalFormatting sqref="P83">
    <cfRule type="cellIs" dxfId="9288" priority="2764" operator="greaterThan">
      <formula>0</formula>
    </cfRule>
  </conditionalFormatting>
  <conditionalFormatting sqref="Q83">
    <cfRule type="cellIs" dxfId="9287" priority="2769" operator="lessThan">
      <formula>0</formula>
    </cfRule>
  </conditionalFormatting>
  <conditionalFormatting sqref="R83">
    <cfRule type="cellIs" dxfId="9286" priority="2767" operator="lessThan">
      <formula>0.8</formula>
    </cfRule>
    <cfRule type="cellIs" dxfId="9285" priority="2768" operator="greaterThan">
      <formula>1</formula>
    </cfRule>
  </conditionalFormatting>
  <conditionalFormatting sqref="R83">
    <cfRule type="cellIs" dxfId="9284" priority="2765" operator="greaterThan">
      <formula>1</formula>
    </cfRule>
    <cfRule type="cellIs" dxfId="9283" priority="2766" operator="lessThan">
      <formula>0.8</formula>
    </cfRule>
  </conditionalFormatting>
  <conditionalFormatting sqref="P83">
    <cfRule type="cellIs" dxfId="9282" priority="2758" operator="greaterThan">
      <formula>0</formula>
    </cfRule>
  </conditionalFormatting>
  <conditionalFormatting sqref="Q83">
    <cfRule type="cellIs" dxfId="9281" priority="2763" operator="lessThan">
      <formula>0</formula>
    </cfRule>
  </conditionalFormatting>
  <conditionalFormatting sqref="R83">
    <cfRule type="cellIs" dxfId="9280" priority="2761" operator="lessThan">
      <formula>0.8</formula>
    </cfRule>
    <cfRule type="cellIs" dxfId="9279" priority="2762" operator="greaterThan">
      <formula>1</formula>
    </cfRule>
  </conditionalFormatting>
  <conditionalFormatting sqref="R83">
    <cfRule type="cellIs" dxfId="9278" priority="2759" operator="greaterThan">
      <formula>1</formula>
    </cfRule>
    <cfRule type="cellIs" dxfId="9277" priority="2760" operator="lessThan">
      <formula>0.8</formula>
    </cfRule>
  </conditionalFormatting>
  <conditionalFormatting sqref="R83">
    <cfRule type="cellIs" dxfId="9276" priority="2755" operator="lessThan">
      <formula>0.8</formula>
    </cfRule>
    <cfRule type="cellIs" dxfId="9275" priority="2756" operator="greaterThan">
      <formula>1</formula>
    </cfRule>
  </conditionalFormatting>
  <conditionalFormatting sqref="R83">
    <cfRule type="cellIs" dxfId="9274" priority="2753" operator="greaterThan">
      <formula>1</formula>
    </cfRule>
    <cfRule type="cellIs" dxfId="9273" priority="2754" operator="lessThan">
      <formula>0.8</formula>
    </cfRule>
  </conditionalFormatting>
  <conditionalFormatting sqref="P83">
    <cfRule type="cellIs" dxfId="9272" priority="2752" operator="greaterThan">
      <formula>0</formula>
    </cfRule>
  </conditionalFormatting>
  <conditionalFormatting sqref="Q83">
    <cfRule type="cellIs" dxfId="9271" priority="2757" operator="lessThan">
      <formula>0</formula>
    </cfRule>
  </conditionalFormatting>
  <conditionalFormatting sqref="Q83">
    <cfRule type="cellIs" dxfId="9270" priority="2746" operator="lessThan">
      <formula>0</formula>
    </cfRule>
  </conditionalFormatting>
  <conditionalFormatting sqref="P83">
    <cfRule type="cellIs" dxfId="9269" priority="2747" operator="greaterThan">
      <formula>0</formula>
    </cfRule>
  </conditionalFormatting>
  <conditionalFormatting sqref="R83">
    <cfRule type="cellIs" dxfId="9268" priority="2750" operator="lessThan">
      <formula>0.8</formula>
    </cfRule>
    <cfRule type="cellIs" dxfId="9267" priority="2751" operator="greaterThan">
      <formula>1</formula>
    </cfRule>
  </conditionalFormatting>
  <conditionalFormatting sqref="R83">
    <cfRule type="cellIs" dxfId="9266" priority="2748" operator="greaterThan">
      <formula>1</formula>
    </cfRule>
    <cfRule type="cellIs" dxfId="9265" priority="2749" operator="lessThan">
      <formula>0.8</formula>
    </cfRule>
  </conditionalFormatting>
  <conditionalFormatting sqref="Q83">
    <cfRule type="cellIs" dxfId="9264" priority="2740" operator="lessThan">
      <formula>0</formula>
    </cfRule>
  </conditionalFormatting>
  <conditionalFormatting sqref="R83">
    <cfRule type="cellIs" dxfId="9263" priority="2744" operator="lessThan">
      <formula>0.8</formula>
    </cfRule>
    <cfRule type="cellIs" dxfId="9262" priority="2745" operator="greaterThan">
      <formula>1</formula>
    </cfRule>
  </conditionalFormatting>
  <conditionalFormatting sqref="R83">
    <cfRule type="cellIs" dxfId="9261" priority="2742" operator="greaterThan">
      <formula>1</formula>
    </cfRule>
    <cfRule type="cellIs" dxfId="9260" priority="2743" operator="lessThan">
      <formula>0.8</formula>
    </cfRule>
  </conditionalFormatting>
  <conditionalFormatting sqref="P83">
    <cfRule type="cellIs" dxfId="9259" priority="2741" operator="greaterThan">
      <formula>0</formula>
    </cfRule>
  </conditionalFormatting>
  <conditionalFormatting sqref="Q83">
    <cfRule type="cellIs" dxfId="9258" priority="2739" operator="lessThan">
      <formula>0</formula>
    </cfRule>
  </conditionalFormatting>
  <conditionalFormatting sqref="R83">
    <cfRule type="cellIs" dxfId="9257" priority="2737" operator="lessThan">
      <formula>0.8</formula>
    </cfRule>
    <cfRule type="cellIs" dxfId="9256" priority="2738" operator="greaterThan">
      <formula>1</formula>
    </cfRule>
  </conditionalFormatting>
  <conditionalFormatting sqref="R83">
    <cfRule type="cellIs" dxfId="9255" priority="2735" operator="greaterThan">
      <formula>1</formula>
    </cfRule>
    <cfRule type="cellIs" dxfId="9254" priority="2736" operator="lessThan">
      <formula>0.8</formula>
    </cfRule>
  </conditionalFormatting>
  <conditionalFormatting sqref="P83">
    <cfRule type="cellIs" dxfId="9253" priority="2734" operator="greaterThan">
      <formula>0</formula>
    </cfRule>
  </conditionalFormatting>
  <conditionalFormatting sqref="Q83">
    <cfRule type="cellIs" dxfId="9252" priority="2733" operator="lessThan">
      <formula>0</formula>
    </cfRule>
  </conditionalFormatting>
  <conditionalFormatting sqref="R83">
    <cfRule type="cellIs" dxfId="9251" priority="2731" operator="lessThan">
      <formula>0.8</formula>
    </cfRule>
    <cfRule type="cellIs" dxfId="9250" priority="2732" operator="greaterThan">
      <formula>1</formula>
    </cfRule>
  </conditionalFormatting>
  <conditionalFormatting sqref="R83">
    <cfRule type="cellIs" dxfId="9249" priority="2729" operator="greaterThan">
      <formula>1</formula>
    </cfRule>
    <cfRule type="cellIs" dxfId="9248" priority="2730" operator="lessThan">
      <formula>0.8</formula>
    </cfRule>
  </conditionalFormatting>
  <conditionalFormatting sqref="P83">
    <cfRule type="cellIs" dxfId="9247" priority="2728" operator="greaterThan">
      <formula>0</formula>
    </cfRule>
  </conditionalFormatting>
  <conditionalFormatting sqref="Q83">
    <cfRule type="cellIs" dxfId="9246" priority="2727" operator="lessThan">
      <formula>0</formula>
    </cfRule>
  </conditionalFormatting>
  <conditionalFormatting sqref="R83">
    <cfRule type="cellIs" dxfId="9245" priority="2725" operator="lessThan">
      <formula>0.8</formula>
    </cfRule>
    <cfRule type="cellIs" dxfId="9244" priority="2726" operator="greaterThan">
      <formula>1</formula>
    </cfRule>
  </conditionalFormatting>
  <conditionalFormatting sqref="R83">
    <cfRule type="cellIs" dxfId="9243" priority="2723" operator="greaterThan">
      <formula>1</formula>
    </cfRule>
    <cfRule type="cellIs" dxfId="9242" priority="2724" operator="lessThan">
      <formula>0.8</formula>
    </cfRule>
  </conditionalFormatting>
  <conditionalFormatting sqref="P83">
    <cfRule type="cellIs" dxfId="9241" priority="2722" operator="greaterThan">
      <formula>0</formula>
    </cfRule>
  </conditionalFormatting>
  <conditionalFormatting sqref="Q83">
    <cfRule type="cellIs" dxfId="9240" priority="2721" operator="lessThan">
      <formula>0</formula>
    </cfRule>
  </conditionalFormatting>
  <conditionalFormatting sqref="R83">
    <cfRule type="cellIs" dxfId="9239" priority="2719" operator="lessThan">
      <formula>0.8</formula>
    </cfRule>
    <cfRule type="cellIs" dxfId="9238" priority="2720" operator="greaterThan">
      <formula>1</formula>
    </cfRule>
  </conditionalFormatting>
  <conditionalFormatting sqref="R83">
    <cfRule type="cellIs" dxfId="9237" priority="2717" operator="greaterThan">
      <formula>1</formula>
    </cfRule>
    <cfRule type="cellIs" dxfId="9236" priority="2718" operator="lessThan">
      <formula>0.8</formula>
    </cfRule>
  </conditionalFormatting>
  <conditionalFormatting sqref="P83">
    <cfRule type="cellIs" dxfId="9235" priority="2716" operator="greaterThan">
      <formula>0</formula>
    </cfRule>
  </conditionalFormatting>
  <conditionalFormatting sqref="Q83">
    <cfRule type="cellIs" dxfId="9234" priority="2715" operator="lessThan">
      <formula>0</formula>
    </cfRule>
  </conditionalFormatting>
  <conditionalFormatting sqref="R83">
    <cfRule type="cellIs" dxfId="9233" priority="2713" operator="lessThan">
      <formula>0.8</formula>
    </cfRule>
    <cfRule type="cellIs" dxfId="9232" priority="2714" operator="greaterThan">
      <formula>1</formula>
    </cfRule>
  </conditionalFormatting>
  <conditionalFormatting sqref="R83">
    <cfRule type="cellIs" dxfId="9231" priority="2711" operator="greaterThan">
      <formula>1</formula>
    </cfRule>
    <cfRule type="cellIs" dxfId="9230" priority="2712" operator="lessThan">
      <formula>0.8</formula>
    </cfRule>
  </conditionalFormatting>
  <conditionalFormatting sqref="P83">
    <cfRule type="cellIs" dxfId="9229" priority="2710" operator="greaterThan">
      <formula>0</formula>
    </cfRule>
  </conditionalFormatting>
  <conditionalFormatting sqref="Q83">
    <cfRule type="cellIs" dxfId="9228" priority="2709" operator="lessThan">
      <formula>0</formula>
    </cfRule>
  </conditionalFormatting>
  <conditionalFormatting sqref="R83">
    <cfRule type="cellIs" dxfId="9227" priority="2707" operator="lessThan">
      <formula>0.8</formula>
    </cfRule>
    <cfRule type="cellIs" dxfId="9226" priority="2708" operator="greaterThan">
      <formula>1</formula>
    </cfRule>
  </conditionalFormatting>
  <conditionalFormatting sqref="R83">
    <cfRule type="cellIs" dxfId="9225" priority="2705" operator="greaterThan">
      <formula>1</formula>
    </cfRule>
    <cfRule type="cellIs" dxfId="9224" priority="2706" operator="lessThan">
      <formula>0.8</formula>
    </cfRule>
  </conditionalFormatting>
  <conditionalFormatting sqref="P83">
    <cfRule type="cellIs" dxfId="9223" priority="2704" operator="greaterThan">
      <formula>0</formula>
    </cfRule>
  </conditionalFormatting>
  <conditionalFormatting sqref="Q83">
    <cfRule type="cellIs" dxfId="9222" priority="2703" operator="lessThan">
      <formula>0</formula>
    </cfRule>
  </conditionalFormatting>
  <conditionalFormatting sqref="R83">
    <cfRule type="cellIs" dxfId="9221" priority="2701" operator="lessThan">
      <formula>0.8</formula>
    </cfRule>
    <cfRule type="cellIs" dxfId="9220" priority="2702" operator="greaterThan">
      <formula>1</formula>
    </cfRule>
  </conditionalFormatting>
  <conditionalFormatting sqref="R83">
    <cfRule type="cellIs" dxfId="9219" priority="2699" operator="greaterThan">
      <formula>1</formula>
    </cfRule>
    <cfRule type="cellIs" dxfId="9218" priority="2700" operator="lessThan">
      <formula>0.8</formula>
    </cfRule>
  </conditionalFormatting>
  <conditionalFormatting sqref="P83">
    <cfRule type="cellIs" dxfId="9217" priority="2698" operator="greaterThan">
      <formula>0</formula>
    </cfRule>
  </conditionalFormatting>
  <conditionalFormatting sqref="P83">
    <cfRule type="cellIs" dxfId="9216" priority="2692" operator="greaterThan">
      <formula>0</formula>
    </cfRule>
  </conditionalFormatting>
  <conditionalFormatting sqref="Q83">
    <cfRule type="cellIs" dxfId="9215" priority="2697" operator="lessThan">
      <formula>0</formula>
    </cfRule>
  </conditionalFormatting>
  <conditionalFormatting sqref="R83">
    <cfRule type="cellIs" dxfId="9214" priority="2695" operator="lessThan">
      <formula>0.8</formula>
    </cfRule>
    <cfRule type="cellIs" dxfId="9213" priority="2696" operator="greaterThan">
      <formula>1</formula>
    </cfRule>
  </conditionalFormatting>
  <conditionalFormatting sqref="R83">
    <cfRule type="cellIs" dxfId="9212" priority="2693" operator="greaterThan">
      <formula>1</formula>
    </cfRule>
    <cfRule type="cellIs" dxfId="9211" priority="2694" operator="lessThan">
      <formula>0.8</formula>
    </cfRule>
  </conditionalFormatting>
  <conditionalFormatting sqref="P83">
    <cfRule type="cellIs" dxfId="9210" priority="2686" operator="greaterThan">
      <formula>0</formula>
    </cfRule>
  </conditionalFormatting>
  <conditionalFormatting sqref="Q83">
    <cfRule type="cellIs" dxfId="9209" priority="2691" operator="lessThan">
      <formula>0</formula>
    </cfRule>
  </conditionalFormatting>
  <conditionalFormatting sqref="R83">
    <cfRule type="cellIs" dxfId="9208" priority="2689" operator="lessThan">
      <formula>0.8</formula>
    </cfRule>
    <cfRule type="cellIs" dxfId="9207" priority="2690" operator="greaterThan">
      <formula>1</formula>
    </cfRule>
  </conditionalFormatting>
  <conditionalFormatting sqref="R83">
    <cfRule type="cellIs" dxfId="9206" priority="2687" operator="greaterThan">
      <formula>1</formula>
    </cfRule>
    <cfRule type="cellIs" dxfId="9205" priority="2688" operator="lessThan">
      <formula>0.8</formula>
    </cfRule>
  </conditionalFormatting>
  <conditionalFormatting sqref="R83">
    <cfRule type="cellIs" dxfId="9204" priority="2683" operator="lessThan">
      <formula>0.8</formula>
    </cfRule>
    <cfRule type="cellIs" dxfId="9203" priority="2684" operator="greaterThan">
      <formula>1</formula>
    </cfRule>
  </conditionalFormatting>
  <conditionalFormatting sqref="R83">
    <cfRule type="cellIs" dxfId="9202" priority="2681" operator="greaterThan">
      <formula>1</formula>
    </cfRule>
    <cfRule type="cellIs" dxfId="9201" priority="2682" operator="lessThan">
      <formula>0.8</formula>
    </cfRule>
  </conditionalFormatting>
  <conditionalFormatting sqref="P83">
    <cfRule type="cellIs" dxfId="9200" priority="2680" operator="greaterThan">
      <formula>0</formula>
    </cfRule>
  </conditionalFormatting>
  <conditionalFormatting sqref="Q83">
    <cfRule type="cellIs" dxfId="9199" priority="2685" operator="lessThan">
      <formula>0</formula>
    </cfRule>
  </conditionalFormatting>
  <conditionalFormatting sqref="Q83">
    <cfRule type="cellIs" dxfId="9198" priority="2679" operator="lessThan">
      <formula>0</formula>
    </cfRule>
  </conditionalFormatting>
  <conditionalFormatting sqref="R83">
    <cfRule type="cellIs" dxfId="9197" priority="2677" operator="lessThan">
      <formula>0.8</formula>
    </cfRule>
    <cfRule type="cellIs" dxfId="9196" priority="2678" operator="greaterThan">
      <formula>1</formula>
    </cfRule>
  </conditionalFormatting>
  <conditionalFormatting sqref="R83">
    <cfRule type="cellIs" dxfId="9195" priority="2675" operator="greaterThan">
      <formula>1</formula>
    </cfRule>
    <cfRule type="cellIs" dxfId="9194" priority="2676" operator="lessThan">
      <formula>0.8</formula>
    </cfRule>
  </conditionalFormatting>
  <conditionalFormatting sqref="P83">
    <cfRule type="cellIs" dxfId="9193" priority="2674" operator="greaterThan">
      <formula>0</formula>
    </cfRule>
  </conditionalFormatting>
  <conditionalFormatting sqref="P83">
    <cfRule type="cellIs" dxfId="9192" priority="2668" operator="greaterThan">
      <formula>0</formula>
    </cfRule>
  </conditionalFormatting>
  <conditionalFormatting sqref="Q83">
    <cfRule type="cellIs" dxfId="9191" priority="2673" operator="lessThan">
      <formula>0</formula>
    </cfRule>
  </conditionalFormatting>
  <conditionalFormatting sqref="R83">
    <cfRule type="cellIs" dxfId="9190" priority="2671" operator="lessThan">
      <formula>0.8</formula>
    </cfRule>
    <cfRule type="cellIs" dxfId="9189" priority="2672" operator="greaterThan">
      <formula>1</formula>
    </cfRule>
  </conditionalFormatting>
  <conditionalFormatting sqref="R83">
    <cfRule type="cellIs" dxfId="9188" priority="2669" operator="greaterThan">
      <formula>1</formula>
    </cfRule>
    <cfRule type="cellIs" dxfId="9187" priority="2670" operator="lessThan">
      <formula>0.8</formula>
    </cfRule>
  </conditionalFormatting>
  <conditionalFormatting sqref="P83">
    <cfRule type="cellIs" dxfId="9186" priority="2662" operator="greaterThan">
      <formula>0</formula>
    </cfRule>
  </conditionalFormatting>
  <conditionalFormatting sqref="Q83">
    <cfRule type="cellIs" dxfId="9185" priority="2667" operator="lessThan">
      <formula>0</formula>
    </cfRule>
  </conditionalFormatting>
  <conditionalFormatting sqref="R83">
    <cfRule type="cellIs" dxfId="9184" priority="2665" operator="lessThan">
      <formula>0.8</formula>
    </cfRule>
    <cfRule type="cellIs" dxfId="9183" priority="2666" operator="greaterThan">
      <formula>1</formula>
    </cfRule>
  </conditionalFormatting>
  <conditionalFormatting sqref="R83">
    <cfRule type="cellIs" dxfId="9182" priority="2663" operator="greaterThan">
      <formula>1</formula>
    </cfRule>
    <cfRule type="cellIs" dxfId="9181" priority="2664" operator="lessThan">
      <formula>0.8</formula>
    </cfRule>
  </conditionalFormatting>
  <conditionalFormatting sqref="R83">
    <cfRule type="cellIs" dxfId="9180" priority="2659" operator="lessThan">
      <formula>0.8</formula>
    </cfRule>
    <cfRule type="cellIs" dxfId="9179" priority="2660" operator="greaterThan">
      <formula>1</formula>
    </cfRule>
  </conditionalFormatting>
  <conditionalFormatting sqref="R83">
    <cfRule type="cellIs" dxfId="9178" priority="2657" operator="greaterThan">
      <formula>1</formula>
    </cfRule>
    <cfRule type="cellIs" dxfId="9177" priority="2658" operator="lessThan">
      <formula>0.8</formula>
    </cfRule>
  </conditionalFormatting>
  <conditionalFormatting sqref="P83">
    <cfRule type="cellIs" dxfId="9176" priority="2656" operator="greaterThan">
      <formula>0</formula>
    </cfRule>
  </conditionalFormatting>
  <conditionalFormatting sqref="Q83">
    <cfRule type="cellIs" dxfId="9175" priority="2661" operator="lessThan">
      <formula>0</formula>
    </cfRule>
  </conditionalFormatting>
  <conditionalFormatting sqref="P83">
    <cfRule type="cellIs" dxfId="9174" priority="2650" operator="greaterThan">
      <formula>0</formula>
    </cfRule>
  </conditionalFormatting>
  <conditionalFormatting sqref="Q83">
    <cfRule type="cellIs" dxfId="9173" priority="2655" operator="lessThan">
      <formula>0</formula>
    </cfRule>
  </conditionalFormatting>
  <conditionalFormatting sqref="R83">
    <cfRule type="cellIs" dxfId="9172" priority="2653" operator="lessThan">
      <formula>0.8</formula>
    </cfRule>
    <cfRule type="cellIs" dxfId="9171" priority="2654" operator="greaterThan">
      <formula>1</formula>
    </cfRule>
  </conditionalFormatting>
  <conditionalFormatting sqref="R83">
    <cfRule type="cellIs" dxfId="9170" priority="2651" operator="greaterThan">
      <formula>1</formula>
    </cfRule>
    <cfRule type="cellIs" dxfId="9169" priority="2652" operator="lessThan">
      <formula>0.8</formula>
    </cfRule>
  </conditionalFormatting>
  <conditionalFormatting sqref="R83">
    <cfRule type="cellIs" dxfId="9168" priority="2647" operator="lessThan">
      <formula>0.8</formula>
    </cfRule>
    <cfRule type="cellIs" dxfId="9167" priority="2648" operator="greaterThan">
      <formula>1</formula>
    </cfRule>
  </conditionalFormatting>
  <conditionalFormatting sqref="R83">
    <cfRule type="cellIs" dxfId="9166" priority="2645" operator="greaterThan">
      <formula>1</formula>
    </cfRule>
    <cfRule type="cellIs" dxfId="9165" priority="2646" operator="lessThan">
      <formula>0.8</formula>
    </cfRule>
  </conditionalFormatting>
  <conditionalFormatting sqref="P83">
    <cfRule type="cellIs" dxfId="9164" priority="2644" operator="greaterThan">
      <formula>0</formula>
    </cfRule>
  </conditionalFormatting>
  <conditionalFormatting sqref="Q83">
    <cfRule type="cellIs" dxfId="9163" priority="2649" operator="lessThan">
      <formula>0</formula>
    </cfRule>
  </conditionalFormatting>
  <conditionalFormatting sqref="R83">
    <cfRule type="cellIs" dxfId="9162" priority="2641" operator="lessThan">
      <formula>0.8</formula>
    </cfRule>
    <cfRule type="cellIs" dxfId="9161" priority="2642" operator="greaterThan">
      <formula>1</formula>
    </cfRule>
  </conditionalFormatting>
  <conditionalFormatting sqref="R83">
    <cfRule type="cellIs" dxfId="9160" priority="2639" operator="greaterThan">
      <formula>1</formula>
    </cfRule>
    <cfRule type="cellIs" dxfId="9159" priority="2640" operator="lessThan">
      <formula>0.8</formula>
    </cfRule>
  </conditionalFormatting>
  <conditionalFormatting sqref="P83">
    <cfRule type="cellIs" dxfId="9158" priority="2638" operator="greaterThan">
      <formula>0</formula>
    </cfRule>
  </conditionalFormatting>
  <conditionalFormatting sqref="Q83">
    <cfRule type="cellIs" dxfId="9157" priority="2643" operator="lessThan">
      <formula>0</formula>
    </cfRule>
  </conditionalFormatting>
  <conditionalFormatting sqref="Q83">
    <cfRule type="cellIs" dxfId="9156" priority="2637" operator="lessThan">
      <formula>0</formula>
    </cfRule>
  </conditionalFormatting>
  <conditionalFormatting sqref="R83">
    <cfRule type="cellIs" dxfId="9155" priority="2635" operator="lessThan">
      <formula>0.8</formula>
    </cfRule>
    <cfRule type="cellIs" dxfId="9154" priority="2636" operator="greaterThan">
      <formula>1</formula>
    </cfRule>
  </conditionalFormatting>
  <conditionalFormatting sqref="R83">
    <cfRule type="cellIs" dxfId="9153" priority="2633" operator="greaterThan">
      <formula>1</formula>
    </cfRule>
    <cfRule type="cellIs" dxfId="9152" priority="2634" operator="lessThan">
      <formula>0.8</formula>
    </cfRule>
  </conditionalFormatting>
  <conditionalFormatting sqref="P83">
    <cfRule type="cellIs" dxfId="9151" priority="2632" operator="greaterThan">
      <formula>0</formula>
    </cfRule>
  </conditionalFormatting>
  <conditionalFormatting sqref="Q83">
    <cfRule type="cellIs" dxfId="9150" priority="2626" operator="lessThan">
      <formula>0</formula>
    </cfRule>
  </conditionalFormatting>
  <conditionalFormatting sqref="R83">
    <cfRule type="cellIs" dxfId="9149" priority="2630" operator="lessThan">
      <formula>0.8</formula>
    </cfRule>
    <cfRule type="cellIs" dxfId="9148" priority="2631" operator="greaterThan">
      <formula>1</formula>
    </cfRule>
  </conditionalFormatting>
  <conditionalFormatting sqref="R83">
    <cfRule type="cellIs" dxfId="9147" priority="2628" operator="greaterThan">
      <formula>1</formula>
    </cfRule>
    <cfRule type="cellIs" dxfId="9146" priority="2629" operator="lessThan">
      <formula>0.8</formula>
    </cfRule>
  </conditionalFormatting>
  <conditionalFormatting sqref="P83">
    <cfRule type="cellIs" dxfId="9145" priority="2627" operator="greaterThan">
      <formula>0</formula>
    </cfRule>
  </conditionalFormatting>
  <conditionalFormatting sqref="Q83">
    <cfRule type="cellIs" dxfId="9144" priority="2625" operator="lessThan">
      <formula>0</formula>
    </cfRule>
  </conditionalFormatting>
  <conditionalFormatting sqref="R83">
    <cfRule type="cellIs" dxfId="9143" priority="2623" operator="lessThan">
      <formula>0.8</formula>
    </cfRule>
    <cfRule type="cellIs" dxfId="9142" priority="2624" operator="greaterThan">
      <formula>1</formula>
    </cfRule>
  </conditionalFormatting>
  <conditionalFormatting sqref="R83">
    <cfRule type="cellIs" dxfId="9141" priority="2621" operator="greaterThan">
      <formula>1</formula>
    </cfRule>
    <cfRule type="cellIs" dxfId="9140" priority="2622" operator="lessThan">
      <formula>0.8</formula>
    </cfRule>
  </conditionalFormatting>
  <conditionalFormatting sqref="P83">
    <cfRule type="cellIs" dxfId="9139" priority="2620" operator="greaterThan">
      <formula>0</formula>
    </cfRule>
  </conditionalFormatting>
  <conditionalFormatting sqref="Q83">
    <cfRule type="cellIs" dxfId="9138" priority="2619" operator="lessThan">
      <formula>0</formula>
    </cfRule>
  </conditionalFormatting>
  <conditionalFormatting sqref="R83">
    <cfRule type="cellIs" dxfId="9137" priority="2617" operator="lessThan">
      <formula>0.8</formula>
    </cfRule>
    <cfRule type="cellIs" dxfId="9136" priority="2618" operator="greaterThan">
      <formula>1</formula>
    </cfRule>
  </conditionalFormatting>
  <conditionalFormatting sqref="R83">
    <cfRule type="cellIs" dxfId="9135" priority="2615" operator="greaterThan">
      <formula>1</formula>
    </cfRule>
    <cfRule type="cellIs" dxfId="9134" priority="2616" operator="lessThan">
      <formula>0.8</formula>
    </cfRule>
  </conditionalFormatting>
  <conditionalFormatting sqref="P83">
    <cfRule type="cellIs" dxfId="9133" priority="2614" operator="greaterThan">
      <formula>0</formula>
    </cfRule>
  </conditionalFormatting>
  <conditionalFormatting sqref="Q83">
    <cfRule type="cellIs" dxfId="9132" priority="2613" operator="lessThan">
      <formula>0</formula>
    </cfRule>
  </conditionalFormatting>
  <conditionalFormatting sqref="R83">
    <cfRule type="cellIs" dxfId="9131" priority="2611" operator="lessThan">
      <formula>0.8</formula>
    </cfRule>
    <cfRule type="cellIs" dxfId="9130" priority="2612" operator="greaterThan">
      <formula>1</formula>
    </cfRule>
  </conditionalFormatting>
  <conditionalFormatting sqref="R83">
    <cfRule type="cellIs" dxfId="9129" priority="2609" operator="greaterThan">
      <formula>1</formula>
    </cfRule>
    <cfRule type="cellIs" dxfId="9128" priority="2610" operator="lessThan">
      <formula>0.8</formula>
    </cfRule>
  </conditionalFormatting>
  <conditionalFormatting sqref="P83">
    <cfRule type="cellIs" dxfId="9127" priority="2608" operator="greaterThan">
      <formula>0</formula>
    </cfRule>
  </conditionalFormatting>
  <conditionalFormatting sqref="Q83">
    <cfRule type="cellIs" dxfId="9126" priority="2607" operator="lessThan">
      <formula>0</formula>
    </cfRule>
  </conditionalFormatting>
  <conditionalFormatting sqref="R83">
    <cfRule type="cellIs" dxfId="9125" priority="2605" operator="lessThan">
      <formula>0.8</formula>
    </cfRule>
    <cfRule type="cellIs" dxfId="9124" priority="2606" operator="greaterThan">
      <formula>1</formula>
    </cfRule>
  </conditionalFormatting>
  <conditionalFormatting sqref="R83">
    <cfRule type="cellIs" dxfId="9123" priority="2603" operator="greaterThan">
      <formula>1</formula>
    </cfRule>
    <cfRule type="cellIs" dxfId="9122" priority="2604" operator="lessThan">
      <formula>0.8</formula>
    </cfRule>
  </conditionalFormatting>
  <conditionalFormatting sqref="P83">
    <cfRule type="cellIs" dxfId="9121" priority="2602" operator="greaterThan">
      <formula>0</formula>
    </cfRule>
  </conditionalFormatting>
  <conditionalFormatting sqref="Q83">
    <cfRule type="cellIs" dxfId="9120" priority="2601" operator="lessThan">
      <formula>0</formula>
    </cfRule>
  </conditionalFormatting>
  <conditionalFormatting sqref="R83">
    <cfRule type="cellIs" dxfId="9119" priority="2599" operator="lessThan">
      <formula>0.8</formula>
    </cfRule>
    <cfRule type="cellIs" dxfId="9118" priority="2600" operator="greaterThan">
      <formula>1</formula>
    </cfRule>
  </conditionalFormatting>
  <conditionalFormatting sqref="R83">
    <cfRule type="cellIs" dxfId="9117" priority="2597" operator="greaterThan">
      <formula>1</formula>
    </cfRule>
    <cfRule type="cellIs" dxfId="9116" priority="2598" operator="lessThan">
      <formula>0.8</formula>
    </cfRule>
  </conditionalFormatting>
  <conditionalFormatting sqref="P83">
    <cfRule type="cellIs" dxfId="9115" priority="2596" operator="greaterThan">
      <formula>0</formula>
    </cfRule>
  </conditionalFormatting>
  <conditionalFormatting sqref="P83">
    <cfRule type="cellIs" dxfId="9114" priority="2590" operator="greaterThan">
      <formula>0</formula>
    </cfRule>
  </conditionalFormatting>
  <conditionalFormatting sqref="Q83">
    <cfRule type="cellIs" dxfId="9113" priority="2595" operator="lessThan">
      <formula>0</formula>
    </cfRule>
  </conditionalFormatting>
  <conditionalFormatting sqref="R83">
    <cfRule type="cellIs" dxfId="9112" priority="2593" operator="lessThan">
      <formula>0.8</formula>
    </cfRule>
    <cfRule type="cellIs" dxfId="9111" priority="2594" operator="greaterThan">
      <formula>1</formula>
    </cfRule>
  </conditionalFormatting>
  <conditionalFormatting sqref="R83">
    <cfRule type="cellIs" dxfId="9110" priority="2591" operator="greaterThan">
      <formula>1</formula>
    </cfRule>
    <cfRule type="cellIs" dxfId="9109" priority="2592" operator="lessThan">
      <formula>0.8</formula>
    </cfRule>
  </conditionalFormatting>
  <conditionalFormatting sqref="P83">
    <cfRule type="cellIs" dxfId="9108" priority="2584" operator="greaterThan">
      <formula>0</formula>
    </cfRule>
  </conditionalFormatting>
  <conditionalFormatting sqref="Q83">
    <cfRule type="cellIs" dxfId="9107" priority="2589" operator="lessThan">
      <formula>0</formula>
    </cfRule>
  </conditionalFormatting>
  <conditionalFormatting sqref="R83">
    <cfRule type="cellIs" dxfId="9106" priority="2587" operator="lessThan">
      <formula>0.8</formula>
    </cfRule>
    <cfRule type="cellIs" dxfId="9105" priority="2588" operator="greaterThan">
      <formula>1</formula>
    </cfRule>
  </conditionalFormatting>
  <conditionalFormatting sqref="R83">
    <cfRule type="cellIs" dxfId="9104" priority="2585" operator="greaterThan">
      <formula>1</formula>
    </cfRule>
    <cfRule type="cellIs" dxfId="9103" priority="2586" operator="lessThan">
      <formula>0.8</formula>
    </cfRule>
  </conditionalFormatting>
  <conditionalFormatting sqref="R83">
    <cfRule type="cellIs" dxfId="9102" priority="2581" operator="lessThan">
      <formula>0.8</formula>
    </cfRule>
    <cfRule type="cellIs" dxfId="9101" priority="2582" operator="greaterThan">
      <formula>1</formula>
    </cfRule>
  </conditionalFormatting>
  <conditionalFormatting sqref="R83">
    <cfRule type="cellIs" dxfId="9100" priority="2579" operator="greaterThan">
      <formula>1</formula>
    </cfRule>
    <cfRule type="cellIs" dxfId="9099" priority="2580" operator="lessThan">
      <formula>0.8</formula>
    </cfRule>
  </conditionalFormatting>
  <conditionalFormatting sqref="P83">
    <cfRule type="cellIs" dxfId="9098" priority="2578" operator="greaterThan">
      <formula>0</formula>
    </cfRule>
  </conditionalFormatting>
  <conditionalFormatting sqref="Q83">
    <cfRule type="cellIs" dxfId="9097" priority="2583" operator="lessThan">
      <formula>0</formula>
    </cfRule>
  </conditionalFormatting>
  <conditionalFormatting sqref="P123 P125:P126 P131 P128:P129">
    <cfRule type="cellIs" dxfId="9096" priority="2572" operator="greaterThan">
      <formula>0</formula>
    </cfRule>
  </conditionalFormatting>
  <conditionalFormatting sqref="Q123 Q125:Q126 Q131 Q128:Q129">
    <cfRule type="cellIs" dxfId="9095" priority="2577" operator="lessThan">
      <formula>0</formula>
    </cfRule>
  </conditionalFormatting>
  <conditionalFormatting sqref="R123 R125:R126 R131 R128:R129">
    <cfRule type="cellIs" dxfId="9094" priority="2575" operator="lessThan">
      <formula>0.8</formula>
    </cfRule>
    <cfRule type="cellIs" dxfId="9093" priority="2576" operator="greaterThan">
      <formula>1</formula>
    </cfRule>
  </conditionalFormatting>
  <conditionalFormatting sqref="R123 R125:R126 R131 R128:R129">
    <cfRule type="cellIs" dxfId="9092" priority="2573" operator="greaterThan">
      <formula>1</formula>
    </cfRule>
    <cfRule type="cellIs" dxfId="9091" priority="2574" operator="lessThan">
      <formula>0.8</formula>
    </cfRule>
  </conditionalFormatting>
  <conditionalFormatting sqref="Q123 Q125:Q126 Q131 Q128:Q129">
    <cfRule type="cellIs" dxfId="9090" priority="2571" operator="lessThan">
      <formula>0</formula>
    </cfRule>
  </conditionalFormatting>
  <conditionalFormatting sqref="R123 R125:R126 R131 R128:R129">
    <cfRule type="cellIs" dxfId="9089" priority="2569" operator="lessThan">
      <formula>0.8</formula>
    </cfRule>
    <cfRule type="cellIs" dxfId="9088" priority="2570" operator="greaterThan">
      <formula>1</formula>
    </cfRule>
  </conditionalFormatting>
  <conditionalFormatting sqref="R123 R125:R126 R131 R128:R129">
    <cfRule type="cellIs" dxfId="9087" priority="2567" operator="greaterThan">
      <formula>1</formula>
    </cfRule>
    <cfRule type="cellIs" dxfId="9086" priority="2568" operator="lessThan">
      <formula>0.8</formula>
    </cfRule>
  </conditionalFormatting>
  <conditionalFormatting sqref="P123 P125:P126 P131 P128:P129">
    <cfRule type="cellIs" dxfId="9085" priority="2566" operator="greaterThan">
      <formula>0</formula>
    </cfRule>
  </conditionalFormatting>
  <conditionalFormatting sqref="Q31">
    <cfRule type="cellIs" dxfId="9084" priority="2565" operator="lessThan">
      <formula>0</formula>
    </cfRule>
  </conditionalFormatting>
  <conditionalFormatting sqref="R31">
    <cfRule type="cellIs" dxfId="9083" priority="2563" operator="lessThan">
      <formula>0.8</formula>
    </cfRule>
    <cfRule type="cellIs" dxfId="9082" priority="2564" operator="greaterThan">
      <formula>1</formula>
    </cfRule>
  </conditionalFormatting>
  <conditionalFormatting sqref="R31">
    <cfRule type="cellIs" dxfId="9081" priority="2561" operator="greaterThan">
      <formula>1</formula>
    </cfRule>
    <cfRule type="cellIs" dxfId="9080" priority="2562" operator="lessThan">
      <formula>0.8</formula>
    </cfRule>
  </conditionalFormatting>
  <conditionalFormatting sqref="P31">
    <cfRule type="cellIs" dxfId="9079" priority="2560" operator="greaterThan">
      <formula>0</formula>
    </cfRule>
  </conditionalFormatting>
  <conditionalFormatting sqref="Q31">
    <cfRule type="cellIs" dxfId="9078" priority="2559" operator="lessThan">
      <formula>0</formula>
    </cfRule>
  </conditionalFormatting>
  <conditionalFormatting sqref="R31">
    <cfRule type="cellIs" dxfId="9077" priority="2557" operator="lessThan">
      <formula>0.8</formula>
    </cfRule>
    <cfRule type="cellIs" dxfId="9076" priority="2558" operator="greaterThan">
      <formula>1</formula>
    </cfRule>
  </conditionalFormatting>
  <conditionalFormatting sqref="R31">
    <cfRule type="cellIs" dxfId="9075" priority="2555" operator="greaterThan">
      <formula>1</formula>
    </cfRule>
    <cfRule type="cellIs" dxfId="9074" priority="2556" operator="lessThan">
      <formula>0.8</formula>
    </cfRule>
  </conditionalFormatting>
  <conditionalFormatting sqref="P31">
    <cfRule type="cellIs" dxfId="9073" priority="2554" operator="greaterThan">
      <formula>0</formula>
    </cfRule>
  </conditionalFormatting>
  <conditionalFormatting sqref="Q31">
    <cfRule type="cellIs" dxfId="9072" priority="2553" operator="lessThan">
      <formula>0</formula>
    </cfRule>
  </conditionalFormatting>
  <conditionalFormatting sqref="R31">
    <cfRule type="cellIs" dxfId="9071" priority="2551" operator="lessThan">
      <formula>0.8</formula>
    </cfRule>
    <cfRule type="cellIs" dxfId="9070" priority="2552" operator="greaterThan">
      <formula>1</formula>
    </cfRule>
  </conditionalFormatting>
  <conditionalFormatting sqref="R31">
    <cfRule type="cellIs" dxfId="9069" priority="2549" operator="greaterThan">
      <formula>1</formula>
    </cfRule>
    <cfRule type="cellIs" dxfId="9068" priority="2550" operator="lessThan">
      <formula>0.8</formula>
    </cfRule>
  </conditionalFormatting>
  <conditionalFormatting sqref="P31">
    <cfRule type="cellIs" dxfId="9067" priority="2548" operator="greaterThan">
      <formula>0</formula>
    </cfRule>
  </conditionalFormatting>
  <conditionalFormatting sqref="Q31">
    <cfRule type="cellIs" dxfId="9066" priority="2547" operator="lessThan">
      <formula>0</formula>
    </cfRule>
  </conditionalFormatting>
  <conditionalFormatting sqref="R31">
    <cfRule type="cellIs" dxfId="9065" priority="2545" operator="lessThan">
      <formula>0.8</formula>
    </cfRule>
    <cfRule type="cellIs" dxfId="9064" priority="2546" operator="greaterThan">
      <formula>1</formula>
    </cfRule>
  </conditionalFormatting>
  <conditionalFormatting sqref="R31">
    <cfRule type="cellIs" dxfId="9063" priority="2543" operator="greaterThan">
      <formula>1</formula>
    </cfRule>
    <cfRule type="cellIs" dxfId="9062" priority="2544" operator="lessThan">
      <formula>0.8</formula>
    </cfRule>
  </conditionalFormatting>
  <conditionalFormatting sqref="P31">
    <cfRule type="cellIs" dxfId="9061" priority="2542" operator="greaterThan">
      <formula>0</formula>
    </cfRule>
  </conditionalFormatting>
  <conditionalFormatting sqref="P31">
    <cfRule type="cellIs" dxfId="9060" priority="2536" operator="greaterThan">
      <formula>0</formula>
    </cfRule>
  </conditionalFormatting>
  <conditionalFormatting sqref="Q31">
    <cfRule type="cellIs" dxfId="9059" priority="2541" operator="lessThan">
      <formula>0</formula>
    </cfRule>
  </conditionalFormatting>
  <conditionalFormatting sqref="R31">
    <cfRule type="cellIs" dxfId="9058" priority="2539" operator="lessThan">
      <formula>0.8</formula>
    </cfRule>
    <cfRule type="cellIs" dxfId="9057" priority="2540" operator="greaterThan">
      <formula>1</formula>
    </cfRule>
  </conditionalFormatting>
  <conditionalFormatting sqref="R31">
    <cfRule type="cellIs" dxfId="9056" priority="2537" operator="greaterThan">
      <formula>1</formula>
    </cfRule>
    <cfRule type="cellIs" dxfId="9055" priority="2538" operator="lessThan">
      <formula>0.8</formula>
    </cfRule>
  </conditionalFormatting>
  <conditionalFormatting sqref="P31">
    <cfRule type="cellIs" dxfId="9054" priority="2530" operator="greaterThan">
      <formula>0</formula>
    </cfRule>
  </conditionalFormatting>
  <conditionalFormatting sqref="Q31">
    <cfRule type="cellIs" dxfId="9053" priority="2535" operator="lessThan">
      <formula>0</formula>
    </cfRule>
  </conditionalFormatting>
  <conditionalFormatting sqref="R31">
    <cfRule type="cellIs" dxfId="9052" priority="2533" operator="lessThan">
      <formula>0.8</formula>
    </cfRule>
    <cfRule type="cellIs" dxfId="9051" priority="2534" operator="greaterThan">
      <formula>1</formula>
    </cfRule>
  </conditionalFormatting>
  <conditionalFormatting sqref="R31">
    <cfRule type="cellIs" dxfId="9050" priority="2531" operator="greaterThan">
      <formula>1</formula>
    </cfRule>
    <cfRule type="cellIs" dxfId="9049" priority="2532" operator="lessThan">
      <formula>0.8</formula>
    </cfRule>
  </conditionalFormatting>
  <conditionalFormatting sqref="R31">
    <cfRule type="cellIs" dxfId="9048" priority="2527" operator="lessThan">
      <formula>0.8</formula>
    </cfRule>
    <cfRule type="cellIs" dxfId="9047" priority="2528" operator="greaterThan">
      <formula>1</formula>
    </cfRule>
  </conditionalFormatting>
  <conditionalFormatting sqref="R31">
    <cfRule type="cellIs" dxfId="9046" priority="2525" operator="greaterThan">
      <formula>1</formula>
    </cfRule>
    <cfRule type="cellIs" dxfId="9045" priority="2526" operator="lessThan">
      <formula>0.8</formula>
    </cfRule>
  </conditionalFormatting>
  <conditionalFormatting sqref="P31">
    <cfRule type="cellIs" dxfId="9044" priority="2524" operator="greaterThan">
      <formula>0</formula>
    </cfRule>
  </conditionalFormatting>
  <conditionalFormatting sqref="Q31">
    <cfRule type="cellIs" dxfId="9043" priority="2529" operator="lessThan">
      <formula>0</formula>
    </cfRule>
  </conditionalFormatting>
  <conditionalFormatting sqref="Q31">
    <cfRule type="cellIs" dxfId="9042" priority="2523" operator="lessThan">
      <formula>0</formula>
    </cfRule>
  </conditionalFormatting>
  <conditionalFormatting sqref="R31">
    <cfRule type="cellIs" dxfId="9041" priority="2521" operator="lessThan">
      <formula>0.8</formula>
    </cfRule>
    <cfRule type="cellIs" dxfId="9040" priority="2522" operator="greaterThan">
      <formula>1</formula>
    </cfRule>
  </conditionalFormatting>
  <conditionalFormatting sqref="R31">
    <cfRule type="cellIs" dxfId="9039" priority="2519" operator="greaterThan">
      <formula>1</formula>
    </cfRule>
    <cfRule type="cellIs" dxfId="9038" priority="2520" operator="lessThan">
      <formula>0.8</formula>
    </cfRule>
  </conditionalFormatting>
  <conditionalFormatting sqref="P31">
    <cfRule type="cellIs" dxfId="9037" priority="2518" operator="greaterThan">
      <formula>0</formula>
    </cfRule>
  </conditionalFormatting>
  <conditionalFormatting sqref="P31">
    <cfRule type="cellIs" dxfId="9036" priority="2512" operator="greaterThan">
      <formula>0</formula>
    </cfRule>
  </conditionalFormatting>
  <conditionalFormatting sqref="Q31">
    <cfRule type="cellIs" dxfId="9035" priority="2517" operator="lessThan">
      <formula>0</formula>
    </cfRule>
  </conditionalFormatting>
  <conditionalFormatting sqref="R31">
    <cfRule type="cellIs" dxfId="9034" priority="2515" operator="lessThan">
      <formula>0.8</formula>
    </cfRule>
    <cfRule type="cellIs" dxfId="9033" priority="2516" operator="greaterThan">
      <formula>1</formula>
    </cfRule>
  </conditionalFormatting>
  <conditionalFormatting sqref="R31">
    <cfRule type="cellIs" dxfId="9032" priority="2513" operator="greaterThan">
      <formula>1</formula>
    </cfRule>
    <cfRule type="cellIs" dxfId="9031" priority="2514" operator="lessThan">
      <formula>0.8</formula>
    </cfRule>
  </conditionalFormatting>
  <conditionalFormatting sqref="P31">
    <cfRule type="cellIs" dxfId="9030" priority="2506" operator="greaterThan">
      <formula>0</formula>
    </cfRule>
  </conditionalFormatting>
  <conditionalFormatting sqref="Q31">
    <cfRule type="cellIs" dxfId="9029" priority="2511" operator="lessThan">
      <formula>0</formula>
    </cfRule>
  </conditionalFormatting>
  <conditionalFormatting sqref="R31">
    <cfRule type="cellIs" dxfId="9028" priority="2509" operator="lessThan">
      <formula>0.8</formula>
    </cfRule>
    <cfRule type="cellIs" dxfId="9027" priority="2510" operator="greaterThan">
      <formula>1</formula>
    </cfRule>
  </conditionalFormatting>
  <conditionalFormatting sqref="R31">
    <cfRule type="cellIs" dxfId="9026" priority="2507" operator="greaterThan">
      <formula>1</formula>
    </cfRule>
    <cfRule type="cellIs" dxfId="9025" priority="2508" operator="lessThan">
      <formula>0.8</formula>
    </cfRule>
  </conditionalFormatting>
  <conditionalFormatting sqref="R31">
    <cfRule type="cellIs" dxfId="9024" priority="2503" operator="lessThan">
      <formula>0.8</formula>
    </cfRule>
    <cfRule type="cellIs" dxfId="9023" priority="2504" operator="greaterThan">
      <formula>1</formula>
    </cfRule>
  </conditionalFormatting>
  <conditionalFormatting sqref="R31">
    <cfRule type="cellIs" dxfId="9022" priority="2501" operator="greaterThan">
      <formula>1</formula>
    </cfRule>
    <cfRule type="cellIs" dxfId="9021" priority="2502" operator="lessThan">
      <formula>0.8</formula>
    </cfRule>
  </conditionalFormatting>
  <conditionalFormatting sqref="P31">
    <cfRule type="cellIs" dxfId="9020" priority="2500" operator="greaterThan">
      <formula>0</formula>
    </cfRule>
  </conditionalFormatting>
  <conditionalFormatting sqref="Q31">
    <cfRule type="cellIs" dxfId="9019" priority="2505" operator="lessThan">
      <formula>0</formula>
    </cfRule>
  </conditionalFormatting>
  <conditionalFormatting sqref="P31">
    <cfRule type="cellIs" dxfId="9018" priority="2494" operator="greaterThan">
      <formula>0</formula>
    </cfRule>
  </conditionalFormatting>
  <conditionalFormatting sqref="Q31">
    <cfRule type="cellIs" dxfId="9017" priority="2499" operator="lessThan">
      <formula>0</formula>
    </cfRule>
  </conditionalFormatting>
  <conditionalFormatting sqref="R31">
    <cfRule type="cellIs" dxfId="9016" priority="2497" operator="lessThan">
      <formula>0.8</formula>
    </cfRule>
    <cfRule type="cellIs" dxfId="9015" priority="2498" operator="greaterThan">
      <formula>1</formula>
    </cfRule>
  </conditionalFormatting>
  <conditionalFormatting sqref="R31">
    <cfRule type="cellIs" dxfId="9014" priority="2495" operator="greaterThan">
      <formula>1</formula>
    </cfRule>
    <cfRule type="cellIs" dxfId="9013" priority="2496" operator="lessThan">
      <formula>0.8</formula>
    </cfRule>
  </conditionalFormatting>
  <conditionalFormatting sqref="R31">
    <cfRule type="cellIs" dxfId="9012" priority="2491" operator="lessThan">
      <formula>0.8</formula>
    </cfRule>
    <cfRule type="cellIs" dxfId="9011" priority="2492" operator="greaterThan">
      <formula>1</formula>
    </cfRule>
  </conditionalFormatting>
  <conditionalFormatting sqref="R31">
    <cfRule type="cellIs" dxfId="9010" priority="2489" operator="greaterThan">
      <formula>1</formula>
    </cfRule>
    <cfRule type="cellIs" dxfId="9009" priority="2490" operator="lessThan">
      <formula>0.8</formula>
    </cfRule>
  </conditionalFormatting>
  <conditionalFormatting sqref="P31">
    <cfRule type="cellIs" dxfId="9008" priority="2488" operator="greaterThan">
      <formula>0</formula>
    </cfRule>
  </conditionalFormatting>
  <conditionalFormatting sqref="Q31">
    <cfRule type="cellIs" dxfId="9007" priority="2493" operator="lessThan">
      <formula>0</formula>
    </cfRule>
  </conditionalFormatting>
  <conditionalFormatting sqref="R31">
    <cfRule type="cellIs" dxfId="9006" priority="2485" operator="lessThan">
      <formula>0.8</formula>
    </cfRule>
    <cfRule type="cellIs" dxfId="9005" priority="2486" operator="greaterThan">
      <formula>1</formula>
    </cfRule>
  </conditionalFormatting>
  <conditionalFormatting sqref="R31">
    <cfRule type="cellIs" dxfId="9004" priority="2483" operator="greaterThan">
      <formula>1</formula>
    </cfRule>
    <cfRule type="cellIs" dxfId="9003" priority="2484" operator="lessThan">
      <formula>0.8</formula>
    </cfRule>
  </conditionalFormatting>
  <conditionalFormatting sqref="P31">
    <cfRule type="cellIs" dxfId="9002" priority="2482" operator="greaterThan">
      <formula>0</formula>
    </cfRule>
  </conditionalFormatting>
  <conditionalFormatting sqref="Q31">
    <cfRule type="cellIs" dxfId="9001" priority="2487" operator="lessThan">
      <formula>0</formula>
    </cfRule>
  </conditionalFormatting>
  <conditionalFormatting sqref="Q31">
    <cfRule type="cellIs" dxfId="9000" priority="2481" operator="lessThan">
      <formula>0</formula>
    </cfRule>
  </conditionalFormatting>
  <conditionalFormatting sqref="R31">
    <cfRule type="cellIs" dxfId="8999" priority="2479" operator="lessThan">
      <formula>0.8</formula>
    </cfRule>
    <cfRule type="cellIs" dxfId="8998" priority="2480" operator="greaterThan">
      <formula>1</formula>
    </cfRule>
  </conditionalFormatting>
  <conditionalFormatting sqref="R31">
    <cfRule type="cellIs" dxfId="8997" priority="2477" operator="greaterThan">
      <formula>1</formula>
    </cfRule>
    <cfRule type="cellIs" dxfId="8996" priority="2478" operator="lessThan">
      <formula>0.8</formula>
    </cfRule>
  </conditionalFormatting>
  <conditionalFormatting sqref="P31">
    <cfRule type="cellIs" dxfId="8995" priority="2476" operator="greaterThan">
      <formula>0</formula>
    </cfRule>
  </conditionalFormatting>
  <conditionalFormatting sqref="Q31">
    <cfRule type="cellIs" dxfId="8994" priority="2470" operator="lessThan">
      <formula>0</formula>
    </cfRule>
  </conditionalFormatting>
  <conditionalFormatting sqref="R31">
    <cfRule type="cellIs" dxfId="8993" priority="2474" operator="lessThan">
      <formula>0.8</formula>
    </cfRule>
    <cfRule type="cellIs" dxfId="8992" priority="2475" operator="greaterThan">
      <formula>1</formula>
    </cfRule>
  </conditionalFormatting>
  <conditionalFormatting sqref="R31">
    <cfRule type="cellIs" dxfId="8991" priority="2472" operator="greaterThan">
      <formula>1</formula>
    </cfRule>
    <cfRule type="cellIs" dxfId="8990" priority="2473" operator="lessThan">
      <formula>0.8</formula>
    </cfRule>
  </conditionalFormatting>
  <conditionalFormatting sqref="P31">
    <cfRule type="cellIs" dxfId="8989" priority="2471" operator="greaterThan">
      <formula>0</formula>
    </cfRule>
  </conditionalFormatting>
  <conditionalFormatting sqref="Q31">
    <cfRule type="cellIs" dxfId="8988" priority="2469" operator="lessThan">
      <formula>0</formula>
    </cfRule>
  </conditionalFormatting>
  <conditionalFormatting sqref="R31">
    <cfRule type="cellIs" dxfId="8987" priority="2467" operator="lessThan">
      <formula>0.8</formula>
    </cfRule>
    <cfRule type="cellIs" dxfId="8986" priority="2468" operator="greaterThan">
      <formula>1</formula>
    </cfRule>
  </conditionalFormatting>
  <conditionalFormatting sqref="R31">
    <cfRule type="cellIs" dxfId="8985" priority="2465" operator="greaterThan">
      <formula>1</formula>
    </cfRule>
    <cfRule type="cellIs" dxfId="8984" priority="2466" operator="lessThan">
      <formula>0.8</formula>
    </cfRule>
  </conditionalFormatting>
  <conditionalFormatting sqref="P31">
    <cfRule type="cellIs" dxfId="8983" priority="2464" operator="greaterThan">
      <formula>0</formula>
    </cfRule>
  </conditionalFormatting>
  <conditionalFormatting sqref="Q31">
    <cfRule type="cellIs" dxfId="8982" priority="2463" operator="lessThan">
      <formula>0</formula>
    </cfRule>
  </conditionalFormatting>
  <conditionalFormatting sqref="R31">
    <cfRule type="cellIs" dxfId="8981" priority="2461" operator="lessThan">
      <formula>0.8</formula>
    </cfRule>
    <cfRule type="cellIs" dxfId="8980" priority="2462" operator="greaterThan">
      <formula>1</formula>
    </cfRule>
  </conditionalFormatting>
  <conditionalFormatting sqref="R31">
    <cfRule type="cellIs" dxfId="8979" priority="2459" operator="greaterThan">
      <formula>1</formula>
    </cfRule>
    <cfRule type="cellIs" dxfId="8978" priority="2460" operator="lessThan">
      <formula>0.8</formula>
    </cfRule>
  </conditionalFormatting>
  <conditionalFormatting sqref="P31">
    <cfRule type="cellIs" dxfId="8977" priority="2458" operator="greaterThan">
      <formula>0</formula>
    </cfRule>
  </conditionalFormatting>
  <conditionalFormatting sqref="Q31">
    <cfRule type="cellIs" dxfId="8976" priority="2457" operator="lessThan">
      <formula>0</formula>
    </cfRule>
  </conditionalFormatting>
  <conditionalFormatting sqref="R31">
    <cfRule type="cellIs" dxfId="8975" priority="2455" operator="lessThan">
      <formula>0.8</formula>
    </cfRule>
    <cfRule type="cellIs" dxfId="8974" priority="2456" operator="greaterThan">
      <formula>1</formula>
    </cfRule>
  </conditionalFormatting>
  <conditionalFormatting sqref="R31">
    <cfRule type="cellIs" dxfId="8973" priority="2453" operator="greaterThan">
      <formula>1</formula>
    </cfRule>
    <cfRule type="cellIs" dxfId="8972" priority="2454" operator="lessThan">
      <formula>0.8</formula>
    </cfRule>
  </conditionalFormatting>
  <conditionalFormatting sqref="P31">
    <cfRule type="cellIs" dxfId="8971" priority="2452" operator="greaterThan">
      <formula>0</formula>
    </cfRule>
  </conditionalFormatting>
  <conditionalFormatting sqref="Q31">
    <cfRule type="cellIs" dxfId="8970" priority="2451" operator="lessThan">
      <formula>0</formula>
    </cfRule>
  </conditionalFormatting>
  <conditionalFormatting sqref="R31">
    <cfRule type="cellIs" dxfId="8969" priority="2449" operator="lessThan">
      <formula>0.8</formula>
    </cfRule>
    <cfRule type="cellIs" dxfId="8968" priority="2450" operator="greaterThan">
      <formula>1</formula>
    </cfRule>
  </conditionalFormatting>
  <conditionalFormatting sqref="R31">
    <cfRule type="cellIs" dxfId="8967" priority="2447" operator="greaterThan">
      <formula>1</formula>
    </cfRule>
    <cfRule type="cellIs" dxfId="8966" priority="2448" operator="lessThan">
      <formula>0.8</formula>
    </cfRule>
  </conditionalFormatting>
  <conditionalFormatting sqref="P31">
    <cfRule type="cellIs" dxfId="8965" priority="2446" operator="greaterThan">
      <formula>0</formula>
    </cfRule>
  </conditionalFormatting>
  <conditionalFormatting sqref="Q31">
    <cfRule type="cellIs" dxfId="8964" priority="2445" operator="lessThan">
      <formula>0</formula>
    </cfRule>
  </conditionalFormatting>
  <conditionalFormatting sqref="R31">
    <cfRule type="cellIs" dxfId="8963" priority="2443" operator="lessThan">
      <formula>0.8</formula>
    </cfRule>
    <cfRule type="cellIs" dxfId="8962" priority="2444" operator="greaterThan">
      <formula>1</formula>
    </cfRule>
  </conditionalFormatting>
  <conditionalFormatting sqref="R31">
    <cfRule type="cellIs" dxfId="8961" priority="2441" operator="greaterThan">
      <formula>1</formula>
    </cfRule>
    <cfRule type="cellIs" dxfId="8960" priority="2442" operator="lessThan">
      <formula>0.8</formula>
    </cfRule>
  </conditionalFormatting>
  <conditionalFormatting sqref="P31">
    <cfRule type="cellIs" dxfId="8959" priority="2440" operator="greaterThan">
      <formula>0</formula>
    </cfRule>
  </conditionalFormatting>
  <conditionalFormatting sqref="P31">
    <cfRule type="cellIs" dxfId="8958" priority="2434" operator="greaterThan">
      <formula>0</formula>
    </cfRule>
  </conditionalFormatting>
  <conditionalFormatting sqref="Q31">
    <cfRule type="cellIs" dxfId="8957" priority="2439" operator="lessThan">
      <formula>0</formula>
    </cfRule>
  </conditionalFormatting>
  <conditionalFormatting sqref="R31">
    <cfRule type="cellIs" dxfId="8956" priority="2437" operator="lessThan">
      <formula>0.8</formula>
    </cfRule>
    <cfRule type="cellIs" dxfId="8955" priority="2438" operator="greaterThan">
      <formula>1</formula>
    </cfRule>
  </conditionalFormatting>
  <conditionalFormatting sqref="R31">
    <cfRule type="cellIs" dxfId="8954" priority="2435" operator="greaterThan">
      <formula>1</formula>
    </cfRule>
    <cfRule type="cellIs" dxfId="8953" priority="2436" operator="lessThan">
      <formula>0.8</formula>
    </cfRule>
  </conditionalFormatting>
  <conditionalFormatting sqref="P31">
    <cfRule type="cellIs" dxfId="8952" priority="2428" operator="greaterThan">
      <formula>0</formula>
    </cfRule>
  </conditionalFormatting>
  <conditionalFormatting sqref="Q31">
    <cfRule type="cellIs" dxfId="8951" priority="2433" operator="lessThan">
      <formula>0</formula>
    </cfRule>
  </conditionalFormatting>
  <conditionalFormatting sqref="R31">
    <cfRule type="cellIs" dxfId="8950" priority="2431" operator="lessThan">
      <formula>0.8</formula>
    </cfRule>
    <cfRule type="cellIs" dxfId="8949" priority="2432" operator="greaterThan">
      <formula>1</formula>
    </cfRule>
  </conditionalFormatting>
  <conditionalFormatting sqref="R31">
    <cfRule type="cellIs" dxfId="8948" priority="2429" operator="greaterThan">
      <formula>1</formula>
    </cfRule>
    <cfRule type="cellIs" dxfId="8947" priority="2430" operator="lessThan">
      <formula>0.8</formula>
    </cfRule>
  </conditionalFormatting>
  <conditionalFormatting sqref="R31">
    <cfRule type="cellIs" dxfId="8946" priority="2425" operator="lessThan">
      <formula>0.8</formula>
    </cfRule>
    <cfRule type="cellIs" dxfId="8945" priority="2426" operator="greaterThan">
      <formula>1</formula>
    </cfRule>
  </conditionalFormatting>
  <conditionalFormatting sqref="R31">
    <cfRule type="cellIs" dxfId="8944" priority="2423" operator="greaterThan">
      <formula>1</formula>
    </cfRule>
    <cfRule type="cellIs" dxfId="8943" priority="2424" operator="lessThan">
      <formula>0.8</formula>
    </cfRule>
  </conditionalFormatting>
  <conditionalFormatting sqref="P31">
    <cfRule type="cellIs" dxfId="8942" priority="2422" operator="greaterThan">
      <formula>0</formula>
    </cfRule>
  </conditionalFormatting>
  <conditionalFormatting sqref="Q31">
    <cfRule type="cellIs" dxfId="8941" priority="2427" operator="lessThan">
      <formula>0</formula>
    </cfRule>
  </conditionalFormatting>
  <conditionalFormatting sqref="Q31">
    <cfRule type="cellIs" dxfId="8940" priority="2421" operator="lessThan">
      <formula>0</formula>
    </cfRule>
  </conditionalFormatting>
  <conditionalFormatting sqref="R31">
    <cfRule type="cellIs" dxfId="8939" priority="2419" operator="lessThan">
      <formula>0.8</formula>
    </cfRule>
    <cfRule type="cellIs" dxfId="8938" priority="2420" operator="greaterThan">
      <formula>1</formula>
    </cfRule>
  </conditionalFormatting>
  <conditionalFormatting sqref="R31">
    <cfRule type="cellIs" dxfId="8937" priority="2417" operator="greaterThan">
      <formula>1</formula>
    </cfRule>
    <cfRule type="cellIs" dxfId="8936" priority="2418" operator="lessThan">
      <formula>0.8</formula>
    </cfRule>
  </conditionalFormatting>
  <conditionalFormatting sqref="P31">
    <cfRule type="cellIs" dxfId="8935" priority="2416" operator="greaterThan">
      <formula>0</formula>
    </cfRule>
  </conditionalFormatting>
  <conditionalFormatting sqref="Q31">
    <cfRule type="cellIs" dxfId="8934" priority="2415" operator="lessThan">
      <formula>0</formula>
    </cfRule>
  </conditionalFormatting>
  <conditionalFormatting sqref="R31">
    <cfRule type="cellIs" dxfId="8933" priority="2413" operator="lessThan">
      <formula>0.8</formula>
    </cfRule>
    <cfRule type="cellIs" dxfId="8932" priority="2414" operator="greaterThan">
      <formula>1</formula>
    </cfRule>
  </conditionalFormatting>
  <conditionalFormatting sqref="R31">
    <cfRule type="cellIs" dxfId="8931" priority="2411" operator="greaterThan">
      <formula>1</formula>
    </cfRule>
    <cfRule type="cellIs" dxfId="8930" priority="2412" operator="lessThan">
      <formula>0.8</formula>
    </cfRule>
  </conditionalFormatting>
  <conditionalFormatting sqref="P31">
    <cfRule type="cellIs" dxfId="8929" priority="2410" operator="greaterThan">
      <formula>0</formula>
    </cfRule>
  </conditionalFormatting>
  <conditionalFormatting sqref="Q31">
    <cfRule type="cellIs" dxfId="8928" priority="2409" operator="lessThan">
      <formula>0</formula>
    </cfRule>
  </conditionalFormatting>
  <conditionalFormatting sqref="R31">
    <cfRule type="cellIs" dxfId="8927" priority="2407" operator="lessThan">
      <formula>0.8</formula>
    </cfRule>
    <cfRule type="cellIs" dxfId="8926" priority="2408" operator="greaterThan">
      <formula>1</formula>
    </cfRule>
  </conditionalFormatting>
  <conditionalFormatting sqref="R31">
    <cfRule type="cellIs" dxfId="8925" priority="2405" operator="greaterThan">
      <formula>1</formula>
    </cfRule>
    <cfRule type="cellIs" dxfId="8924" priority="2406" operator="lessThan">
      <formula>0.8</formula>
    </cfRule>
  </conditionalFormatting>
  <conditionalFormatting sqref="P31">
    <cfRule type="cellIs" dxfId="8923" priority="2404" operator="greaterThan">
      <formula>0</formula>
    </cfRule>
  </conditionalFormatting>
  <conditionalFormatting sqref="Q31">
    <cfRule type="cellIs" dxfId="8922" priority="2403" operator="lessThan">
      <formula>0</formula>
    </cfRule>
  </conditionalFormatting>
  <conditionalFormatting sqref="R31">
    <cfRule type="cellIs" dxfId="8921" priority="2401" operator="lessThan">
      <formula>0.8</formula>
    </cfRule>
    <cfRule type="cellIs" dxfId="8920" priority="2402" operator="greaterThan">
      <formula>1</formula>
    </cfRule>
  </conditionalFormatting>
  <conditionalFormatting sqref="R31">
    <cfRule type="cellIs" dxfId="8919" priority="2399" operator="greaterThan">
      <formula>1</formula>
    </cfRule>
    <cfRule type="cellIs" dxfId="8918" priority="2400" operator="lessThan">
      <formula>0.8</formula>
    </cfRule>
  </conditionalFormatting>
  <conditionalFormatting sqref="P31">
    <cfRule type="cellIs" dxfId="8917" priority="2398" operator="greaterThan">
      <formula>0</formula>
    </cfRule>
  </conditionalFormatting>
  <conditionalFormatting sqref="P31">
    <cfRule type="cellIs" dxfId="8916" priority="2392" operator="greaterThan">
      <formula>0</formula>
    </cfRule>
  </conditionalFormatting>
  <conditionalFormatting sqref="Q31">
    <cfRule type="cellIs" dxfId="8915" priority="2397" operator="lessThan">
      <formula>0</formula>
    </cfRule>
  </conditionalFormatting>
  <conditionalFormatting sqref="R31">
    <cfRule type="cellIs" dxfId="8914" priority="2395" operator="lessThan">
      <formula>0.8</formula>
    </cfRule>
    <cfRule type="cellIs" dxfId="8913" priority="2396" operator="greaterThan">
      <formula>1</formula>
    </cfRule>
  </conditionalFormatting>
  <conditionalFormatting sqref="R31">
    <cfRule type="cellIs" dxfId="8912" priority="2393" operator="greaterThan">
      <formula>1</formula>
    </cfRule>
    <cfRule type="cellIs" dxfId="8911" priority="2394" operator="lessThan">
      <formula>0.8</formula>
    </cfRule>
  </conditionalFormatting>
  <conditionalFormatting sqref="P31">
    <cfRule type="cellIs" dxfId="8910" priority="2386" operator="greaterThan">
      <formula>0</formula>
    </cfRule>
  </conditionalFormatting>
  <conditionalFormatting sqref="Q31">
    <cfRule type="cellIs" dxfId="8909" priority="2391" operator="lessThan">
      <formula>0</formula>
    </cfRule>
  </conditionalFormatting>
  <conditionalFormatting sqref="R31">
    <cfRule type="cellIs" dxfId="8908" priority="2389" operator="lessThan">
      <formula>0.8</formula>
    </cfRule>
    <cfRule type="cellIs" dxfId="8907" priority="2390" operator="greaterThan">
      <formula>1</formula>
    </cfRule>
  </conditionalFormatting>
  <conditionalFormatting sqref="R31">
    <cfRule type="cellIs" dxfId="8906" priority="2387" operator="greaterThan">
      <formula>1</formula>
    </cfRule>
    <cfRule type="cellIs" dxfId="8905" priority="2388" operator="lessThan">
      <formula>0.8</formula>
    </cfRule>
  </conditionalFormatting>
  <conditionalFormatting sqref="R31">
    <cfRule type="cellIs" dxfId="8904" priority="2383" operator="lessThan">
      <formula>0.8</formula>
    </cfRule>
    <cfRule type="cellIs" dxfId="8903" priority="2384" operator="greaterThan">
      <formula>1</formula>
    </cfRule>
  </conditionalFormatting>
  <conditionalFormatting sqref="R31">
    <cfRule type="cellIs" dxfId="8902" priority="2381" operator="greaterThan">
      <formula>1</formula>
    </cfRule>
    <cfRule type="cellIs" dxfId="8901" priority="2382" operator="lessThan">
      <formula>0.8</formula>
    </cfRule>
  </conditionalFormatting>
  <conditionalFormatting sqref="P31">
    <cfRule type="cellIs" dxfId="8900" priority="2380" operator="greaterThan">
      <formula>0</formula>
    </cfRule>
  </conditionalFormatting>
  <conditionalFormatting sqref="Q31">
    <cfRule type="cellIs" dxfId="8899" priority="2385" operator="lessThan">
      <formula>0</formula>
    </cfRule>
  </conditionalFormatting>
  <conditionalFormatting sqref="Q31">
    <cfRule type="cellIs" dxfId="8898" priority="2379" operator="lessThan">
      <formula>0</formula>
    </cfRule>
  </conditionalFormatting>
  <conditionalFormatting sqref="R31">
    <cfRule type="cellIs" dxfId="8897" priority="2377" operator="lessThan">
      <formula>0.8</formula>
    </cfRule>
    <cfRule type="cellIs" dxfId="8896" priority="2378" operator="greaterThan">
      <formula>1</formula>
    </cfRule>
  </conditionalFormatting>
  <conditionalFormatting sqref="R31">
    <cfRule type="cellIs" dxfId="8895" priority="2375" operator="greaterThan">
      <formula>1</formula>
    </cfRule>
    <cfRule type="cellIs" dxfId="8894" priority="2376" operator="lessThan">
      <formula>0.8</formula>
    </cfRule>
  </conditionalFormatting>
  <conditionalFormatting sqref="P31">
    <cfRule type="cellIs" dxfId="8893" priority="2374" operator="greaterThan">
      <formula>0</formula>
    </cfRule>
  </conditionalFormatting>
  <conditionalFormatting sqref="P31">
    <cfRule type="cellIs" dxfId="8892" priority="2368" operator="greaterThan">
      <formula>0</formula>
    </cfRule>
  </conditionalFormatting>
  <conditionalFormatting sqref="Q31">
    <cfRule type="cellIs" dxfId="8891" priority="2373" operator="lessThan">
      <formula>0</formula>
    </cfRule>
  </conditionalFormatting>
  <conditionalFormatting sqref="R31">
    <cfRule type="cellIs" dxfId="8890" priority="2371" operator="lessThan">
      <formula>0.8</formula>
    </cfRule>
    <cfRule type="cellIs" dxfId="8889" priority="2372" operator="greaterThan">
      <formula>1</formula>
    </cfRule>
  </conditionalFormatting>
  <conditionalFormatting sqref="R31">
    <cfRule type="cellIs" dxfId="8888" priority="2369" operator="greaterThan">
      <formula>1</formula>
    </cfRule>
    <cfRule type="cellIs" dxfId="8887" priority="2370" operator="lessThan">
      <formula>0.8</formula>
    </cfRule>
  </conditionalFormatting>
  <conditionalFormatting sqref="P31">
    <cfRule type="cellIs" dxfId="8886" priority="2362" operator="greaterThan">
      <formula>0</formula>
    </cfRule>
  </conditionalFormatting>
  <conditionalFormatting sqref="Q31">
    <cfRule type="cellIs" dxfId="8885" priority="2367" operator="lessThan">
      <formula>0</formula>
    </cfRule>
  </conditionalFormatting>
  <conditionalFormatting sqref="R31">
    <cfRule type="cellIs" dxfId="8884" priority="2365" operator="lessThan">
      <formula>0.8</formula>
    </cfRule>
    <cfRule type="cellIs" dxfId="8883" priority="2366" operator="greaterThan">
      <formula>1</formula>
    </cfRule>
  </conditionalFormatting>
  <conditionalFormatting sqref="R31">
    <cfRule type="cellIs" dxfId="8882" priority="2363" operator="greaterThan">
      <formula>1</formula>
    </cfRule>
    <cfRule type="cellIs" dxfId="8881" priority="2364" operator="lessThan">
      <formula>0.8</formula>
    </cfRule>
  </conditionalFormatting>
  <conditionalFormatting sqref="R31">
    <cfRule type="cellIs" dxfId="8880" priority="2359" operator="lessThan">
      <formula>0.8</formula>
    </cfRule>
    <cfRule type="cellIs" dxfId="8879" priority="2360" operator="greaterThan">
      <formula>1</formula>
    </cfRule>
  </conditionalFormatting>
  <conditionalFormatting sqref="R31">
    <cfRule type="cellIs" dxfId="8878" priority="2357" operator="greaterThan">
      <formula>1</formula>
    </cfRule>
    <cfRule type="cellIs" dxfId="8877" priority="2358" operator="lessThan">
      <formula>0.8</formula>
    </cfRule>
  </conditionalFormatting>
  <conditionalFormatting sqref="P31">
    <cfRule type="cellIs" dxfId="8876" priority="2356" operator="greaterThan">
      <formula>0</formula>
    </cfRule>
  </conditionalFormatting>
  <conditionalFormatting sqref="Q31">
    <cfRule type="cellIs" dxfId="8875" priority="2361" operator="lessThan">
      <formula>0</formula>
    </cfRule>
  </conditionalFormatting>
  <conditionalFormatting sqref="P31">
    <cfRule type="cellIs" dxfId="8874" priority="2350" operator="greaterThan">
      <formula>0</formula>
    </cfRule>
  </conditionalFormatting>
  <conditionalFormatting sqref="Q31">
    <cfRule type="cellIs" dxfId="8873" priority="2355" operator="lessThan">
      <formula>0</formula>
    </cfRule>
  </conditionalFormatting>
  <conditionalFormatting sqref="R31">
    <cfRule type="cellIs" dxfId="8872" priority="2353" operator="lessThan">
      <formula>0.8</formula>
    </cfRule>
    <cfRule type="cellIs" dxfId="8871" priority="2354" operator="greaterThan">
      <formula>1</formula>
    </cfRule>
  </conditionalFormatting>
  <conditionalFormatting sqref="R31">
    <cfRule type="cellIs" dxfId="8870" priority="2351" operator="greaterThan">
      <formula>1</formula>
    </cfRule>
    <cfRule type="cellIs" dxfId="8869" priority="2352" operator="lessThan">
      <formula>0.8</formula>
    </cfRule>
  </conditionalFormatting>
  <conditionalFormatting sqref="R31">
    <cfRule type="cellIs" dxfId="8868" priority="2347" operator="lessThan">
      <formula>0.8</formula>
    </cfRule>
    <cfRule type="cellIs" dxfId="8867" priority="2348" operator="greaterThan">
      <formula>1</formula>
    </cfRule>
  </conditionalFormatting>
  <conditionalFormatting sqref="R31">
    <cfRule type="cellIs" dxfId="8866" priority="2345" operator="greaterThan">
      <formula>1</formula>
    </cfRule>
    <cfRule type="cellIs" dxfId="8865" priority="2346" operator="lessThan">
      <formula>0.8</formula>
    </cfRule>
  </conditionalFormatting>
  <conditionalFormatting sqref="P31">
    <cfRule type="cellIs" dxfId="8864" priority="2344" operator="greaterThan">
      <formula>0</formula>
    </cfRule>
  </conditionalFormatting>
  <conditionalFormatting sqref="Q31">
    <cfRule type="cellIs" dxfId="8863" priority="2349" operator="lessThan">
      <formula>0</formula>
    </cfRule>
  </conditionalFormatting>
  <conditionalFormatting sqref="R31">
    <cfRule type="cellIs" dxfId="8862" priority="2341" operator="lessThan">
      <formula>0.8</formula>
    </cfRule>
    <cfRule type="cellIs" dxfId="8861" priority="2342" operator="greaterThan">
      <formula>1</formula>
    </cfRule>
  </conditionalFormatting>
  <conditionalFormatting sqref="R31">
    <cfRule type="cellIs" dxfId="8860" priority="2339" operator="greaterThan">
      <formula>1</formula>
    </cfRule>
    <cfRule type="cellIs" dxfId="8859" priority="2340" operator="lessThan">
      <formula>0.8</formula>
    </cfRule>
  </conditionalFormatting>
  <conditionalFormatting sqref="P31">
    <cfRule type="cellIs" dxfId="8858" priority="2338" operator="greaterThan">
      <formula>0</formula>
    </cfRule>
  </conditionalFormatting>
  <conditionalFormatting sqref="Q31">
    <cfRule type="cellIs" dxfId="8857" priority="2343" operator="lessThan">
      <formula>0</formula>
    </cfRule>
  </conditionalFormatting>
  <conditionalFormatting sqref="Q31">
    <cfRule type="cellIs" dxfId="8856" priority="2337" operator="lessThan">
      <formula>0</formula>
    </cfRule>
  </conditionalFormatting>
  <conditionalFormatting sqref="R31">
    <cfRule type="cellIs" dxfId="8855" priority="2335" operator="lessThan">
      <formula>0.8</formula>
    </cfRule>
    <cfRule type="cellIs" dxfId="8854" priority="2336" operator="greaterThan">
      <formula>1</formula>
    </cfRule>
  </conditionalFormatting>
  <conditionalFormatting sqref="R31">
    <cfRule type="cellIs" dxfId="8853" priority="2333" operator="greaterThan">
      <formula>1</formula>
    </cfRule>
    <cfRule type="cellIs" dxfId="8852" priority="2334" operator="lessThan">
      <formula>0.8</formula>
    </cfRule>
  </conditionalFormatting>
  <conditionalFormatting sqref="P31">
    <cfRule type="cellIs" dxfId="8851" priority="2332" operator="greaterThan">
      <formula>0</formula>
    </cfRule>
  </conditionalFormatting>
  <conditionalFormatting sqref="Q31">
    <cfRule type="cellIs" dxfId="8850" priority="2326" operator="lessThan">
      <formula>0</formula>
    </cfRule>
  </conditionalFormatting>
  <conditionalFormatting sqref="R31">
    <cfRule type="cellIs" dxfId="8849" priority="2330" operator="lessThan">
      <formula>0.8</formula>
    </cfRule>
    <cfRule type="cellIs" dxfId="8848" priority="2331" operator="greaterThan">
      <formula>1</formula>
    </cfRule>
  </conditionalFormatting>
  <conditionalFormatting sqref="R31">
    <cfRule type="cellIs" dxfId="8847" priority="2328" operator="greaterThan">
      <formula>1</formula>
    </cfRule>
    <cfRule type="cellIs" dxfId="8846" priority="2329" operator="lessThan">
      <formula>0.8</formula>
    </cfRule>
  </conditionalFormatting>
  <conditionalFormatting sqref="P31">
    <cfRule type="cellIs" dxfId="8845" priority="2327" operator="greaterThan">
      <formula>0</formula>
    </cfRule>
  </conditionalFormatting>
  <conditionalFormatting sqref="Q31">
    <cfRule type="cellIs" dxfId="8844" priority="2325" operator="lessThan">
      <formula>0</formula>
    </cfRule>
  </conditionalFormatting>
  <conditionalFormatting sqref="R31">
    <cfRule type="cellIs" dxfId="8843" priority="2323" operator="lessThan">
      <formula>0.8</formula>
    </cfRule>
    <cfRule type="cellIs" dxfId="8842" priority="2324" operator="greaterThan">
      <formula>1</formula>
    </cfRule>
  </conditionalFormatting>
  <conditionalFormatting sqref="R31">
    <cfRule type="cellIs" dxfId="8841" priority="2321" operator="greaterThan">
      <formula>1</formula>
    </cfRule>
    <cfRule type="cellIs" dxfId="8840" priority="2322" operator="lessThan">
      <formula>0.8</formula>
    </cfRule>
  </conditionalFormatting>
  <conditionalFormatting sqref="P31">
    <cfRule type="cellIs" dxfId="8839" priority="2320" operator="greaterThan">
      <formula>0</formula>
    </cfRule>
  </conditionalFormatting>
  <conditionalFormatting sqref="Q31">
    <cfRule type="cellIs" dxfId="8838" priority="2319" operator="lessThan">
      <formula>0</formula>
    </cfRule>
  </conditionalFormatting>
  <conditionalFormatting sqref="R31">
    <cfRule type="cellIs" dxfId="8837" priority="2317" operator="lessThan">
      <formula>0.8</formula>
    </cfRule>
    <cfRule type="cellIs" dxfId="8836" priority="2318" operator="greaterThan">
      <formula>1</formula>
    </cfRule>
  </conditionalFormatting>
  <conditionalFormatting sqref="R31">
    <cfRule type="cellIs" dxfId="8835" priority="2315" operator="greaterThan">
      <formula>1</formula>
    </cfRule>
    <cfRule type="cellIs" dxfId="8834" priority="2316" operator="lessThan">
      <formula>0.8</formula>
    </cfRule>
  </conditionalFormatting>
  <conditionalFormatting sqref="P31">
    <cfRule type="cellIs" dxfId="8833" priority="2314" operator="greaterThan">
      <formula>0</formula>
    </cfRule>
  </conditionalFormatting>
  <conditionalFormatting sqref="Q31">
    <cfRule type="cellIs" dxfId="8832" priority="2313" operator="lessThan">
      <formula>0</formula>
    </cfRule>
  </conditionalFormatting>
  <conditionalFormatting sqref="R31">
    <cfRule type="cellIs" dxfId="8831" priority="2311" operator="lessThan">
      <formula>0.8</formula>
    </cfRule>
    <cfRule type="cellIs" dxfId="8830" priority="2312" operator="greaterThan">
      <formula>1</formula>
    </cfRule>
  </conditionalFormatting>
  <conditionalFormatting sqref="R31">
    <cfRule type="cellIs" dxfId="8829" priority="2309" operator="greaterThan">
      <formula>1</formula>
    </cfRule>
    <cfRule type="cellIs" dxfId="8828" priority="2310" operator="lessThan">
      <formula>0.8</formula>
    </cfRule>
  </conditionalFormatting>
  <conditionalFormatting sqref="P31">
    <cfRule type="cellIs" dxfId="8827" priority="2308" operator="greaterThan">
      <formula>0</formula>
    </cfRule>
  </conditionalFormatting>
  <conditionalFormatting sqref="Q31">
    <cfRule type="cellIs" dxfId="8826" priority="2307" operator="lessThan">
      <formula>0</formula>
    </cfRule>
  </conditionalFormatting>
  <conditionalFormatting sqref="R31">
    <cfRule type="cellIs" dxfId="8825" priority="2305" operator="lessThan">
      <formula>0.8</formula>
    </cfRule>
    <cfRule type="cellIs" dxfId="8824" priority="2306" operator="greaterThan">
      <formula>1</formula>
    </cfRule>
  </conditionalFormatting>
  <conditionalFormatting sqref="R31">
    <cfRule type="cellIs" dxfId="8823" priority="2303" operator="greaterThan">
      <formula>1</formula>
    </cfRule>
    <cfRule type="cellIs" dxfId="8822" priority="2304" operator="lessThan">
      <formula>0.8</formula>
    </cfRule>
  </conditionalFormatting>
  <conditionalFormatting sqref="P31">
    <cfRule type="cellIs" dxfId="8821" priority="2302" operator="greaterThan">
      <formula>0</formula>
    </cfRule>
  </conditionalFormatting>
  <conditionalFormatting sqref="Q31">
    <cfRule type="cellIs" dxfId="8820" priority="2301" operator="lessThan">
      <formula>0</formula>
    </cfRule>
  </conditionalFormatting>
  <conditionalFormatting sqref="R31">
    <cfRule type="cellIs" dxfId="8819" priority="2299" operator="lessThan">
      <formula>0.8</formula>
    </cfRule>
    <cfRule type="cellIs" dxfId="8818" priority="2300" operator="greaterThan">
      <formula>1</formula>
    </cfRule>
  </conditionalFormatting>
  <conditionalFormatting sqref="R31">
    <cfRule type="cellIs" dxfId="8817" priority="2297" operator="greaterThan">
      <formula>1</formula>
    </cfRule>
    <cfRule type="cellIs" dxfId="8816" priority="2298" operator="lessThan">
      <formula>0.8</formula>
    </cfRule>
  </conditionalFormatting>
  <conditionalFormatting sqref="P31">
    <cfRule type="cellIs" dxfId="8815" priority="2296" operator="greaterThan">
      <formula>0</formula>
    </cfRule>
  </conditionalFormatting>
  <conditionalFormatting sqref="P31">
    <cfRule type="cellIs" dxfId="8814" priority="2290" operator="greaterThan">
      <formula>0</formula>
    </cfRule>
  </conditionalFormatting>
  <conditionalFormatting sqref="Q31">
    <cfRule type="cellIs" dxfId="8813" priority="2295" operator="lessThan">
      <formula>0</formula>
    </cfRule>
  </conditionalFormatting>
  <conditionalFormatting sqref="R31">
    <cfRule type="cellIs" dxfId="8812" priority="2293" operator="lessThan">
      <formula>0.8</formula>
    </cfRule>
    <cfRule type="cellIs" dxfId="8811" priority="2294" operator="greaterThan">
      <formula>1</formula>
    </cfRule>
  </conditionalFormatting>
  <conditionalFormatting sqref="R31">
    <cfRule type="cellIs" dxfId="8810" priority="2291" operator="greaterThan">
      <formula>1</formula>
    </cfRule>
    <cfRule type="cellIs" dxfId="8809" priority="2292" operator="lessThan">
      <formula>0.8</formula>
    </cfRule>
  </conditionalFormatting>
  <conditionalFormatting sqref="P31">
    <cfRule type="cellIs" dxfId="8808" priority="2284" operator="greaterThan">
      <formula>0</formula>
    </cfRule>
  </conditionalFormatting>
  <conditionalFormatting sqref="Q31">
    <cfRule type="cellIs" dxfId="8807" priority="2289" operator="lessThan">
      <formula>0</formula>
    </cfRule>
  </conditionalFormatting>
  <conditionalFormatting sqref="R31">
    <cfRule type="cellIs" dxfId="8806" priority="2287" operator="lessThan">
      <formula>0.8</formula>
    </cfRule>
    <cfRule type="cellIs" dxfId="8805" priority="2288" operator="greaterThan">
      <formula>1</formula>
    </cfRule>
  </conditionalFormatting>
  <conditionalFormatting sqref="R31">
    <cfRule type="cellIs" dxfId="8804" priority="2285" operator="greaterThan">
      <formula>1</formula>
    </cfRule>
    <cfRule type="cellIs" dxfId="8803" priority="2286" operator="lessThan">
      <formula>0.8</formula>
    </cfRule>
  </conditionalFormatting>
  <conditionalFormatting sqref="R31">
    <cfRule type="cellIs" dxfId="8802" priority="2281" operator="lessThan">
      <formula>0.8</formula>
    </cfRule>
    <cfRule type="cellIs" dxfId="8801" priority="2282" operator="greaterThan">
      <formula>1</formula>
    </cfRule>
  </conditionalFormatting>
  <conditionalFormatting sqref="R31">
    <cfRule type="cellIs" dxfId="8800" priority="2279" operator="greaterThan">
      <formula>1</formula>
    </cfRule>
    <cfRule type="cellIs" dxfId="8799" priority="2280" operator="lessThan">
      <formula>0.8</formula>
    </cfRule>
  </conditionalFormatting>
  <conditionalFormatting sqref="P31">
    <cfRule type="cellIs" dxfId="8798" priority="2278" operator="greaterThan">
      <formula>0</formula>
    </cfRule>
  </conditionalFormatting>
  <conditionalFormatting sqref="Q31">
    <cfRule type="cellIs" dxfId="8797" priority="2283" operator="lessThan">
      <formula>0</formula>
    </cfRule>
  </conditionalFormatting>
  <conditionalFormatting sqref="P79">
    <cfRule type="cellIs" dxfId="8796" priority="2272" operator="greaterThan">
      <formula>0</formula>
    </cfRule>
  </conditionalFormatting>
  <conditionalFormatting sqref="Q79">
    <cfRule type="cellIs" dxfId="8795" priority="2277" operator="lessThan">
      <formula>0</formula>
    </cfRule>
  </conditionalFormatting>
  <conditionalFormatting sqref="R79">
    <cfRule type="cellIs" dxfId="8794" priority="2275" operator="lessThan">
      <formula>0.8</formula>
    </cfRule>
    <cfRule type="cellIs" dxfId="8793" priority="2276" operator="greaterThan">
      <formula>1</formula>
    </cfRule>
  </conditionalFormatting>
  <conditionalFormatting sqref="R79">
    <cfRule type="cellIs" dxfId="8792" priority="2273" operator="greaterThan">
      <formula>1</formula>
    </cfRule>
    <cfRule type="cellIs" dxfId="8791" priority="2274" operator="lessThan">
      <formula>0.8</formula>
    </cfRule>
  </conditionalFormatting>
  <conditionalFormatting sqref="Q79">
    <cfRule type="cellIs" dxfId="8790" priority="2271" operator="lessThan">
      <formula>0</formula>
    </cfRule>
  </conditionalFormatting>
  <conditionalFormatting sqref="R79">
    <cfRule type="cellIs" dxfId="8789" priority="2269" operator="lessThan">
      <formula>0.8</formula>
    </cfRule>
    <cfRule type="cellIs" dxfId="8788" priority="2270" operator="greaterThan">
      <formula>1</formula>
    </cfRule>
  </conditionalFormatting>
  <conditionalFormatting sqref="R79">
    <cfRule type="cellIs" dxfId="8787" priority="2267" operator="greaterThan">
      <formula>1</formula>
    </cfRule>
    <cfRule type="cellIs" dxfId="8786" priority="2268" operator="lessThan">
      <formula>0.8</formula>
    </cfRule>
  </conditionalFormatting>
  <conditionalFormatting sqref="P79">
    <cfRule type="cellIs" dxfId="8785" priority="2266" operator="greaterThan">
      <formula>0</formula>
    </cfRule>
  </conditionalFormatting>
  <conditionalFormatting sqref="P79">
    <cfRule type="cellIs" dxfId="8784" priority="2260" operator="greaterThan">
      <formula>0</formula>
    </cfRule>
  </conditionalFormatting>
  <conditionalFormatting sqref="Q79">
    <cfRule type="cellIs" dxfId="8783" priority="2265" operator="lessThan">
      <formula>0</formula>
    </cfRule>
  </conditionalFormatting>
  <conditionalFormatting sqref="R79">
    <cfRule type="cellIs" dxfId="8782" priority="2263" operator="lessThan">
      <formula>0.8</formula>
    </cfRule>
    <cfRule type="cellIs" dxfId="8781" priority="2264" operator="greaterThan">
      <formula>1</formula>
    </cfRule>
  </conditionalFormatting>
  <conditionalFormatting sqref="R79">
    <cfRule type="cellIs" dxfId="8780" priority="2261" operator="greaterThan">
      <formula>1</formula>
    </cfRule>
    <cfRule type="cellIs" dxfId="8779" priority="2262" operator="lessThan">
      <formula>0.8</formula>
    </cfRule>
  </conditionalFormatting>
  <conditionalFormatting sqref="Q79">
    <cfRule type="cellIs" dxfId="8778" priority="2254" operator="lessThan">
      <formula>0</formula>
    </cfRule>
  </conditionalFormatting>
  <conditionalFormatting sqref="P79">
    <cfRule type="cellIs" dxfId="8777" priority="2255" operator="greaterThan">
      <formula>0</formula>
    </cfRule>
  </conditionalFormatting>
  <conditionalFormatting sqref="R79">
    <cfRule type="cellIs" dxfId="8776" priority="2258" operator="lessThan">
      <formula>0.8</formula>
    </cfRule>
    <cfRule type="cellIs" dxfId="8775" priority="2259" operator="greaterThan">
      <formula>1</formula>
    </cfRule>
  </conditionalFormatting>
  <conditionalFormatting sqref="R79">
    <cfRule type="cellIs" dxfId="8774" priority="2256" operator="greaterThan">
      <formula>1</formula>
    </cfRule>
    <cfRule type="cellIs" dxfId="8773" priority="2257" operator="lessThan">
      <formula>0.8</formula>
    </cfRule>
  </conditionalFormatting>
  <conditionalFormatting sqref="Q79">
    <cfRule type="cellIs" dxfId="8772" priority="2248" operator="lessThan">
      <formula>0</formula>
    </cfRule>
  </conditionalFormatting>
  <conditionalFormatting sqref="R79">
    <cfRule type="cellIs" dxfId="8771" priority="2252" operator="lessThan">
      <formula>0.8</formula>
    </cfRule>
    <cfRule type="cellIs" dxfId="8770" priority="2253" operator="greaterThan">
      <formula>1</formula>
    </cfRule>
  </conditionalFormatting>
  <conditionalFormatting sqref="R79">
    <cfRule type="cellIs" dxfId="8769" priority="2250" operator="greaterThan">
      <formula>1</formula>
    </cfRule>
    <cfRule type="cellIs" dxfId="8768" priority="2251" operator="lessThan">
      <formula>0.8</formula>
    </cfRule>
  </conditionalFormatting>
  <conditionalFormatting sqref="P79">
    <cfRule type="cellIs" dxfId="8767" priority="2249" operator="greaterThan">
      <formula>0</formula>
    </cfRule>
  </conditionalFormatting>
  <conditionalFormatting sqref="Q79">
    <cfRule type="cellIs" dxfId="8766" priority="2247" operator="lessThan">
      <formula>0</formula>
    </cfRule>
  </conditionalFormatting>
  <conditionalFormatting sqref="R79">
    <cfRule type="cellIs" dxfId="8765" priority="2245" operator="lessThan">
      <formula>0.8</formula>
    </cfRule>
    <cfRule type="cellIs" dxfId="8764" priority="2246" operator="greaterThan">
      <formula>1</formula>
    </cfRule>
  </conditionalFormatting>
  <conditionalFormatting sqref="R79">
    <cfRule type="cellIs" dxfId="8763" priority="2243" operator="greaterThan">
      <formula>1</formula>
    </cfRule>
    <cfRule type="cellIs" dxfId="8762" priority="2244" operator="lessThan">
      <formula>0.8</formula>
    </cfRule>
  </conditionalFormatting>
  <conditionalFormatting sqref="P79">
    <cfRule type="cellIs" dxfId="8761" priority="2242" operator="greaterThan">
      <formula>0</formula>
    </cfRule>
  </conditionalFormatting>
  <conditionalFormatting sqref="Q79">
    <cfRule type="cellIs" dxfId="8760" priority="2241" operator="lessThan">
      <formula>0</formula>
    </cfRule>
  </conditionalFormatting>
  <conditionalFormatting sqref="R79">
    <cfRule type="cellIs" dxfId="8759" priority="2239" operator="lessThan">
      <formula>0.8</formula>
    </cfRule>
    <cfRule type="cellIs" dxfId="8758" priority="2240" operator="greaterThan">
      <formula>1</formula>
    </cfRule>
  </conditionalFormatting>
  <conditionalFormatting sqref="R79">
    <cfRule type="cellIs" dxfId="8757" priority="2237" operator="greaterThan">
      <formula>1</formula>
    </cfRule>
    <cfRule type="cellIs" dxfId="8756" priority="2238" operator="lessThan">
      <formula>0.8</formula>
    </cfRule>
  </conditionalFormatting>
  <conditionalFormatting sqref="P79">
    <cfRule type="cellIs" dxfId="8755" priority="2236" operator="greaterThan">
      <formula>0</formula>
    </cfRule>
  </conditionalFormatting>
  <conditionalFormatting sqref="P79">
    <cfRule type="cellIs" dxfId="8754" priority="2230" operator="greaterThan">
      <formula>0</formula>
    </cfRule>
  </conditionalFormatting>
  <conditionalFormatting sqref="Q79">
    <cfRule type="cellIs" dxfId="8753" priority="2235" operator="lessThan">
      <formula>0</formula>
    </cfRule>
  </conditionalFormatting>
  <conditionalFormatting sqref="R79">
    <cfRule type="cellIs" dxfId="8752" priority="2233" operator="lessThan">
      <formula>0.8</formula>
    </cfRule>
    <cfRule type="cellIs" dxfId="8751" priority="2234" operator="greaterThan">
      <formula>1</formula>
    </cfRule>
  </conditionalFormatting>
  <conditionalFormatting sqref="R79">
    <cfRule type="cellIs" dxfId="8750" priority="2231" operator="greaterThan">
      <formula>1</formula>
    </cfRule>
    <cfRule type="cellIs" dxfId="8749" priority="2232" operator="lessThan">
      <formula>0.8</formula>
    </cfRule>
  </conditionalFormatting>
  <conditionalFormatting sqref="P71:P78">
    <cfRule type="cellIs" dxfId="8748" priority="2224" operator="greaterThan">
      <formula>0</formula>
    </cfRule>
  </conditionalFormatting>
  <conditionalFormatting sqref="Q71:Q78">
    <cfRule type="cellIs" dxfId="8747" priority="2229" operator="lessThan">
      <formula>0</formula>
    </cfRule>
  </conditionalFormatting>
  <conditionalFormatting sqref="R71:R78">
    <cfRule type="cellIs" dxfId="8746" priority="2227" operator="lessThan">
      <formula>0.8</formula>
    </cfRule>
    <cfRule type="cellIs" dxfId="8745" priority="2228" operator="greaterThan">
      <formula>1</formula>
    </cfRule>
  </conditionalFormatting>
  <conditionalFormatting sqref="R71:R78">
    <cfRule type="cellIs" dxfId="8744" priority="2225" operator="greaterThan">
      <formula>1</formula>
    </cfRule>
    <cfRule type="cellIs" dxfId="8743" priority="2226" operator="lessThan">
      <formula>0.8</formula>
    </cfRule>
  </conditionalFormatting>
  <conditionalFormatting sqref="Q148:Q153">
    <cfRule type="cellIs" dxfId="8742" priority="2223" operator="lessThan">
      <formula>0</formula>
    </cfRule>
  </conditionalFormatting>
  <conditionalFormatting sqref="R148:R153">
    <cfRule type="cellIs" dxfId="8741" priority="2221" operator="lessThan">
      <formula>0.8</formula>
    </cfRule>
    <cfRule type="cellIs" dxfId="8740" priority="2222" operator="greaterThan">
      <formula>1</formula>
    </cfRule>
  </conditionalFormatting>
  <conditionalFormatting sqref="R148:R153">
    <cfRule type="cellIs" dxfId="8739" priority="2219" operator="greaterThan">
      <formula>1</formula>
    </cfRule>
    <cfRule type="cellIs" dxfId="8738" priority="2220" operator="lessThan">
      <formula>0.8</formula>
    </cfRule>
  </conditionalFormatting>
  <conditionalFormatting sqref="P148:P153">
    <cfRule type="cellIs" dxfId="8737" priority="2218" operator="greaterThan">
      <formula>0</formula>
    </cfRule>
  </conditionalFormatting>
  <conditionalFormatting sqref="Q148:Q153">
    <cfRule type="cellIs" dxfId="8736" priority="2217" operator="lessThan">
      <formula>0</formula>
    </cfRule>
  </conditionalFormatting>
  <conditionalFormatting sqref="R148:R153">
    <cfRule type="cellIs" dxfId="8735" priority="2215" operator="lessThan">
      <formula>0.8</formula>
    </cfRule>
    <cfRule type="cellIs" dxfId="8734" priority="2216" operator="greaterThan">
      <formula>1</formula>
    </cfRule>
  </conditionalFormatting>
  <conditionalFormatting sqref="R148:R153">
    <cfRule type="cellIs" dxfId="8733" priority="2213" operator="greaterThan">
      <formula>1</formula>
    </cfRule>
    <cfRule type="cellIs" dxfId="8732" priority="2214" operator="lessThan">
      <formula>0.8</formula>
    </cfRule>
  </conditionalFormatting>
  <conditionalFormatting sqref="P148:P153">
    <cfRule type="cellIs" dxfId="8731" priority="2212" operator="greaterThan">
      <formula>0</formula>
    </cfRule>
  </conditionalFormatting>
  <conditionalFormatting sqref="Q148:Q153">
    <cfRule type="cellIs" dxfId="8730" priority="2211" operator="lessThan">
      <formula>0</formula>
    </cfRule>
  </conditionalFormatting>
  <conditionalFormatting sqref="R148:R153">
    <cfRule type="cellIs" dxfId="8729" priority="2209" operator="lessThan">
      <formula>0.8</formula>
    </cfRule>
    <cfRule type="cellIs" dxfId="8728" priority="2210" operator="greaterThan">
      <formula>1</formula>
    </cfRule>
  </conditionalFormatting>
  <conditionalFormatting sqref="R148:R153">
    <cfRule type="cellIs" dxfId="8727" priority="2207" operator="greaterThan">
      <formula>1</formula>
    </cfRule>
    <cfRule type="cellIs" dxfId="8726" priority="2208" operator="lessThan">
      <formula>0.8</formula>
    </cfRule>
  </conditionalFormatting>
  <conditionalFormatting sqref="P148:P153">
    <cfRule type="cellIs" dxfId="8725" priority="2206" operator="greaterThan">
      <formula>0</formula>
    </cfRule>
  </conditionalFormatting>
  <conditionalFormatting sqref="Q148:Q153">
    <cfRule type="cellIs" dxfId="8724" priority="2205" operator="lessThan">
      <formula>0</formula>
    </cfRule>
  </conditionalFormatting>
  <conditionalFormatting sqref="R148:R153">
    <cfRule type="cellIs" dxfId="8723" priority="2203" operator="lessThan">
      <formula>0.8</formula>
    </cfRule>
    <cfRule type="cellIs" dxfId="8722" priority="2204" operator="greaterThan">
      <formula>1</formula>
    </cfRule>
  </conditionalFormatting>
  <conditionalFormatting sqref="R148:R153">
    <cfRule type="cellIs" dxfId="8721" priority="2201" operator="greaterThan">
      <formula>1</formula>
    </cfRule>
    <cfRule type="cellIs" dxfId="8720" priority="2202" operator="lessThan">
      <formula>0.8</formula>
    </cfRule>
  </conditionalFormatting>
  <conditionalFormatting sqref="P148:P153">
    <cfRule type="cellIs" dxfId="8719" priority="2200" operator="greaterThan">
      <formula>0</formula>
    </cfRule>
  </conditionalFormatting>
  <conditionalFormatting sqref="P148:P153">
    <cfRule type="cellIs" dxfId="8718" priority="2194" operator="greaterThan">
      <formula>0</formula>
    </cfRule>
  </conditionalFormatting>
  <conditionalFormatting sqref="Q148:Q153">
    <cfRule type="cellIs" dxfId="8717" priority="2199" operator="lessThan">
      <formula>0</formula>
    </cfRule>
  </conditionalFormatting>
  <conditionalFormatting sqref="R148:R153">
    <cfRule type="cellIs" dxfId="8716" priority="2197" operator="lessThan">
      <formula>0.8</formula>
    </cfRule>
    <cfRule type="cellIs" dxfId="8715" priority="2198" operator="greaterThan">
      <formula>1</formula>
    </cfRule>
  </conditionalFormatting>
  <conditionalFormatting sqref="R148:R153">
    <cfRule type="cellIs" dxfId="8714" priority="2195" operator="greaterThan">
      <formula>1</formula>
    </cfRule>
    <cfRule type="cellIs" dxfId="8713" priority="2196" operator="lessThan">
      <formula>0.8</formula>
    </cfRule>
  </conditionalFormatting>
  <conditionalFormatting sqref="P148:P153">
    <cfRule type="cellIs" dxfId="8712" priority="2188" operator="greaterThan">
      <formula>0</formula>
    </cfRule>
  </conditionalFormatting>
  <conditionalFormatting sqref="Q148:Q153">
    <cfRule type="cellIs" dxfId="8711" priority="2193" operator="lessThan">
      <formula>0</formula>
    </cfRule>
  </conditionalFormatting>
  <conditionalFormatting sqref="R148:R153">
    <cfRule type="cellIs" dxfId="8710" priority="2191" operator="lessThan">
      <formula>0.8</formula>
    </cfRule>
    <cfRule type="cellIs" dxfId="8709" priority="2192" operator="greaterThan">
      <formula>1</formula>
    </cfRule>
  </conditionalFormatting>
  <conditionalFormatting sqref="R148:R153">
    <cfRule type="cellIs" dxfId="8708" priority="2189" operator="greaterThan">
      <formula>1</formula>
    </cfRule>
    <cfRule type="cellIs" dxfId="8707" priority="2190" operator="lessThan">
      <formula>0.8</formula>
    </cfRule>
  </conditionalFormatting>
  <conditionalFormatting sqref="R148:R153">
    <cfRule type="cellIs" dxfId="8706" priority="2185" operator="lessThan">
      <formula>0.8</formula>
    </cfRule>
    <cfRule type="cellIs" dxfId="8705" priority="2186" operator="greaterThan">
      <formula>1</formula>
    </cfRule>
  </conditionalFormatting>
  <conditionalFormatting sqref="R148:R153">
    <cfRule type="cellIs" dxfId="8704" priority="2183" operator="greaterThan">
      <formula>1</formula>
    </cfRule>
    <cfRule type="cellIs" dxfId="8703" priority="2184" operator="lessThan">
      <formula>0.8</formula>
    </cfRule>
  </conditionalFormatting>
  <conditionalFormatting sqref="P148:P153">
    <cfRule type="cellIs" dxfId="8702" priority="2182" operator="greaterThan">
      <formula>0</formula>
    </cfRule>
  </conditionalFormatting>
  <conditionalFormatting sqref="Q148:Q153">
    <cfRule type="cellIs" dxfId="8701" priority="2187" operator="lessThan">
      <formula>0</formula>
    </cfRule>
  </conditionalFormatting>
  <conditionalFormatting sqref="Q148:Q153">
    <cfRule type="cellIs" dxfId="8700" priority="2181" operator="lessThan">
      <formula>0</formula>
    </cfRule>
  </conditionalFormatting>
  <conditionalFormatting sqref="R148:R153">
    <cfRule type="cellIs" dxfId="8699" priority="2179" operator="lessThan">
      <formula>0.8</formula>
    </cfRule>
    <cfRule type="cellIs" dxfId="8698" priority="2180" operator="greaterThan">
      <formula>1</formula>
    </cfRule>
  </conditionalFormatting>
  <conditionalFormatting sqref="R148:R153">
    <cfRule type="cellIs" dxfId="8697" priority="2177" operator="greaterThan">
      <formula>1</formula>
    </cfRule>
    <cfRule type="cellIs" dxfId="8696" priority="2178" operator="lessThan">
      <formula>0.8</formula>
    </cfRule>
  </conditionalFormatting>
  <conditionalFormatting sqref="P148:P153">
    <cfRule type="cellIs" dxfId="8695" priority="2176" operator="greaterThan">
      <formula>0</formula>
    </cfRule>
  </conditionalFormatting>
  <conditionalFormatting sqref="P148:P153">
    <cfRule type="cellIs" dxfId="8694" priority="2170" operator="greaterThan">
      <formula>0</formula>
    </cfRule>
  </conditionalFormatting>
  <conditionalFormatting sqref="Q148:Q153">
    <cfRule type="cellIs" dxfId="8693" priority="2175" operator="lessThan">
      <formula>0</formula>
    </cfRule>
  </conditionalFormatting>
  <conditionalFormatting sqref="R148:R153">
    <cfRule type="cellIs" dxfId="8692" priority="2173" operator="lessThan">
      <formula>0.8</formula>
    </cfRule>
    <cfRule type="cellIs" dxfId="8691" priority="2174" operator="greaterThan">
      <formula>1</formula>
    </cfRule>
  </conditionalFormatting>
  <conditionalFormatting sqref="R148:R153">
    <cfRule type="cellIs" dxfId="8690" priority="2171" operator="greaterThan">
      <formula>1</formula>
    </cfRule>
    <cfRule type="cellIs" dxfId="8689" priority="2172" operator="lessThan">
      <formula>0.8</formula>
    </cfRule>
  </conditionalFormatting>
  <conditionalFormatting sqref="P148:P153">
    <cfRule type="cellIs" dxfId="8688" priority="2164" operator="greaterThan">
      <formula>0</formula>
    </cfRule>
  </conditionalFormatting>
  <conditionalFormatting sqref="Q148:Q153">
    <cfRule type="cellIs" dxfId="8687" priority="2169" operator="lessThan">
      <formula>0</formula>
    </cfRule>
  </conditionalFormatting>
  <conditionalFormatting sqref="R148:R153">
    <cfRule type="cellIs" dxfId="8686" priority="2167" operator="lessThan">
      <formula>0.8</formula>
    </cfRule>
    <cfRule type="cellIs" dxfId="8685" priority="2168" operator="greaterThan">
      <formula>1</formula>
    </cfRule>
  </conditionalFormatting>
  <conditionalFormatting sqref="R148:R153">
    <cfRule type="cellIs" dxfId="8684" priority="2165" operator="greaterThan">
      <formula>1</formula>
    </cfRule>
    <cfRule type="cellIs" dxfId="8683" priority="2166" operator="lessThan">
      <formula>0.8</formula>
    </cfRule>
  </conditionalFormatting>
  <conditionalFormatting sqref="R148:R153">
    <cfRule type="cellIs" dxfId="8682" priority="2161" operator="lessThan">
      <formula>0.8</formula>
    </cfRule>
    <cfRule type="cellIs" dxfId="8681" priority="2162" operator="greaterThan">
      <formula>1</formula>
    </cfRule>
  </conditionalFormatting>
  <conditionalFormatting sqref="R148:R153">
    <cfRule type="cellIs" dxfId="8680" priority="2159" operator="greaterThan">
      <formula>1</formula>
    </cfRule>
    <cfRule type="cellIs" dxfId="8679" priority="2160" operator="lessThan">
      <formula>0.8</formula>
    </cfRule>
  </conditionalFormatting>
  <conditionalFormatting sqref="P148:P153">
    <cfRule type="cellIs" dxfId="8678" priority="2158" operator="greaterThan">
      <formula>0</formula>
    </cfRule>
  </conditionalFormatting>
  <conditionalFormatting sqref="Q148:Q153">
    <cfRule type="cellIs" dxfId="8677" priority="2163" operator="lessThan">
      <formula>0</formula>
    </cfRule>
  </conditionalFormatting>
  <conditionalFormatting sqref="P148:P153">
    <cfRule type="cellIs" dxfId="8676" priority="2152" operator="greaterThan">
      <formula>0</formula>
    </cfRule>
  </conditionalFormatting>
  <conditionalFormatting sqref="Q148:Q153">
    <cfRule type="cellIs" dxfId="8675" priority="2157" operator="lessThan">
      <formula>0</formula>
    </cfRule>
  </conditionalFormatting>
  <conditionalFormatting sqref="R148:R153">
    <cfRule type="cellIs" dxfId="8674" priority="2155" operator="lessThan">
      <formula>0.8</formula>
    </cfRule>
    <cfRule type="cellIs" dxfId="8673" priority="2156" operator="greaterThan">
      <formula>1</formula>
    </cfRule>
  </conditionalFormatting>
  <conditionalFormatting sqref="R148:R153">
    <cfRule type="cellIs" dxfId="8672" priority="2153" operator="greaterThan">
      <formula>1</formula>
    </cfRule>
    <cfRule type="cellIs" dxfId="8671" priority="2154" operator="lessThan">
      <formula>0.8</formula>
    </cfRule>
  </conditionalFormatting>
  <conditionalFormatting sqref="R148:R153">
    <cfRule type="cellIs" dxfId="8670" priority="2149" operator="lessThan">
      <formula>0.8</formula>
    </cfRule>
    <cfRule type="cellIs" dxfId="8669" priority="2150" operator="greaterThan">
      <formula>1</formula>
    </cfRule>
  </conditionalFormatting>
  <conditionalFormatting sqref="R148:R153">
    <cfRule type="cellIs" dxfId="8668" priority="2147" operator="greaterThan">
      <formula>1</formula>
    </cfRule>
    <cfRule type="cellIs" dxfId="8667" priority="2148" operator="lessThan">
      <formula>0.8</formula>
    </cfRule>
  </conditionalFormatting>
  <conditionalFormatting sqref="P148:P153">
    <cfRule type="cellIs" dxfId="8666" priority="2146" operator="greaterThan">
      <formula>0</formula>
    </cfRule>
  </conditionalFormatting>
  <conditionalFormatting sqref="Q148:Q153">
    <cfRule type="cellIs" dxfId="8665" priority="2151" operator="lessThan">
      <formula>0</formula>
    </cfRule>
  </conditionalFormatting>
  <conditionalFormatting sqref="R148:R153">
    <cfRule type="cellIs" dxfId="8664" priority="2143" operator="lessThan">
      <formula>0.8</formula>
    </cfRule>
    <cfRule type="cellIs" dxfId="8663" priority="2144" operator="greaterThan">
      <formula>1</formula>
    </cfRule>
  </conditionalFormatting>
  <conditionalFormatting sqref="R148:R153">
    <cfRule type="cellIs" dxfId="8662" priority="2141" operator="greaterThan">
      <formula>1</formula>
    </cfRule>
    <cfRule type="cellIs" dxfId="8661" priority="2142" operator="lessThan">
      <formula>0.8</formula>
    </cfRule>
  </conditionalFormatting>
  <conditionalFormatting sqref="P148:P153">
    <cfRule type="cellIs" dxfId="8660" priority="2140" operator="greaterThan">
      <formula>0</formula>
    </cfRule>
  </conditionalFormatting>
  <conditionalFormatting sqref="Q148:Q153">
    <cfRule type="cellIs" dxfId="8659" priority="2145" operator="lessThan">
      <formula>0</formula>
    </cfRule>
  </conditionalFormatting>
  <conditionalFormatting sqref="Q148:Q153">
    <cfRule type="cellIs" dxfId="8658" priority="2139" operator="lessThan">
      <formula>0</formula>
    </cfRule>
  </conditionalFormatting>
  <conditionalFormatting sqref="R148:R153">
    <cfRule type="cellIs" dxfId="8657" priority="2137" operator="lessThan">
      <formula>0.8</formula>
    </cfRule>
    <cfRule type="cellIs" dxfId="8656" priority="2138" operator="greaterThan">
      <formula>1</formula>
    </cfRule>
  </conditionalFormatting>
  <conditionalFormatting sqref="R148:R153">
    <cfRule type="cellIs" dxfId="8655" priority="2135" operator="greaterThan">
      <formula>1</formula>
    </cfRule>
    <cfRule type="cellIs" dxfId="8654" priority="2136" operator="lessThan">
      <formula>0.8</formula>
    </cfRule>
  </conditionalFormatting>
  <conditionalFormatting sqref="P148:P153">
    <cfRule type="cellIs" dxfId="8653" priority="2134" operator="greaterThan">
      <formula>0</formula>
    </cfRule>
  </conditionalFormatting>
  <conditionalFormatting sqref="Q148:Q153">
    <cfRule type="cellIs" dxfId="8652" priority="2128" operator="lessThan">
      <formula>0</formula>
    </cfRule>
  </conditionalFormatting>
  <conditionalFormatting sqref="R148:R153">
    <cfRule type="cellIs" dxfId="8651" priority="2132" operator="lessThan">
      <formula>0.8</formula>
    </cfRule>
    <cfRule type="cellIs" dxfId="8650" priority="2133" operator="greaterThan">
      <formula>1</formula>
    </cfRule>
  </conditionalFormatting>
  <conditionalFormatting sqref="R148:R153">
    <cfRule type="cellIs" dxfId="8649" priority="2130" operator="greaterThan">
      <formula>1</formula>
    </cfRule>
    <cfRule type="cellIs" dxfId="8648" priority="2131" operator="lessThan">
      <formula>0.8</formula>
    </cfRule>
  </conditionalFormatting>
  <conditionalFormatting sqref="P148:P153">
    <cfRule type="cellIs" dxfId="8647" priority="2129" operator="greaterThan">
      <formula>0</formula>
    </cfRule>
  </conditionalFormatting>
  <conditionalFormatting sqref="Q148:Q153">
    <cfRule type="cellIs" dxfId="8646" priority="2127" operator="lessThan">
      <formula>0</formula>
    </cfRule>
  </conditionalFormatting>
  <conditionalFormatting sqref="R148:R153">
    <cfRule type="cellIs" dxfId="8645" priority="2125" operator="lessThan">
      <formula>0.8</formula>
    </cfRule>
    <cfRule type="cellIs" dxfId="8644" priority="2126" operator="greaterThan">
      <formula>1</formula>
    </cfRule>
  </conditionalFormatting>
  <conditionalFormatting sqref="R148:R153">
    <cfRule type="cellIs" dxfId="8643" priority="2123" operator="greaterThan">
      <formula>1</formula>
    </cfRule>
    <cfRule type="cellIs" dxfId="8642" priority="2124" operator="lessThan">
      <formula>0.8</formula>
    </cfRule>
  </conditionalFormatting>
  <conditionalFormatting sqref="P148:P153">
    <cfRule type="cellIs" dxfId="8641" priority="2122" operator="greaterThan">
      <formula>0</formula>
    </cfRule>
  </conditionalFormatting>
  <conditionalFormatting sqref="Q148:Q153">
    <cfRule type="cellIs" dxfId="8640" priority="2121" operator="lessThan">
      <formula>0</formula>
    </cfRule>
  </conditionalFormatting>
  <conditionalFormatting sqref="R148:R153">
    <cfRule type="cellIs" dxfId="8639" priority="2119" operator="lessThan">
      <formula>0.8</formula>
    </cfRule>
    <cfRule type="cellIs" dxfId="8638" priority="2120" operator="greaterThan">
      <formula>1</formula>
    </cfRule>
  </conditionalFormatting>
  <conditionalFormatting sqref="R148:R153">
    <cfRule type="cellIs" dxfId="8637" priority="2117" operator="greaterThan">
      <formula>1</formula>
    </cfRule>
    <cfRule type="cellIs" dxfId="8636" priority="2118" operator="lessThan">
      <formula>0.8</formula>
    </cfRule>
  </conditionalFormatting>
  <conditionalFormatting sqref="P148:P153">
    <cfRule type="cellIs" dxfId="8635" priority="2116" operator="greaterThan">
      <formula>0</formula>
    </cfRule>
  </conditionalFormatting>
  <conditionalFormatting sqref="Q148:Q153">
    <cfRule type="cellIs" dxfId="8634" priority="2115" operator="lessThan">
      <formula>0</formula>
    </cfRule>
  </conditionalFormatting>
  <conditionalFormatting sqref="R148:R153">
    <cfRule type="cellIs" dxfId="8633" priority="2113" operator="lessThan">
      <formula>0.8</formula>
    </cfRule>
    <cfRule type="cellIs" dxfId="8632" priority="2114" operator="greaterThan">
      <formula>1</formula>
    </cfRule>
  </conditionalFormatting>
  <conditionalFormatting sqref="R148:R153">
    <cfRule type="cellIs" dxfId="8631" priority="2111" operator="greaterThan">
      <formula>1</formula>
    </cfRule>
    <cfRule type="cellIs" dxfId="8630" priority="2112" operator="lessThan">
      <formula>0.8</formula>
    </cfRule>
  </conditionalFormatting>
  <conditionalFormatting sqref="P148:P153">
    <cfRule type="cellIs" dxfId="8629" priority="2110" operator="greaterThan">
      <formula>0</formula>
    </cfRule>
  </conditionalFormatting>
  <conditionalFormatting sqref="Q148:Q153">
    <cfRule type="cellIs" dxfId="8628" priority="2109" operator="lessThan">
      <formula>0</formula>
    </cfRule>
  </conditionalFormatting>
  <conditionalFormatting sqref="R148:R153">
    <cfRule type="cellIs" dxfId="8627" priority="2107" operator="lessThan">
      <formula>0.8</formula>
    </cfRule>
    <cfRule type="cellIs" dxfId="8626" priority="2108" operator="greaterThan">
      <formula>1</formula>
    </cfRule>
  </conditionalFormatting>
  <conditionalFormatting sqref="R148:R153">
    <cfRule type="cellIs" dxfId="8625" priority="2105" operator="greaterThan">
      <formula>1</formula>
    </cfRule>
    <cfRule type="cellIs" dxfId="8624" priority="2106" operator="lessThan">
      <formula>0.8</formula>
    </cfRule>
  </conditionalFormatting>
  <conditionalFormatting sqref="P148:P153">
    <cfRule type="cellIs" dxfId="8623" priority="2104" operator="greaterThan">
      <formula>0</formula>
    </cfRule>
  </conditionalFormatting>
  <conditionalFormatting sqref="Q148:Q153">
    <cfRule type="cellIs" dxfId="8622" priority="2103" operator="lessThan">
      <formula>0</formula>
    </cfRule>
  </conditionalFormatting>
  <conditionalFormatting sqref="R148:R153">
    <cfRule type="cellIs" dxfId="8621" priority="2101" operator="lessThan">
      <formula>0.8</formula>
    </cfRule>
    <cfRule type="cellIs" dxfId="8620" priority="2102" operator="greaterThan">
      <formula>1</formula>
    </cfRule>
  </conditionalFormatting>
  <conditionalFormatting sqref="R148:R153">
    <cfRule type="cellIs" dxfId="8619" priority="2099" operator="greaterThan">
      <formula>1</formula>
    </cfRule>
    <cfRule type="cellIs" dxfId="8618" priority="2100" operator="lessThan">
      <formula>0.8</formula>
    </cfRule>
  </conditionalFormatting>
  <conditionalFormatting sqref="P148:P153">
    <cfRule type="cellIs" dxfId="8617" priority="2098" operator="greaterThan">
      <formula>0</formula>
    </cfRule>
  </conditionalFormatting>
  <conditionalFormatting sqref="P148:P153">
    <cfRule type="cellIs" dxfId="8616" priority="2092" operator="greaterThan">
      <formula>0</formula>
    </cfRule>
  </conditionalFormatting>
  <conditionalFormatting sqref="Q148:Q153">
    <cfRule type="cellIs" dxfId="8615" priority="2097" operator="lessThan">
      <formula>0</formula>
    </cfRule>
  </conditionalFormatting>
  <conditionalFormatting sqref="R148:R153">
    <cfRule type="cellIs" dxfId="8614" priority="2095" operator="lessThan">
      <formula>0.8</formula>
    </cfRule>
    <cfRule type="cellIs" dxfId="8613" priority="2096" operator="greaterThan">
      <formula>1</formula>
    </cfRule>
  </conditionalFormatting>
  <conditionalFormatting sqref="R148:R153">
    <cfRule type="cellIs" dxfId="8612" priority="2093" operator="greaterThan">
      <formula>1</formula>
    </cfRule>
    <cfRule type="cellIs" dxfId="8611" priority="2094" operator="lessThan">
      <formula>0.8</formula>
    </cfRule>
  </conditionalFormatting>
  <conditionalFormatting sqref="P148:P153">
    <cfRule type="cellIs" dxfId="8610" priority="2086" operator="greaterThan">
      <formula>0</formula>
    </cfRule>
  </conditionalFormatting>
  <conditionalFormatting sqref="Q148:Q153">
    <cfRule type="cellIs" dxfId="8609" priority="2091" operator="lessThan">
      <formula>0</formula>
    </cfRule>
  </conditionalFormatting>
  <conditionalFormatting sqref="R148:R153">
    <cfRule type="cellIs" dxfId="8608" priority="2089" operator="lessThan">
      <formula>0.8</formula>
    </cfRule>
    <cfRule type="cellIs" dxfId="8607" priority="2090" operator="greaterThan">
      <formula>1</formula>
    </cfRule>
  </conditionalFormatting>
  <conditionalFormatting sqref="R148:R153">
    <cfRule type="cellIs" dxfId="8606" priority="2087" operator="greaterThan">
      <formula>1</formula>
    </cfRule>
    <cfRule type="cellIs" dxfId="8605" priority="2088" operator="lessThan">
      <formula>0.8</formula>
    </cfRule>
  </conditionalFormatting>
  <conditionalFormatting sqref="R148:R153">
    <cfRule type="cellIs" dxfId="8604" priority="2083" operator="lessThan">
      <formula>0.8</formula>
    </cfRule>
    <cfRule type="cellIs" dxfId="8603" priority="2084" operator="greaterThan">
      <formula>1</formula>
    </cfRule>
  </conditionalFormatting>
  <conditionalFormatting sqref="R148:R153">
    <cfRule type="cellIs" dxfId="8602" priority="2081" operator="greaterThan">
      <formula>1</formula>
    </cfRule>
    <cfRule type="cellIs" dxfId="8601" priority="2082" operator="lessThan">
      <formula>0.8</formula>
    </cfRule>
  </conditionalFormatting>
  <conditionalFormatting sqref="P148:P153">
    <cfRule type="cellIs" dxfId="8600" priority="2080" operator="greaterThan">
      <formula>0</formula>
    </cfRule>
  </conditionalFormatting>
  <conditionalFormatting sqref="Q148:Q153">
    <cfRule type="cellIs" dxfId="8599" priority="2085" operator="lessThan">
      <formula>0</formula>
    </cfRule>
  </conditionalFormatting>
  <conditionalFormatting sqref="Q148:Q153">
    <cfRule type="cellIs" dxfId="8598" priority="2074" operator="lessThan">
      <formula>0</formula>
    </cfRule>
  </conditionalFormatting>
  <conditionalFormatting sqref="P148:P153">
    <cfRule type="cellIs" dxfId="8597" priority="2075" operator="greaterThan">
      <formula>0</formula>
    </cfRule>
  </conditionalFormatting>
  <conditionalFormatting sqref="R148:R153">
    <cfRule type="cellIs" dxfId="8596" priority="2078" operator="lessThan">
      <formula>0.8</formula>
    </cfRule>
    <cfRule type="cellIs" dxfId="8595" priority="2079" operator="greaterThan">
      <formula>1</formula>
    </cfRule>
  </conditionalFormatting>
  <conditionalFormatting sqref="R148:R153">
    <cfRule type="cellIs" dxfId="8594" priority="2076" operator="greaterThan">
      <formula>1</formula>
    </cfRule>
    <cfRule type="cellIs" dxfId="8593" priority="2077" operator="lessThan">
      <formula>0.8</formula>
    </cfRule>
  </conditionalFormatting>
  <conditionalFormatting sqref="Q148:Q153">
    <cfRule type="cellIs" dxfId="8592" priority="2068" operator="lessThan">
      <formula>0</formula>
    </cfRule>
  </conditionalFormatting>
  <conditionalFormatting sqref="R148:R153">
    <cfRule type="cellIs" dxfId="8591" priority="2072" operator="lessThan">
      <formula>0.8</formula>
    </cfRule>
    <cfRule type="cellIs" dxfId="8590" priority="2073" operator="greaterThan">
      <formula>1</formula>
    </cfRule>
  </conditionalFormatting>
  <conditionalFormatting sqref="R148:R153">
    <cfRule type="cellIs" dxfId="8589" priority="2070" operator="greaterThan">
      <formula>1</formula>
    </cfRule>
    <cfRule type="cellIs" dxfId="8588" priority="2071" operator="lessThan">
      <formula>0.8</formula>
    </cfRule>
  </conditionalFormatting>
  <conditionalFormatting sqref="P148:P153">
    <cfRule type="cellIs" dxfId="8587" priority="2069" operator="greaterThan">
      <formula>0</formula>
    </cfRule>
  </conditionalFormatting>
  <conditionalFormatting sqref="Q148:Q153">
    <cfRule type="cellIs" dxfId="8586" priority="2067" operator="lessThan">
      <formula>0</formula>
    </cfRule>
  </conditionalFormatting>
  <conditionalFormatting sqref="R148:R153">
    <cfRule type="cellIs" dxfId="8585" priority="2065" operator="lessThan">
      <formula>0.8</formula>
    </cfRule>
    <cfRule type="cellIs" dxfId="8584" priority="2066" operator="greaterThan">
      <formula>1</formula>
    </cfRule>
  </conditionalFormatting>
  <conditionalFormatting sqref="R148:R153">
    <cfRule type="cellIs" dxfId="8583" priority="2063" operator="greaterThan">
      <formula>1</formula>
    </cfRule>
    <cfRule type="cellIs" dxfId="8582" priority="2064" operator="lessThan">
      <formula>0.8</formula>
    </cfRule>
  </conditionalFormatting>
  <conditionalFormatting sqref="P148:P153">
    <cfRule type="cellIs" dxfId="8581" priority="2062" operator="greaterThan">
      <formula>0</formula>
    </cfRule>
  </conditionalFormatting>
  <conditionalFormatting sqref="Q148:Q153">
    <cfRule type="cellIs" dxfId="8580" priority="2061" operator="lessThan">
      <formula>0</formula>
    </cfRule>
  </conditionalFormatting>
  <conditionalFormatting sqref="R148:R153">
    <cfRule type="cellIs" dxfId="8579" priority="2059" operator="lessThan">
      <formula>0.8</formula>
    </cfRule>
    <cfRule type="cellIs" dxfId="8578" priority="2060" operator="greaterThan">
      <formula>1</formula>
    </cfRule>
  </conditionalFormatting>
  <conditionalFormatting sqref="R148:R153">
    <cfRule type="cellIs" dxfId="8577" priority="2057" operator="greaterThan">
      <formula>1</formula>
    </cfRule>
    <cfRule type="cellIs" dxfId="8576" priority="2058" operator="lessThan">
      <formula>0.8</formula>
    </cfRule>
  </conditionalFormatting>
  <conditionalFormatting sqref="P148:P153">
    <cfRule type="cellIs" dxfId="8575" priority="2056" operator="greaterThan">
      <formula>0</formula>
    </cfRule>
  </conditionalFormatting>
  <conditionalFormatting sqref="Q148:Q153">
    <cfRule type="cellIs" dxfId="8574" priority="2055" operator="lessThan">
      <formula>0</formula>
    </cfRule>
  </conditionalFormatting>
  <conditionalFormatting sqref="R148:R153">
    <cfRule type="cellIs" dxfId="8573" priority="2053" operator="lessThan">
      <formula>0.8</formula>
    </cfRule>
    <cfRule type="cellIs" dxfId="8572" priority="2054" operator="greaterThan">
      <formula>1</formula>
    </cfRule>
  </conditionalFormatting>
  <conditionalFormatting sqref="R148:R153">
    <cfRule type="cellIs" dxfId="8571" priority="2051" operator="greaterThan">
      <formula>1</formula>
    </cfRule>
    <cfRule type="cellIs" dxfId="8570" priority="2052" operator="lessThan">
      <formula>0.8</formula>
    </cfRule>
  </conditionalFormatting>
  <conditionalFormatting sqref="P148:P153">
    <cfRule type="cellIs" dxfId="8569" priority="2050" operator="greaterThan">
      <formula>0</formula>
    </cfRule>
  </conditionalFormatting>
  <conditionalFormatting sqref="Q148:Q153">
    <cfRule type="cellIs" dxfId="8568" priority="2049" operator="lessThan">
      <formula>0</formula>
    </cfRule>
  </conditionalFormatting>
  <conditionalFormatting sqref="R148:R153">
    <cfRule type="cellIs" dxfId="8567" priority="2047" operator="lessThan">
      <formula>0.8</formula>
    </cfRule>
    <cfRule type="cellIs" dxfId="8566" priority="2048" operator="greaterThan">
      <formula>1</formula>
    </cfRule>
  </conditionalFormatting>
  <conditionalFormatting sqref="R148:R153">
    <cfRule type="cellIs" dxfId="8565" priority="2045" operator="greaterThan">
      <formula>1</formula>
    </cfRule>
    <cfRule type="cellIs" dxfId="8564" priority="2046" operator="lessThan">
      <formula>0.8</formula>
    </cfRule>
  </conditionalFormatting>
  <conditionalFormatting sqref="P148:P153">
    <cfRule type="cellIs" dxfId="8563" priority="2044" operator="greaterThan">
      <formula>0</formula>
    </cfRule>
  </conditionalFormatting>
  <conditionalFormatting sqref="Q124 Q127 Q130">
    <cfRule type="cellIs" dxfId="8562" priority="2038" operator="lessThan">
      <formula>0</formula>
    </cfRule>
  </conditionalFormatting>
  <conditionalFormatting sqref="P124 P127 P130">
    <cfRule type="cellIs" dxfId="8561" priority="2039" operator="greaterThan">
      <formula>0</formula>
    </cfRule>
  </conditionalFormatting>
  <conditionalFormatting sqref="R124 R127 R130">
    <cfRule type="cellIs" dxfId="8560" priority="2042" operator="lessThan">
      <formula>0.8</formula>
    </cfRule>
    <cfRule type="cellIs" dxfId="8559" priority="2043" operator="greaterThan">
      <formula>1</formula>
    </cfRule>
  </conditionalFormatting>
  <conditionalFormatting sqref="R124 R127 R130">
    <cfRule type="cellIs" dxfId="8558" priority="2040" operator="greaterThan">
      <formula>1</formula>
    </cfRule>
    <cfRule type="cellIs" dxfId="8557" priority="2041" operator="lessThan">
      <formula>0.8</formula>
    </cfRule>
  </conditionalFormatting>
  <conditionalFormatting sqref="Q124 Q127 Q130">
    <cfRule type="cellIs" dxfId="8556" priority="2032" operator="lessThan">
      <formula>0</formula>
    </cfRule>
  </conditionalFormatting>
  <conditionalFormatting sqref="R124 R127 R130">
    <cfRule type="cellIs" dxfId="8555" priority="2036" operator="lessThan">
      <formula>0.8</formula>
    </cfRule>
    <cfRule type="cellIs" dxfId="8554" priority="2037" operator="greaterThan">
      <formula>1</formula>
    </cfRule>
  </conditionalFormatting>
  <conditionalFormatting sqref="R124 R127 R130">
    <cfRule type="cellIs" dxfId="8553" priority="2034" operator="greaterThan">
      <formula>1</formula>
    </cfRule>
    <cfRule type="cellIs" dxfId="8552" priority="2035" operator="lessThan">
      <formula>0.8</formula>
    </cfRule>
  </conditionalFormatting>
  <conditionalFormatting sqref="P124 P127 P130">
    <cfRule type="cellIs" dxfId="8551" priority="2033" operator="greaterThan">
      <formula>0</formula>
    </cfRule>
  </conditionalFormatting>
  <conditionalFormatting sqref="Q124 Q127 Q130">
    <cfRule type="cellIs" dxfId="8550" priority="2031" operator="lessThan">
      <formula>0</formula>
    </cfRule>
  </conditionalFormatting>
  <conditionalFormatting sqref="R124 R127 R130">
    <cfRule type="cellIs" dxfId="8549" priority="2029" operator="lessThan">
      <formula>0.8</formula>
    </cfRule>
    <cfRule type="cellIs" dxfId="8548" priority="2030" operator="greaterThan">
      <formula>1</formula>
    </cfRule>
  </conditionalFormatting>
  <conditionalFormatting sqref="R124 R127 R130">
    <cfRule type="cellIs" dxfId="8547" priority="2027" operator="greaterThan">
      <formula>1</formula>
    </cfRule>
    <cfRule type="cellIs" dxfId="8546" priority="2028" operator="lessThan">
      <formula>0.8</formula>
    </cfRule>
  </conditionalFormatting>
  <conditionalFormatting sqref="P124 P127 P130">
    <cfRule type="cellIs" dxfId="8545" priority="2026" operator="greaterThan">
      <formula>0</formula>
    </cfRule>
  </conditionalFormatting>
  <conditionalFormatting sqref="Q124 Q127 Q130">
    <cfRule type="cellIs" dxfId="8544" priority="2025" operator="lessThan">
      <formula>0</formula>
    </cfRule>
  </conditionalFormatting>
  <conditionalFormatting sqref="R124 R127 R130">
    <cfRule type="cellIs" dxfId="8543" priority="2023" operator="lessThan">
      <formula>0.8</formula>
    </cfRule>
    <cfRule type="cellIs" dxfId="8542" priority="2024" operator="greaterThan">
      <formula>1</formula>
    </cfRule>
  </conditionalFormatting>
  <conditionalFormatting sqref="R124 R127 R130">
    <cfRule type="cellIs" dxfId="8541" priority="2021" operator="greaterThan">
      <formula>1</formula>
    </cfRule>
    <cfRule type="cellIs" dxfId="8540" priority="2022" operator="lessThan">
      <formula>0.8</formula>
    </cfRule>
  </conditionalFormatting>
  <conditionalFormatting sqref="P124 P127 P130">
    <cfRule type="cellIs" dxfId="8539" priority="2020" operator="greaterThan">
      <formula>0</formula>
    </cfRule>
  </conditionalFormatting>
  <conditionalFormatting sqref="Q124 Q127 Q130">
    <cfRule type="cellIs" dxfId="8538" priority="2019" operator="lessThan">
      <formula>0</formula>
    </cfRule>
  </conditionalFormatting>
  <conditionalFormatting sqref="R124 R127 R130">
    <cfRule type="cellIs" dxfId="8537" priority="2017" operator="lessThan">
      <formula>0.8</formula>
    </cfRule>
    <cfRule type="cellIs" dxfId="8536" priority="2018" operator="greaterThan">
      <formula>1</formula>
    </cfRule>
  </conditionalFormatting>
  <conditionalFormatting sqref="R124 R127 R130">
    <cfRule type="cellIs" dxfId="8535" priority="2015" operator="greaterThan">
      <formula>1</formula>
    </cfRule>
    <cfRule type="cellIs" dxfId="8534" priority="2016" operator="lessThan">
      <formula>0.8</formula>
    </cfRule>
  </conditionalFormatting>
  <conditionalFormatting sqref="P124 P127 P130">
    <cfRule type="cellIs" dxfId="8533" priority="2014" operator="greaterThan">
      <formula>0</formula>
    </cfRule>
  </conditionalFormatting>
  <conditionalFormatting sqref="Q124 Q127 Q130">
    <cfRule type="cellIs" dxfId="8532" priority="2013" operator="lessThan">
      <formula>0</formula>
    </cfRule>
  </conditionalFormatting>
  <conditionalFormatting sqref="R124 R127 R130">
    <cfRule type="cellIs" dxfId="8531" priority="2011" operator="lessThan">
      <formula>0.8</formula>
    </cfRule>
    <cfRule type="cellIs" dxfId="8530" priority="2012" operator="greaterThan">
      <formula>1</formula>
    </cfRule>
  </conditionalFormatting>
  <conditionalFormatting sqref="R124 R127 R130">
    <cfRule type="cellIs" dxfId="8529" priority="2009" operator="greaterThan">
      <formula>1</formula>
    </cfRule>
    <cfRule type="cellIs" dxfId="8528" priority="2010" operator="lessThan">
      <formula>0.8</formula>
    </cfRule>
  </conditionalFormatting>
  <conditionalFormatting sqref="P124 P127 P130">
    <cfRule type="cellIs" dxfId="8527" priority="2008" operator="greaterThan">
      <formula>0</formula>
    </cfRule>
  </conditionalFormatting>
  <conditionalFormatting sqref="Q124 Q127 Q130">
    <cfRule type="cellIs" dxfId="8526" priority="2007" operator="lessThan">
      <formula>0</formula>
    </cfRule>
  </conditionalFormatting>
  <conditionalFormatting sqref="R124 R127 R130">
    <cfRule type="cellIs" dxfId="8525" priority="2005" operator="lessThan">
      <formula>0.8</formula>
    </cfRule>
    <cfRule type="cellIs" dxfId="8524" priority="2006" operator="greaterThan">
      <formula>1</formula>
    </cfRule>
  </conditionalFormatting>
  <conditionalFormatting sqref="R124 R127 R130">
    <cfRule type="cellIs" dxfId="8523" priority="2003" operator="greaterThan">
      <formula>1</formula>
    </cfRule>
    <cfRule type="cellIs" dxfId="8522" priority="2004" operator="lessThan">
      <formula>0.8</formula>
    </cfRule>
  </conditionalFormatting>
  <conditionalFormatting sqref="P124 P127 P130">
    <cfRule type="cellIs" dxfId="8521" priority="2002" operator="greaterThan">
      <formula>0</formula>
    </cfRule>
  </conditionalFormatting>
  <conditionalFormatting sqref="Q124 Q127 Q130">
    <cfRule type="cellIs" dxfId="8520" priority="2001" operator="lessThan">
      <formula>0</formula>
    </cfRule>
  </conditionalFormatting>
  <conditionalFormatting sqref="R124 R127 R130">
    <cfRule type="cellIs" dxfId="8519" priority="1999" operator="lessThan">
      <formula>0.8</formula>
    </cfRule>
    <cfRule type="cellIs" dxfId="8518" priority="2000" operator="greaterThan">
      <formula>1</formula>
    </cfRule>
  </conditionalFormatting>
  <conditionalFormatting sqref="R124 R127 R130">
    <cfRule type="cellIs" dxfId="8517" priority="1997" operator="greaterThan">
      <formula>1</formula>
    </cfRule>
    <cfRule type="cellIs" dxfId="8516" priority="1998" operator="lessThan">
      <formula>0.8</formula>
    </cfRule>
  </conditionalFormatting>
  <conditionalFormatting sqref="P124 P127 P130">
    <cfRule type="cellIs" dxfId="8515" priority="1996" operator="greaterThan">
      <formula>0</formula>
    </cfRule>
  </conditionalFormatting>
  <conditionalFormatting sqref="Q124 Q127 Q130">
    <cfRule type="cellIs" dxfId="8514" priority="1995" operator="lessThan">
      <formula>0</formula>
    </cfRule>
  </conditionalFormatting>
  <conditionalFormatting sqref="R124 R127 R130">
    <cfRule type="cellIs" dxfId="8513" priority="1993" operator="lessThan">
      <formula>0.8</formula>
    </cfRule>
    <cfRule type="cellIs" dxfId="8512" priority="1994" operator="greaterThan">
      <formula>1</formula>
    </cfRule>
  </conditionalFormatting>
  <conditionalFormatting sqref="R124 R127 R130">
    <cfRule type="cellIs" dxfId="8511" priority="1991" operator="greaterThan">
      <formula>1</formula>
    </cfRule>
    <cfRule type="cellIs" dxfId="8510" priority="1992" operator="lessThan">
      <formula>0.8</formula>
    </cfRule>
  </conditionalFormatting>
  <conditionalFormatting sqref="P124 P127 P130">
    <cfRule type="cellIs" dxfId="8509" priority="1990" operator="greaterThan">
      <formula>0</formula>
    </cfRule>
  </conditionalFormatting>
  <conditionalFormatting sqref="P124 P127 P130">
    <cfRule type="cellIs" dxfId="8508" priority="1984" operator="greaterThan">
      <formula>0</formula>
    </cfRule>
  </conditionalFormatting>
  <conditionalFormatting sqref="Q124 Q127 Q130">
    <cfRule type="cellIs" dxfId="8507" priority="1989" operator="lessThan">
      <formula>0</formula>
    </cfRule>
  </conditionalFormatting>
  <conditionalFormatting sqref="R124 R127 R130">
    <cfRule type="cellIs" dxfId="8506" priority="1987" operator="lessThan">
      <formula>0.8</formula>
    </cfRule>
    <cfRule type="cellIs" dxfId="8505" priority="1988" operator="greaterThan">
      <formula>1</formula>
    </cfRule>
  </conditionalFormatting>
  <conditionalFormatting sqref="R124 R127 R130">
    <cfRule type="cellIs" dxfId="8504" priority="1985" operator="greaterThan">
      <formula>1</formula>
    </cfRule>
    <cfRule type="cellIs" dxfId="8503" priority="1986" operator="lessThan">
      <formula>0.8</formula>
    </cfRule>
  </conditionalFormatting>
  <conditionalFormatting sqref="P124 P127 P130">
    <cfRule type="cellIs" dxfId="8502" priority="1978" operator="greaterThan">
      <formula>0</formula>
    </cfRule>
  </conditionalFormatting>
  <conditionalFormatting sqref="Q124 Q127 Q130">
    <cfRule type="cellIs" dxfId="8501" priority="1983" operator="lessThan">
      <formula>0</formula>
    </cfRule>
  </conditionalFormatting>
  <conditionalFormatting sqref="R124 R127 R130">
    <cfRule type="cellIs" dxfId="8500" priority="1981" operator="lessThan">
      <formula>0.8</formula>
    </cfRule>
    <cfRule type="cellIs" dxfId="8499" priority="1982" operator="greaterThan">
      <formula>1</formula>
    </cfRule>
  </conditionalFormatting>
  <conditionalFormatting sqref="R124 R127 R130">
    <cfRule type="cellIs" dxfId="8498" priority="1979" operator="greaterThan">
      <formula>1</formula>
    </cfRule>
    <cfRule type="cellIs" dxfId="8497" priority="1980" operator="lessThan">
      <formula>0.8</formula>
    </cfRule>
  </conditionalFormatting>
  <conditionalFormatting sqref="R124 R127 R130">
    <cfRule type="cellIs" dxfId="8496" priority="1975" operator="lessThan">
      <formula>0.8</formula>
    </cfRule>
    <cfRule type="cellIs" dxfId="8495" priority="1976" operator="greaterThan">
      <formula>1</formula>
    </cfRule>
  </conditionalFormatting>
  <conditionalFormatting sqref="R124 R127 R130">
    <cfRule type="cellIs" dxfId="8494" priority="1973" operator="greaterThan">
      <formula>1</formula>
    </cfRule>
    <cfRule type="cellIs" dxfId="8493" priority="1974" operator="lessThan">
      <formula>0.8</formula>
    </cfRule>
  </conditionalFormatting>
  <conditionalFormatting sqref="P124 P127 P130">
    <cfRule type="cellIs" dxfId="8492" priority="1972" operator="greaterThan">
      <formula>0</formula>
    </cfRule>
  </conditionalFormatting>
  <conditionalFormatting sqref="Q124 Q127 Q130">
    <cfRule type="cellIs" dxfId="8491" priority="1977" operator="lessThan">
      <formula>0</formula>
    </cfRule>
  </conditionalFormatting>
  <conditionalFormatting sqref="Q124 Q127 Q130">
    <cfRule type="cellIs" dxfId="8490" priority="1971" operator="lessThan">
      <formula>0</formula>
    </cfRule>
  </conditionalFormatting>
  <conditionalFormatting sqref="R124 R127 R130">
    <cfRule type="cellIs" dxfId="8489" priority="1969" operator="lessThan">
      <formula>0.8</formula>
    </cfRule>
    <cfRule type="cellIs" dxfId="8488" priority="1970" operator="greaterThan">
      <formula>1</formula>
    </cfRule>
  </conditionalFormatting>
  <conditionalFormatting sqref="R124 R127 R130">
    <cfRule type="cellIs" dxfId="8487" priority="1967" operator="greaterThan">
      <formula>1</formula>
    </cfRule>
    <cfRule type="cellIs" dxfId="8486" priority="1968" operator="lessThan">
      <formula>0.8</formula>
    </cfRule>
  </conditionalFormatting>
  <conditionalFormatting sqref="P124 P127 P130">
    <cfRule type="cellIs" dxfId="8485" priority="1966" operator="greaterThan">
      <formula>0</formula>
    </cfRule>
  </conditionalFormatting>
  <conditionalFormatting sqref="P124 P127 P130">
    <cfRule type="cellIs" dxfId="8484" priority="1960" operator="greaterThan">
      <formula>0</formula>
    </cfRule>
  </conditionalFormatting>
  <conditionalFormatting sqref="Q124 Q127 Q130">
    <cfRule type="cellIs" dxfId="8483" priority="1965" operator="lessThan">
      <formula>0</formula>
    </cfRule>
  </conditionalFormatting>
  <conditionalFormatting sqref="R124 R127 R130">
    <cfRule type="cellIs" dxfId="8482" priority="1963" operator="lessThan">
      <formula>0.8</formula>
    </cfRule>
    <cfRule type="cellIs" dxfId="8481" priority="1964" operator="greaterThan">
      <formula>1</formula>
    </cfRule>
  </conditionalFormatting>
  <conditionalFormatting sqref="R124 R127 R130">
    <cfRule type="cellIs" dxfId="8480" priority="1961" operator="greaterThan">
      <formula>1</formula>
    </cfRule>
    <cfRule type="cellIs" dxfId="8479" priority="1962" operator="lessThan">
      <formula>0.8</formula>
    </cfRule>
  </conditionalFormatting>
  <conditionalFormatting sqref="P124 P127 P130">
    <cfRule type="cellIs" dxfId="8478" priority="1954" operator="greaterThan">
      <formula>0</formula>
    </cfRule>
  </conditionalFormatting>
  <conditionalFormatting sqref="Q124 Q127 Q130">
    <cfRule type="cellIs" dxfId="8477" priority="1959" operator="lessThan">
      <formula>0</formula>
    </cfRule>
  </conditionalFormatting>
  <conditionalFormatting sqref="R124 R127 R130">
    <cfRule type="cellIs" dxfId="8476" priority="1957" operator="lessThan">
      <formula>0.8</formula>
    </cfRule>
    <cfRule type="cellIs" dxfId="8475" priority="1958" operator="greaterThan">
      <formula>1</formula>
    </cfRule>
  </conditionalFormatting>
  <conditionalFormatting sqref="R124 R127 R130">
    <cfRule type="cellIs" dxfId="8474" priority="1955" operator="greaterThan">
      <formula>1</formula>
    </cfRule>
    <cfRule type="cellIs" dxfId="8473" priority="1956" operator="lessThan">
      <formula>0.8</formula>
    </cfRule>
  </conditionalFormatting>
  <conditionalFormatting sqref="R124 R127 R130">
    <cfRule type="cellIs" dxfId="8472" priority="1951" operator="lessThan">
      <formula>0.8</formula>
    </cfRule>
    <cfRule type="cellIs" dxfId="8471" priority="1952" operator="greaterThan">
      <formula>1</formula>
    </cfRule>
  </conditionalFormatting>
  <conditionalFormatting sqref="R124 R127 R130">
    <cfRule type="cellIs" dxfId="8470" priority="1949" operator="greaterThan">
      <formula>1</formula>
    </cfRule>
    <cfRule type="cellIs" dxfId="8469" priority="1950" operator="lessThan">
      <formula>0.8</formula>
    </cfRule>
  </conditionalFormatting>
  <conditionalFormatting sqref="P124 P127 P130">
    <cfRule type="cellIs" dxfId="8468" priority="1948" operator="greaterThan">
      <formula>0</formula>
    </cfRule>
  </conditionalFormatting>
  <conditionalFormatting sqref="Q124 Q127 Q130">
    <cfRule type="cellIs" dxfId="8467" priority="1953" operator="lessThan">
      <formula>0</formula>
    </cfRule>
  </conditionalFormatting>
  <conditionalFormatting sqref="P124 P127 P130">
    <cfRule type="cellIs" dxfId="8466" priority="1942" operator="greaterThan">
      <formula>0</formula>
    </cfRule>
  </conditionalFormatting>
  <conditionalFormatting sqref="Q124 Q127 Q130">
    <cfRule type="cellIs" dxfId="8465" priority="1947" operator="lessThan">
      <formula>0</formula>
    </cfRule>
  </conditionalFormatting>
  <conditionalFormatting sqref="R124 R127 R130">
    <cfRule type="cellIs" dxfId="8464" priority="1945" operator="lessThan">
      <formula>0.8</formula>
    </cfRule>
    <cfRule type="cellIs" dxfId="8463" priority="1946" operator="greaterThan">
      <formula>1</formula>
    </cfRule>
  </conditionalFormatting>
  <conditionalFormatting sqref="R124 R127 R130">
    <cfRule type="cellIs" dxfId="8462" priority="1943" operator="greaterThan">
      <formula>1</formula>
    </cfRule>
    <cfRule type="cellIs" dxfId="8461" priority="1944" operator="lessThan">
      <formula>0.8</formula>
    </cfRule>
  </conditionalFormatting>
  <conditionalFormatting sqref="R124 R127 R130">
    <cfRule type="cellIs" dxfId="8460" priority="1939" operator="lessThan">
      <formula>0.8</formula>
    </cfRule>
    <cfRule type="cellIs" dxfId="8459" priority="1940" operator="greaterThan">
      <formula>1</formula>
    </cfRule>
  </conditionalFormatting>
  <conditionalFormatting sqref="R124 R127 R130">
    <cfRule type="cellIs" dxfId="8458" priority="1937" operator="greaterThan">
      <formula>1</formula>
    </cfRule>
    <cfRule type="cellIs" dxfId="8457" priority="1938" operator="lessThan">
      <formula>0.8</formula>
    </cfRule>
  </conditionalFormatting>
  <conditionalFormatting sqref="P124 P127 P130">
    <cfRule type="cellIs" dxfId="8456" priority="1936" operator="greaterThan">
      <formula>0</formula>
    </cfRule>
  </conditionalFormatting>
  <conditionalFormatting sqref="Q124 Q127 Q130">
    <cfRule type="cellIs" dxfId="8455" priority="1941" operator="lessThan">
      <formula>0</formula>
    </cfRule>
  </conditionalFormatting>
  <conditionalFormatting sqref="R124 R127 R130">
    <cfRule type="cellIs" dxfId="8454" priority="1933" operator="lessThan">
      <formula>0.8</formula>
    </cfRule>
    <cfRule type="cellIs" dxfId="8453" priority="1934" operator="greaterThan">
      <formula>1</formula>
    </cfRule>
  </conditionalFormatting>
  <conditionalFormatting sqref="R124 R127 R130">
    <cfRule type="cellIs" dxfId="8452" priority="1931" operator="greaterThan">
      <formula>1</formula>
    </cfRule>
    <cfRule type="cellIs" dxfId="8451" priority="1932" operator="lessThan">
      <formula>0.8</formula>
    </cfRule>
  </conditionalFormatting>
  <conditionalFormatting sqref="P124 P127 P130">
    <cfRule type="cellIs" dxfId="8450" priority="1930" operator="greaterThan">
      <formula>0</formula>
    </cfRule>
  </conditionalFormatting>
  <conditionalFormatting sqref="Q124 Q127 Q130">
    <cfRule type="cellIs" dxfId="8449" priority="1935" operator="lessThan">
      <formula>0</formula>
    </cfRule>
  </conditionalFormatting>
  <conditionalFormatting sqref="Q124 Q127 Q130">
    <cfRule type="cellIs" dxfId="8448" priority="1929" operator="lessThan">
      <formula>0</formula>
    </cfRule>
  </conditionalFormatting>
  <conditionalFormatting sqref="R124 R127 R130">
    <cfRule type="cellIs" dxfId="8447" priority="1927" operator="lessThan">
      <formula>0.8</formula>
    </cfRule>
    <cfRule type="cellIs" dxfId="8446" priority="1928" operator="greaterThan">
      <formula>1</formula>
    </cfRule>
  </conditionalFormatting>
  <conditionalFormatting sqref="R124 R127 R130">
    <cfRule type="cellIs" dxfId="8445" priority="1925" operator="greaterThan">
      <formula>1</formula>
    </cfRule>
    <cfRule type="cellIs" dxfId="8444" priority="1926" operator="lessThan">
      <formula>0.8</formula>
    </cfRule>
  </conditionalFormatting>
  <conditionalFormatting sqref="P124 P127 P130">
    <cfRule type="cellIs" dxfId="8443" priority="1924" operator="greaterThan">
      <formula>0</formula>
    </cfRule>
  </conditionalFormatting>
  <conditionalFormatting sqref="Q124 Q127 Q130">
    <cfRule type="cellIs" dxfId="8442" priority="1918" operator="lessThan">
      <formula>0</formula>
    </cfRule>
  </conditionalFormatting>
  <conditionalFormatting sqref="R124 R127 R130">
    <cfRule type="cellIs" dxfId="8441" priority="1922" operator="lessThan">
      <formula>0.8</formula>
    </cfRule>
    <cfRule type="cellIs" dxfId="8440" priority="1923" operator="greaterThan">
      <formula>1</formula>
    </cfRule>
  </conditionalFormatting>
  <conditionalFormatting sqref="R124 R127 R130">
    <cfRule type="cellIs" dxfId="8439" priority="1920" operator="greaterThan">
      <formula>1</formula>
    </cfRule>
    <cfRule type="cellIs" dxfId="8438" priority="1921" operator="lessThan">
      <formula>0.8</formula>
    </cfRule>
  </conditionalFormatting>
  <conditionalFormatting sqref="P124 P127 P130">
    <cfRule type="cellIs" dxfId="8437" priority="1919" operator="greaterThan">
      <formula>0</formula>
    </cfRule>
  </conditionalFormatting>
  <conditionalFormatting sqref="Q124 Q127 Q130">
    <cfRule type="cellIs" dxfId="8436" priority="1917" operator="lessThan">
      <formula>0</formula>
    </cfRule>
  </conditionalFormatting>
  <conditionalFormatting sqref="R124 R127 R130">
    <cfRule type="cellIs" dxfId="8435" priority="1915" operator="lessThan">
      <formula>0.8</formula>
    </cfRule>
    <cfRule type="cellIs" dxfId="8434" priority="1916" operator="greaterThan">
      <formula>1</formula>
    </cfRule>
  </conditionalFormatting>
  <conditionalFormatting sqref="R124 R127 R130">
    <cfRule type="cellIs" dxfId="8433" priority="1913" operator="greaterThan">
      <formula>1</formula>
    </cfRule>
    <cfRule type="cellIs" dxfId="8432" priority="1914" operator="lessThan">
      <formula>0.8</formula>
    </cfRule>
  </conditionalFormatting>
  <conditionalFormatting sqref="P124 P127 P130">
    <cfRule type="cellIs" dxfId="8431" priority="1912" operator="greaterThan">
      <formula>0</formula>
    </cfRule>
  </conditionalFormatting>
  <conditionalFormatting sqref="Q124 Q127 Q130">
    <cfRule type="cellIs" dxfId="8430" priority="1911" operator="lessThan">
      <formula>0</formula>
    </cfRule>
  </conditionalFormatting>
  <conditionalFormatting sqref="R124 R127 R130">
    <cfRule type="cellIs" dxfId="8429" priority="1909" operator="lessThan">
      <formula>0.8</formula>
    </cfRule>
    <cfRule type="cellIs" dxfId="8428" priority="1910" operator="greaterThan">
      <formula>1</formula>
    </cfRule>
  </conditionalFormatting>
  <conditionalFormatting sqref="R124 R127 R130">
    <cfRule type="cellIs" dxfId="8427" priority="1907" operator="greaterThan">
      <formula>1</formula>
    </cfRule>
    <cfRule type="cellIs" dxfId="8426" priority="1908" operator="lessThan">
      <formula>0.8</formula>
    </cfRule>
  </conditionalFormatting>
  <conditionalFormatting sqref="P124 P127 P130">
    <cfRule type="cellIs" dxfId="8425" priority="1906" operator="greaterThan">
      <formula>0</formula>
    </cfRule>
  </conditionalFormatting>
  <conditionalFormatting sqref="Q124 Q127 Q130">
    <cfRule type="cellIs" dxfId="8424" priority="1905" operator="lessThan">
      <formula>0</formula>
    </cfRule>
  </conditionalFormatting>
  <conditionalFormatting sqref="R124 R127 R130">
    <cfRule type="cellIs" dxfId="8423" priority="1903" operator="lessThan">
      <formula>0.8</formula>
    </cfRule>
    <cfRule type="cellIs" dxfId="8422" priority="1904" operator="greaterThan">
      <formula>1</formula>
    </cfRule>
  </conditionalFormatting>
  <conditionalFormatting sqref="R124 R127 R130">
    <cfRule type="cellIs" dxfId="8421" priority="1901" operator="greaterThan">
      <formula>1</formula>
    </cfRule>
    <cfRule type="cellIs" dxfId="8420" priority="1902" operator="lessThan">
      <formula>0.8</formula>
    </cfRule>
  </conditionalFormatting>
  <conditionalFormatting sqref="P124 P127 P130">
    <cfRule type="cellIs" dxfId="8419" priority="1900" operator="greaterThan">
      <formula>0</formula>
    </cfRule>
  </conditionalFormatting>
  <conditionalFormatting sqref="Q124 Q127 Q130">
    <cfRule type="cellIs" dxfId="8418" priority="1899" operator="lessThan">
      <formula>0</formula>
    </cfRule>
  </conditionalFormatting>
  <conditionalFormatting sqref="R124 R127 R130">
    <cfRule type="cellIs" dxfId="8417" priority="1897" operator="lessThan">
      <formula>0.8</formula>
    </cfRule>
    <cfRule type="cellIs" dxfId="8416" priority="1898" operator="greaterThan">
      <formula>1</formula>
    </cfRule>
  </conditionalFormatting>
  <conditionalFormatting sqref="R124 R127 R130">
    <cfRule type="cellIs" dxfId="8415" priority="1895" operator="greaterThan">
      <formula>1</formula>
    </cfRule>
    <cfRule type="cellIs" dxfId="8414" priority="1896" operator="lessThan">
      <formula>0.8</formula>
    </cfRule>
  </conditionalFormatting>
  <conditionalFormatting sqref="P124 P127 P130">
    <cfRule type="cellIs" dxfId="8413" priority="1894" operator="greaterThan">
      <formula>0</formula>
    </cfRule>
  </conditionalFormatting>
  <conditionalFormatting sqref="Q124 Q127 Q130">
    <cfRule type="cellIs" dxfId="8412" priority="1893" operator="lessThan">
      <formula>0</formula>
    </cfRule>
  </conditionalFormatting>
  <conditionalFormatting sqref="R124 R127 R130">
    <cfRule type="cellIs" dxfId="8411" priority="1891" operator="lessThan">
      <formula>0.8</formula>
    </cfRule>
    <cfRule type="cellIs" dxfId="8410" priority="1892" operator="greaterThan">
      <formula>1</formula>
    </cfRule>
  </conditionalFormatting>
  <conditionalFormatting sqref="R124 R127 R130">
    <cfRule type="cellIs" dxfId="8409" priority="1889" operator="greaterThan">
      <formula>1</formula>
    </cfRule>
    <cfRule type="cellIs" dxfId="8408" priority="1890" operator="lessThan">
      <formula>0.8</formula>
    </cfRule>
  </conditionalFormatting>
  <conditionalFormatting sqref="P124 P127 P130">
    <cfRule type="cellIs" dxfId="8407" priority="1888" operator="greaterThan">
      <formula>0</formula>
    </cfRule>
  </conditionalFormatting>
  <conditionalFormatting sqref="P124 P127 P130">
    <cfRule type="cellIs" dxfId="8406" priority="1882" operator="greaterThan">
      <formula>0</formula>
    </cfRule>
  </conditionalFormatting>
  <conditionalFormatting sqref="Q124 Q127 Q130">
    <cfRule type="cellIs" dxfId="8405" priority="1887" operator="lessThan">
      <formula>0</formula>
    </cfRule>
  </conditionalFormatting>
  <conditionalFormatting sqref="R124 R127 R130">
    <cfRule type="cellIs" dxfId="8404" priority="1885" operator="lessThan">
      <formula>0.8</formula>
    </cfRule>
    <cfRule type="cellIs" dxfId="8403" priority="1886" operator="greaterThan">
      <formula>1</formula>
    </cfRule>
  </conditionalFormatting>
  <conditionalFormatting sqref="R124 R127 R130">
    <cfRule type="cellIs" dxfId="8402" priority="1883" operator="greaterThan">
      <formula>1</formula>
    </cfRule>
    <cfRule type="cellIs" dxfId="8401" priority="1884" operator="lessThan">
      <formula>0.8</formula>
    </cfRule>
  </conditionalFormatting>
  <conditionalFormatting sqref="P124 P127 P130">
    <cfRule type="cellIs" dxfId="8400" priority="1876" operator="greaterThan">
      <formula>0</formula>
    </cfRule>
  </conditionalFormatting>
  <conditionalFormatting sqref="Q124 Q127 Q130">
    <cfRule type="cellIs" dxfId="8399" priority="1881" operator="lessThan">
      <formula>0</formula>
    </cfRule>
  </conditionalFormatting>
  <conditionalFormatting sqref="R124 R127 R130">
    <cfRule type="cellIs" dxfId="8398" priority="1879" operator="lessThan">
      <formula>0.8</formula>
    </cfRule>
    <cfRule type="cellIs" dxfId="8397" priority="1880" operator="greaterThan">
      <formula>1</formula>
    </cfRule>
  </conditionalFormatting>
  <conditionalFormatting sqref="R124 R127 R130">
    <cfRule type="cellIs" dxfId="8396" priority="1877" operator="greaterThan">
      <formula>1</formula>
    </cfRule>
    <cfRule type="cellIs" dxfId="8395" priority="1878" operator="lessThan">
      <formula>0.8</formula>
    </cfRule>
  </conditionalFormatting>
  <conditionalFormatting sqref="R124 R127 R130">
    <cfRule type="cellIs" dxfId="8394" priority="1873" operator="lessThan">
      <formula>0.8</formula>
    </cfRule>
    <cfRule type="cellIs" dxfId="8393" priority="1874" operator="greaterThan">
      <formula>1</formula>
    </cfRule>
  </conditionalFormatting>
  <conditionalFormatting sqref="R124 R127 R130">
    <cfRule type="cellIs" dxfId="8392" priority="1871" operator="greaterThan">
      <formula>1</formula>
    </cfRule>
    <cfRule type="cellIs" dxfId="8391" priority="1872" operator="lessThan">
      <formula>0.8</formula>
    </cfRule>
  </conditionalFormatting>
  <conditionalFormatting sqref="P124 P127 P130">
    <cfRule type="cellIs" dxfId="8390" priority="1870" operator="greaterThan">
      <formula>0</formula>
    </cfRule>
  </conditionalFormatting>
  <conditionalFormatting sqref="Q124 Q127 Q130">
    <cfRule type="cellIs" dxfId="8389" priority="1875" operator="lessThan">
      <formula>0</formula>
    </cfRule>
  </conditionalFormatting>
  <conditionalFormatting sqref="Q5:Q14">
    <cfRule type="cellIs" dxfId="8388" priority="1869" operator="lessThan">
      <formula>0</formula>
    </cfRule>
  </conditionalFormatting>
  <conditionalFormatting sqref="R5:R14">
    <cfRule type="cellIs" dxfId="8387" priority="1867" operator="lessThan">
      <formula>0.8</formula>
    </cfRule>
    <cfRule type="cellIs" dxfId="8386" priority="1868" operator="greaterThan">
      <formula>1</formula>
    </cfRule>
  </conditionalFormatting>
  <conditionalFormatting sqref="R5:R14">
    <cfRule type="cellIs" dxfId="8385" priority="1865" operator="greaterThan">
      <formula>1</formula>
    </cfRule>
    <cfRule type="cellIs" dxfId="8384" priority="1866" operator="lessThan">
      <formula>0.8</formula>
    </cfRule>
  </conditionalFormatting>
  <conditionalFormatting sqref="P5:P14">
    <cfRule type="cellIs" dxfId="8383" priority="1864" operator="greaterThan">
      <formula>0</formula>
    </cfRule>
  </conditionalFormatting>
  <conditionalFormatting sqref="Q83">
    <cfRule type="cellIs" dxfId="8382" priority="1863" operator="lessThan">
      <formula>0</formula>
    </cfRule>
  </conditionalFormatting>
  <conditionalFormatting sqref="R83">
    <cfRule type="cellIs" dxfId="8381" priority="1861" operator="lessThan">
      <formula>0.8</formula>
    </cfRule>
    <cfRule type="cellIs" dxfId="8380" priority="1862" operator="greaterThan">
      <formula>1</formula>
    </cfRule>
  </conditionalFormatting>
  <conditionalFormatting sqref="R83">
    <cfRule type="cellIs" dxfId="8379" priority="1859" operator="greaterThan">
      <formula>1</formula>
    </cfRule>
    <cfRule type="cellIs" dxfId="8378" priority="1860" operator="lessThan">
      <formula>0.8</formula>
    </cfRule>
  </conditionalFormatting>
  <conditionalFormatting sqref="P83">
    <cfRule type="cellIs" dxfId="8377" priority="1858" operator="greaterThan">
      <formula>0</formula>
    </cfRule>
  </conditionalFormatting>
  <conditionalFormatting sqref="Q83">
    <cfRule type="cellIs" dxfId="8376" priority="1857" operator="lessThan">
      <formula>0</formula>
    </cfRule>
  </conditionalFormatting>
  <conditionalFormatting sqref="R83">
    <cfRule type="cellIs" dxfId="8375" priority="1855" operator="lessThan">
      <formula>0.8</formula>
    </cfRule>
    <cfRule type="cellIs" dxfId="8374" priority="1856" operator="greaterThan">
      <formula>1</formula>
    </cfRule>
  </conditionalFormatting>
  <conditionalFormatting sqref="R83">
    <cfRule type="cellIs" dxfId="8373" priority="1853" operator="greaterThan">
      <formula>1</formula>
    </cfRule>
    <cfRule type="cellIs" dxfId="8372" priority="1854" operator="lessThan">
      <formula>0.8</formula>
    </cfRule>
  </conditionalFormatting>
  <conditionalFormatting sqref="P83">
    <cfRule type="cellIs" dxfId="8371" priority="1852" operator="greaterThan">
      <formula>0</formula>
    </cfRule>
  </conditionalFormatting>
  <conditionalFormatting sqref="Q83">
    <cfRule type="cellIs" dxfId="8370" priority="1851" operator="lessThan">
      <formula>0</formula>
    </cfRule>
  </conditionalFormatting>
  <conditionalFormatting sqref="R83">
    <cfRule type="cellIs" dxfId="8369" priority="1849" operator="lessThan">
      <formula>0.8</formula>
    </cfRule>
    <cfRule type="cellIs" dxfId="8368" priority="1850" operator="greaterThan">
      <formula>1</formula>
    </cfRule>
  </conditionalFormatting>
  <conditionalFormatting sqref="R83">
    <cfRule type="cellIs" dxfId="8367" priority="1847" operator="greaterThan">
      <formula>1</formula>
    </cfRule>
    <cfRule type="cellIs" dxfId="8366" priority="1848" operator="lessThan">
      <formula>0.8</formula>
    </cfRule>
  </conditionalFormatting>
  <conditionalFormatting sqref="P83">
    <cfRule type="cellIs" dxfId="8365" priority="1846" operator="greaterThan">
      <formula>0</formula>
    </cfRule>
  </conditionalFormatting>
  <conditionalFormatting sqref="Q83">
    <cfRule type="cellIs" dxfId="8364" priority="1845" operator="lessThan">
      <formula>0</formula>
    </cfRule>
  </conditionalFormatting>
  <conditionalFormatting sqref="R83">
    <cfRule type="cellIs" dxfId="8363" priority="1843" operator="lessThan">
      <formula>0.8</formula>
    </cfRule>
    <cfRule type="cellIs" dxfId="8362" priority="1844" operator="greaterThan">
      <formula>1</formula>
    </cfRule>
  </conditionalFormatting>
  <conditionalFormatting sqref="R83">
    <cfRule type="cellIs" dxfId="8361" priority="1841" operator="greaterThan">
      <formula>1</formula>
    </cfRule>
    <cfRule type="cellIs" dxfId="8360" priority="1842" operator="lessThan">
      <formula>0.8</formula>
    </cfRule>
  </conditionalFormatting>
  <conditionalFormatting sqref="P83">
    <cfRule type="cellIs" dxfId="8359" priority="1840" operator="greaterThan">
      <formula>0</formula>
    </cfRule>
  </conditionalFormatting>
  <conditionalFormatting sqref="P83">
    <cfRule type="cellIs" dxfId="8358" priority="1834" operator="greaterThan">
      <formula>0</formula>
    </cfRule>
  </conditionalFormatting>
  <conditionalFormatting sqref="Q83">
    <cfRule type="cellIs" dxfId="8357" priority="1839" operator="lessThan">
      <formula>0</formula>
    </cfRule>
  </conditionalFormatting>
  <conditionalFormatting sqref="R83">
    <cfRule type="cellIs" dxfId="8356" priority="1837" operator="lessThan">
      <formula>0.8</formula>
    </cfRule>
    <cfRule type="cellIs" dxfId="8355" priority="1838" operator="greaterThan">
      <formula>1</formula>
    </cfRule>
  </conditionalFormatting>
  <conditionalFormatting sqref="R83">
    <cfRule type="cellIs" dxfId="8354" priority="1835" operator="greaterThan">
      <formula>1</formula>
    </cfRule>
    <cfRule type="cellIs" dxfId="8353" priority="1836" operator="lessThan">
      <formula>0.8</formula>
    </cfRule>
  </conditionalFormatting>
  <conditionalFormatting sqref="P83">
    <cfRule type="cellIs" dxfId="8352" priority="1828" operator="greaterThan">
      <formula>0</formula>
    </cfRule>
  </conditionalFormatting>
  <conditionalFormatting sqref="Q83">
    <cfRule type="cellIs" dxfId="8351" priority="1833" operator="lessThan">
      <formula>0</formula>
    </cfRule>
  </conditionalFormatting>
  <conditionalFormatting sqref="R83">
    <cfRule type="cellIs" dxfId="8350" priority="1831" operator="lessThan">
      <formula>0.8</formula>
    </cfRule>
    <cfRule type="cellIs" dxfId="8349" priority="1832" operator="greaterThan">
      <formula>1</formula>
    </cfRule>
  </conditionalFormatting>
  <conditionalFormatting sqref="R83">
    <cfRule type="cellIs" dxfId="8348" priority="1829" operator="greaterThan">
      <formula>1</formula>
    </cfRule>
    <cfRule type="cellIs" dxfId="8347" priority="1830" operator="lessThan">
      <formula>0.8</formula>
    </cfRule>
  </conditionalFormatting>
  <conditionalFormatting sqref="R83">
    <cfRule type="cellIs" dxfId="8346" priority="1825" operator="lessThan">
      <formula>0.8</formula>
    </cfRule>
    <cfRule type="cellIs" dxfId="8345" priority="1826" operator="greaterThan">
      <formula>1</formula>
    </cfRule>
  </conditionalFormatting>
  <conditionalFormatting sqref="R83">
    <cfRule type="cellIs" dxfId="8344" priority="1823" operator="greaterThan">
      <formula>1</formula>
    </cfRule>
    <cfRule type="cellIs" dxfId="8343" priority="1824" operator="lessThan">
      <formula>0.8</formula>
    </cfRule>
  </conditionalFormatting>
  <conditionalFormatting sqref="P83">
    <cfRule type="cellIs" dxfId="8342" priority="1822" operator="greaterThan">
      <formula>0</formula>
    </cfRule>
  </conditionalFormatting>
  <conditionalFormatting sqref="Q83">
    <cfRule type="cellIs" dxfId="8341" priority="1827" operator="lessThan">
      <formula>0</formula>
    </cfRule>
  </conditionalFormatting>
  <conditionalFormatting sqref="Q83">
    <cfRule type="cellIs" dxfId="8340" priority="1821" operator="lessThan">
      <formula>0</formula>
    </cfRule>
  </conditionalFormatting>
  <conditionalFormatting sqref="R83">
    <cfRule type="cellIs" dxfId="8339" priority="1819" operator="lessThan">
      <formula>0.8</formula>
    </cfRule>
    <cfRule type="cellIs" dxfId="8338" priority="1820" operator="greaterThan">
      <formula>1</formula>
    </cfRule>
  </conditionalFormatting>
  <conditionalFormatting sqref="R83">
    <cfRule type="cellIs" dxfId="8337" priority="1817" operator="greaterThan">
      <formula>1</formula>
    </cfRule>
    <cfRule type="cellIs" dxfId="8336" priority="1818" operator="lessThan">
      <formula>0.8</formula>
    </cfRule>
  </conditionalFormatting>
  <conditionalFormatting sqref="P83">
    <cfRule type="cellIs" dxfId="8335" priority="1816" operator="greaterThan">
      <formula>0</formula>
    </cfRule>
  </conditionalFormatting>
  <conditionalFormatting sqref="P83">
    <cfRule type="cellIs" dxfId="8334" priority="1810" operator="greaterThan">
      <formula>0</formula>
    </cfRule>
  </conditionalFormatting>
  <conditionalFormatting sqref="Q83">
    <cfRule type="cellIs" dxfId="8333" priority="1815" operator="lessThan">
      <formula>0</formula>
    </cfRule>
  </conditionalFormatting>
  <conditionalFormatting sqref="R83">
    <cfRule type="cellIs" dxfId="8332" priority="1813" operator="lessThan">
      <formula>0.8</formula>
    </cfRule>
    <cfRule type="cellIs" dxfId="8331" priority="1814" operator="greaterThan">
      <formula>1</formula>
    </cfRule>
  </conditionalFormatting>
  <conditionalFormatting sqref="R83">
    <cfRule type="cellIs" dxfId="8330" priority="1811" operator="greaterThan">
      <formula>1</formula>
    </cfRule>
    <cfRule type="cellIs" dxfId="8329" priority="1812" operator="lessThan">
      <formula>0.8</formula>
    </cfRule>
  </conditionalFormatting>
  <conditionalFormatting sqref="P83">
    <cfRule type="cellIs" dxfId="8328" priority="1804" operator="greaterThan">
      <formula>0</formula>
    </cfRule>
  </conditionalFormatting>
  <conditionalFormatting sqref="Q83">
    <cfRule type="cellIs" dxfId="8327" priority="1809" operator="lessThan">
      <formula>0</formula>
    </cfRule>
  </conditionalFormatting>
  <conditionalFormatting sqref="R83">
    <cfRule type="cellIs" dxfId="8326" priority="1807" operator="lessThan">
      <formula>0.8</formula>
    </cfRule>
    <cfRule type="cellIs" dxfId="8325" priority="1808" operator="greaterThan">
      <formula>1</formula>
    </cfRule>
  </conditionalFormatting>
  <conditionalFormatting sqref="R83">
    <cfRule type="cellIs" dxfId="8324" priority="1805" operator="greaterThan">
      <formula>1</formula>
    </cfRule>
    <cfRule type="cellIs" dxfId="8323" priority="1806" operator="lessThan">
      <formula>0.8</formula>
    </cfRule>
  </conditionalFormatting>
  <conditionalFormatting sqref="R83">
    <cfRule type="cellIs" dxfId="8322" priority="1801" operator="lessThan">
      <formula>0.8</formula>
    </cfRule>
    <cfRule type="cellIs" dxfId="8321" priority="1802" operator="greaterThan">
      <formula>1</formula>
    </cfRule>
  </conditionalFormatting>
  <conditionalFormatting sqref="R83">
    <cfRule type="cellIs" dxfId="8320" priority="1799" operator="greaterThan">
      <formula>1</formula>
    </cfRule>
    <cfRule type="cellIs" dxfId="8319" priority="1800" operator="lessThan">
      <formula>0.8</formula>
    </cfRule>
  </conditionalFormatting>
  <conditionalFormatting sqref="P83">
    <cfRule type="cellIs" dxfId="8318" priority="1798" operator="greaterThan">
      <formula>0</formula>
    </cfRule>
  </conditionalFormatting>
  <conditionalFormatting sqref="Q83">
    <cfRule type="cellIs" dxfId="8317" priority="1803" operator="lessThan">
      <formula>0</formula>
    </cfRule>
  </conditionalFormatting>
  <conditionalFormatting sqref="P83">
    <cfRule type="cellIs" dxfId="8316" priority="1792" operator="greaterThan">
      <formula>0</formula>
    </cfRule>
  </conditionalFormatting>
  <conditionalFormatting sqref="Q83">
    <cfRule type="cellIs" dxfId="8315" priority="1797" operator="lessThan">
      <formula>0</formula>
    </cfRule>
  </conditionalFormatting>
  <conditionalFormatting sqref="R83">
    <cfRule type="cellIs" dxfId="8314" priority="1795" operator="lessThan">
      <formula>0.8</formula>
    </cfRule>
    <cfRule type="cellIs" dxfId="8313" priority="1796" operator="greaterThan">
      <formula>1</formula>
    </cfRule>
  </conditionalFormatting>
  <conditionalFormatting sqref="R83">
    <cfRule type="cellIs" dxfId="8312" priority="1793" operator="greaterThan">
      <formula>1</formula>
    </cfRule>
    <cfRule type="cellIs" dxfId="8311" priority="1794" operator="lessThan">
      <formula>0.8</formula>
    </cfRule>
  </conditionalFormatting>
  <conditionalFormatting sqref="R83">
    <cfRule type="cellIs" dxfId="8310" priority="1789" operator="lessThan">
      <formula>0.8</formula>
    </cfRule>
    <cfRule type="cellIs" dxfId="8309" priority="1790" operator="greaterThan">
      <formula>1</formula>
    </cfRule>
  </conditionalFormatting>
  <conditionalFormatting sqref="R83">
    <cfRule type="cellIs" dxfId="8308" priority="1787" operator="greaterThan">
      <formula>1</formula>
    </cfRule>
    <cfRule type="cellIs" dxfId="8307" priority="1788" operator="lessThan">
      <formula>0.8</formula>
    </cfRule>
  </conditionalFormatting>
  <conditionalFormatting sqref="P83">
    <cfRule type="cellIs" dxfId="8306" priority="1786" operator="greaterThan">
      <formula>0</formula>
    </cfRule>
  </conditionalFormatting>
  <conditionalFormatting sqref="Q83">
    <cfRule type="cellIs" dxfId="8305" priority="1791" operator="lessThan">
      <formula>0</formula>
    </cfRule>
  </conditionalFormatting>
  <conditionalFormatting sqref="R83">
    <cfRule type="cellIs" dxfId="8304" priority="1783" operator="lessThan">
      <formula>0.8</formula>
    </cfRule>
    <cfRule type="cellIs" dxfId="8303" priority="1784" operator="greaterThan">
      <formula>1</formula>
    </cfRule>
  </conditionalFormatting>
  <conditionalFormatting sqref="R83">
    <cfRule type="cellIs" dxfId="8302" priority="1781" operator="greaterThan">
      <formula>1</formula>
    </cfRule>
    <cfRule type="cellIs" dxfId="8301" priority="1782" operator="lessThan">
      <formula>0.8</formula>
    </cfRule>
  </conditionalFormatting>
  <conditionalFormatting sqref="P83">
    <cfRule type="cellIs" dxfId="8300" priority="1780" operator="greaterThan">
      <formula>0</formula>
    </cfRule>
  </conditionalFormatting>
  <conditionalFormatting sqref="Q83">
    <cfRule type="cellIs" dxfId="8299" priority="1785" operator="lessThan">
      <formula>0</formula>
    </cfRule>
  </conditionalFormatting>
  <conditionalFormatting sqref="Q83">
    <cfRule type="cellIs" dxfId="8298" priority="1779" operator="lessThan">
      <formula>0</formula>
    </cfRule>
  </conditionalFormatting>
  <conditionalFormatting sqref="R83">
    <cfRule type="cellIs" dxfId="8297" priority="1777" operator="lessThan">
      <formula>0.8</formula>
    </cfRule>
    <cfRule type="cellIs" dxfId="8296" priority="1778" operator="greaterThan">
      <formula>1</formula>
    </cfRule>
  </conditionalFormatting>
  <conditionalFormatting sqref="R83">
    <cfRule type="cellIs" dxfId="8295" priority="1775" operator="greaterThan">
      <formula>1</formula>
    </cfRule>
    <cfRule type="cellIs" dxfId="8294" priority="1776" operator="lessThan">
      <formula>0.8</formula>
    </cfRule>
  </conditionalFormatting>
  <conditionalFormatting sqref="P83">
    <cfRule type="cellIs" dxfId="8293" priority="1774" operator="greaterThan">
      <formula>0</formula>
    </cfRule>
  </conditionalFormatting>
  <conditionalFormatting sqref="Q83">
    <cfRule type="cellIs" dxfId="8292" priority="1768" operator="lessThan">
      <formula>0</formula>
    </cfRule>
  </conditionalFormatting>
  <conditionalFormatting sqref="R83">
    <cfRule type="cellIs" dxfId="8291" priority="1772" operator="lessThan">
      <formula>0.8</formula>
    </cfRule>
    <cfRule type="cellIs" dxfId="8290" priority="1773" operator="greaterThan">
      <formula>1</formula>
    </cfRule>
  </conditionalFormatting>
  <conditionalFormatting sqref="R83">
    <cfRule type="cellIs" dxfId="8289" priority="1770" operator="greaterThan">
      <formula>1</formula>
    </cfRule>
    <cfRule type="cellIs" dxfId="8288" priority="1771" operator="lessThan">
      <formula>0.8</formula>
    </cfRule>
  </conditionalFormatting>
  <conditionalFormatting sqref="P83">
    <cfRule type="cellIs" dxfId="8287" priority="1769" operator="greaterThan">
      <formula>0</formula>
    </cfRule>
  </conditionalFormatting>
  <conditionalFormatting sqref="Q83">
    <cfRule type="cellIs" dxfId="8286" priority="1767" operator="lessThan">
      <formula>0</formula>
    </cfRule>
  </conditionalFormatting>
  <conditionalFormatting sqref="R83">
    <cfRule type="cellIs" dxfId="8285" priority="1765" operator="lessThan">
      <formula>0.8</formula>
    </cfRule>
    <cfRule type="cellIs" dxfId="8284" priority="1766" operator="greaterThan">
      <formula>1</formula>
    </cfRule>
  </conditionalFormatting>
  <conditionalFormatting sqref="R83">
    <cfRule type="cellIs" dxfId="8283" priority="1763" operator="greaterThan">
      <formula>1</formula>
    </cfRule>
    <cfRule type="cellIs" dxfId="8282" priority="1764" operator="lessThan">
      <formula>0.8</formula>
    </cfRule>
  </conditionalFormatting>
  <conditionalFormatting sqref="P83">
    <cfRule type="cellIs" dxfId="8281" priority="1762" operator="greaterThan">
      <formula>0</formula>
    </cfRule>
  </conditionalFormatting>
  <conditionalFormatting sqref="Q83">
    <cfRule type="cellIs" dxfId="8280" priority="1761" operator="lessThan">
      <formula>0</formula>
    </cfRule>
  </conditionalFormatting>
  <conditionalFormatting sqref="R83">
    <cfRule type="cellIs" dxfId="8279" priority="1759" operator="lessThan">
      <formula>0.8</formula>
    </cfRule>
    <cfRule type="cellIs" dxfId="8278" priority="1760" operator="greaterThan">
      <formula>1</formula>
    </cfRule>
  </conditionalFormatting>
  <conditionalFormatting sqref="R83">
    <cfRule type="cellIs" dxfId="8277" priority="1757" operator="greaterThan">
      <formula>1</formula>
    </cfRule>
    <cfRule type="cellIs" dxfId="8276" priority="1758" operator="lessThan">
      <formula>0.8</formula>
    </cfRule>
  </conditionalFormatting>
  <conditionalFormatting sqref="P83">
    <cfRule type="cellIs" dxfId="8275" priority="1756" operator="greaterThan">
      <formula>0</formula>
    </cfRule>
  </conditionalFormatting>
  <conditionalFormatting sqref="Q83">
    <cfRule type="cellIs" dxfId="8274" priority="1755" operator="lessThan">
      <formula>0</formula>
    </cfRule>
  </conditionalFormatting>
  <conditionalFormatting sqref="R83">
    <cfRule type="cellIs" dxfId="8273" priority="1753" operator="lessThan">
      <formula>0.8</formula>
    </cfRule>
    <cfRule type="cellIs" dxfId="8272" priority="1754" operator="greaterThan">
      <formula>1</formula>
    </cfRule>
  </conditionalFormatting>
  <conditionalFormatting sqref="R83">
    <cfRule type="cellIs" dxfId="8271" priority="1751" operator="greaterThan">
      <formula>1</formula>
    </cfRule>
    <cfRule type="cellIs" dxfId="8270" priority="1752" operator="lessThan">
      <formula>0.8</formula>
    </cfRule>
  </conditionalFormatting>
  <conditionalFormatting sqref="P83">
    <cfRule type="cellIs" dxfId="8269" priority="1750" operator="greaterThan">
      <formula>0</formula>
    </cfRule>
  </conditionalFormatting>
  <conditionalFormatting sqref="Q83">
    <cfRule type="cellIs" dxfId="8268" priority="1749" operator="lessThan">
      <formula>0</formula>
    </cfRule>
  </conditionalFormatting>
  <conditionalFormatting sqref="R83">
    <cfRule type="cellIs" dxfId="8267" priority="1747" operator="lessThan">
      <formula>0.8</formula>
    </cfRule>
    <cfRule type="cellIs" dxfId="8266" priority="1748" operator="greaterThan">
      <formula>1</formula>
    </cfRule>
  </conditionalFormatting>
  <conditionalFormatting sqref="R83">
    <cfRule type="cellIs" dxfId="8265" priority="1745" operator="greaterThan">
      <formula>1</formula>
    </cfRule>
    <cfRule type="cellIs" dxfId="8264" priority="1746" operator="lessThan">
      <formula>0.8</formula>
    </cfRule>
  </conditionalFormatting>
  <conditionalFormatting sqref="P83">
    <cfRule type="cellIs" dxfId="8263" priority="1744" operator="greaterThan">
      <formula>0</formula>
    </cfRule>
  </conditionalFormatting>
  <conditionalFormatting sqref="Q83">
    <cfRule type="cellIs" dxfId="8262" priority="1743" operator="lessThan">
      <formula>0</formula>
    </cfRule>
  </conditionalFormatting>
  <conditionalFormatting sqref="R83">
    <cfRule type="cellIs" dxfId="8261" priority="1741" operator="lessThan">
      <formula>0.8</formula>
    </cfRule>
    <cfRule type="cellIs" dxfId="8260" priority="1742" operator="greaterThan">
      <formula>1</formula>
    </cfRule>
  </conditionalFormatting>
  <conditionalFormatting sqref="R83">
    <cfRule type="cellIs" dxfId="8259" priority="1739" operator="greaterThan">
      <formula>1</formula>
    </cfRule>
    <cfRule type="cellIs" dxfId="8258" priority="1740" operator="lessThan">
      <formula>0.8</formula>
    </cfRule>
  </conditionalFormatting>
  <conditionalFormatting sqref="P83">
    <cfRule type="cellIs" dxfId="8257" priority="1738" operator="greaterThan">
      <formula>0</formula>
    </cfRule>
  </conditionalFormatting>
  <conditionalFormatting sqref="P83">
    <cfRule type="cellIs" dxfId="8256" priority="1732" operator="greaterThan">
      <formula>0</formula>
    </cfRule>
  </conditionalFormatting>
  <conditionalFormatting sqref="Q83">
    <cfRule type="cellIs" dxfId="8255" priority="1737" operator="lessThan">
      <formula>0</formula>
    </cfRule>
  </conditionalFormatting>
  <conditionalFormatting sqref="R83">
    <cfRule type="cellIs" dxfId="8254" priority="1735" operator="lessThan">
      <formula>0.8</formula>
    </cfRule>
    <cfRule type="cellIs" dxfId="8253" priority="1736" operator="greaterThan">
      <formula>1</formula>
    </cfRule>
  </conditionalFormatting>
  <conditionalFormatting sqref="R83">
    <cfRule type="cellIs" dxfId="8252" priority="1733" operator="greaterThan">
      <formula>1</formula>
    </cfRule>
    <cfRule type="cellIs" dxfId="8251" priority="1734" operator="lessThan">
      <formula>0.8</formula>
    </cfRule>
  </conditionalFormatting>
  <conditionalFormatting sqref="P83">
    <cfRule type="cellIs" dxfId="8250" priority="1726" operator="greaterThan">
      <formula>0</formula>
    </cfRule>
  </conditionalFormatting>
  <conditionalFormatting sqref="Q83">
    <cfRule type="cellIs" dxfId="8249" priority="1731" operator="lessThan">
      <formula>0</formula>
    </cfRule>
  </conditionalFormatting>
  <conditionalFormatting sqref="R83">
    <cfRule type="cellIs" dxfId="8248" priority="1729" operator="lessThan">
      <formula>0.8</formula>
    </cfRule>
    <cfRule type="cellIs" dxfId="8247" priority="1730" operator="greaterThan">
      <formula>1</formula>
    </cfRule>
  </conditionalFormatting>
  <conditionalFormatting sqref="R83">
    <cfRule type="cellIs" dxfId="8246" priority="1727" operator="greaterThan">
      <formula>1</formula>
    </cfRule>
    <cfRule type="cellIs" dxfId="8245" priority="1728" operator="lessThan">
      <formula>0.8</formula>
    </cfRule>
  </conditionalFormatting>
  <conditionalFormatting sqref="R83">
    <cfRule type="cellIs" dxfId="8244" priority="1723" operator="lessThan">
      <formula>0.8</formula>
    </cfRule>
    <cfRule type="cellIs" dxfId="8243" priority="1724" operator="greaterThan">
      <formula>1</formula>
    </cfRule>
  </conditionalFormatting>
  <conditionalFormatting sqref="R83">
    <cfRule type="cellIs" dxfId="8242" priority="1721" operator="greaterThan">
      <formula>1</formula>
    </cfRule>
    <cfRule type="cellIs" dxfId="8241" priority="1722" operator="lessThan">
      <formula>0.8</formula>
    </cfRule>
  </conditionalFormatting>
  <conditionalFormatting sqref="P83">
    <cfRule type="cellIs" dxfId="8240" priority="1720" operator="greaterThan">
      <formula>0</formula>
    </cfRule>
  </conditionalFormatting>
  <conditionalFormatting sqref="Q83">
    <cfRule type="cellIs" dxfId="8239" priority="1725" operator="lessThan">
      <formula>0</formula>
    </cfRule>
  </conditionalFormatting>
  <conditionalFormatting sqref="Q83">
    <cfRule type="cellIs" dxfId="8238" priority="1714" operator="lessThan">
      <formula>0</formula>
    </cfRule>
  </conditionalFormatting>
  <conditionalFormatting sqref="P83">
    <cfRule type="cellIs" dxfId="8237" priority="1715" operator="greaterThan">
      <formula>0</formula>
    </cfRule>
  </conditionalFormatting>
  <conditionalFormatting sqref="R83">
    <cfRule type="cellIs" dxfId="8236" priority="1718" operator="lessThan">
      <formula>0.8</formula>
    </cfRule>
    <cfRule type="cellIs" dxfId="8235" priority="1719" operator="greaterThan">
      <formula>1</formula>
    </cfRule>
  </conditionalFormatting>
  <conditionalFormatting sqref="R83">
    <cfRule type="cellIs" dxfId="8234" priority="1716" operator="greaterThan">
      <formula>1</formula>
    </cfRule>
    <cfRule type="cellIs" dxfId="8233" priority="1717" operator="lessThan">
      <formula>0.8</formula>
    </cfRule>
  </conditionalFormatting>
  <conditionalFormatting sqref="Q83">
    <cfRule type="cellIs" dxfId="8232" priority="1708" operator="lessThan">
      <formula>0</formula>
    </cfRule>
  </conditionalFormatting>
  <conditionalFormatting sqref="R83">
    <cfRule type="cellIs" dxfId="8231" priority="1712" operator="lessThan">
      <formula>0.8</formula>
    </cfRule>
    <cfRule type="cellIs" dxfId="8230" priority="1713" operator="greaterThan">
      <formula>1</formula>
    </cfRule>
  </conditionalFormatting>
  <conditionalFormatting sqref="R83">
    <cfRule type="cellIs" dxfId="8229" priority="1710" operator="greaterThan">
      <formula>1</formula>
    </cfRule>
    <cfRule type="cellIs" dxfId="8228" priority="1711" operator="lessThan">
      <formula>0.8</formula>
    </cfRule>
  </conditionalFormatting>
  <conditionalFormatting sqref="P83">
    <cfRule type="cellIs" dxfId="8227" priority="1709" operator="greaterThan">
      <formula>0</formula>
    </cfRule>
  </conditionalFormatting>
  <conditionalFormatting sqref="Q83">
    <cfRule type="cellIs" dxfId="8226" priority="1707" operator="lessThan">
      <formula>0</formula>
    </cfRule>
  </conditionalFormatting>
  <conditionalFormatting sqref="R83">
    <cfRule type="cellIs" dxfId="8225" priority="1705" operator="lessThan">
      <formula>0.8</formula>
    </cfRule>
    <cfRule type="cellIs" dxfId="8224" priority="1706" operator="greaterThan">
      <formula>1</formula>
    </cfRule>
  </conditionalFormatting>
  <conditionalFormatting sqref="R83">
    <cfRule type="cellIs" dxfId="8223" priority="1703" operator="greaterThan">
      <formula>1</formula>
    </cfRule>
    <cfRule type="cellIs" dxfId="8222" priority="1704" operator="lessThan">
      <formula>0.8</formula>
    </cfRule>
  </conditionalFormatting>
  <conditionalFormatting sqref="P83">
    <cfRule type="cellIs" dxfId="8221" priority="1702" operator="greaterThan">
      <formula>0</formula>
    </cfRule>
  </conditionalFormatting>
  <conditionalFormatting sqref="Q83">
    <cfRule type="cellIs" dxfId="8220" priority="1701" operator="lessThan">
      <formula>0</formula>
    </cfRule>
  </conditionalFormatting>
  <conditionalFormatting sqref="R83">
    <cfRule type="cellIs" dxfId="8219" priority="1699" operator="lessThan">
      <formula>0.8</formula>
    </cfRule>
    <cfRule type="cellIs" dxfId="8218" priority="1700" operator="greaterThan">
      <formula>1</formula>
    </cfRule>
  </conditionalFormatting>
  <conditionalFormatting sqref="R83">
    <cfRule type="cellIs" dxfId="8217" priority="1697" operator="greaterThan">
      <formula>1</formula>
    </cfRule>
    <cfRule type="cellIs" dxfId="8216" priority="1698" operator="lessThan">
      <formula>0.8</formula>
    </cfRule>
  </conditionalFormatting>
  <conditionalFormatting sqref="P83">
    <cfRule type="cellIs" dxfId="8215" priority="1696" operator="greaterThan">
      <formula>0</formula>
    </cfRule>
  </conditionalFormatting>
  <conditionalFormatting sqref="Q83">
    <cfRule type="cellIs" dxfId="8214" priority="1695" operator="lessThan">
      <formula>0</formula>
    </cfRule>
  </conditionalFormatting>
  <conditionalFormatting sqref="R83">
    <cfRule type="cellIs" dxfId="8213" priority="1693" operator="lessThan">
      <formula>0.8</formula>
    </cfRule>
    <cfRule type="cellIs" dxfId="8212" priority="1694" operator="greaterThan">
      <formula>1</formula>
    </cfRule>
  </conditionalFormatting>
  <conditionalFormatting sqref="R83">
    <cfRule type="cellIs" dxfId="8211" priority="1691" operator="greaterThan">
      <formula>1</formula>
    </cfRule>
    <cfRule type="cellIs" dxfId="8210" priority="1692" operator="lessThan">
      <formula>0.8</formula>
    </cfRule>
  </conditionalFormatting>
  <conditionalFormatting sqref="P83">
    <cfRule type="cellIs" dxfId="8209" priority="1690" operator="greaterThan">
      <formula>0</formula>
    </cfRule>
  </conditionalFormatting>
  <conditionalFormatting sqref="Q32:Q39">
    <cfRule type="cellIs" dxfId="8208" priority="1684" operator="lessThan">
      <formula>0</formula>
    </cfRule>
  </conditionalFormatting>
  <conditionalFormatting sqref="P32:P39">
    <cfRule type="cellIs" dxfId="8207" priority="1685" operator="greaterThan">
      <formula>0</formula>
    </cfRule>
  </conditionalFormatting>
  <conditionalFormatting sqref="R32:R39">
    <cfRule type="cellIs" dxfId="8206" priority="1688" operator="lessThan">
      <formula>0.8</formula>
    </cfRule>
    <cfRule type="cellIs" dxfId="8205" priority="1689" operator="greaterThan">
      <formula>1</formula>
    </cfRule>
  </conditionalFormatting>
  <conditionalFormatting sqref="R32:R39">
    <cfRule type="cellIs" dxfId="8204" priority="1686" operator="greaterThan">
      <formula>1</formula>
    </cfRule>
    <cfRule type="cellIs" dxfId="8203" priority="1687" operator="lessThan">
      <formula>0.8</formula>
    </cfRule>
  </conditionalFormatting>
  <conditionalFormatting sqref="Q32:Q39">
    <cfRule type="cellIs" dxfId="8202" priority="1678" operator="lessThan">
      <formula>0</formula>
    </cfRule>
  </conditionalFormatting>
  <conditionalFormatting sqref="R32:R39">
    <cfRule type="cellIs" dxfId="8201" priority="1682" operator="lessThan">
      <formula>0.8</formula>
    </cfRule>
    <cfRule type="cellIs" dxfId="8200" priority="1683" operator="greaterThan">
      <formula>1</formula>
    </cfRule>
  </conditionalFormatting>
  <conditionalFormatting sqref="R32:R39">
    <cfRule type="cellIs" dxfId="8199" priority="1680" operator="greaterThan">
      <formula>1</formula>
    </cfRule>
    <cfRule type="cellIs" dxfId="8198" priority="1681" operator="lessThan">
      <formula>0.8</formula>
    </cfRule>
  </conditionalFormatting>
  <conditionalFormatting sqref="P32:P39">
    <cfRule type="cellIs" dxfId="8197" priority="1679" operator="greaterThan">
      <formula>0</formula>
    </cfRule>
  </conditionalFormatting>
  <conditionalFormatting sqref="Q32:Q39">
    <cfRule type="cellIs" dxfId="8196" priority="1677" operator="lessThan">
      <formula>0</formula>
    </cfRule>
  </conditionalFormatting>
  <conditionalFormatting sqref="R32:R39">
    <cfRule type="cellIs" dxfId="8195" priority="1675" operator="lessThan">
      <formula>0.8</formula>
    </cfRule>
    <cfRule type="cellIs" dxfId="8194" priority="1676" operator="greaterThan">
      <formula>1</formula>
    </cfRule>
  </conditionalFormatting>
  <conditionalFormatting sqref="R32:R39">
    <cfRule type="cellIs" dxfId="8193" priority="1673" operator="greaterThan">
      <formula>1</formula>
    </cfRule>
    <cfRule type="cellIs" dxfId="8192" priority="1674" operator="lessThan">
      <formula>0.8</formula>
    </cfRule>
  </conditionalFormatting>
  <conditionalFormatting sqref="P32:P39">
    <cfRule type="cellIs" dxfId="8191" priority="1672" operator="greaterThan">
      <formula>0</formula>
    </cfRule>
  </conditionalFormatting>
  <conditionalFormatting sqref="Q32:Q39">
    <cfRule type="cellIs" dxfId="8190" priority="1671" operator="lessThan">
      <formula>0</formula>
    </cfRule>
  </conditionalFormatting>
  <conditionalFormatting sqref="R32:R39">
    <cfRule type="cellIs" dxfId="8189" priority="1669" operator="lessThan">
      <formula>0.8</formula>
    </cfRule>
    <cfRule type="cellIs" dxfId="8188" priority="1670" operator="greaterThan">
      <formula>1</formula>
    </cfRule>
  </conditionalFormatting>
  <conditionalFormatting sqref="R32:R39">
    <cfRule type="cellIs" dxfId="8187" priority="1667" operator="greaterThan">
      <formula>1</formula>
    </cfRule>
    <cfRule type="cellIs" dxfId="8186" priority="1668" operator="lessThan">
      <formula>0.8</formula>
    </cfRule>
  </conditionalFormatting>
  <conditionalFormatting sqref="P32:P39">
    <cfRule type="cellIs" dxfId="8185" priority="1666" operator="greaterThan">
      <formula>0</formula>
    </cfRule>
  </conditionalFormatting>
  <conditionalFormatting sqref="Q32:Q39">
    <cfRule type="cellIs" dxfId="8184" priority="1660" operator="lessThan">
      <formula>0</formula>
    </cfRule>
  </conditionalFormatting>
  <conditionalFormatting sqref="R32:R39">
    <cfRule type="cellIs" dxfId="8183" priority="1664" operator="lessThan">
      <formula>0.8</formula>
    </cfRule>
    <cfRule type="cellIs" dxfId="8182" priority="1665" operator="greaterThan">
      <formula>1</formula>
    </cfRule>
  </conditionalFormatting>
  <conditionalFormatting sqref="R32:R39">
    <cfRule type="cellIs" dxfId="8181" priority="1662" operator="greaterThan">
      <formula>1</formula>
    </cfRule>
    <cfRule type="cellIs" dxfId="8180" priority="1663" operator="lessThan">
      <formula>0.8</formula>
    </cfRule>
  </conditionalFormatting>
  <conditionalFormatting sqref="P32:P39">
    <cfRule type="cellIs" dxfId="8179" priority="1661" operator="greaterThan">
      <formula>0</formula>
    </cfRule>
  </conditionalFormatting>
  <conditionalFormatting sqref="Q32:Q39">
    <cfRule type="cellIs" dxfId="8178" priority="1659" operator="lessThan">
      <formula>0</formula>
    </cfRule>
  </conditionalFormatting>
  <conditionalFormatting sqref="R32:R39">
    <cfRule type="cellIs" dxfId="8177" priority="1657" operator="lessThan">
      <formula>0.8</formula>
    </cfRule>
    <cfRule type="cellIs" dxfId="8176" priority="1658" operator="greaterThan">
      <formula>1</formula>
    </cfRule>
  </conditionalFormatting>
  <conditionalFormatting sqref="R32:R39">
    <cfRule type="cellIs" dxfId="8175" priority="1655" operator="greaterThan">
      <formula>1</formula>
    </cfRule>
    <cfRule type="cellIs" dxfId="8174" priority="1656" operator="lessThan">
      <formula>0.8</formula>
    </cfRule>
  </conditionalFormatting>
  <conditionalFormatting sqref="P32:P39">
    <cfRule type="cellIs" dxfId="8173" priority="1654" operator="greaterThan">
      <formula>0</formula>
    </cfRule>
  </conditionalFormatting>
  <conditionalFormatting sqref="Q32:Q39">
    <cfRule type="cellIs" dxfId="8172" priority="1653" operator="lessThan">
      <formula>0</formula>
    </cfRule>
  </conditionalFormatting>
  <conditionalFormatting sqref="R32:R39">
    <cfRule type="cellIs" dxfId="8171" priority="1651" operator="lessThan">
      <formula>0.8</formula>
    </cfRule>
    <cfRule type="cellIs" dxfId="8170" priority="1652" operator="greaterThan">
      <formula>1</formula>
    </cfRule>
  </conditionalFormatting>
  <conditionalFormatting sqref="R32:R39">
    <cfRule type="cellIs" dxfId="8169" priority="1649" operator="greaterThan">
      <formula>1</formula>
    </cfRule>
    <cfRule type="cellIs" dxfId="8168" priority="1650" operator="lessThan">
      <formula>0.8</formula>
    </cfRule>
  </conditionalFormatting>
  <conditionalFormatting sqref="P32:P39">
    <cfRule type="cellIs" dxfId="8167" priority="1648" operator="greaterThan">
      <formula>0</formula>
    </cfRule>
  </conditionalFormatting>
  <conditionalFormatting sqref="Q32:Q39">
    <cfRule type="cellIs" dxfId="8166" priority="1647" operator="lessThan">
      <formula>0</formula>
    </cfRule>
  </conditionalFormatting>
  <conditionalFormatting sqref="R32:R39">
    <cfRule type="cellIs" dxfId="8165" priority="1645" operator="lessThan">
      <formula>0.8</formula>
    </cfRule>
    <cfRule type="cellIs" dxfId="8164" priority="1646" operator="greaterThan">
      <formula>1</formula>
    </cfRule>
  </conditionalFormatting>
  <conditionalFormatting sqref="R32:R39">
    <cfRule type="cellIs" dxfId="8163" priority="1643" operator="greaterThan">
      <formula>1</formula>
    </cfRule>
    <cfRule type="cellIs" dxfId="8162" priority="1644" operator="lessThan">
      <formula>0.8</formula>
    </cfRule>
  </conditionalFormatting>
  <conditionalFormatting sqref="P32:P39">
    <cfRule type="cellIs" dxfId="8161" priority="1642" operator="greaterThan">
      <formula>0</formula>
    </cfRule>
  </conditionalFormatting>
  <conditionalFormatting sqref="Q32:Q39">
    <cfRule type="cellIs" dxfId="8160" priority="1641" operator="lessThan">
      <formula>0</formula>
    </cfRule>
  </conditionalFormatting>
  <conditionalFormatting sqref="R32:R39">
    <cfRule type="cellIs" dxfId="8159" priority="1639" operator="lessThan">
      <formula>0.8</formula>
    </cfRule>
    <cfRule type="cellIs" dxfId="8158" priority="1640" operator="greaterThan">
      <formula>1</formula>
    </cfRule>
  </conditionalFormatting>
  <conditionalFormatting sqref="R32:R39">
    <cfRule type="cellIs" dxfId="8157" priority="1637" operator="greaterThan">
      <formula>1</formula>
    </cfRule>
    <cfRule type="cellIs" dxfId="8156" priority="1638" operator="lessThan">
      <formula>0.8</formula>
    </cfRule>
  </conditionalFormatting>
  <conditionalFormatting sqref="P32:P39">
    <cfRule type="cellIs" dxfId="8155" priority="1636" operator="greaterThan">
      <formula>0</formula>
    </cfRule>
  </conditionalFormatting>
  <conditionalFormatting sqref="Q32:Q39">
    <cfRule type="cellIs" dxfId="8154" priority="1635" operator="lessThan">
      <formula>0</formula>
    </cfRule>
  </conditionalFormatting>
  <conditionalFormatting sqref="R32:R39">
    <cfRule type="cellIs" dxfId="8153" priority="1633" operator="lessThan">
      <formula>0.8</formula>
    </cfRule>
    <cfRule type="cellIs" dxfId="8152" priority="1634" operator="greaterThan">
      <formula>1</formula>
    </cfRule>
  </conditionalFormatting>
  <conditionalFormatting sqref="R32:R39">
    <cfRule type="cellIs" dxfId="8151" priority="1631" operator="greaterThan">
      <formula>1</formula>
    </cfRule>
    <cfRule type="cellIs" dxfId="8150" priority="1632" operator="lessThan">
      <formula>0.8</formula>
    </cfRule>
  </conditionalFormatting>
  <conditionalFormatting sqref="P32:P39">
    <cfRule type="cellIs" dxfId="8149" priority="1630" operator="greaterThan">
      <formula>0</formula>
    </cfRule>
  </conditionalFormatting>
  <conditionalFormatting sqref="P32:P39">
    <cfRule type="cellIs" dxfId="8148" priority="1624" operator="greaterThan">
      <formula>0</formula>
    </cfRule>
  </conditionalFormatting>
  <conditionalFormatting sqref="Q32:Q39">
    <cfRule type="cellIs" dxfId="8147" priority="1629" operator="lessThan">
      <formula>0</formula>
    </cfRule>
  </conditionalFormatting>
  <conditionalFormatting sqref="R32:R39">
    <cfRule type="cellIs" dxfId="8146" priority="1627" operator="lessThan">
      <formula>0.8</formula>
    </cfRule>
    <cfRule type="cellIs" dxfId="8145" priority="1628" operator="greaterThan">
      <formula>1</formula>
    </cfRule>
  </conditionalFormatting>
  <conditionalFormatting sqref="R32:R39">
    <cfRule type="cellIs" dxfId="8144" priority="1625" operator="greaterThan">
      <formula>1</formula>
    </cfRule>
    <cfRule type="cellIs" dxfId="8143" priority="1626" operator="lessThan">
      <formula>0.8</formula>
    </cfRule>
  </conditionalFormatting>
  <conditionalFormatting sqref="P32:P39">
    <cfRule type="cellIs" dxfId="8142" priority="1618" operator="greaterThan">
      <formula>0</formula>
    </cfRule>
  </conditionalFormatting>
  <conditionalFormatting sqref="Q32:Q39">
    <cfRule type="cellIs" dxfId="8141" priority="1623" operator="lessThan">
      <formula>0</formula>
    </cfRule>
  </conditionalFormatting>
  <conditionalFormatting sqref="R32:R39">
    <cfRule type="cellIs" dxfId="8140" priority="1621" operator="lessThan">
      <formula>0.8</formula>
    </cfRule>
    <cfRule type="cellIs" dxfId="8139" priority="1622" operator="greaterThan">
      <formula>1</formula>
    </cfRule>
  </conditionalFormatting>
  <conditionalFormatting sqref="R32:R39">
    <cfRule type="cellIs" dxfId="8138" priority="1619" operator="greaterThan">
      <formula>1</formula>
    </cfRule>
    <cfRule type="cellIs" dxfId="8137" priority="1620" operator="lessThan">
      <formula>0.8</formula>
    </cfRule>
  </conditionalFormatting>
  <conditionalFormatting sqref="R32:R39">
    <cfRule type="cellIs" dxfId="8136" priority="1615" operator="lessThan">
      <formula>0.8</formula>
    </cfRule>
    <cfRule type="cellIs" dxfId="8135" priority="1616" operator="greaterThan">
      <formula>1</formula>
    </cfRule>
  </conditionalFormatting>
  <conditionalFormatting sqref="R32:R39">
    <cfRule type="cellIs" dxfId="8134" priority="1613" operator="greaterThan">
      <formula>1</formula>
    </cfRule>
    <cfRule type="cellIs" dxfId="8133" priority="1614" operator="lessThan">
      <formula>0.8</formula>
    </cfRule>
  </conditionalFormatting>
  <conditionalFormatting sqref="P32:P39">
    <cfRule type="cellIs" dxfId="8132" priority="1612" operator="greaterThan">
      <formula>0</formula>
    </cfRule>
  </conditionalFormatting>
  <conditionalFormatting sqref="Q32:Q39">
    <cfRule type="cellIs" dxfId="8131" priority="1617" operator="lessThan">
      <formula>0</formula>
    </cfRule>
  </conditionalFormatting>
  <conditionalFormatting sqref="Q32:Q39">
    <cfRule type="cellIs" dxfId="8130" priority="1606" operator="lessThan">
      <formula>0</formula>
    </cfRule>
  </conditionalFormatting>
  <conditionalFormatting sqref="P32:P39">
    <cfRule type="cellIs" dxfId="8129" priority="1607" operator="greaterThan">
      <formula>0</formula>
    </cfRule>
  </conditionalFormatting>
  <conditionalFormatting sqref="R32:R39">
    <cfRule type="cellIs" dxfId="8128" priority="1610" operator="lessThan">
      <formula>0.8</formula>
    </cfRule>
    <cfRule type="cellIs" dxfId="8127" priority="1611" operator="greaterThan">
      <formula>1</formula>
    </cfRule>
  </conditionalFormatting>
  <conditionalFormatting sqref="R32:R39">
    <cfRule type="cellIs" dxfId="8126" priority="1608" operator="greaterThan">
      <formula>1</formula>
    </cfRule>
    <cfRule type="cellIs" dxfId="8125" priority="1609" operator="lessThan">
      <formula>0.8</formula>
    </cfRule>
  </conditionalFormatting>
  <conditionalFormatting sqref="Q32:Q39">
    <cfRule type="cellIs" dxfId="8124" priority="1600" operator="lessThan">
      <formula>0</formula>
    </cfRule>
  </conditionalFormatting>
  <conditionalFormatting sqref="R32:R39">
    <cfRule type="cellIs" dxfId="8123" priority="1604" operator="lessThan">
      <formula>0.8</formula>
    </cfRule>
    <cfRule type="cellIs" dxfId="8122" priority="1605" operator="greaterThan">
      <formula>1</formula>
    </cfRule>
  </conditionalFormatting>
  <conditionalFormatting sqref="R32:R39">
    <cfRule type="cellIs" dxfId="8121" priority="1602" operator="greaterThan">
      <formula>1</formula>
    </cfRule>
    <cfRule type="cellIs" dxfId="8120" priority="1603" operator="lessThan">
      <formula>0.8</formula>
    </cfRule>
  </conditionalFormatting>
  <conditionalFormatting sqref="P32:P39">
    <cfRule type="cellIs" dxfId="8119" priority="1601" operator="greaterThan">
      <formula>0</formula>
    </cfRule>
  </conditionalFormatting>
  <conditionalFormatting sqref="Q32:Q39">
    <cfRule type="cellIs" dxfId="8118" priority="1599" operator="lessThan">
      <formula>0</formula>
    </cfRule>
  </conditionalFormatting>
  <conditionalFormatting sqref="R32:R39">
    <cfRule type="cellIs" dxfId="8117" priority="1597" operator="lessThan">
      <formula>0.8</formula>
    </cfRule>
    <cfRule type="cellIs" dxfId="8116" priority="1598" operator="greaterThan">
      <formula>1</formula>
    </cfRule>
  </conditionalFormatting>
  <conditionalFormatting sqref="R32:R39">
    <cfRule type="cellIs" dxfId="8115" priority="1595" operator="greaterThan">
      <formula>1</formula>
    </cfRule>
    <cfRule type="cellIs" dxfId="8114" priority="1596" operator="lessThan">
      <formula>0.8</formula>
    </cfRule>
  </conditionalFormatting>
  <conditionalFormatting sqref="P32:P39">
    <cfRule type="cellIs" dxfId="8113" priority="1594" operator="greaterThan">
      <formula>0</formula>
    </cfRule>
  </conditionalFormatting>
  <conditionalFormatting sqref="Q32:Q39">
    <cfRule type="cellIs" dxfId="8112" priority="1593" operator="lessThan">
      <formula>0</formula>
    </cfRule>
  </conditionalFormatting>
  <conditionalFormatting sqref="R32:R39">
    <cfRule type="cellIs" dxfId="8111" priority="1591" operator="lessThan">
      <formula>0.8</formula>
    </cfRule>
    <cfRule type="cellIs" dxfId="8110" priority="1592" operator="greaterThan">
      <formula>1</formula>
    </cfRule>
  </conditionalFormatting>
  <conditionalFormatting sqref="R32:R39">
    <cfRule type="cellIs" dxfId="8109" priority="1589" operator="greaterThan">
      <formula>1</formula>
    </cfRule>
    <cfRule type="cellIs" dxfId="8108" priority="1590" operator="lessThan">
      <formula>0.8</formula>
    </cfRule>
  </conditionalFormatting>
  <conditionalFormatting sqref="P32:P39">
    <cfRule type="cellIs" dxfId="8107" priority="1588" operator="greaterThan">
      <formula>0</formula>
    </cfRule>
  </conditionalFormatting>
  <conditionalFormatting sqref="Q32:Q39">
    <cfRule type="cellIs" dxfId="8106" priority="1582" operator="lessThan">
      <formula>0</formula>
    </cfRule>
  </conditionalFormatting>
  <conditionalFormatting sqref="P32:P39">
    <cfRule type="cellIs" dxfId="8105" priority="1583" operator="greaterThan">
      <formula>0</formula>
    </cfRule>
  </conditionalFormatting>
  <conditionalFormatting sqref="R32:R39">
    <cfRule type="cellIs" dxfId="8104" priority="1586" operator="lessThan">
      <formula>0.8</formula>
    </cfRule>
    <cfRule type="cellIs" dxfId="8103" priority="1587" operator="greaterThan">
      <formula>1</formula>
    </cfRule>
  </conditionalFormatting>
  <conditionalFormatting sqref="R32:R39">
    <cfRule type="cellIs" dxfId="8102" priority="1584" operator="greaterThan">
      <formula>1</formula>
    </cfRule>
    <cfRule type="cellIs" dxfId="8101" priority="1585" operator="lessThan">
      <formula>0.8</formula>
    </cfRule>
  </conditionalFormatting>
  <conditionalFormatting sqref="Q32:Q39">
    <cfRule type="cellIs" dxfId="8100" priority="1576" operator="lessThan">
      <formula>0</formula>
    </cfRule>
  </conditionalFormatting>
  <conditionalFormatting sqref="R32:R39">
    <cfRule type="cellIs" dxfId="8099" priority="1580" operator="lessThan">
      <formula>0.8</formula>
    </cfRule>
    <cfRule type="cellIs" dxfId="8098" priority="1581" operator="greaterThan">
      <formula>1</formula>
    </cfRule>
  </conditionalFormatting>
  <conditionalFormatting sqref="R32:R39">
    <cfRule type="cellIs" dxfId="8097" priority="1578" operator="greaterThan">
      <formula>1</formula>
    </cfRule>
    <cfRule type="cellIs" dxfId="8096" priority="1579" operator="lessThan">
      <formula>0.8</formula>
    </cfRule>
  </conditionalFormatting>
  <conditionalFormatting sqref="P32:P39">
    <cfRule type="cellIs" dxfId="8095" priority="1577" operator="greaterThan">
      <formula>0</formula>
    </cfRule>
  </conditionalFormatting>
  <conditionalFormatting sqref="Q32:Q39">
    <cfRule type="cellIs" dxfId="8094" priority="1575" operator="lessThan">
      <formula>0</formula>
    </cfRule>
  </conditionalFormatting>
  <conditionalFormatting sqref="R32:R39">
    <cfRule type="cellIs" dxfId="8093" priority="1573" operator="lessThan">
      <formula>0.8</formula>
    </cfRule>
    <cfRule type="cellIs" dxfId="8092" priority="1574" operator="greaterThan">
      <formula>1</formula>
    </cfRule>
  </conditionalFormatting>
  <conditionalFormatting sqref="R32:R39">
    <cfRule type="cellIs" dxfId="8091" priority="1571" operator="greaterThan">
      <formula>1</formula>
    </cfRule>
    <cfRule type="cellIs" dxfId="8090" priority="1572" operator="lessThan">
      <formula>0.8</formula>
    </cfRule>
  </conditionalFormatting>
  <conditionalFormatting sqref="P32:P39">
    <cfRule type="cellIs" dxfId="8089" priority="1570" operator="greaterThan">
      <formula>0</formula>
    </cfRule>
  </conditionalFormatting>
  <conditionalFormatting sqref="Q32:Q39">
    <cfRule type="cellIs" dxfId="8088" priority="1569" operator="lessThan">
      <formula>0</formula>
    </cfRule>
  </conditionalFormatting>
  <conditionalFormatting sqref="R32:R39">
    <cfRule type="cellIs" dxfId="8087" priority="1567" operator="lessThan">
      <formula>0.8</formula>
    </cfRule>
    <cfRule type="cellIs" dxfId="8086" priority="1568" operator="greaterThan">
      <formula>1</formula>
    </cfRule>
  </conditionalFormatting>
  <conditionalFormatting sqref="R32:R39">
    <cfRule type="cellIs" dxfId="8085" priority="1565" operator="greaterThan">
      <formula>1</formula>
    </cfRule>
    <cfRule type="cellIs" dxfId="8084" priority="1566" operator="lessThan">
      <formula>0.8</formula>
    </cfRule>
  </conditionalFormatting>
  <conditionalFormatting sqref="P32:P39">
    <cfRule type="cellIs" dxfId="8083" priority="1564" operator="greaterThan">
      <formula>0</formula>
    </cfRule>
  </conditionalFormatting>
  <conditionalFormatting sqref="Q19:Q25">
    <cfRule type="cellIs" dxfId="8082" priority="1563" operator="lessThan">
      <formula>0</formula>
    </cfRule>
  </conditionalFormatting>
  <conditionalFormatting sqref="R19:R25">
    <cfRule type="cellIs" dxfId="8081" priority="1561" operator="lessThan">
      <formula>0.8</formula>
    </cfRule>
    <cfRule type="cellIs" dxfId="8080" priority="1562" operator="greaterThan">
      <formula>1</formula>
    </cfRule>
  </conditionalFormatting>
  <conditionalFormatting sqref="R19:R25">
    <cfRule type="cellIs" dxfId="8079" priority="1559" operator="greaterThan">
      <formula>1</formula>
    </cfRule>
    <cfRule type="cellIs" dxfId="8078" priority="1560" operator="lessThan">
      <formula>0.8</formula>
    </cfRule>
  </conditionalFormatting>
  <conditionalFormatting sqref="P19:P25">
    <cfRule type="cellIs" dxfId="8077" priority="1558" operator="greaterThan">
      <formula>0</formula>
    </cfRule>
  </conditionalFormatting>
  <conditionalFormatting sqref="R19:R25">
    <cfRule type="cellIs" dxfId="8076" priority="1555" operator="lessThan">
      <formula>0.8</formula>
    </cfRule>
    <cfRule type="cellIs" dxfId="8075" priority="1556" operator="greaterThan">
      <formula>1</formula>
    </cfRule>
  </conditionalFormatting>
  <conditionalFormatting sqref="R19:R25">
    <cfRule type="cellIs" dxfId="8074" priority="1553" operator="greaterThan">
      <formula>1</formula>
    </cfRule>
    <cfRule type="cellIs" dxfId="8073" priority="1554" operator="lessThan">
      <formula>0.8</formula>
    </cfRule>
  </conditionalFormatting>
  <conditionalFormatting sqref="P19:P25">
    <cfRule type="cellIs" dxfId="8072" priority="1552" operator="greaterThan">
      <formula>0</formula>
    </cfRule>
  </conditionalFormatting>
  <conditionalFormatting sqref="Q19:Q25">
    <cfRule type="cellIs" dxfId="8071" priority="1557" operator="lessThan">
      <formula>0</formula>
    </cfRule>
  </conditionalFormatting>
  <conditionalFormatting sqref="R19:R25">
    <cfRule type="cellIs" dxfId="8070" priority="1549" operator="lessThan">
      <formula>0.8</formula>
    </cfRule>
    <cfRule type="cellIs" dxfId="8069" priority="1550" operator="greaterThan">
      <formula>1</formula>
    </cfRule>
  </conditionalFormatting>
  <conditionalFormatting sqref="R19:R25">
    <cfRule type="cellIs" dxfId="8068" priority="1547" operator="greaterThan">
      <formula>1</formula>
    </cfRule>
    <cfRule type="cellIs" dxfId="8067" priority="1548" operator="lessThan">
      <formula>0.8</formula>
    </cfRule>
  </conditionalFormatting>
  <conditionalFormatting sqref="P19:P25">
    <cfRule type="cellIs" dxfId="8066" priority="1546" operator="greaterThan">
      <formula>0</formula>
    </cfRule>
  </conditionalFormatting>
  <conditionalFormatting sqref="Q19:Q25">
    <cfRule type="cellIs" dxfId="8065" priority="1551" operator="lessThan">
      <formula>0</formula>
    </cfRule>
  </conditionalFormatting>
  <conditionalFormatting sqref="Q19:Q25">
    <cfRule type="cellIs" dxfId="8064" priority="1545" operator="lessThan">
      <formula>0</formula>
    </cfRule>
  </conditionalFormatting>
  <conditionalFormatting sqref="R19:R25">
    <cfRule type="cellIs" dxfId="8063" priority="1543" operator="lessThan">
      <formula>0.8</formula>
    </cfRule>
    <cfRule type="cellIs" dxfId="8062" priority="1544" operator="greaterThan">
      <formula>1</formula>
    </cfRule>
  </conditionalFormatting>
  <conditionalFormatting sqref="R19:R25">
    <cfRule type="cellIs" dxfId="8061" priority="1541" operator="greaterThan">
      <formula>1</formula>
    </cfRule>
    <cfRule type="cellIs" dxfId="8060" priority="1542" operator="lessThan">
      <formula>0.8</formula>
    </cfRule>
  </conditionalFormatting>
  <conditionalFormatting sqref="P19:P25">
    <cfRule type="cellIs" dxfId="8059" priority="1540" operator="greaterThan">
      <formula>0</formula>
    </cfRule>
  </conditionalFormatting>
  <conditionalFormatting sqref="Q135:Q136">
    <cfRule type="cellIs" dxfId="8058" priority="1539" operator="lessThan">
      <formula>0</formula>
    </cfRule>
  </conditionalFormatting>
  <conditionalFormatting sqref="R135:R136 R139:R142">
    <cfRule type="cellIs" dxfId="8057" priority="1537" operator="lessThan">
      <formula>0.8</formula>
    </cfRule>
    <cfRule type="cellIs" dxfId="8056" priority="1538" operator="greaterThan">
      <formula>1</formula>
    </cfRule>
  </conditionalFormatting>
  <conditionalFormatting sqref="R135:R136 R139:R142">
    <cfRule type="cellIs" dxfId="8055" priority="1535" operator="greaterThan">
      <formula>1</formula>
    </cfRule>
    <cfRule type="cellIs" dxfId="8054" priority="1536" operator="lessThan">
      <formula>0.8</formula>
    </cfRule>
  </conditionalFormatting>
  <conditionalFormatting sqref="P135:P136 P139 P142">
    <cfRule type="cellIs" dxfId="8053" priority="1534" operator="greaterThan">
      <formula>0</formula>
    </cfRule>
  </conditionalFormatting>
  <conditionalFormatting sqref="P135:P136 P139 P142">
    <cfRule type="cellIs" dxfId="8052" priority="1528" operator="greaterThan">
      <formula>0</formula>
    </cfRule>
  </conditionalFormatting>
  <conditionalFormatting sqref="Q135:Q136">
    <cfRule type="cellIs" dxfId="8051" priority="1533" operator="lessThan">
      <formula>0</formula>
    </cfRule>
  </conditionalFormatting>
  <conditionalFormatting sqref="R135:R136 R139:R142">
    <cfRule type="cellIs" dxfId="8050" priority="1531" operator="lessThan">
      <formula>0.8</formula>
    </cfRule>
    <cfRule type="cellIs" dxfId="8049" priority="1532" operator="greaterThan">
      <formula>1</formula>
    </cfRule>
  </conditionalFormatting>
  <conditionalFormatting sqref="R135:R136 R139:R142">
    <cfRule type="cellIs" dxfId="8048" priority="1529" operator="greaterThan">
      <formula>1</formula>
    </cfRule>
    <cfRule type="cellIs" dxfId="8047" priority="1530" operator="lessThan">
      <formula>0.8</formula>
    </cfRule>
  </conditionalFormatting>
  <conditionalFormatting sqref="P19:P25">
    <cfRule type="cellIs" dxfId="8046" priority="1522" operator="greaterThan">
      <formula>0</formula>
    </cfRule>
  </conditionalFormatting>
  <conditionalFormatting sqref="Q19:Q25">
    <cfRule type="cellIs" dxfId="8045" priority="1527" operator="lessThan">
      <formula>0</formula>
    </cfRule>
  </conditionalFormatting>
  <conditionalFormatting sqref="R19:R25">
    <cfRule type="cellIs" dxfId="8044" priority="1525" operator="lessThan">
      <formula>0.8</formula>
    </cfRule>
    <cfRule type="cellIs" dxfId="8043" priority="1526" operator="greaterThan">
      <formula>1</formula>
    </cfRule>
  </conditionalFormatting>
  <conditionalFormatting sqref="R19:R25">
    <cfRule type="cellIs" dxfId="8042" priority="1523" operator="greaterThan">
      <formula>1</formula>
    </cfRule>
    <cfRule type="cellIs" dxfId="8041" priority="1524" operator="lessThan">
      <formula>0.8</formula>
    </cfRule>
  </conditionalFormatting>
  <conditionalFormatting sqref="Q19:Q25">
    <cfRule type="cellIs" dxfId="8040" priority="1521" operator="lessThan">
      <formula>0</formula>
    </cfRule>
  </conditionalFormatting>
  <conditionalFormatting sqref="R19:R25">
    <cfRule type="cellIs" dxfId="8039" priority="1519" operator="lessThan">
      <formula>0.8</formula>
    </cfRule>
    <cfRule type="cellIs" dxfId="8038" priority="1520" operator="greaterThan">
      <formula>1</formula>
    </cfRule>
  </conditionalFormatting>
  <conditionalFormatting sqref="R19:R25">
    <cfRule type="cellIs" dxfId="8037" priority="1517" operator="greaterThan">
      <formula>1</formula>
    </cfRule>
    <cfRule type="cellIs" dxfId="8036" priority="1518" operator="lessThan">
      <formula>0.8</formula>
    </cfRule>
  </conditionalFormatting>
  <conditionalFormatting sqref="P19:P25">
    <cfRule type="cellIs" dxfId="8035" priority="1516" operator="greaterThan">
      <formula>0</formula>
    </cfRule>
  </conditionalFormatting>
  <conditionalFormatting sqref="Q19:Q25">
    <cfRule type="cellIs" dxfId="8034" priority="1515" operator="lessThan">
      <formula>0</formula>
    </cfRule>
  </conditionalFormatting>
  <conditionalFormatting sqref="R19:R25">
    <cfRule type="cellIs" dxfId="8033" priority="1513" operator="lessThan">
      <formula>0.8</formula>
    </cfRule>
    <cfRule type="cellIs" dxfId="8032" priority="1514" operator="greaterThan">
      <formula>1</formula>
    </cfRule>
  </conditionalFormatting>
  <conditionalFormatting sqref="R19:R25">
    <cfRule type="cellIs" dxfId="8031" priority="1511" operator="greaterThan">
      <formula>1</formula>
    </cfRule>
    <cfRule type="cellIs" dxfId="8030" priority="1512" operator="lessThan">
      <formula>0.8</formula>
    </cfRule>
  </conditionalFormatting>
  <conditionalFormatting sqref="P19:P25">
    <cfRule type="cellIs" dxfId="8029" priority="1510" operator="greaterThan">
      <formula>0</formula>
    </cfRule>
  </conditionalFormatting>
  <conditionalFormatting sqref="Q19:Q25">
    <cfRule type="cellIs" dxfId="8028" priority="1509" operator="lessThan">
      <formula>0</formula>
    </cfRule>
  </conditionalFormatting>
  <conditionalFormatting sqref="R19:R25">
    <cfRule type="cellIs" dxfId="8027" priority="1507" operator="lessThan">
      <formula>0.8</formula>
    </cfRule>
    <cfRule type="cellIs" dxfId="8026" priority="1508" operator="greaterThan">
      <formula>1</formula>
    </cfRule>
  </conditionalFormatting>
  <conditionalFormatting sqref="R19:R25">
    <cfRule type="cellIs" dxfId="8025" priority="1505" operator="greaterThan">
      <formula>1</formula>
    </cfRule>
    <cfRule type="cellIs" dxfId="8024" priority="1506" operator="lessThan">
      <formula>0.8</formula>
    </cfRule>
  </conditionalFormatting>
  <conditionalFormatting sqref="P19:P25">
    <cfRule type="cellIs" dxfId="8023" priority="1504" operator="greaterThan">
      <formula>0</formula>
    </cfRule>
  </conditionalFormatting>
  <conditionalFormatting sqref="R19:R25">
    <cfRule type="cellIs" dxfId="8022" priority="1501" operator="lessThan">
      <formula>0.8</formula>
    </cfRule>
    <cfRule type="cellIs" dxfId="8021" priority="1502" operator="greaterThan">
      <formula>1</formula>
    </cfRule>
  </conditionalFormatting>
  <conditionalFormatting sqref="R19:R25">
    <cfRule type="cellIs" dxfId="8020" priority="1499" operator="greaterThan">
      <formula>1</formula>
    </cfRule>
    <cfRule type="cellIs" dxfId="8019" priority="1500" operator="lessThan">
      <formula>0.8</formula>
    </cfRule>
  </conditionalFormatting>
  <conditionalFormatting sqref="P19:P25">
    <cfRule type="cellIs" dxfId="8018" priority="1498" operator="greaterThan">
      <formula>0</formula>
    </cfRule>
  </conditionalFormatting>
  <conditionalFormatting sqref="Q19:Q25">
    <cfRule type="cellIs" dxfId="8017" priority="1503" operator="lessThan">
      <formula>0</formula>
    </cfRule>
  </conditionalFormatting>
  <conditionalFormatting sqref="Q19:Q25">
    <cfRule type="cellIs" dxfId="8016" priority="1497" operator="lessThan">
      <formula>0</formula>
    </cfRule>
  </conditionalFormatting>
  <conditionalFormatting sqref="R19:R25">
    <cfRule type="cellIs" dxfId="8015" priority="1495" operator="lessThan">
      <formula>0.8</formula>
    </cfRule>
    <cfRule type="cellIs" dxfId="8014" priority="1496" operator="greaterThan">
      <formula>1</formula>
    </cfRule>
  </conditionalFormatting>
  <conditionalFormatting sqref="R19:R25">
    <cfRule type="cellIs" dxfId="8013" priority="1493" operator="greaterThan">
      <formula>1</formula>
    </cfRule>
    <cfRule type="cellIs" dxfId="8012" priority="1494" operator="lessThan">
      <formula>0.8</formula>
    </cfRule>
  </conditionalFormatting>
  <conditionalFormatting sqref="P19:P25">
    <cfRule type="cellIs" dxfId="8011" priority="1492" operator="greaterThan">
      <formula>0</formula>
    </cfRule>
  </conditionalFormatting>
  <conditionalFormatting sqref="P19:P25">
    <cfRule type="cellIs" dxfId="8010" priority="1486" operator="greaterThan">
      <formula>0</formula>
    </cfRule>
  </conditionalFormatting>
  <conditionalFormatting sqref="Q19:Q25">
    <cfRule type="cellIs" dxfId="8009" priority="1491" operator="lessThan">
      <formula>0</formula>
    </cfRule>
  </conditionalFormatting>
  <conditionalFormatting sqref="R19:R25">
    <cfRule type="cellIs" dxfId="8008" priority="1489" operator="lessThan">
      <formula>0.8</formula>
    </cfRule>
    <cfRule type="cellIs" dxfId="8007" priority="1490" operator="greaterThan">
      <formula>1</formula>
    </cfRule>
  </conditionalFormatting>
  <conditionalFormatting sqref="R19:R25">
    <cfRule type="cellIs" dxfId="8006" priority="1487" operator="greaterThan">
      <formula>1</formula>
    </cfRule>
    <cfRule type="cellIs" dxfId="8005" priority="1488" operator="lessThan">
      <formula>0.8</formula>
    </cfRule>
  </conditionalFormatting>
  <conditionalFormatting sqref="P19:P25">
    <cfRule type="cellIs" dxfId="8004" priority="1480" operator="greaterThan">
      <formula>0</formula>
    </cfRule>
  </conditionalFormatting>
  <conditionalFormatting sqref="Q19:Q25">
    <cfRule type="cellIs" dxfId="8003" priority="1485" operator="lessThan">
      <formula>0</formula>
    </cfRule>
  </conditionalFormatting>
  <conditionalFormatting sqref="R19:R25">
    <cfRule type="cellIs" dxfId="8002" priority="1483" operator="lessThan">
      <formula>0.8</formula>
    </cfRule>
    <cfRule type="cellIs" dxfId="8001" priority="1484" operator="greaterThan">
      <formula>1</formula>
    </cfRule>
  </conditionalFormatting>
  <conditionalFormatting sqref="R19:R25">
    <cfRule type="cellIs" dxfId="8000" priority="1481" operator="greaterThan">
      <formula>1</formula>
    </cfRule>
    <cfRule type="cellIs" dxfId="7999" priority="1482" operator="lessThan">
      <formula>0.8</formula>
    </cfRule>
  </conditionalFormatting>
  <conditionalFormatting sqref="Q19:Q25">
    <cfRule type="cellIs" dxfId="7998" priority="1479" operator="lessThan">
      <formula>0</formula>
    </cfRule>
  </conditionalFormatting>
  <conditionalFormatting sqref="R19:R25">
    <cfRule type="cellIs" dxfId="7997" priority="1477" operator="lessThan">
      <formula>0.8</formula>
    </cfRule>
    <cfRule type="cellIs" dxfId="7996" priority="1478" operator="greaterThan">
      <formula>1</formula>
    </cfRule>
  </conditionalFormatting>
  <conditionalFormatting sqref="R19:R25">
    <cfRule type="cellIs" dxfId="7995" priority="1475" operator="greaterThan">
      <formula>1</formula>
    </cfRule>
    <cfRule type="cellIs" dxfId="7994" priority="1476" operator="lessThan">
      <formula>0.8</formula>
    </cfRule>
  </conditionalFormatting>
  <conditionalFormatting sqref="P19:P25">
    <cfRule type="cellIs" dxfId="7993" priority="1474" operator="greaterThan">
      <formula>0</formula>
    </cfRule>
  </conditionalFormatting>
  <conditionalFormatting sqref="Q19:Q25">
    <cfRule type="cellIs" dxfId="7992" priority="1473" operator="lessThan">
      <formula>0</formula>
    </cfRule>
  </conditionalFormatting>
  <conditionalFormatting sqref="R19:R25">
    <cfRule type="cellIs" dxfId="7991" priority="1471" operator="lessThan">
      <formula>0.8</formula>
    </cfRule>
    <cfRule type="cellIs" dxfId="7990" priority="1472" operator="greaterThan">
      <formula>1</formula>
    </cfRule>
  </conditionalFormatting>
  <conditionalFormatting sqref="R19:R25">
    <cfRule type="cellIs" dxfId="7989" priority="1469" operator="greaterThan">
      <formula>1</formula>
    </cfRule>
    <cfRule type="cellIs" dxfId="7988" priority="1470" operator="lessThan">
      <formula>0.8</formula>
    </cfRule>
  </conditionalFormatting>
  <conditionalFormatting sqref="P19:P25">
    <cfRule type="cellIs" dxfId="7987" priority="1468" operator="greaterThan">
      <formula>0</formula>
    </cfRule>
  </conditionalFormatting>
  <conditionalFormatting sqref="P19:P25">
    <cfRule type="cellIs" dxfId="7986" priority="1462" operator="greaterThan">
      <formula>0</formula>
    </cfRule>
  </conditionalFormatting>
  <conditionalFormatting sqref="Q19:Q25">
    <cfRule type="cellIs" dxfId="7985" priority="1467" operator="lessThan">
      <formula>0</formula>
    </cfRule>
  </conditionalFormatting>
  <conditionalFormatting sqref="R19:R25">
    <cfRule type="cellIs" dxfId="7984" priority="1465" operator="lessThan">
      <formula>0.8</formula>
    </cfRule>
    <cfRule type="cellIs" dxfId="7983" priority="1466" operator="greaterThan">
      <formula>1</formula>
    </cfRule>
  </conditionalFormatting>
  <conditionalFormatting sqref="R19:R25">
    <cfRule type="cellIs" dxfId="7982" priority="1463" operator="greaterThan">
      <formula>1</formula>
    </cfRule>
    <cfRule type="cellIs" dxfId="7981" priority="1464" operator="lessThan">
      <formula>0.8</formula>
    </cfRule>
  </conditionalFormatting>
  <conditionalFormatting sqref="Q19:Q25">
    <cfRule type="cellIs" dxfId="7980" priority="1461" operator="lessThan">
      <formula>0</formula>
    </cfRule>
  </conditionalFormatting>
  <conditionalFormatting sqref="R19:R25">
    <cfRule type="cellIs" dxfId="7979" priority="1459" operator="lessThan">
      <formula>0.8</formula>
    </cfRule>
    <cfRule type="cellIs" dxfId="7978" priority="1460" operator="greaterThan">
      <formula>1</formula>
    </cfRule>
  </conditionalFormatting>
  <conditionalFormatting sqref="R19:R25">
    <cfRule type="cellIs" dxfId="7977" priority="1457" operator="greaterThan">
      <formula>1</formula>
    </cfRule>
    <cfRule type="cellIs" dxfId="7976" priority="1458" operator="lessThan">
      <formula>0.8</formula>
    </cfRule>
  </conditionalFormatting>
  <conditionalFormatting sqref="P19:P25">
    <cfRule type="cellIs" dxfId="7975" priority="1456" operator="greaterThan">
      <formula>0</formula>
    </cfRule>
  </conditionalFormatting>
  <conditionalFormatting sqref="Q19:Q25">
    <cfRule type="cellIs" dxfId="7974" priority="1455" operator="lessThan">
      <formula>0</formula>
    </cfRule>
  </conditionalFormatting>
  <conditionalFormatting sqref="R19:R25">
    <cfRule type="cellIs" dxfId="7973" priority="1453" operator="lessThan">
      <formula>0.8</formula>
    </cfRule>
    <cfRule type="cellIs" dxfId="7972" priority="1454" operator="greaterThan">
      <formula>1</formula>
    </cfRule>
  </conditionalFormatting>
  <conditionalFormatting sqref="R19:R25">
    <cfRule type="cellIs" dxfId="7971" priority="1451" operator="greaterThan">
      <formula>1</formula>
    </cfRule>
    <cfRule type="cellIs" dxfId="7970" priority="1452" operator="lessThan">
      <formula>0.8</formula>
    </cfRule>
  </conditionalFormatting>
  <conditionalFormatting sqref="P19:P25">
    <cfRule type="cellIs" dxfId="7969" priority="1450" operator="greaterThan">
      <formula>0</formula>
    </cfRule>
  </conditionalFormatting>
  <conditionalFormatting sqref="Q19:Q25">
    <cfRule type="cellIs" dxfId="7968" priority="1449" operator="lessThan">
      <formula>0</formula>
    </cfRule>
  </conditionalFormatting>
  <conditionalFormatting sqref="R19:R25">
    <cfRule type="cellIs" dxfId="7967" priority="1447" operator="lessThan">
      <formula>0.8</formula>
    </cfRule>
    <cfRule type="cellIs" dxfId="7966" priority="1448" operator="greaterThan">
      <formula>1</formula>
    </cfRule>
  </conditionalFormatting>
  <conditionalFormatting sqref="R19:R25">
    <cfRule type="cellIs" dxfId="7965" priority="1445" operator="greaterThan">
      <formula>1</formula>
    </cfRule>
    <cfRule type="cellIs" dxfId="7964" priority="1446" operator="lessThan">
      <formula>0.8</formula>
    </cfRule>
  </conditionalFormatting>
  <conditionalFormatting sqref="P19:P25">
    <cfRule type="cellIs" dxfId="7963" priority="1444" operator="greaterThan">
      <formula>0</formula>
    </cfRule>
  </conditionalFormatting>
  <conditionalFormatting sqref="R19:R25">
    <cfRule type="cellIs" dxfId="7962" priority="1441" operator="lessThan">
      <formula>0.8</formula>
    </cfRule>
    <cfRule type="cellIs" dxfId="7961" priority="1442" operator="greaterThan">
      <formula>1</formula>
    </cfRule>
  </conditionalFormatting>
  <conditionalFormatting sqref="R19:R25">
    <cfRule type="cellIs" dxfId="7960" priority="1439" operator="greaterThan">
      <formula>1</formula>
    </cfRule>
    <cfRule type="cellIs" dxfId="7959" priority="1440" operator="lessThan">
      <formula>0.8</formula>
    </cfRule>
  </conditionalFormatting>
  <conditionalFormatting sqref="P19:P25">
    <cfRule type="cellIs" dxfId="7958" priority="1438" operator="greaterThan">
      <formula>0</formula>
    </cfRule>
  </conditionalFormatting>
  <conditionalFormatting sqref="Q19:Q25">
    <cfRule type="cellIs" dxfId="7957" priority="1443" operator="lessThan">
      <formula>0</formula>
    </cfRule>
  </conditionalFormatting>
  <conditionalFormatting sqref="Q40">
    <cfRule type="cellIs" dxfId="7956" priority="1437" operator="lessThan">
      <formula>0</formula>
    </cfRule>
  </conditionalFormatting>
  <conditionalFormatting sqref="R40">
    <cfRule type="cellIs" dxfId="7955" priority="1435" operator="lessThan">
      <formula>0.8</formula>
    </cfRule>
    <cfRule type="cellIs" dxfId="7954" priority="1436" operator="greaterThan">
      <formula>1</formula>
    </cfRule>
  </conditionalFormatting>
  <conditionalFormatting sqref="R40">
    <cfRule type="cellIs" dxfId="7953" priority="1433" operator="greaterThan">
      <formula>1</formula>
    </cfRule>
    <cfRule type="cellIs" dxfId="7952" priority="1434" operator="lessThan">
      <formula>0.8</formula>
    </cfRule>
  </conditionalFormatting>
  <conditionalFormatting sqref="P40">
    <cfRule type="cellIs" dxfId="7951" priority="1432" operator="greaterThan">
      <formula>0</formula>
    </cfRule>
  </conditionalFormatting>
  <conditionalFormatting sqref="P40">
    <cfRule type="cellIs" dxfId="7950" priority="1426" operator="greaterThan">
      <formula>0</formula>
    </cfRule>
  </conditionalFormatting>
  <conditionalFormatting sqref="Q40">
    <cfRule type="cellIs" dxfId="7949" priority="1431" operator="lessThan">
      <formula>0</formula>
    </cfRule>
  </conditionalFormatting>
  <conditionalFormatting sqref="R40">
    <cfRule type="cellIs" dxfId="7948" priority="1429" operator="lessThan">
      <formula>0.8</formula>
    </cfRule>
    <cfRule type="cellIs" dxfId="7947" priority="1430" operator="greaterThan">
      <formula>1</formula>
    </cfRule>
  </conditionalFormatting>
  <conditionalFormatting sqref="R40">
    <cfRule type="cellIs" dxfId="7946" priority="1427" operator="greaterThan">
      <formula>1</formula>
    </cfRule>
    <cfRule type="cellIs" dxfId="7945" priority="1428" operator="lessThan">
      <formula>0.8</formula>
    </cfRule>
  </conditionalFormatting>
  <conditionalFormatting sqref="P40">
    <cfRule type="cellIs" dxfId="7944" priority="1420" operator="greaterThan">
      <formula>0</formula>
    </cfRule>
  </conditionalFormatting>
  <conditionalFormatting sqref="Q40">
    <cfRule type="cellIs" dxfId="7943" priority="1425" operator="lessThan">
      <formula>0</formula>
    </cfRule>
  </conditionalFormatting>
  <conditionalFormatting sqref="R40">
    <cfRule type="cellIs" dxfId="7942" priority="1423" operator="lessThan">
      <formula>0.8</formula>
    </cfRule>
    <cfRule type="cellIs" dxfId="7941" priority="1424" operator="greaterThan">
      <formula>1</formula>
    </cfRule>
  </conditionalFormatting>
  <conditionalFormatting sqref="R40">
    <cfRule type="cellIs" dxfId="7940" priority="1421" operator="greaterThan">
      <formula>1</formula>
    </cfRule>
    <cfRule type="cellIs" dxfId="7939" priority="1422" operator="lessThan">
      <formula>0.8</formula>
    </cfRule>
  </conditionalFormatting>
  <conditionalFormatting sqref="Q40">
    <cfRule type="cellIs" dxfId="7938" priority="1419" operator="lessThan">
      <formula>0</formula>
    </cfRule>
  </conditionalFormatting>
  <conditionalFormatting sqref="R40">
    <cfRule type="cellIs" dxfId="7937" priority="1417" operator="lessThan">
      <formula>0.8</formula>
    </cfRule>
    <cfRule type="cellIs" dxfId="7936" priority="1418" operator="greaterThan">
      <formula>1</formula>
    </cfRule>
  </conditionalFormatting>
  <conditionalFormatting sqref="R40">
    <cfRule type="cellIs" dxfId="7935" priority="1415" operator="greaterThan">
      <formula>1</formula>
    </cfRule>
    <cfRule type="cellIs" dxfId="7934" priority="1416" operator="lessThan">
      <formula>0.8</formula>
    </cfRule>
  </conditionalFormatting>
  <conditionalFormatting sqref="P40">
    <cfRule type="cellIs" dxfId="7933" priority="1414" operator="greaterThan">
      <formula>0</formula>
    </cfRule>
  </conditionalFormatting>
  <conditionalFormatting sqref="P40">
    <cfRule type="cellIs" dxfId="7932" priority="1408" operator="greaterThan">
      <formula>0</formula>
    </cfRule>
  </conditionalFormatting>
  <conditionalFormatting sqref="Q40">
    <cfRule type="cellIs" dxfId="7931" priority="1413" operator="lessThan">
      <formula>0</formula>
    </cfRule>
  </conditionalFormatting>
  <conditionalFormatting sqref="R40">
    <cfRule type="cellIs" dxfId="7930" priority="1411" operator="lessThan">
      <formula>0.8</formula>
    </cfRule>
    <cfRule type="cellIs" dxfId="7929" priority="1412" operator="greaterThan">
      <formula>1</formula>
    </cfRule>
  </conditionalFormatting>
  <conditionalFormatting sqref="R40">
    <cfRule type="cellIs" dxfId="7928" priority="1409" operator="greaterThan">
      <formula>1</formula>
    </cfRule>
    <cfRule type="cellIs" dxfId="7927" priority="1410" operator="lessThan">
      <formula>0.8</formula>
    </cfRule>
  </conditionalFormatting>
  <conditionalFormatting sqref="P40">
    <cfRule type="cellIs" dxfId="7926" priority="1402" operator="greaterThan">
      <formula>0</formula>
    </cfRule>
  </conditionalFormatting>
  <conditionalFormatting sqref="Q40">
    <cfRule type="cellIs" dxfId="7925" priority="1407" operator="lessThan">
      <formula>0</formula>
    </cfRule>
  </conditionalFormatting>
  <conditionalFormatting sqref="R40">
    <cfRule type="cellIs" dxfId="7924" priority="1405" operator="lessThan">
      <formula>0.8</formula>
    </cfRule>
    <cfRule type="cellIs" dxfId="7923" priority="1406" operator="greaterThan">
      <formula>1</formula>
    </cfRule>
  </conditionalFormatting>
  <conditionalFormatting sqref="R40">
    <cfRule type="cellIs" dxfId="7922" priority="1403" operator="greaterThan">
      <formula>1</formula>
    </cfRule>
    <cfRule type="cellIs" dxfId="7921" priority="1404" operator="lessThan">
      <formula>0.8</formula>
    </cfRule>
  </conditionalFormatting>
  <conditionalFormatting sqref="P40">
    <cfRule type="cellIs" dxfId="7920" priority="1396" operator="greaterThan">
      <formula>0</formula>
    </cfRule>
  </conditionalFormatting>
  <conditionalFormatting sqref="Q40">
    <cfRule type="cellIs" dxfId="7919" priority="1401" operator="lessThan">
      <formula>0</formula>
    </cfRule>
  </conditionalFormatting>
  <conditionalFormatting sqref="R40">
    <cfRule type="cellIs" dxfId="7918" priority="1399" operator="lessThan">
      <formula>0.8</formula>
    </cfRule>
    <cfRule type="cellIs" dxfId="7917" priority="1400" operator="greaterThan">
      <formula>1</formula>
    </cfRule>
  </conditionalFormatting>
  <conditionalFormatting sqref="R40">
    <cfRule type="cellIs" dxfId="7916" priority="1397" operator="greaterThan">
      <formula>1</formula>
    </cfRule>
    <cfRule type="cellIs" dxfId="7915" priority="1398" operator="lessThan">
      <formula>0.8</formula>
    </cfRule>
  </conditionalFormatting>
  <conditionalFormatting sqref="Q40">
    <cfRule type="cellIs" dxfId="7914" priority="1390" operator="lessThan">
      <formula>0</formula>
    </cfRule>
  </conditionalFormatting>
  <conditionalFormatting sqref="P40">
    <cfRule type="cellIs" dxfId="7913" priority="1391" operator="greaterThan">
      <formula>0</formula>
    </cfRule>
  </conditionalFormatting>
  <conditionalFormatting sqref="R40">
    <cfRule type="cellIs" dxfId="7912" priority="1394" operator="lessThan">
      <formula>0.8</formula>
    </cfRule>
    <cfRule type="cellIs" dxfId="7911" priority="1395" operator="greaterThan">
      <formula>1</formula>
    </cfRule>
  </conditionalFormatting>
  <conditionalFormatting sqref="R40">
    <cfRule type="cellIs" dxfId="7910" priority="1392" operator="greaterThan">
      <formula>1</formula>
    </cfRule>
    <cfRule type="cellIs" dxfId="7909" priority="1393" operator="lessThan">
      <formula>0.8</formula>
    </cfRule>
  </conditionalFormatting>
  <conditionalFormatting sqref="Q40">
    <cfRule type="cellIs" dxfId="7908" priority="1384" operator="lessThan">
      <formula>0</formula>
    </cfRule>
  </conditionalFormatting>
  <conditionalFormatting sqref="R40">
    <cfRule type="cellIs" dxfId="7907" priority="1388" operator="lessThan">
      <formula>0.8</formula>
    </cfRule>
    <cfRule type="cellIs" dxfId="7906" priority="1389" operator="greaterThan">
      <formula>1</formula>
    </cfRule>
  </conditionalFormatting>
  <conditionalFormatting sqref="R40">
    <cfRule type="cellIs" dxfId="7905" priority="1386" operator="greaterThan">
      <formula>1</formula>
    </cfRule>
    <cfRule type="cellIs" dxfId="7904" priority="1387" operator="lessThan">
      <formula>0.8</formula>
    </cfRule>
  </conditionalFormatting>
  <conditionalFormatting sqref="P40">
    <cfRule type="cellIs" dxfId="7903" priority="1385" operator="greaterThan">
      <formula>0</formula>
    </cfRule>
  </conditionalFormatting>
  <conditionalFormatting sqref="Q40">
    <cfRule type="cellIs" dxfId="7902" priority="1383" operator="lessThan">
      <formula>0</formula>
    </cfRule>
  </conditionalFormatting>
  <conditionalFormatting sqref="R40">
    <cfRule type="cellIs" dxfId="7901" priority="1381" operator="lessThan">
      <formula>0.8</formula>
    </cfRule>
    <cfRule type="cellIs" dxfId="7900" priority="1382" operator="greaterThan">
      <formula>1</formula>
    </cfRule>
  </conditionalFormatting>
  <conditionalFormatting sqref="R40">
    <cfRule type="cellIs" dxfId="7899" priority="1379" operator="greaterThan">
      <formula>1</formula>
    </cfRule>
    <cfRule type="cellIs" dxfId="7898" priority="1380" operator="lessThan">
      <formula>0.8</formula>
    </cfRule>
  </conditionalFormatting>
  <conditionalFormatting sqref="P40">
    <cfRule type="cellIs" dxfId="7897" priority="1378" operator="greaterThan">
      <formula>0</formula>
    </cfRule>
  </conditionalFormatting>
  <conditionalFormatting sqref="Q40">
    <cfRule type="cellIs" dxfId="7896" priority="1377" operator="lessThan">
      <formula>0</formula>
    </cfRule>
  </conditionalFormatting>
  <conditionalFormatting sqref="R40">
    <cfRule type="cellIs" dxfId="7895" priority="1375" operator="lessThan">
      <formula>0.8</formula>
    </cfRule>
    <cfRule type="cellIs" dxfId="7894" priority="1376" operator="greaterThan">
      <formula>1</formula>
    </cfRule>
  </conditionalFormatting>
  <conditionalFormatting sqref="R40">
    <cfRule type="cellIs" dxfId="7893" priority="1373" operator="greaterThan">
      <formula>1</formula>
    </cfRule>
    <cfRule type="cellIs" dxfId="7892" priority="1374" operator="lessThan">
      <formula>0.8</formula>
    </cfRule>
  </conditionalFormatting>
  <conditionalFormatting sqref="P40">
    <cfRule type="cellIs" dxfId="7891" priority="1372" operator="greaterThan">
      <formula>0</formula>
    </cfRule>
  </conditionalFormatting>
  <conditionalFormatting sqref="Q32:Q39">
    <cfRule type="cellIs" dxfId="7890" priority="1371" operator="lessThan">
      <formula>0</formula>
    </cfRule>
  </conditionalFormatting>
  <conditionalFormatting sqref="R32:R39">
    <cfRule type="cellIs" dxfId="7889" priority="1369" operator="lessThan">
      <formula>0.8</formula>
    </cfRule>
    <cfRule type="cellIs" dxfId="7888" priority="1370" operator="greaterThan">
      <formula>1</formula>
    </cfRule>
  </conditionalFormatting>
  <conditionalFormatting sqref="R32:R39">
    <cfRule type="cellIs" dxfId="7887" priority="1367" operator="greaterThan">
      <formula>1</formula>
    </cfRule>
    <cfRule type="cellIs" dxfId="7886" priority="1368" operator="lessThan">
      <formula>0.8</formula>
    </cfRule>
  </conditionalFormatting>
  <conditionalFormatting sqref="P32:P39">
    <cfRule type="cellIs" dxfId="7885" priority="1366" operator="greaterThan">
      <formula>0</formula>
    </cfRule>
  </conditionalFormatting>
  <conditionalFormatting sqref="Q32:Q39">
    <cfRule type="cellIs" dxfId="7884" priority="1365" operator="lessThan">
      <formula>0</formula>
    </cfRule>
  </conditionalFormatting>
  <conditionalFormatting sqref="R32:R39">
    <cfRule type="cellIs" dxfId="7883" priority="1363" operator="lessThan">
      <formula>0.8</formula>
    </cfRule>
    <cfRule type="cellIs" dxfId="7882" priority="1364" operator="greaterThan">
      <formula>1</formula>
    </cfRule>
  </conditionalFormatting>
  <conditionalFormatting sqref="R32:R39">
    <cfRule type="cellIs" dxfId="7881" priority="1361" operator="greaterThan">
      <formula>1</formula>
    </cfRule>
    <cfRule type="cellIs" dxfId="7880" priority="1362" operator="lessThan">
      <formula>0.8</formula>
    </cfRule>
  </conditionalFormatting>
  <conditionalFormatting sqref="P32:P39">
    <cfRule type="cellIs" dxfId="7879" priority="1360" operator="greaterThan">
      <formula>0</formula>
    </cfRule>
  </conditionalFormatting>
  <conditionalFormatting sqref="Q32:Q39">
    <cfRule type="cellIs" dxfId="7878" priority="1359" operator="lessThan">
      <formula>0</formula>
    </cfRule>
  </conditionalFormatting>
  <conditionalFormatting sqref="R32:R39">
    <cfRule type="cellIs" dxfId="7877" priority="1357" operator="lessThan">
      <formula>0.8</formula>
    </cfRule>
    <cfRule type="cellIs" dxfId="7876" priority="1358" operator="greaterThan">
      <formula>1</formula>
    </cfRule>
  </conditionalFormatting>
  <conditionalFormatting sqref="R32:R39">
    <cfRule type="cellIs" dxfId="7875" priority="1355" operator="greaterThan">
      <formula>1</formula>
    </cfRule>
    <cfRule type="cellIs" dxfId="7874" priority="1356" operator="lessThan">
      <formula>0.8</formula>
    </cfRule>
  </conditionalFormatting>
  <conditionalFormatting sqref="P32:P39">
    <cfRule type="cellIs" dxfId="7873" priority="1354" operator="greaterThan">
      <formula>0</formula>
    </cfRule>
  </conditionalFormatting>
  <conditionalFormatting sqref="Q32:Q39">
    <cfRule type="cellIs" dxfId="7872" priority="1353" operator="lessThan">
      <formula>0</formula>
    </cfRule>
  </conditionalFormatting>
  <conditionalFormatting sqref="R32:R39">
    <cfRule type="cellIs" dxfId="7871" priority="1351" operator="lessThan">
      <formula>0.8</formula>
    </cfRule>
    <cfRule type="cellIs" dxfId="7870" priority="1352" operator="greaterThan">
      <formula>1</formula>
    </cfRule>
  </conditionalFormatting>
  <conditionalFormatting sqref="R32:R39">
    <cfRule type="cellIs" dxfId="7869" priority="1349" operator="greaterThan">
      <formula>1</formula>
    </cfRule>
    <cfRule type="cellIs" dxfId="7868" priority="1350" operator="lessThan">
      <formula>0.8</formula>
    </cfRule>
  </conditionalFormatting>
  <conditionalFormatting sqref="P32:P39">
    <cfRule type="cellIs" dxfId="7867" priority="1348" operator="greaterThan">
      <formula>0</formula>
    </cfRule>
  </conditionalFormatting>
  <conditionalFormatting sqref="P32:P39">
    <cfRule type="cellIs" dxfId="7866" priority="1342" operator="greaterThan">
      <formula>0</formula>
    </cfRule>
  </conditionalFormatting>
  <conditionalFormatting sqref="Q32:Q39">
    <cfRule type="cellIs" dxfId="7865" priority="1347" operator="lessThan">
      <formula>0</formula>
    </cfRule>
  </conditionalFormatting>
  <conditionalFormatting sqref="R32:R39">
    <cfRule type="cellIs" dxfId="7864" priority="1345" operator="lessThan">
      <formula>0.8</formula>
    </cfRule>
    <cfRule type="cellIs" dxfId="7863" priority="1346" operator="greaterThan">
      <formula>1</formula>
    </cfRule>
  </conditionalFormatting>
  <conditionalFormatting sqref="R32:R39">
    <cfRule type="cellIs" dxfId="7862" priority="1343" operator="greaterThan">
      <formula>1</formula>
    </cfRule>
    <cfRule type="cellIs" dxfId="7861" priority="1344" operator="lessThan">
      <formula>0.8</formula>
    </cfRule>
  </conditionalFormatting>
  <conditionalFormatting sqref="P32:P39">
    <cfRule type="cellIs" dxfId="7860" priority="1336" operator="greaterThan">
      <formula>0</formula>
    </cfRule>
  </conditionalFormatting>
  <conditionalFormatting sqref="Q32:Q39">
    <cfRule type="cellIs" dxfId="7859" priority="1341" operator="lessThan">
      <formula>0</formula>
    </cfRule>
  </conditionalFormatting>
  <conditionalFormatting sqref="R32:R39">
    <cfRule type="cellIs" dxfId="7858" priority="1339" operator="lessThan">
      <formula>0.8</formula>
    </cfRule>
    <cfRule type="cellIs" dxfId="7857" priority="1340" operator="greaterThan">
      <formula>1</formula>
    </cfRule>
  </conditionalFormatting>
  <conditionalFormatting sqref="R32:R39">
    <cfRule type="cellIs" dxfId="7856" priority="1337" operator="greaterThan">
      <formula>1</formula>
    </cfRule>
    <cfRule type="cellIs" dxfId="7855" priority="1338" operator="lessThan">
      <formula>0.8</formula>
    </cfRule>
  </conditionalFormatting>
  <conditionalFormatting sqref="R32:R39">
    <cfRule type="cellIs" dxfId="7854" priority="1333" operator="lessThan">
      <formula>0.8</formula>
    </cfRule>
    <cfRule type="cellIs" dxfId="7853" priority="1334" operator="greaterThan">
      <formula>1</formula>
    </cfRule>
  </conditionalFormatting>
  <conditionalFormatting sqref="R32:R39">
    <cfRule type="cellIs" dxfId="7852" priority="1331" operator="greaterThan">
      <formula>1</formula>
    </cfRule>
    <cfRule type="cellIs" dxfId="7851" priority="1332" operator="lessThan">
      <formula>0.8</formula>
    </cfRule>
  </conditionalFormatting>
  <conditionalFormatting sqref="P32:P39">
    <cfRule type="cellIs" dxfId="7850" priority="1330" operator="greaterThan">
      <formula>0</formula>
    </cfRule>
  </conditionalFormatting>
  <conditionalFormatting sqref="Q32:Q39">
    <cfRule type="cellIs" dxfId="7849" priority="1335" operator="lessThan">
      <formula>0</formula>
    </cfRule>
  </conditionalFormatting>
  <conditionalFormatting sqref="Q32:Q39">
    <cfRule type="cellIs" dxfId="7848" priority="1329" operator="lessThan">
      <formula>0</formula>
    </cfRule>
  </conditionalFormatting>
  <conditionalFormatting sqref="R32:R39">
    <cfRule type="cellIs" dxfId="7847" priority="1327" operator="lessThan">
      <formula>0.8</formula>
    </cfRule>
    <cfRule type="cellIs" dxfId="7846" priority="1328" operator="greaterThan">
      <formula>1</formula>
    </cfRule>
  </conditionalFormatting>
  <conditionalFormatting sqref="R32:R39">
    <cfRule type="cellIs" dxfId="7845" priority="1325" operator="greaterThan">
      <formula>1</formula>
    </cfRule>
    <cfRule type="cellIs" dxfId="7844" priority="1326" operator="lessThan">
      <formula>0.8</formula>
    </cfRule>
  </conditionalFormatting>
  <conditionalFormatting sqref="P32:P39">
    <cfRule type="cellIs" dxfId="7843" priority="1324" operator="greaterThan">
      <formula>0</formula>
    </cfRule>
  </conditionalFormatting>
  <conditionalFormatting sqref="P32:P39">
    <cfRule type="cellIs" dxfId="7842" priority="1318" operator="greaterThan">
      <formula>0</formula>
    </cfRule>
  </conditionalFormatting>
  <conditionalFormatting sqref="Q32:Q39">
    <cfRule type="cellIs" dxfId="7841" priority="1323" operator="lessThan">
      <formula>0</formula>
    </cfRule>
  </conditionalFormatting>
  <conditionalFormatting sqref="R32:R39">
    <cfRule type="cellIs" dxfId="7840" priority="1321" operator="lessThan">
      <formula>0.8</formula>
    </cfRule>
    <cfRule type="cellIs" dxfId="7839" priority="1322" operator="greaterThan">
      <formula>1</formula>
    </cfRule>
  </conditionalFormatting>
  <conditionalFormatting sqref="R32:R39">
    <cfRule type="cellIs" dxfId="7838" priority="1319" operator="greaterThan">
      <formula>1</formula>
    </cfRule>
    <cfRule type="cellIs" dxfId="7837" priority="1320" operator="lessThan">
      <formula>0.8</formula>
    </cfRule>
  </conditionalFormatting>
  <conditionalFormatting sqref="P32:P39">
    <cfRule type="cellIs" dxfId="7836" priority="1312" operator="greaterThan">
      <formula>0</formula>
    </cfRule>
  </conditionalFormatting>
  <conditionalFormatting sqref="Q32:Q39">
    <cfRule type="cellIs" dxfId="7835" priority="1317" operator="lessThan">
      <formula>0</formula>
    </cfRule>
  </conditionalFormatting>
  <conditionalFormatting sqref="R32:R39">
    <cfRule type="cellIs" dxfId="7834" priority="1315" operator="lessThan">
      <formula>0.8</formula>
    </cfRule>
    <cfRule type="cellIs" dxfId="7833" priority="1316" operator="greaterThan">
      <formula>1</formula>
    </cfRule>
  </conditionalFormatting>
  <conditionalFormatting sqref="R32:R39">
    <cfRule type="cellIs" dxfId="7832" priority="1313" operator="greaterThan">
      <formula>1</formula>
    </cfRule>
    <cfRule type="cellIs" dxfId="7831" priority="1314" operator="lessThan">
      <formula>0.8</formula>
    </cfRule>
  </conditionalFormatting>
  <conditionalFormatting sqref="R32:R39">
    <cfRule type="cellIs" dxfId="7830" priority="1309" operator="lessThan">
      <formula>0.8</formula>
    </cfRule>
    <cfRule type="cellIs" dxfId="7829" priority="1310" operator="greaterThan">
      <formula>1</formula>
    </cfRule>
  </conditionalFormatting>
  <conditionalFormatting sqref="R32:R39">
    <cfRule type="cellIs" dxfId="7828" priority="1307" operator="greaterThan">
      <formula>1</formula>
    </cfRule>
    <cfRule type="cellIs" dxfId="7827" priority="1308" operator="lessThan">
      <formula>0.8</formula>
    </cfRule>
  </conditionalFormatting>
  <conditionalFormatting sqref="P32:P39">
    <cfRule type="cellIs" dxfId="7826" priority="1306" operator="greaterThan">
      <formula>0</formula>
    </cfRule>
  </conditionalFormatting>
  <conditionalFormatting sqref="Q32:Q39">
    <cfRule type="cellIs" dxfId="7825" priority="1311" operator="lessThan">
      <formula>0</formula>
    </cfRule>
  </conditionalFormatting>
  <conditionalFormatting sqref="P32:P39">
    <cfRule type="cellIs" dxfId="7824" priority="1300" operator="greaterThan">
      <formula>0</formula>
    </cfRule>
  </conditionalFormatting>
  <conditionalFormatting sqref="Q32:Q39">
    <cfRule type="cellIs" dxfId="7823" priority="1305" operator="lessThan">
      <formula>0</formula>
    </cfRule>
  </conditionalFormatting>
  <conditionalFormatting sqref="R32:R39">
    <cfRule type="cellIs" dxfId="7822" priority="1303" operator="lessThan">
      <formula>0.8</formula>
    </cfRule>
    <cfRule type="cellIs" dxfId="7821" priority="1304" operator="greaterThan">
      <formula>1</formula>
    </cfRule>
  </conditionalFormatting>
  <conditionalFormatting sqref="R32:R39">
    <cfRule type="cellIs" dxfId="7820" priority="1301" operator="greaterThan">
      <formula>1</formula>
    </cfRule>
    <cfRule type="cellIs" dxfId="7819" priority="1302" operator="lessThan">
      <formula>0.8</formula>
    </cfRule>
  </conditionalFormatting>
  <conditionalFormatting sqref="R32:R39">
    <cfRule type="cellIs" dxfId="7818" priority="1297" operator="lessThan">
      <formula>0.8</formula>
    </cfRule>
    <cfRule type="cellIs" dxfId="7817" priority="1298" operator="greaterThan">
      <formula>1</formula>
    </cfRule>
  </conditionalFormatting>
  <conditionalFormatting sqref="R32:R39">
    <cfRule type="cellIs" dxfId="7816" priority="1295" operator="greaterThan">
      <formula>1</formula>
    </cfRule>
    <cfRule type="cellIs" dxfId="7815" priority="1296" operator="lessThan">
      <formula>0.8</formula>
    </cfRule>
  </conditionalFormatting>
  <conditionalFormatting sqref="P32:P39">
    <cfRule type="cellIs" dxfId="7814" priority="1294" operator="greaterThan">
      <formula>0</formula>
    </cfRule>
  </conditionalFormatting>
  <conditionalFormatting sqref="Q32:Q39">
    <cfRule type="cellIs" dxfId="7813" priority="1299" operator="lessThan">
      <formula>0</formula>
    </cfRule>
  </conditionalFormatting>
  <conditionalFormatting sqref="R32:R39">
    <cfRule type="cellIs" dxfId="7812" priority="1291" operator="lessThan">
      <formula>0.8</formula>
    </cfRule>
    <cfRule type="cellIs" dxfId="7811" priority="1292" operator="greaterThan">
      <formula>1</formula>
    </cfRule>
  </conditionalFormatting>
  <conditionalFormatting sqref="R32:R39">
    <cfRule type="cellIs" dxfId="7810" priority="1289" operator="greaterThan">
      <formula>1</formula>
    </cfRule>
    <cfRule type="cellIs" dxfId="7809" priority="1290" operator="lessThan">
      <formula>0.8</formula>
    </cfRule>
  </conditionalFormatting>
  <conditionalFormatting sqref="P32:P39">
    <cfRule type="cellIs" dxfId="7808" priority="1288" operator="greaterThan">
      <formula>0</formula>
    </cfRule>
  </conditionalFormatting>
  <conditionalFormatting sqref="Q32:Q39">
    <cfRule type="cellIs" dxfId="7807" priority="1293" operator="lessThan">
      <formula>0</formula>
    </cfRule>
  </conditionalFormatting>
  <conditionalFormatting sqref="Q32:Q39">
    <cfRule type="cellIs" dxfId="7806" priority="1287" operator="lessThan">
      <formula>0</formula>
    </cfRule>
  </conditionalFormatting>
  <conditionalFormatting sqref="R32:R39">
    <cfRule type="cellIs" dxfId="7805" priority="1285" operator="lessThan">
      <formula>0.8</formula>
    </cfRule>
    <cfRule type="cellIs" dxfId="7804" priority="1286" operator="greaterThan">
      <formula>1</formula>
    </cfRule>
  </conditionalFormatting>
  <conditionalFormatting sqref="R32:R39">
    <cfRule type="cellIs" dxfId="7803" priority="1283" operator="greaterThan">
      <formula>1</formula>
    </cfRule>
    <cfRule type="cellIs" dxfId="7802" priority="1284" operator="lessThan">
      <formula>0.8</formula>
    </cfRule>
  </conditionalFormatting>
  <conditionalFormatting sqref="P32:P39">
    <cfRule type="cellIs" dxfId="7801" priority="1282" operator="greaterThan">
      <formula>0</formula>
    </cfRule>
  </conditionalFormatting>
  <conditionalFormatting sqref="Q32:Q39">
    <cfRule type="cellIs" dxfId="7800" priority="1276" operator="lessThan">
      <formula>0</formula>
    </cfRule>
  </conditionalFormatting>
  <conditionalFormatting sqref="R32:R39">
    <cfRule type="cellIs" dxfId="7799" priority="1280" operator="lessThan">
      <formula>0.8</formula>
    </cfRule>
    <cfRule type="cellIs" dxfId="7798" priority="1281" operator="greaterThan">
      <formula>1</formula>
    </cfRule>
  </conditionalFormatting>
  <conditionalFormatting sqref="R32:R39">
    <cfRule type="cellIs" dxfId="7797" priority="1278" operator="greaterThan">
      <formula>1</formula>
    </cfRule>
    <cfRule type="cellIs" dxfId="7796" priority="1279" operator="lessThan">
      <formula>0.8</formula>
    </cfRule>
  </conditionalFormatting>
  <conditionalFormatting sqref="P32:P39">
    <cfRule type="cellIs" dxfId="7795" priority="1277" operator="greaterThan">
      <formula>0</formula>
    </cfRule>
  </conditionalFormatting>
  <conditionalFormatting sqref="Q32:Q39">
    <cfRule type="cellIs" dxfId="7794" priority="1275" operator="lessThan">
      <formula>0</formula>
    </cfRule>
  </conditionalFormatting>
  <conditionalFormatting sqref="R32:R39">
    <cfRule type="cellIs" dxfId="7793" priority="1273" operator="lessThan">
      <formula>0.8</formula>
    </cfRule>
    <cfRule type="cellIs" dxfId="7792" priority="1274" operator="greaterThan">
      <formula>1</formula>
    </cfRule>
  </conditionalFormatting>
  <conditionalFormatting sqref="R32:R39">
    <cfRule type="cellIs" dxfId="7791" priority="1271" operator="greaterThan">
      <formula>1</formula>
    </cfRule>
    <cfRule type="cellIs" dxfId="7790" priority="1272" operator="lessThan">
      <formula>0.8</formula>
    </cfRule>
  </conditionalFormatting>
  <conditionalFormatting sqref="P32:P39">
    <cfRule type="cellIs" dxfId="7789" priority="1270" operator="greaterThan">
      <formula>0</formula>
    </cfRule>
  </conditionalFormatting>
  <conditionalFormatting sqref="Q32:Q39">
    <cfRule type="cellIs" dxfId="7788" priority="1269" operator="lessThan">
      <formula>0</formula>
    </cfRule>
  </conditionalFormatting>
  <conditionalFormatting sqref="R32:R39">
    <cfRule type="cellIs" dxfId="7787" priority="1267" operator="lessThan">
      <formula>0.8</formula>
    </cfRule>
    <cfRule type="cellIs" dxfId="7786" priority="1268" operator="greaterThan">
      <formula>1</formula>
    </cfRule>
  </conditionalFormatting>
  <conditionalFormatting sqref="R32:R39">
    <cfRule type="cellIs" dxfId="7785" priority="1265" operator="greaterThan">
      <formula>1</formula>
    </cfRule>
    <cfRule type="cellIs" dxfId="7784" priority="1266" operator="lessThan">
      <formula>0.8</formula>
    </cfRule>
  </conditionalFormatting>
  <conditionalFormatting sqref="P32:P39">
    <cfRule type="cellIs" dxfId="7783" priority="1264" operator="greaterThan">
      <formula>0</formula>
    </cfRule>
  </conditionalFormatting>
  <conditionalFormatting sqref="Q32:Q39">
    <cfRule type="cellIs" dxfId="7782" priority="1263" operator="lessThan">
      <formula>0</formula>
    </cfRule>
  </conditionalFormatting>
  <conditionalFormatting sqref="R32:R39">
    <cfRule type="cellIs" dxfId="7781" priority="1261" operator="lessThan">
      <formula>0.8</formula>
    </cfRule>
    <cfRule type="cellIs" dxfId="7780" priority="1262" operator="greaterThan">
      <formula>1</formula>
    </cfRule>
  </conditionalFormatting>
  <conditionalFormatting sqref="R32:R39">
    <cfRule type="cellIs" dxfId="7779" priority="1259" operator="greaterThan">
      <formula>1</formula>
    </cfRule>
    <cfRule type="cellIs" dxfId="7778" priority="1260" operator="lessThan">
      <formula>0.8</formula>
    </cfRule>
  </conditionalFormatting>
  <conditionalFormatting sqref="P32:P39">
    <cfRule type="cellIs" dxfId="7777" priority="1258" operator="greaterThan">
      <formula>0</formula>
    </cfRule>
  </conditionalFormatting>
  <conditionalFormatting sqref="Q32:Q39">
    <cfRule type="cellIs" dxfId="7776" priority="1257" operator="lessThan">
      <formula>0</formula>
    </cfRule>
  </conditionalFormatting>
  <conditionalFormatting sqref="R32:R39">
    <cfRule type="cellIs" dxfId="7775" priority="1255" operator="lessThan">
      <formula>0.8</formula>
    </cfRule>
    <cfRule type="cellIs" dxfId="7774" priority="1256" operator="greaterThan">
      <formula>1</formula>
    </cfRule>
  </conditionalFormatting>
  <conditionalFormatting sqref="R32:R39">
    <cfRule type="cellIs" dxfId="7773" priority="1253" operator="greaterThan">
      <formula>1</formula>
    </cfRule>
    <cfRule type="cellIs" dxfId="7772" priority="1254" operator="lessThan">
      <formula>0.8</formula>
    </cfRule>
  </conditionalFormatting>
  <conditionalFormatting sqref="P32:P39">
    <cfRule type="cellIs" dxfId="7771" priority="1252" operator="greaterThan">
      <formula>0</formula>
    </cfRule>
  </conditionalFormatting>
  <conditionalFormatting sqref="Q32:Q39">
    <cfRule type="cellIs" dxfId="7770" priority="1251" operator="lessThan">
      <formula>0</formula>
    </cfRule>
  </conditionalFormatting>
  <conditionalFormatting sqref="R32:R39">
    <cfRule type="cellIs" dxfId="7769" priority="1249" operator="lessThan">
      <formula>0.8</formula>
    </cfRule>
    <cfRule type="cellIs" dxfId="7768" priority="1250" operator="greaterThan">
      <formula>1</formula>
    </cfRule>
  </conditionalFormatting>
  <conditionalFormatting sqref="R32:R39">
    <cfRule type="cellIs" dxfId="7767" priority="1247" operator="greaterThan">
      <formula>1</formula>
    </cfRule>
    <cfRule type="cellIs" dxfId="7766" priority="1248" operator="lessThan">
      <formula>0.8</formula>
    </cfRule>
  </conditionalFormatting>
  <conditionalFormatting sqref="P32:P39">
    <cfRule type="cellIs" dxfId="7765" priority="1246" operator="greaterThan">
      <formula>0</formula>
    </cfRule>
  </conditionalFormatting>
  <conditionalFormatting sqref="P32:P39">
    <cfRule type="cellIs" dxfId="7764" priority="1240" operator="greaterThan">
      <formula>0</formula>
    </cfRule>
  </conditionalFormatting>
  <conditionalFormatting sqref="Q32:Q39">
    <cfRule type="cellIs" dxfId="7763" priority="1245" operator="lessThan">
      <formula>0</formula>
    </cfRule>
  </conditionalFormatting>
  <conditionalFormatting sqref="R32:R39">
    <cfRule type="cellIs" dxfId="7762" priority="1243" operator="lessThan">
      <formula>0.8</formula>
    </cfRule>
    <cfRule type="cellIs" dxfId="7761" priority="1244" operator="greaterThan">
      <formula>1</formula>
    </cfRule>
  </conditionalFormatting>
  <conditionalFormatting sqref="R32:R39">
    <cfRule type="cellIs" dxfId="7760" priority="1241" operator="greaterThan">
      <formula>1</formula>
    </cfRule>
    <cfRule type="cellIs" dxfId="7759" priority="1242" operator="lessThan">
      <formula>0.8</formula>
    </cfRule>
  </conditionalFormatting>
  <conditionalFormatting sqref="P32:P39">
    <cfRule type="cellIs" dxfId="7758" priority="1234" operator="greaterThan">
      <formula>0</formula>
    </cfRule>
  </conditionalFormatting>
  <conditionalFormatting sqref="Q32:Q39">
    <cfRule type="cellIs" dxfId="7757" priority="1239" operator="lessThan">
      <formula>0</formula>
    </cfRule>
  </conditionalFormatting>
  <conditionalFormatting sqref="R32:R39">
    <cfRule type="cellIs" dxfId="7756" priority="1237" operator="lessThan">
      <formula>0.8</formula>
    </cfRule>
    <cfRule type="cellIs" dxfId="7755" priority="1238" operator="greaterThan">
      <formula>1</formula>
    </cfRule>
  </conditionalFormatting>
  <conditionalFormatting sqref="R32:R39">
    <cfRule type="cellIs" dxfId="7754" priority="1235" operator="greaterThan">
      <formula>1</formula>
    </cfRule>
    <cfRule type="cellIs" dxfId="7753" priority="1236" operator="lessThan">
      <formula>0.8</formula>
    </cfRule>
  </conditionalFormatting>
  <conditionalFormatting sqref="R32:R39">
    <cfRule type="cellIs" dxfId="7752" priority="1231" operator="lessThan">
      <formula>0.8</formula>
    </cfRule>
    <cfRule type="cellIs" dxfId="7751" priority="1232" operator="greaterThan">
      <formula>1</formula>
    </cfRule>
  </conditionalFormatting>
  <conditionalFormatting sqref="R32:R39">
    <cfRule type="cellIs" dxfId="7750" priority="1229" operator="greaterThan">
      <formula>1</formula>
    </cfRule>
    <cfRule type="cellIs" dxfId="7749" priority="1230" operator="lessThan">
      <formula>0.8</formula>
    </cfRule>
  </conditionalFormatting>
  <conditionalFormatting sqref="P32:P39">
    <cfRule type="cellIs" dxfId="7748" priority="1228" operator="greaterThan">
      <formula>0</formula>
    </cfRule>
  </conditionalFormatting>
  <conditionalFormatting sqref="Q32:Q39">
    <cfRule type="cellIs" dxfId="7747" priority="1233" operator="lessThan">
      <formula>0</formula>
    </cfRule>
  </conditionalFormatting>
  <conditionalFormatting sqref="Q32:Q39">
    <cfRule type="cellIs" dxfId="7746" priority="1222" operator="lessThan">
      <formula>0</formula>
    </cfRule>
  </conditionalFormatting>
  <conditionalFormatting sqref="P32:P39">
    <cfRule type="cellIs" dxfId="7745" priority="1223" operator="greaterThan">
      <formula>0</formula>
    </cfRule>
  </conditionalFormatting>
  <conditionalFormatting sqref="R32:R39">
    <cfRule type="cellIs" dxfId="7744" priority="1226" operator="lessThan">
      <formula>0.8</formula>
    </cfRule>
    <cfRule type="cellIs" dxfId="7743" priority="1227" operator="greaterThan">
      <formula>1</formula>
    </cfRule>
  </conditionalFormatting>
  <conditionalFormatting sqref="R32:R39">
    <cfRule type="cellIs" dxfId="7742" priority="1224" operator="greaterThan">
      <formula>1</formula>
    </cfRule>
    <cfRule type="cellIs" dxfId="7741" priority="1225" operator="lessThan">
      <formula>0.8</formula>
    </cfRule>
  </conditionalFormatting>
  <conditionalFormatting sqref="Q32:Q39">
    <cfRule type="cellIs" dxfId="7740" priority="1216" operator="lessThan">
      <formula>0</formula>
    </cfRule>
  </conditionalFormatting>
  <conditionalFormatting sqref="R32:R39">
    <cfRule type="cellIs" dxfId="7739" priority="1220" operator="lessThan">
      <formula>0.8</formula>
    </cfRule>
    <cfRule type="cellIs" dxfId="7738" priority="1221" operator="greaterThan">
      <formula>1</formula>
    </cfRule>
  </conditionalFormatting>
  <conditionalFormatting sqref="R32:R39">
    <cfRule type="cellIs" dxfId="7737" priority="1218" operator="greaterThan">
      <formula>1</formula>
    </cfRule>
    <cfRule type="cellIs" dxfId="7736" priority="1219" operator="lessThan">
      <formula>0.8</formula>
    </cfRule>
  </conditionalFormatting>
  <conditionalFormatting sqref="P32:P39">
    <cfRule type="cellIs" dxfId="7735" priority="1217" operator="greaterThan">
      <formula>0</formula>
    </cfRule>
  </conditionalFormatting>
  <conditionalFormatting sqref="Q32:Q39">
    <cfRule type="cellIs" dxfId="7734" priority="1215" operator="lessThan">
      <formula>0</formula>
    </cfRule>
  </conditionalFormatting>
  <conditionalFormatting sqref="R32:R39">
    <cfRule type="cellIs" dxfId="7733" priority="1213" operator="lessThan">
      <formula>0.8</formula>
    </cfRule>
    <cfRule type="cellIs" dxfId="7732" priority="1214" operator="greaterThan">
      <formula>1</formula>
    </cfRule>
  </conditionalFormatting>
  <conditionalFormatting sqref="R32:R39">
    <cfRule type="cellIs" dxfId="7731" priority="1211" operator="greaterThan">
      <formula>1</formula>
    </cfRule>
    <cfRule type="cellIs" dxfId="7730" priority="1212" operator="lessThan">
      <formula>0.8</formula>
    </cfRule>
  </conditionalFormatting>
  <conditionalFormatting sqref="P32:P39">
    <cfRule type="cellIs" dxfId="7729" priority="1210" operator="greaterThan">
      <formula>0</formula>
    </cfRule>
  </conditionalFormatting>
  <conditionalFormatting sqref="Q32:Q39">
    <cfRule type="cellIs" dxfId="7728" priority="1209" operator="lessThan">
      <formula>0</formula>
    </cfRule>
  </conditionalFormatting>
  <conditionalFormatting sqref="R32:R39">
    <cfRule type="cellIs" dxfId="7727" priority="1207" operator="lessThan">
      <formula>0.8</formula>
    </cfRule>
    <cfRule type="cellIs" dxfId="7726" priority="1208" operator="greaterThan">
      <formula>1</formula>
    </cfRule>
  </conditionalFormatting>
  <conditionalFormatting sqref="R32:R39">
    <cfRule type="cellIs" dxfId="7725" priority="1205" operator="greaterThan">
      <formula>1</formula>
    </cfRule>
    <cfRule type="cellIs" dxfId="7724" priority="1206" operator="lessThan">
      <formula>0.8</formula>
    </cfRule>
  </conditionalFormatting>
  <conditionalFormatting sqref="P32:P39">
    <cfRule type="cellIs" dxfId="7723" priority="1204" operator="greaterThan">
      <formula>0</formula>
    </cfRule>
  </conditionalFormatting>
  <conditionalFormatting sqref="Q32:Q39">
    <cfRule type="cellIs" dxfId="7722" priority="1203" operator="lessThan">
      <formula>0</formula>
    </cfRule>
  </conditionalFormatting>
  <conditionalFormatting sqref="R32:R39">
    <cfRule type="cellIs" dxfId="7721" priority="1201" operator="lessThan">
      <formula>0.8</formula>
    </cfRule>
    <cfRule type="cellIs" dxfId="7720" priority="1202" operator="greaterThan">
      <formula>1</formula>
    </cfRule>
  </conditionalFormatting>
  <conditionalFormatting sqref="R32:R39">
    <cfRule type="cellIs" dxfId="7719" priority="1199" operator="greaterThan">
      <formula>1</formula>
    </cfRule>
    <cfRule type="cellIs" dxfId="7718" priority="1200" operator="lessThan">
      <formula>0.8</formula>
    </cfRule>
  </conditionalFormatting>
  <conditionalFormatting sqref="P32:P39">
    <cfRule type="cellIs" dxfId="7717" priority="1198" operator="greaterThan">
      <formula>0</formula>
    </cfRule>
  </conditionalFormatting>
  <conditionalFormatting sqref="Q32:Q39">
    <cfRule type="cellIs" dxfId="7716" priority="1197" operator="lessThan">
      <formula>0</formula>
    </cfRule>
  </conditionalFormatting>
  <conditionalFormatting sqref="R32:R39">
    <cfRule type="cellIs" dxfId="7715" priority="1195" operator="lessThan">
      <formula>0.8</formula>
    </cfRule>
    <cfRule type="cellIs" dxfId="7714" priority="1196" operator="greaterThan">
      <formula>1</formula>
    </cfRule>
  </conditionalFormatting>
  <conditionalFormatting sqref="R32:R39">
    <cfRule type="cellIs" dxfId="7713" priority="1193" operator="greaterThan">
      <formula>1</formula>
    </cfRule>
    <cfRule type="cellIs" dxfId="7712" priority="1194" operator="lessThan">
      <formula>0.8</formula>
    </cfRule>
  </conditionalFormatting>
  <conditionalFormatting sqref="P32:P39">
    <cfRule type="cellIs" dxfId="7711" priority="1192" operator="greaterThan">
      <formula>0</formula>
    </cfRule>
  </conditionalFormatting>
  <conditionalFormatting sqref="Q96:Q105">
    <cfRule type="cellIs" dxfId="7710" priority="1186" operator="lessThan">
      <formula>0</formula>
    </cfRule>
  </conditionalFormatting>
  <conditionalFormatting sqref="P96:P105">
    <cfRule type="cellIs" dxfId="7709" priority="1187" operator="greaterThan">
      <formula>0</formula>
    </cfRule>
  </conditionalFormatting>
  <conditionalFormatting sqref="R96:R105">
    <cfRule type="cellIs" dxfId="7708" priority="1190" operator="lessThan">
      <formula>0.8</formula>
    </cfRule>
    <cfRule type="cellIs" dxfId="7707" priority="1191" operator="greaterThan">
      <formula>1</formula>
    </cfRule>
  </conditionalFormatting>
  <conditionalFormatting sqref="R96:R105">
    <cfRule type="cellIs" dxfId="7706" priority="1188" operator="greaterThan">
      <formula>1</formula>
    </cfRule>
    <cfRule type="cellIs" dxfId="7705" priority="1189" operator="lessThan">
      <formula>0.8</formula>
    </cfRule>
  </conditionalFormatting>
  <conditionalFormatting sqref="Q96:Q105">
    <cfRule type="cellIs" dxfId="7704" priority="1180" operator="lessThan">
      <formula>0</formula>
    </cfRule>
  </conditionalFormatting>
  <conditionalFormatting sqref="R96:R105">
    <cfRule type="cellIs" dxfId="7703" priority="1184" operator="lessThan">
      <formula>0.8</formula>
    </cfRule>
    <cfRule type="cellIs" dxfId="7702" priority="1185" operator="greaterThan">
      <formula>1</formula>
    </cfRule>
  </conditionalFormatting>
  <conditionalFormatting sqref="R96:R105">
    <cfRule type="cellIs" dxfId="7701" priority="1182" operator="greaterThan">
      <formula>1</formula>
    </cfRule>
    <cfRule type="cellIs" dxfId="7700" priority="1183" operator="lessThan">
      <formula>0.8</formula>
    </cfRule>
  </conditionalFormatting>
  <conditionalFormatting sqref="P96:P105">
    <cfRule type="cellIs" dxfId="7699" priority="1181" operator="greaterThan">
      <formula>0</formula>
    </cfRule>
  </conditionalFormatting>
  <conditionalFormatting sqref="Q96:Q105">
    <cfRule type="cellIs" dxfId="7698" priority="1179" operator="lessThan">
      <formula>0</formula>
    </cfRule>
  </conditionalFormatting>
  <conditionalFormatting sqref="R96:R105">
    <cfRule type="cellIs" dxfId="7697" priority="1177" operator="lessThan">
      <formula>0.8</formula>
    </cfRule>
    <cfRule type="cellIs" dxfId="7696" priority="1178" operator="greaterThan">
      <formula>1</formula>
    </cfRule>
  </conditionalFormatting>
  <conditionalFormatting sqref="R96:R105">
    <cfRule type="cellIs" dxfId="7695" priority="1175" operator="greaterThan">
      <formula>1</formula>
    </cfRule>
    <cfRule type="cellIs" dxfId="7694" priority="1176" operator="lessThan">
      <formula>0.8</formula>
    </cfRule>
  </conditionalFormatting>
  <conditionalFormatting sqref="P96:P105">
    <cfRule type="cellIs" dxfId="7693" priority="1174" operator="greaterThan">
      <formula>0</formula>
    </cfRule>
  </conditionalFormatting>
  <conditionalFormatting sqref="Q96:Q105">
    <cfRule type="cellIs" dxfId="7692" priority="1173" operator="lessThan">
      <formula>0</formula>
    </cfRule>
  </conditionalFormatting>
  <conditionalFormatting sqref="R96:R105">
    <cfRule type="cellIs" dxfId="7691" priority="1171" operator="lessThan">
      <formula>0.8</formula>
    </cfRule>
    <cfRule type="cellIs" dxfId="7690" priority="1172" operator="greaterThan">
      <formula>1</formula>
    </cfRule>
  </conditionalFormatting>
  <conditionalFormatting sqref="R96:R105">
    <cfRule type="cellIs" dxfId="7689" priority="1169" operator="greaterThan">
      <formula>1</formula>
    </cfRule>
    <cfRule type="cellIs" dxfId="7688" priority="1170" operator="lessThan">
      <formula>0.8</formula>
    </cfRule>
  </conditionalFormatting>
  <conditionalFormatting sqref="P96:P105">
    <cfRule type="cellIs" dxfId="7687" priority="1168" operator="greaterThan">
      <formula>0</formula>
    </cfRule>
  </conditionalFormatting>
  <conditionalFormatting sqref="Q96:Q105">
    <cfRule type="cellIs" dxfId="7686" priority="1162" operator="lessThan">
      <formula>0</formula>
    </cfRule>
  </conditionalFormatting>
  <conditionalFormatting sqref="R96:R105">
    <cfRule type="cellIs" dxfId="7685" priority="1166" operator="lessThan">
      <formula>0.8</formula>
    </cfRule>
    <cfRule type="cellIs" dxfId="7684" priority="1167" operator="greaterThan">
      <formula>1</formula>
    </cfRule>
  </conditionalFormatting>
  <conditionalFormatting sqref="R96:R105">
    <cfRule type="cellIs" dxfId="7683" priority="1164" operator="greaterThan">
      <formula>1</formula>
    </cfRule>
    <cfRule type="cellIs" dxfId="7682" priority="1165" operator="lessThan">
      <formula>0.8</formula>
    </cfRule>
  </conditionalFormatting>
  <conditionalFormatting sqref="P96:P105">
    <cfRule type="cellIs" dxfId="7681" priority="1163" operator="greaterThan">
      <formula>0</formula>
    </cfRule>
  </conditionalFormatting>
  <conditionalFormatting sqref="Q96:Q105">
    <cfRule type="cellIs" dxfId="7680" priority="1161" operator="lessThan">
      <formula>0</formula>
    </cfRule>
  </conditionalFormatting>
  <conditionalFormatting sqref="R96:R105">
    <cfRule type="cellIs" dxfId="7679" priority="1159" operator="lessThan">
      <formula>0.8</formula>
    </cfRule>
    <cfRule type="cellIs" dxfId="7678" priority="1160" operator="greaterThan">
      <formula>1</formula>
    </cfRule>
  </conditionalFormatting>
  <conditionalFormatting sqref="R96:R105">
    <cfRule type="cellIs" dxfId="7677" priority="1157" operator="greaterThan">
      <formula>1</formula>
    </cfRule>
    <cfRule type="cellIs" dxfId="7676" priority="1158" operator="lessThan">
      <formula>0.8</formula>
    </cfRule>
  </conditionalFormatting>
  <conditionalFormatting sqref="P96:P105">
    <cfRule type="cellIs" dxfId="7675" priority="1156" operator="greaterThan">
      <formula>0</formula>
    </cfRule>
  </conditionalFormatting>
  <conditionalFormatting sqref="Q96:Q105">
    <cfRule type="cellIs" dxfId="7674" priority="1155" operator="lessThan">
      <formula>0</formula>
    </cfRule>
  </conditionalFormatting>
  <conditionalFormatting sqref="R96:R105">
    <cfRule type="cellIs" dxfId="7673" priority="1153" operator="lessThan">
      <formula>0.8</formula>
    </cfRule>
    <cfRule type="cellIs" dxfId="7672" priority="1154" operator="greaterThan">
      <formula>1</formula>
    </cfRule>
  </conditionalFormatting>
  <conditionalFormatting sqref="R96:R105">
    <cfRule type="cellIs" dxfId="7671" priority="1151" operator="greaterThan">
      <formula>1</formula>
    </cfRule>
    <cfRule type="cellIs" dxfId="7670" priority="1152" operator="lessThan">
      <formula>0.8</formula>
    </cfRule>
  </conditionalFormatting>
  <conditionalFormatting sqref="P96:P105">
    <cfRule type="cellIs" dxfId="7669" priority="1150" operator="greaterThan">
      <formula>0</formula>
    </cfRule>
  </conditionalFormatting>
  <conditionalFormatting sqref="Q96:Q105">
    <cfRule type="cellIs" dxfId="7668" priority="1149" operator="lessThan">
      <formula>0</formula>
    </cfRule>
  </conditionalFormatting>
  <conditionalFormatting sqref="R96:R105">
    <cfRule type="cellIs" dxfId="7667" priority="1147" operator="lessThan">
      <formula>0.8</formula>
    </cfRule>
    <cfRule type="cellIs" dxfId="7666" priority="1148" operator="greaterThan">
      <formula>1</formula>
    </cfRule>
  </conditionalFormatting>
  <conditionalFormatting sqref="R96:R105">
    <cfRule type="cellIs" dxfId="7665" priority="1145" operator="greaterThan">
      <formula>1</formula>
    </cfRule>
    <cfRule type="cellIs" dxfId="7664" priority="1146" operator="lessThan">
      <formula>0.8</formula>
    </cfRule>
  </conditionalFormatting>
  <conditionalFormatting sqref="P96:P105">
    <cfRule type="cellIs" dxfId="7663" priority="1144" operator="greaterThan">
      <formula>0</formula>
    </cfRule>
  </conditionalFormatting>
  <conditionalFormatting sqref="Q96:Q105">
    <cfRule type="cellIs" dxfId="7662" priority="1143" operator="lessThan">
      <formula>0</formula>
    </cfRule>
  </conditionalFormatting>
  <conditionalFormatting sqref="R96:R105">
    <cfRule type="cellIs" dxfId="7661" priority="1141" operator="lessThan">
      <formula>0.8</formula>
    </cfRule>
    <cfRule type="cellIs" dxfId="7660" priority="1142" operator="greaterThan">
      <formula>1</formula>
    </cfRule>
  </conditionalFormatting>
  <conditionalFormatting sqref="R96:R105">
    <cfRule type="cellIs" dxfId="7659" priority="1139" operator="greaterThan">
      <formula>1</formula>
    </cfRule>
    <cfRule type="cellIs" dxfId="7658" priority="1140" operator="lessThan">
      <formula>0.8</formula>
    </cfRule>
  </conditionalFormatting>
  <conditionalFormatting sqref="P96:P105">
    <cfRule type="cellIs" dxfId="7657" priority="1138" operator="greaterThan">
      <formula>0</formula>
    </cfRule>
  </conditionalFormatting>
  <conditionalFormatting sqref="Q96:Q105">
    <cfRule type="cellIs" dxfId="7656" priority="1137" operator="lessThan">
      <formula>0</formula>
    </cfRule>
  </conditionalFormatting>
  <conditionalFormatting sqref="R96:R105">
    <cfRule type="cellIs" dxfId="7655" priority="1135" operator="lessThan">
      <formula>0.8</formula>
    </cfRule>
    <cfRule type="cellIs" dxfId="7654" priority="1136" operator="greaterThan">
      <formula>1</formula>
    </cfRule>
  </conditionalFormatting>
  <conditionalFormatting sqref="R96:R105">
    <cfRule type="cellIs" dxfId="7653" priority="1133" operator="greaterThan">
      <formula>1</formula>
    </cfRule>
    <cfRule type="cellIs" dxfId="7652" priority="1134" operator="lessThan">
      <formula>0.8</formula>
    </cfRule>
  </conditionalFormatting>
  <conditionalFormatting sqref="P96:P105">
    <cfRule type="cellIs" dxfId="7651" priority="1132" operator="greaterThan">
      <formula>0</formula>
    </cfRule>
  </conditionalFormatting>
  <conditionalFormatting sqref="P96:P105">
    <cfRule type="cellIs" dxfId="7650" priority="1126" operator="greaterThan">
      <formula>0</formula>
    </cfRule>
  </conditionalFormatting>
  <conditionalFormatting sqref="Q96:Q105">
    <cfRule type="cellIs" dxfId="7649" priority="1131" operator="lessThan">
      <formula>0</formula>
    </cfRule>
  </conditionalFormatting>
  <conditionalFormatting sqref="R96:R105">
    <cfRule type="cellIs" dxfId="7648" priority="1129" operator="lessThan">
      <formula>0.8</formula>
    </cfRule>
    <cfRule type="cellIs" dxfId="7647" priority="1130" operator="greaterThan">
      <formula>1</formula>
    </cfRule>
  </conditionalFormatting>
  <conditionalFormatting sqref="R96:R105">
    <cfRule type="cellIs" dxfId="7646" priority="1127" operator="greaterThan">
      <formula>1</formula>
    </cfRule>
    <cfRule type="cellIs" dxfId="7645" priority="1128" operator="lessThan">
      <formula>0.8</formula>
    </cfRule>
  </conditionalFormatting>
  <conditionalFormatting sqref="P96:P105">
    <cfRule type="cellIs" dxfId="7644" priority="1120" operator="greaterThan">
      <formula>0</formula>
    </cfRule>
  </conditionalFormatting>
  <conditionalFormatting sqref="Q96:Q105">
    <cfRule type="cellIs" dxfId="7643" priority="1125" operator="lessThan">
      <formula>0</formula>
    </cfRule>
  </conditionalFormatting>
  <conditionalFormatting sqref="R96:R105">
    <cfRule type="cellIs" dxfId="7642" priority="1123" operator="lessThan">
      <formula>0.8</formula>
    </cfRule>
    <cfRule type="cellIs" dxfId="7641" priority="1124" operator="greaterThan">
      <formula>1</formula>
    </cfRule>
  </conditionalFormatting>
  <conditionalFormatting sqref="R96:R105">
    <cfRule type="cellIs" dxfId="7640" priority="1121" operator="greaterThan">
      <formula>1</formula>
    </cfRule>
    <cfRule type="cellIs" dxfId="7639" priority="1122" operator="lessThan">
      <formula>0.8</formula>
    </cfRule>
  </conditionalFormatting>
  <conditionalFormatting sqref="R96:R105">
    <cfRule type="cellIs" dxfId="7638" priority="1117" operator="lessThan">
      <formula>0.8</formula>
    </cfRule>
    <cfRule type="cellIs" dxfId="7637" priority="1118" operator="greaterThan">
      <formula>1</formula>
    </cfRule>
  </conditionalFormatting>
  <conditionalFormatting sqref="R96:R105">
    <cfRule type="cellIs" dxfId="7636" priority="1115" operator="greaterThan">
      <formula>1</formula>
    </cfRule>
    <cfRule type="cellIs" dxfId="7635" priority="1116" operator="lessThan">
      <formula>0.8</formula>
    </cfRule>
  </conditionalFormatting>
  <conditionalFormatting sqref="P96:P105">
    <cfRule type="cellIs" dxfId="7634" priority="1114" operator="greaterThan">
      <formula>0</formula>
    </cfRule>
  </conditionalFormatting>
  <conditionalFormatting sqref="Q96:Q105">
    <cfRule type="cellIs" dxfId="7633" priority="1119" operator="lessThan">
      <formula>0</formula>
    </cfRule>
  </conditionalFormatting>
  <conditionalFormatting sqref="Q96:Q105">
    <cfRule type="cellIs" dxfId="7632" priority="1108" operator="lessThan">
      <formula>0</formula>
    </cfRule>
  </conditionalFormatting>
  <conditionalFormatting sqref="P96:P105">
    <cfRule type="cellIs" dxfId="7631" priority="1109" operator="greaterThan">
      <formula>0</formula>
    </cfRule>
  </conditionalFormatting>
  <conditionalFormatting sqref="R96:R105">
    <cfRule type="cellIs" dxfId="7630" priority="1112" operator="lessThan">
      <formula>0.8</formula>
    </cfRule>
    <cfRule type="cellIs" dxfId="7629" priority="1113" operator="greaterThan">
      <formula>1</formula>
    </cfRule>
  </conditionalFormatting>
  <conditionalFormatting sqref="R96:R105">
    <cfRule type="cellIs" dxfId="7628" priority="1110" operator="greaterThan">
      <formula>1</formula>
    </cfRule>
    <cfRule type="cellIs" dxfId="7627" priority="1111" operator="lessThan">
      <formula>0.8</formula>
    </cfRule>
  </conditionalFormatting>
  <conditionalFormatting sqref="Q96:Q105">
    <cfRule type="cellIs" dxfId="7626" priority="1102" operator="lessThan">
      <formula>0</formula>
    </cfRule>
  </conditionalFormatting>
  <conditionalFormatting sqref="R96:R105">
    <cfRule type="cellIs" dxfId="7625" priority="1106" operator="lessThan">
      <formula>0.8</formula>
    </cfRule>
    <cfRule type="cellIs" dxfId="7624" priority="1107" operator="greaterThan">
      <formula>1</formula>
    </cfRule>
  </conditionalFormatting>
  <conditionalFormatting sqref="R96:R105">
    <cfRule type="cellIs" dxfId="7623" priority="1104" operator="greaterThan">
      <formula>1</formula>
    </cfRule>
    <cfRule type="cellIs" dxfId="7622" priority="1105" operator="lessThan">
      <formula>0.8</formula>
    </cfRule>
  </conditionalFormatting>
  <conditionalFormatting sqref="P96:P105">
    <cfRule type="cellIs" dxfId="7621" priority="1103" operator="greaterThan">
      <formula>0</formula>
    </cfRule>
  </conditionalFormatting>
  <conditionalFormatting sqref="Q96:Q105">
    <cfRule type="cellIs" dxfId="7620" priority="1101" operator="lessThan">
      <formula>0</formula>
    </cfRule>
  </conditionalFormatting>
  <conditionalFormatting sqref="R96:R105">
    <cfRule type="cellIs" dxfId="7619" priority="1099" operator="lessThan">
      <formula>0.8</formula>
    </cfRule>
    <cfRule type="cellIs" dxfId="7618" priority="1100" operator="greaterThan">
      <formula>1</formula>
    </cfRule>
  </conditionalFormatting>
  <conditionalFormatting sqref="R96:R105">
    <cfRule type="cellIs" dxfId="7617" priority="1097" operator="greaterThan">
      <formula>1</formula>
    </cfRule>
    <cfRule type="cellIs" dxfId="7616" priority="1098" operator="lessThan">
      <formula>0.8</formula>
    </cfRule>
  </conditionalFormatting>
  <conditionalFormatting sqref="P96:P105">
    <cfRule type="cellIs" dxfId="7615" priority="1096" operator="greaterThan">
      <formula>0</formula>
    </cfRule>
  </conditionalFormatting>
  <conditionalFormatting sqref="Q96:Q105">
    <cfRule type="cellIs" dxfId="7614" priority="1095" operator="lessThan">
      <formula>0</formula>
    </cfRule>
  </conditionalFormatting>
  <conditionalFormatting sqref="R96:R105">
    <cfRule type="cellIs" dxfId="7613" priority="1093" operator="lessThan">
      <formula>0.8</formula>
    </cfRule>
    <cfRule type="cellIs" dxfId="7612" priority="1094" operator="greaterThan">
      <formula>1</formula>
    </cfRule>
  </conditionalFormatting>
  <conditionalFormatting sqref="R96:R105">
    <cfRule type="cellIs" dxfId="7611" priority="1091" operator="greaterThan">
      <formula>1</formula>
    </cfRule>
    <cfRule type="cellIs" dxfId="7610" priority="1092" operator="lessThan">
      <formula>0.8</formula>
    </cfRule>
  </conditionalFormatting>
  <conditionalFormatting sqref="P96:P105">
    <cfRule type="cellIs" dxfId="7609" priority="1090" operator="greaterThan">
      <formula>0</formula>
    </cfRule>
  </conditionalFormatting>
  <conditionalFormatting sqref="Q96:Q105">
    <cfRule type="cellIs" dxfId="7608" priority="1084" operator="lessThan">
      <formula>0</formula>
    </cfRule>
  </conditionalFormatting>
  <conditionalFormatting sqref="P96:P105">
    <cfRule type="cellIs" dxfId="7607" priority="1085" operator="greaterThan">
      <formula>0</formula>
    </cfRule>
  </conditionalFormatting>
  <conditionalFormatting sqref="R96:R105">
    <cfRule type="cellIs" dxfId="7606" priority="1088" operator="lessThan">
      <formula>0.8</formula>
    </cfRule>
    <cfRule type="cellIs" dxfId="7605" priority="1089" operator="greaterThan">
      <formula>1</formula>
    </cfRule>
  </conditionalFormatting>
  <conditionalFormatting sqref="R96:R105">
    <cfRule type="cellIs" dxfId="7604" priority="1086" operator="greaterThan">
      <formula>1</formula>
    </cfRule>
    <cfRule type="cellIs" dxfId="7603" priority="1087" operator="lessThan">
      <formula>0.8</formula>
    </cfRule>
  </conditionalFormatting>
  <conditionalFormatting sqref="Q96:Q105">
    <cfRule type="cellIs" dxfId="7602" priority="1078" operator="lessThan">
      <formula>0</formula>
    </cfRule>
  </conditionalFormatting>
  <conditionalFormatting sqref="R96:R105">
    <cfRule type="cellIs" dxfId="7601" priority="1082" operator="lessThan">
      <formula>0.8</formula>
    </cfRule>
    <cfRule type="cellIs" dxfId="7600" priority="1083" operator="greaterThan">
      <formula>1</formula>
    </cfRule>
  </conditionalFormatting>
  <conditionalFormatting sqref="R96:R105">
    <cfRule type="cellIs" dxfId="7599" priority="1080" operator="greaterThan">
      <formula>1</formula>
    </cfRule>
    <cfRule type="cellIs" dxfId="7598" priority="1081" operator="lessThan">
      <formula>0.8</formula>
    </cfRule>
  </conditionalFormatting>
  <conditionalFormatting sqref="P96:P105">
    <cfRule type="cellIs" dxfId="7597" priority="1079" operator="greaterThan">
      <formula>0</formula>
    </cfRule>
  </conditionalFormatting>
  <conditionalFormatting sqref="Q96:Q105">
    <cfRule type="cellIs" dxfId="7596" priority="1077" operator="lessThan">
      <formula>0</formula>
    </cfRule>
  </conditionalFormatting>
  <conditionalFormatting sqref="R96:R105">
    <cfRule type="cellIs" dxfId="7595" priority="1075" operator="lessThan">
      <formula>0.8</formula>
    </cfRule>
    <cfRule type="cellIs" dxfId="7594" priority="1076" operator="greaterThan">
      <formula>1</formula>
    </cfRule>
  </conditionalFormatting>
  <conditionalFormatting sqref="R96:R105">
    <cfRule type="cellIs" dxfId="7593" priority="1073" operator="greaterThan">
      <formula>1</formula>
    </cfRule>
    <cfRule type="cellIs" dxfId="7592" priority="1074" operator="lessThan">
      <formula>0.8</formula>
    </cfRule>
  </conditionalFormatting>
  <conditionalFormatting sqref="P96:P105">
    <cfRule type="cellIs" dxfId="7591" priority="1072" operator="greaterThan">
      <formula>0</formula>
    </cfRule>
  </conditionalFormatting>
  <conditionalFormatting sqref="Q96:Q105">
    <cfRule type="cellIs" dxfId="7590" priority="1071" operator="lessThan">
      <formula>0</formula>
    </cfRule>
  </conditionalFormatting>
  <conditionalFormatting sqref="R96:R105">
    <cfRule type="cellIs" dxfId="7589" priority="1069" operator="lessThan">
      <formula>0.8</formula>
    </cfRule>
    <cfRule type="cellIs" dxfId="7588" priority="1070" operator="greaterThan">
      <formula>1</formula>
    </cfRule>
  </conditionalFormatting>
  <conditionalFormatting sqref="R96:R105">
    <cfRule type="cellIs" dxfId="7587" priority="1067" operator="greaterThan">
      <formula>1</formula>
    </cfRule>
    <cfRule type="cellIs" dxfId="7586" priority="1068" operator="lessThan">
      <formula>0.8</formula>
    </cfRule>
  </conditionalFormatting>
  <conditionalFormatting sqref="P96:P105">
    <cfRule type="cellIs" dxfId="7585" priority="1066" operator="greaterThan">
      <formula>0</formula>
    </cfRule>
  </conditionalFormatting>
  <conditionalFormatting sqref="P124 P127 P130">
    <cfRule type="cellIs" dxfId="7584" priority="1060" operator="greaterThan">
      <formula>0</formula>
    </cfRule>
  </conditionalFormatting>
  <conditionalFormatting sqref="Q124 Q127 Q130">
    <cfRule type="cellIs" dxfId="7583" priority="1065" operator="lessThan">
      <formula>0</formula>
    </cfRule>
  </conditionalFormatting>
  <conditionalFormatting sqref="R124 R127 R130">
    <cfRule type="cellIs" dxfId="7582" priority="1063" operator="lessThan">
      <formula>0.8</formula>
    </cfRule>
    <cfRule type="cellIs" dxfId="7581" priority="1064" operator="greaterThan">
      <formula>1</formula>
    </cfRule>
  </conditionalFormatting>
  <conditionalFormatting sqref="R124 R127 R130">
    <cfRule type="cellIs" dxfId="7580" priority="1061" operator="greaterThan">
      <formula>1</formula>
    </cfRule>
    <cfRule type="cellIs" dxfId="7579" priority="1062" operator="lessThan">
      <formula>0.8</formula>
    </cfRule>
  </conditionalFormatting>
  <conditionalFormatting sqref="Q124 Q127 Q130">
    <cfRule type="cellIs" dxfId="7578" priority="1059" operator="lessThan">
      <formula>0</formula>
    </cfRule>
  </conditionalFormatting>
  <conditionalFormatting sqref="R124 R127 R130">
    <cfRule type="cellIs" dxfId="7577" priority="1057" operator="lessThan">
      <formula>0.8</formula>
    </cfRule>
    <cfRule type="cellIs" dxfId="7576" priority="1058" operator="greaterThan">
      <formula>1</formula>
    </cfRule>
  </conditionalFormatting>
  <conditionalFormatting sqref="R124 R127 R130">
    <cfRule type="cellIs" dxfId="7575" priority="1055" operator="greaterThan">
      <formula>1</formula>
    </cfRule>
    <cfRule type="cellIs" dxfId="7574" priority="1056" operator="lessThan">
      <formula>0.8</formula>
    </cfRule>
  </conditionalFormatting>
  <conditionalFormatting sqref="P124 P127 P130">
    <cfRule type="cellIs" dxfId="7573" priority="1054" operator="greaterThan">
      <formula>0</formula>
    </cfRule>
  </conditionalFormatting>
  <conditionalFormatting sqref="Q123 Q125:Q126 Q131 Q128:Q129">
    <cfRule type="cellIs" dxfId="7572" priority="1053" operator="lessThan">
      <formula>0</formula>
    </cfRule>
  </conditionalFormatting>
  <conditionalFormatting sqref="R123 R125:R126 R131 R128:R129">
    <cfRule type="cellIs" dxfId="7571" priority="1051" operator="lessThan">
      <formula>0.8</formula>
    </cfRule>
    <cfRule type="cellIs" dxfId="7570" priority="1052" operator="greaterThan">
      <formula>1</formula>
    </cfRule>
  </conditionalFormatting>
  <conditionalFormatting sqref="R123 R125:R126 R131 R128:R129">
    <cfRule type="cellIs" dxfId="7569" priority="1049" operator="greaterThan">
      <formula>1</formula>
    </cfRule>
    <cfRule type="cellIs" dxfId="7568" priority="1050" operator="lessThan">
      <formula>0.8</formula>
    </cfRule>
  </conditionalFormatting>
  <conditionalFormatting sqref="P123 P125:P126 P131 P128:P129">
    <cfRule type="cellIs" dxfId="7567" priority="1048" operator="greaterThan">
      <formula>0</formula>
    </cfRule>
  </conditionalFormatting>
  <conditionalFormatting sqref="P123 P125:P126 P131 P128:P129">
    <cfRule type="cellIs" dxfId="7566" priority="1042" operator="greaterThan">
      <formula>0</formula>
    </cfRule>
  </conditionalFormatting>
  <conditionalFormatting sqref="Q123 Q125:Q126 Q131 Q128:Q129">
    <cfRule type="cellIs" dxfId="7565" priority="1047" operator="lessThan">
      <formula>0</formula>
    </cfRule>
  </conditionalFormatting>
  <conditionalFormatting sqref="R123 R125:R126 R131 R128:R129">
    <cfRule type="cellIs" dxfId="7564" priority="1045" operator="lessThan">
      <formula>0.8</formula>
    </cfRule>
    <cfRule type="cellIs" dxfId="7563" priority="1046" operator="greaterThan">
      <formula>1</formula>
    </cfRule>
  </conditionalFormatting>
  <conditionalFormatting sqref="R123 R125:R126 R131 R128:R129">
    <cfRule type="cellIs" dxfId="7562" priority="1043" operator="greaterThan">
      <formula>1</formula>
    </cfRule>
    <cfRule type="cellIs" dxfId="7561" priority="1044" operator="lessThan">
      <formula>0.8</formula>
    </cfRule>
  </conditionalFormatting>
  <conditionalFormatting sqref="P122">
    <cfRule type="cellIs" dxfId="7560" priority="1036" operator="greaterThan">
      <formula>0</formula>
    </cfRule>
  </conditionalFormatting>
  <conditionalFormatting sqref="Q122">
    <cfRule type="cellIs" dxfId="7559" priority="1041" operator="lessThan">
      <formula>0</formula>
    </cfRule>
  </conditionalFormatting>
  <conditionalFormatting sqref="R122">
    <cfRule type="cellIs" dxfId="7558" priority="1039" operator="lessThan">
      <formula>0.8</formula>
    </cfRule>
    <cfRule type="cellIs" dxfId="7557" priority="1040" operator="greaterThan">
      <formula>1</formula>
    </cfRule>
  </conditionalFormatting>
  <conditionalFormatting sqref="R122">
    <cfRule type="cellIs" dxfId="7556" priority="1037" operator="greaterThan">
      <formula>1</formula>
    </cfRule>
    <cfRule type="cellIs" dxfId="7555" priority="1038" operator="lessThan">
      <formula>0.8</formula>
    </cfRule>
  </conditionalFormatting>
  <conditionalFormatting sqref="P137 P143 P140">
    <cfRule type="cellIs" dxfId="7554" priority="1035" operator="greaterThan">
      <formula>0</formula>
    </cfRule>
  </conditionalFormatting>
  <conditionalFormatting sqref="Q137:Q143">
    <cfRule type="cellIs" dxfId="7553" priority="1034" operator="lessThan">
      <formula>0</formula>
    </cfRule>
  </conditionalFormatting>
  <conditionalFormatting sqref="R137 R143">
    <cfRule type="cellIs" dxfId="7552" priority="1032" operator="lessThan">
      <formula>0.8</formula>
    </cfRule>
    <cfRule type="cellIs" dxfId="7551" priority="1033" operator="greaterThan">
      <formula>1</formula>
    </cfRule>
  </conditionalFormatting>
  <conditionalFormatting sqref="R137 R143">
    <cfRule type="cellIs" dxfId="7550" priority="1030" operator="greaterThan">
      <formula>1</formula>
    </cfRule>
    <cfRule type="cellIs" dxfId="7549" priority="1031" operator="lessThan">
      <formula>0.8</formula>
    </cfRule>
  </conditionalFormatting>
  <conditionalFormatting sqref="P137 P143 P140">
    <cfRule type="cellIs" dxfId="7548" priority="1029" operator="greaterThan">
      <formula>0</formula>
    </cfRule>
  </conditionalFormatting>
  <conditionalFormatting sqref="Q137:Q143">
    <cfRule type="cellIs" dxfId="7547" priority="1028" operator="lessThan">
      <formula>0</formula>
    </cfRule>
  </conditionalFormatting>
  <conditionalFormatting sqref="R137 R143">
    <cfRule type="cellIs" dxfId="7546" priority="1026" operator="lessThan">
      <formula>0.8</formula>
    </cfRule>
    <cfRule type="cellIs" dxfId="7545" priority="1027" operator="greaterThan">
      <formula>1</formula>
    </cfRule>
  </conditionalFormatting>
  <conditionalFormatting sqref="R137 R143">
    <cfRule type="cellIs" dxfId="7544" priority="1024" operator="greaterThan">
      <formula>1</formula>
    </cfRule>
    <cfRule type="cellIs" dxfId="7543" priority="1025" operator="lessThan">
      <formula>0.8</formula>
    </cfRule>
  </conditionalFormatting>
  <conditionalFormatting sqref="P137 P143 P140">
    <cfRule type="cellIs" dxfId="7542" priority="1023" operator="greaterThan">
      <formula>0</formula>
    </cfRule>
  </conditionalFormatting>
  <conditionalFormatting sqref="P137 P143 P140">
    <cfRule type="cellIs" dxfId="7541" priority="1017" operator="greaterThan">
      <formula>0</formula>
    </cfRule>
  </conditionalFormatting>
  <conditionalFormatting sqref="Q137:Q143">
    <cfRule type="cellIs" dxfId="7540" priority="1022" operator="lessThan">
      <formula>0</formula>
    </cfRule>
  </conditionalFormatting>
  <conditionalFormatting sqref="R137 R143">
    <cfRule type="cellIs" dxfId="7539" priority="1020" operator="lessThan">
      <formula>0.8</formula>
    </cfRule>
    <cfRule type="cellIs" dxfId="7538" priority="1021" operator="greaterThan">
      <formula>1</formula>
    </cfRule>
  </conditionalFormatting>
  <conditionalFormatting sqref="R137 R143">
    <cfRule type="cellIs" dxfId="7537" priority="1018" operator="greaterThan">
      <formula>1</formula>
    </cfRule>
    <cfRule type="cellIs" dxfId="7536" priority="1019" operator="lessThan">
      <formula>0.8</formula>
    </cfRule>
  </conditionalFormatting>
  <conditionalFormatting sqref="Q137:Q143">
    <cfRule type="cellIs" dxfId="7535" priority="1016" operator="lessThan">
      <formula>0</formula>
    </cfRule>
  </conditionalFormatting>
  <conditionalFormatting sqref="R137 R143">
    <cfRule type="cellIs" dxfId="7534" priority="1014" operator="lessThan">
      <formula>0.8</formula>
    </cfRule>
    <cfRule type="cellIs" dxfId="7533" priority="1015" operator="greaterThan">
      <formula>1</formula>
    </cfRule>
  </conditionalFormatting>
  <conditionalFormatting sqref="R137 R143">
    <cfRule type="cellIs" dxfId="7532" priority="1012" operator="greaterThan">
      <formula>1</formula>
    </cfRule>
    <cfRule type="cellIs" dxfId="7531" priority="1013" operator="lessThan">
      <formula>0.8</formula>
    </cfRule>
  </conditionalFormatting>
  <conditionalFormatting sqref="P137 P143 P140">
    <cfRule type="cellIs" dxfId="7530" priority="1011" operator="greaterThan">
      <formula>0</formula>
    </cfRule>
  </conditionalFormatting>
  <conditionalFormatting sqref="Q137:Q143">
    <cfRule type="cellIs" dxfId="7529" priority="1010" operator="lessThan">
      <formula>0</formula>
    </cfRule>
  </conditionalFormatting>
  <conditionalFormatting sqref="R137 R143">
    <cfRule type="cellIs" dxfId="7528" priority="1008" operator="lessThan">
      <formula>0.8</formula>
    </cfRule>
    <cfRule type="cellIs" dxfId="7527" priority="1009" operator="greaterThan">
      <formula>1</formula>
    </cfRule>
  </conditionalFormatting>
  <conditionalFormatting sqref="R137 R143">
    <cfRule type="cellIs" dxfId="7526" priority="1006" operator="greaterThan">
      <formula>1</formula>
    </cfRule>
    <cfRule type="cellIs" dxfId="7525" priority="1007" operator="lessThan">
      <formula>0.8</formula>
    </cfRule>
  </conditionalFormatting>
  <conditionalFormatting sqref="P137 P143 P140">
    <cfRule type="cellIs" dxfId="7524" priority="1005" operator="greaterThan">
      <formula>0</formula>
    </cfRule>
  </conditionalFormatting>
  <conditionalFormatting sqref="P137 P143 P140">
    <cfRule type="cellIs" dxfId="7523" priority="999" operator="greaterThan">
      <formula>0</formula>
    </cfRule>
  </conditionalFormatting>
  <conditionalFormatting sqref="Q137:Q143">
    <cfRule type="cellIs" dxfId="7522" priority="1004" operator="lessThan">
      <formula>0</formula>
    </cfRule>
  </conditionalFormatting>
  <conditionalFormatting sqref="R137 R143">
    <cfRule type="cellIs" dxfId="7521" priority="1002" operator="lessThan">
      <formula>0.8</formula>
    </cfRule>
    <cfRule type="cellIs" dxfId="7520" priority="1003" operator="greaterThan">
      <formula>1</formula>
    </cfRule>
  </conditionalFormatting>
  <conditionalFormatting sqref="R137 R143">
    <cfRule type="cellIs" dxfId="7519" priority="1000" operator="greaterThan">
      <formula>1</formula>
    </cfRule>
    <cfRule type="cellIs" dxfId="7518" priority="1001" operator="lessThan">
      <formula>0.8</formula>
    </cfRule>
  </conditionalFormatting>
  <conditionalFormatting sqref="Q137:Q143">
    <cfRule type="cellIs" dxfId="7517" priority="998" operator="lessThan">
      <formula>0</formula>
    </cfRule>
  </conditionalFormatting>
  <conditionalFormatting sqref="R137 R143">
    <cfRule type="cellIs" dxfId="7516" priority="996" operator="lessThan">
      <formula>0.8</formula>
    </cfRule>
    <cfRule type="cellIs" dxfId="7515" priority="997" operator="greaterThan">
      <formula>1</formula>
    </cfRule>
  </conditionalFormatting>
  <conditionalFormatting sqref="R137 R143">
    <cfRule type="cellIs" dxfId="7514" priority="994" operator="greaterThan">
      <formula>1</formula>
    </cfRule>
    <cfRule type="cellIs" dxfId="7513" priority="995" operator="lessThan">
      <formula>0.8</formula>
    </cfRule>
  </conditionalFormatting>
  <conditionalFormatting sqref="P137 P143 P140">
    <cfRule type="cellIs" dxfId="7512" priority="993" operator="greaterThan">
      <formula>0</formula>
    </cfRule>
  </conditionalFormatting>
  <conditionalFormatting sqref="Q137:Q143">
    <cfRule type="cellIs" dxfId="7511" priority="992" operator="lessThan">
      <formula>0</formula>
    </cfRule>
  </conditionalFormatting>
  <conditionalFormatting sqref="R137 R143">
    <cfRule type="cellIs" dxfId="7510" priority="990" operator="lessThan">
      <formula>0.8</formula>
    </cfRule>
    <cfRule type="cellIs" dxfId="7509" priority="991" operator="greaterThan">
      <formula>1</formula>
    </cfRule>
  </conditionalFormatting>
  <conditionalFormatting sqref="R137 R143">
    <cfRule type="cellIs" dxfId="7508" priority="988" operator="greaterThan">
      <formula>1</formula>
    </cfRule>
    <cfRule type="cellIs" dxfId="7507" priority="989" operator="lessThan">
      <formula>0.8</formula>
    </cfRule>
  </conditionalFormatting>
  <conditionalFormatting sqref="P137 P143 P140">
    <cfRule type="cellIs" dxfId="7506" priority="987" operator="greaterThan">
      <formula>0</formula>
    </cfRule>
  </conditionalFormatting>
  <conditionalFormatting sqref="P137 P143 P140">
    <cfRule type="cellIs" dxfId="7505" priority="981" operator="greaterThan">
      <formula>0</formula>
    </cfRule>
  </conditionalFormatting>
  <conditionalFormatting sqref="Q137:Q143">
    <cfRule type="cellIs" dxfId="7504" priority="986" operator="lessThan">
      <formula>0</formula>
    </cfRule>
  </conditionalFormatting>
  <conditionalFormatting sqref="R137 R143">
    <cfRule type="cellIs" dxfId="7503" priority="984" operator="lessThan">
      <formula>0.8</formula>
    </cfRule>
    <cfRule type="cellIs" dxfId="7502" priority="985" operator="greaterThan">
      <formula>1</formula>
    </cfRule>
  </conditionalFormatting>
  <conditionalFormatting sqref="R137 R143">
    <cfRule type="cellIs" dxfId="7501" priority="982" operator="greaterThan">
      <formula>1</formula>
    </cfRule>
    <cfRule type="cellIs" dxfId="7500" priority="983" operator="lessThan">
      <formula>0.8</formula>
    </cfRule>
  </conditionalFormatting>
  <conditionalFormatting sqref="Q137:Q143">
    <cfRule type="cellIs" dxfId="7499" priority="980" operator="lessThan">
      <formula>0</formula>
    </cfRule>
  </conditionalFormatting>
  <conditionalFormatting sqref="R137 R143">
    <cfRule type="cellIs" dxfId="7498" priority="978" operator="lessThan">
      <formula>0.8</formula>
    </cfRule>
    <cfRule type="cellIs" dxfId="7497" priority="979" operator="greaterThan">
      <formula>1</formula>
    </cfRule>
  </conditionalFormatting>
  <conditionalFormatting sqref="R137 R143">
    <cfRule type="cellIs" dxfId="7496" priority="976" operator="greaterThan">
      <formula>1</formula>
    </cfRule>
    <cfRule type="cellIs" dxfId="7495" priority="977" operator="lessThan">
      <formula>0.8</formula>
    </cfRule>
  </conditionalFormatting>
  <conditionalFormatting sqref="P137 P143 P140">
    <cfRule type="cellIs" dxfId="7494" priority="975" operator="greaterThan">
      <formula>0</formula>
    </cfRule>
  </conditionalFormatting>
  <conditionalFormatting sqref="P138 P144 P141">
    <cfRule type="cellIs" dxfId="7493" priority="969" operator="greaterThan">
      <formula>0</formula>
    </cfRule>
  </conditionalFormatting>
  <conditionalFormatting sqref="Q144">
    <cfRule type="cellIs" dxfId="7492" priority="974" operator="lessThan">
      <formula>0</formula>
    </cfRule>
  </conditionalFormatting>
  <conditionalFormatting sqref="R138 R144">
    <cfRule type="cellIs" dxfId="7491" priority="972" operator="lessThan">
      <formula>0.8</formula>
    </cfRule>
    <cfRule type="cellIs" dxfId="7490" priority="973" operator="greaterThan">
      <formula>1</formula>
    </cfRule>
  </conditionalFormatting>
  <conditionalFormatting sqref="R138 R144">
    <cfRule type="cellIs" dxfId="7489" priority="970" operator="greaterThan">
      <formula>1</formula>
    </cfRule>
    <cfRule type="cellIs" dxfId="7488" priority="971" operator="lessThan">
      <formula>0.8</formula>
    </cfRule>
  </conditionalFormatting>
  <conditionalFormatting sqref="Q144">
    <cfRule type="cellIs" dxfId="7487" priority="968" operator="lessThan">
      <formula>0</formula>
    </cfRule>
  </conditionalFormatting>
  <conditionalFormatting sqref="R138 R144">
    <cfRule type="cellIs" dxfId="7486" priority="966" operator="lessThan">
      <formula>0.8</formula>
    </cfRule>
    <cfRule type="cellIs" dxfId="7485" priority="967" operator="greaterThan">
      <formula>1</formula>
    </cfRule>
  </conditionalFormatting>
  <conditionalFormatting sqref="R138 R144">
    <cfRule type="cellIs" dxfId="7484" priority="964" operator="greaterThan">
      <formula>1</formula>
    </cfRule>
    <cfRule type="cellIs" dxfId="7483" priority="965" operator="lessThan">
      <formula>0.8</formula>
    </cfRule>
  </conditionalFormatting>
  <conditionalFormatting sqref="P138 P144 P141">
    <cfRule type="cellIs" dxfId="7482" priority="963" operator="greaterThan">
      <formula>0</formula>
    </cfRule>
  </conditionalFormatting>
  <conditionalFormatting sqref="Q144">
    <cfRule type="cellIs" dxfId="7481" priority="962" operator="lessThan">
      <formula>0</formula>
    </cfRule>
  </conditionalFormatting>
  <conditionalFormatting sqref="R138 R144">
    <cfRule type="cellIs" dxfId="7480" priority="960" operator="lessThan">
      <formula>0.8</formula>
    </cfRule>
    <cfRule type="cellIs" dxfId="7479" priority="961" operator="greaterThan">
      <formula>1</formula>
    </cfRule>
  </conditionalFormatting>
  <conditionalFormatting sqref="R138 R144">
    <cfRule type="cellIs" dxfId="7478" priority="958" operator="greaterThan">
      <formula>1</formula>
    </cfRule>
    <cfRule type="cellIs" dxfId="7477" priority="959" operator="lessThan">
      <formula>0.8</formula>
    </cfRule>
  </conditionalFormatting>
  <conditionalFormatting sqref="P138 P144 P141">
    <cfRule type="cellIs" dxfId="7476" priority="957" operator="greaterThan">
      <formula>0</formula>
    </cfRule>
  </conditionalFormatting>
  <conditionalFormatting sqref="Q144">
    <cfRule type="cellIs" dxfId="7475" priority="956" operator="lessThan">
      <formula>0</formula>
    </cfRule>
  </conditionalFormatting>
  <conditionalFormatting sqref="R138 R144">
    <cfRule type="cellIs" dxfId="7474" priority="954" operator="lessThan">
      <formula>0.8</formula>
    </cfRule>
    <cfRule type="cellIs" dxfId="7473" priority="955" operator="greaterThan">
      <formula>1</formula>
    </cfRule>
  </conditionalFormatting>
  <conditionalFormatting sqref="R138 R144">
    <cfRule type="cellIs" dxfId="7472" priority="952" operator="greaterThan">
      <formula>1</formula>
    </cfRule>
    <cfRule type="cellIs" dxfId="7471" priority="953" operator="lessThan">
      <formula>0.8</formula>
    </cfRule>
  </conditionalFormatting>
  <conditionalFormatting sqref="P138 P144 P141">
    <cfRule type="cellIs" dxfId="7470" priority="951" operator="greaterThan">
      <formula>0</formula>
    </cfRule>
  </conditionalFormatting>
  <conditionalFormatting sqref="Q144">
    <cfRule type="cellIs" dxfId="7469" priority="950" operator="lessThan">
      <formula>0</formula>
    </cfRule>
  </conditionalFormatting>
  <conditionalFormatting sqref="R138 R144">
    <cfRule type="cellIs" dxfId="7468" priority="948" operator="lessThan">
      <formula>0.8</formula>
    </cfRule>
    <cfRule type="cellIs" dxfId="7467" priority="949" operator="greaterThan">
      <formula>1</formula>
    </cfRule>
  </conditionalFormatting>
  <conditionalFormatting sqref="R138 R144">
    <cfRule type="cellIs" dxfId="7466" priority="946" operator="greaterThan">
      <formula>1</formula>
    </cfRule>
    <cfRule type="cellIs" dxfId="7465" priority="947" operator="lessThan">
      <formula>0.8</formula>
    </cfRule>
  </conditionalFormatting>
  <conditionalFormatting sqref="Q144">
    <cfRule type="cellIs" dxfId="7464" priority="945" operator="lessThan">
      <formula>0</formula>
    </cfRule>
  </conditionalFormatting>
  <conditionalFormatting sqref="R138 R144">
    <cfRule type="cellIs" dxfId="7463" priority="943" operator="lessThan">
      <formula>0.8</formula>
    </cfRule>
    <cfRule type="cellIs" dxfId="7462" priority="944" operator="greaterThan">
      <formula>1</formula>
    </cfRule>
  </conditionalFormatting>
  <conditionalFormatting sqref="R138 R144">
    <cfRule type="cellIs" dxfId="7461" priority="941" operator="greaterThan">
      <formula>1</formula>
    </cfRule>
    <cfRule type="cellIs" dxfId="7460" priority="942" operator="lessThan">
      <formula>0.8</formula>
    </cfRule>
  </conditionalFormatting>
  <conditionalFormatting sqref="P138 P144 P141">
    <cfRule type="cellIs" dxfId="7459" priority="940" operator="greaterThan">
      <formula>0</formula>
    </cfRule>
  </conditionalFormatting>
  <conditionalFormatting sqref="P138 P144 P141">
    <cfRule type="cellIs" dxfId="7458" priority="934" operator="greaterThan">
      <formula>0</formula>
    </cfRule>
  </conditionalFormatting>
  <conditionalFormatting sqref="Q144">
    <cfRule type="cellIs" dxfId="7457" priority="939" operator="lessThan">
      <formula>0</formula>
    </cfRule>
  </conditionalFormatting>
  <conditionalFormatting sqref="R138 R144">
    <cfRule type="cellIs" dxfId="7456" priority="937" operator="lessThan">
      <formula>0.8</formula>
    </cfRule>
    <cfRule type="cellIs" dxfId="7455" priority="938" operator="greaterThan">
      <formula>1</formula>
    </cfRule>
  </conditionalFormatting>
  <conditionalFormatting sqref="R138 R144">
    <cfRule type="cellIs" dxfId="7454" priority="935" operator="greaterThan">
      <formula>1</formula>
    </cfRule>
    <cfRule type="cellIs" dxfId="7453" priority="936" operator="lessThan">
      <formula>0.8</formula>
    </cfRule>
  </conditionalFormatting>
  <conditionalFormatting sqref="Q144">
    <cfRule type="cellIs" dxfId="7452" priority="933" operator="lessThan">
      <formula>0</formula>
    </cfRule>
  </conditionalFormatting>
  <conditionalFormatting sqref="R138 R144">
    <cfRule type="cellIs" dxfId="7451" priority="931" operator="lessThan">
      <formula>0.8</formula>
    </cfRule>
    <cfRule type="cellIs" dxfId="7450" priority="932" operator="greaterThan">
      <formula>1</formula>
    </cfRule>
  </conditionalFormatting>
  <conditionalFormatting sqref="R138 R144">
    <cfRule type="cellIs" dxfId="7449" priority="929" operator="greaterThan">
      <formula>1</formula>
    </cfRule>
    <cfRule type="cellIs" dxfId="7448" priority="930" operator="lessThan">
      <formula>0.8</formula>
    </cfRule>
  </conditionalFormatting>
  <conditionalFormatting sqref="P138 P144 P141">
    <cfRule type="cellIs" dxfId="7447" priority="928" operator="greaterThan">
      <formula>0</formula>
    </cfRule>
  </conditionalFormatting>
  <conditionalFormatting sqref="Q148:Q153">
    <cfRule type="cellIs" dxfId="7446" priority="927" operator="lessThan">
      <formula>0</formula>
    </cfRule>
  </conditionalFormatting>
  <conditionalFormatting sqref="R148:R153">
    <cfRule type="cellIs" dxfId="7445" priority="925" operator="lessThan">
      <formula>0.8</formula>
    </cfRule>
    <cfRule type="cellIs" dxfId="7444" priority="926" operator="greaterThan">
      <formula>1</formula>
    </cfRule>
  </conditionalFormatting>
  <conditionalFormatting sqref="R148:R153">
    <cfRule type="cellIs" dxfId="7443" priority="923" operator="greaterThan">
      <formula>1</formula>
    </cfRule>
    <cfRule type="cellIs" dxfId="7442" priority="924" operator="lessThan">
      <formula>0.8</formula>
    </cfRule>
  </conditionalFormatting>
  <conditionalFormatting sqref="P148:P153">
    <cfRule type="cellIs" dxfId="7441" priority="922" operator="greaterThan">
      <formula>0</formula>
    </cfRule>
  </conditionalFormatting>
  <conditionalFormatting sqref="P148:P153">
    <cfRule type="cellIs" dxfId="7440" priority="916" operator="greaterThan">
      <formula>0</formula>
    </cfRule>
  </conditionalFormatting>
  <conditionalFormatting sqref="Q148:Q153">
    <cfRule type="cellIs" dxfId="7439" priority="921" operator="lessThan">
      <formula>0</formula>
    </cfRule>
  </conditionalFormatting>
  <conditionalFormatting sqref="R148:R153">
    <cfRule type="cellIs" dxfId="7438" priority="919" operator="lessThan">
      <formula>0.8</formula>
    </cfRule>
    <cfRule type="cellIs" dxfId="7437" priority="920" operator="greaterThan">
      <formula>1</formula>
    </cfRule>
  </conditionalFormatting>
  <conditionalFormatting sqref="R148:R153">
    <cfRule type="cellIs" dxfId="7436" priority="917" operator="greaterThan">
      <formula>1</formula>
    </cfRule>
    <cfRule type="cellIs" dxfId="7435" priority="918" operator="lessThan">
      <formula>0.8</formula>
    </cfRule>
  </conditionalFormatting>
  <conditionalFormatting sqref="Q148:Q153">
    <cfRule type="cellIs" dxfId="7434" priority="915" operator="lessThan">
      <formula>0</formula>
    </cfRule>
  </conditionalFormatting>
  <conditionalFormatting sqref="R148:R153">
    <cfRule type="cellIs" dxfId="7433" priority="913" operator="lessThan">
      <formula>0.8</formula>
    </cfRule>
    <cfRule type="cellIs" dxfId="7432" priority="914" operator="greaterThan">
      <formula>1</formula>
    </cfRule>
  </conditionalFormatting>
  <conditionalFormatting sqref="R148:R153">
    <cfRule type="cellIs" dxfId="7431" priority="911" operator="greaterThan">
      <formula>1</formula>
    </cfRule>
    <cfRule type="cellIs" dxfId="7430" priority="912" operator="lessThan">
      <formula>0.8</formula>
    </cfRule>
  </conditionalFormatting>
  <conditionalFormatting sqref="P148:P153">
    <cfRule type="cellIs" dxfId="7429" priority="910" operator="greaterThan">
      <formula>0</formula>
    </cfRule>
  </conditionalFormatting>
  <conditionalFormatting sqref="Q148:Q153">
    <cfRule type="cellIs" dxfId="7428" priority="909" operator="lessThan">
      <formula>0</formula>
    </cfRule>
  </conditionalFormatting>
  <conditionalFormatting sqref="R148:R153">
    <cfRule type="cellIs" dxfId="7427" priority="907" operator="lessThan">
      <formula>0.8</formula>
    </cfRule>
    <cfRule type="cellIs" dxfId="7426" priority="908" operator="greaterThan">
      <formula>1</formula>
    </cfRule>
  </conditionalFormatting>
  <conditionalFormatting sqref="R148:R153">
    <cfRule type="cellIs" dxfId="7425" priority="905" operator="greaterThan">
      <formula>1</formula>
    </cfRule>
    <cfRule type="cellIs" dxfId="7424" priority="906" operator="lessThan">
      <formula>0.8</formula>
    </cfRule>
  </conditionalFormatting>
  <conditionalFormatting sqref="P148:P153">
    <cfRule type="cellIs" dxfId="7423" priority="904" operator="greaterThan">
      <formula>0</formula>
    </cfRule>
  </conditionalFormatting>
  <conditionalFormatting sqref="P148:P153">
    <cfRule type="cellIs" dxfId="7422" priority="898" operator="greaterThan">
      <formula>0</formula>
    </cfRule>
  </conditionalFormatting>
  <conditionalFormatting sqref="Q148:Q153">
    <cfRule type="cellIs" dxfId="7421" priority="903" operator="lessThan">
      <formula>0</formula>
    </cfRule>
  </conditionalFormatting>
  <conditionalFormatting sqref="R148:R153">
    <cfRule type="cellIs" dxfId="7420" priority="901" operator="lessThan">
      <formula>0.8</formula>
    </cfRule>
    <cfRule type="cellIs" dxfId="7419" priority="902" operator="greaterThan">
      <formula>1</formula>
    </cfRule>
  </conditionalFormatting>
  <conditionalFormatting sqref="R148:R153">
    <cfRule type="cellIs" dxfId="7418" priority="899" operator="greaterThan">
      <formula>1</formula>
    </cfRule>
    <cfRule type="cellIs" dxfId="7417" priority="900" operator="lessThan">
      <formula>0.8</formula>
    </cfRule>
  </conditionalFormatting>
  <conditionalFormatting sqref="Q148:Q153">
    <cfRule type="cellIs" dxfId="7416" priority="897" operator="lessThan">
      <formula>0</formula>
    </cfRule>
  </conditionalFormatting>
  <conditionalFormatting sqref="R148:R153">
    <cfRule type="cellIs" dxfId="7415" priority="895" operator="lessThan">
      <formula>0.8</formula>
    </cfRule>
    <cfRule type="cellIs" dxfId="7414" priority="896" operator="greaterThan">
      <formula>1</formula>
    </cfRule>
  </conditionalFormatting>
  <conditionalFormatting sqref="R148:R153">
    <cfRule type="cellIs" dxfId="7413" priority="893" operator="greaterThan">
      <formula>1</formula>
    </cfRule>
    <cfRule type="cellIs" dxfId="7412" priority="894" operator="lessThan">
      <formula>0.8</formula>
    </cfRule>
  </conditionalFormatting>
  <conditionalFormatting sqref="P148:P153">
    <cfRule type="cellIs" dxfId="7411" priority="892" operator="greaterThan">
      <formula>0</formula>
    </cfRule>
  </conditionalFormatting>
  <conditionalFormatting sqref="Q148:Q153">
    <cfRule type="cellIs" dxfId="7410" priority="886" operator="lessThan">
      <formula>0</formula>
    </cfRule>
  </conditionalFormatting>
  <conditionalFormatting sqref="P148:P153">
    <cfRule type="cellIs" dxfId="7409" priority="887" operator="greaterThan">
      <formula>0</formula>
    </cfRule>
  </conditionalFormatting>
  <conditionalFormatting sqref="R148:R153">
    <cfRule type="cellIs" dxfId="7408" priority="890" operator="lessThan">
      <formula>0.8</formula>
    </cfRule>
    <cfRule type="cellIs" dxfId="7407" priority="891" operator="greaterThan">
      <formula>1</formula>
    </cfRule>
  </conditionalFormatting>
  <conditionalFormatting sqref="R148:R153">
    <cfRule type="cellIs" dxfId="7406" priority="888" operator="greaterThan">
      <formula>1</formula>
    </cfRule>
    <cfRule type="cellIs" dxfId="7405" priority="889" operator="lessThan">
      <formula>0.8</formula>
    </cfRule>
  </conditionalFormatting>
  <conditionalFormatting sqref="Q148:Q153">
    <cfRule type="cellIs" dxfId="7404" priority="880" operator="lessThan">
      <formula>0</formula>
    </cfRule>
  </conditionalFormatting>
  <conditionalFormatting sqref="R148:R153">
    <cfRule type="cellIs" dxfId="7403" priority="884" operator="lessThan">
      <formula>0.8</formula>
    </cfRule>
    <cfRule type="cellIs" dxfId="7402" priority="885" operator="greaterThan">
      <formula>1</formula>
    </cfRule>
  </conditionalFormatting>
  <conditionalFormatting sqref="R148:R153">
    <cfRule type="cellIs" dxfId="7401" priority="882" operator="greaterThan">
      <formula>1</formula>
    </cfRule>
    <cfRule type="cellIs" dxfId="7400" priority="883" operator="lessThan">
      <formula>0.8</formula>
    </cfRule>
  </conditionalFormatting>
  <conditionalFormatting sqref="P148:P153">
    <cfRule type="cellIs" dxfId="7399" priority="881" operator="greaterThan">
      <formula>0</formula>
    </cfRule>
  </conditionalFormatting>
  <conditionalFormatting sqref="Q148:Q153">
    <cfRule type="cellIs" dxfId="7398" priority="879" operator="lessThan">
      <formula>0</formula>
    </cfRule>
  </conditionalFormatting>
  <conditionalFormatting sqref="R148:R153">
    <cfRule type="cellIs" dxfId="7397" priority="877" operator="lessThan">
      <formula>0.8</formula>
    </cfRule>
    <cfRule type="cellIs" dxfId="7396" priority="878" operator="greaterThan">
      <formula>1</formula>
    </cfRule>
  </conditionalFormatting>
  <conditionalFormatting sqref="R148:R153">
    <cfRule type="cellIs" dxfId="7395" priority="875" operator="greaterThan">
      <formula>1</formula>
    </cfRule>
    <cfRule type="cellIs" dxfId="7394" priority="876" operator="lessThan">
      <formula>0.8</formula>
    </cfRule>
  </conditionalFormatting>
  <conditionalFormatting sqref="P148:P153">
    <cfRule type="cellIs" dxfId="7393" priority="874" operator="greaterThan">
      <formula>0</formula>
    </cfRule>
  </conditionalFormatting>
  <conditionalFormatting sqref="Q148:Q153">
    <cfRule type="cellIs" dxfId="7392" priority="873" operator="lessThan">
      <formula>0</formula>
    </cfRule>
  </conditionalFormatting>
  <conditionalFormatting sqref="R148:R153">
    <cfRule type="cellIs" dxfId="7391" priority="871" operator="lessThan">
      <formula>0.8</formula>
    </cfRule>
    <cfRule type="cellIs" dxfId="7390" priority="872" operator="greaterThan">
      <formula>1</formula>
    </cfRule>
  </conditionalFormatting>
  <conditionalFormatting sqref="R148:R153">
    <cfRule type="cellIs" dxfId="7389" priority="869" operator="greaterThan">
      <formula>1</formula>
    </cfRule>
    <cfRule type="cellIs" dxfId="7388" priority="870" operator="lessThan">
      <formula>0.8</formula>
    </cfRule>
  </conditionalFormatting>
  <conditionalFormatting sqref="P148:P153">
    <cfRule type="cellIs" dxfId="7387" priority="868" operator="greaterThan">
      <formula>0</formula>
    </cfRule>
  </conditionalFormatting>
  <conditionalFormatting sqref="Q148:Q153">
    <cfRule type="cellIs" dxfId="7386" priority="867" operator="lessThan">
      <formula>0</formula>
    </cfRule>
  </conditionalFormatting>
  <conditionalFormatting sqref="R148:R153">
    <cfRule type="cellIs" dxfId="7385" priority="865" operator="lessThan">
      <formula>0.8</formula>
    </cfRule>
    <cfRule type="cellIs" dxfId="7384" priority="866" operator="greaterThan">
      <formula>1</formula>
    </cfRule>
  </conditionalFormatting>
  <conditionalFormatting sqref="R148:R153">
    <cfRule type="cellIs" dxfId="7383" priority="863" operator="greaterThan">
      <formula>1</formula>
    </cfRule>
    <cfRule type="cellIs" dxfId="7382" priority="864" operator="lessThan">
      <formula>0.8</formula>
    </cfRule>
  </conditionalFormatting>
  <conditionalFormatting sqref="P148:P153">
    <cfRule type="cellIs" dxfId="7381" priority="862" operator="greaterThan">
      <formula>0</formula>
    </cfRule>
  </conditionalFormatting>
  <conditionalFormatting sqref="Q148:Q153">
    <cfRule type="cellIs" dxfId="7380" priority="861" operator="lessThan">
      <formula>0</formula>
    </cfRule>
  </conditionalFormatting>
  <conditionalFormatting sqref="R148:R153">
    <cfRule type="cellIs" dxfId="7379" priority="859" operator="lessThan">
      <formula>0.8</formula>
    </cfRule>
    <cfRule type="cellIs" dxfId="7378" priority="860" operator="greaterThan">
      <formula>1</formula>
    </cfRule>
  </conditionalFormatting>
  <conditionalFormatting sqref="R148:R153">
    <cfRule type="cellIs" dxfId="7377" priority="857" operator="greaterThan">
      <formula>1</formula>
    </cfRule>
    <cfRule type="cellIs" dxfId="7376" priority="858" operator="lessThan">
      <formula>0.8</formula>
    </cfRule>
  </conditionalFormatting>
  <conditionalFormatting sqref="P148:P153">
    <cfRule type="cellIs" dxfId="7375" priority="856" operator="greaterThan">
      <formula>0</formula>
    </cfRule>
  </conditionalFormatting>
  <conditionalFormatting sqref="Q148:Q153">
    <cfRule type="cellIs" dxfId="7374" priority="855" operator="lessThan">
      <formula>0</formula>
    </cfRule>
  </conditionalFormatting>
  <conditionalFormatting sqref="R148:R153">
    <cfRule type="cellIs" dxfId="7373" priority="853" operator="lessThan">
      <formula>0.8</formula>
    </cfRule>
    <cfRule type="cellIs" dxfId="7372" priority="854" operator="greaterThan">
      <formula>1</formula>
    </cfRule>
  </conditionalFormatting>
  <conditionalFormatting sqref="R148:R153">
    <cfRule type="cellIs" dxfId="7371" priority="851" operator="greaterThan">
      <formula>1</formula>
    </cfRule>
    <cfRule type="cellIs" dxfId="7370" priority="852" operator="lessThan">
      <formula>0.8</formula>
    </cfRule>
  </conditionalFormatting>
  <conditionalFormatting sqref="P148:P153">
    <cfRule type="cellIs" dxfId="7369" priority="850" operator="greaterThan">
      <formula>0</formula>
    </cfRule>
  </conditionalFormatting>
  <conditionalFormatting sqref="Q148:Q153">
    <cfRule type="cellIs" dxfId="7368" priority="849" operator="lessThan">
      <formula>0</formula>
    </cfRule>
  </conditionalFormatting>
  <conditionalFormatting sqref="R148:R153">
    <cfRule type="cellIs" dxfId="7367" priority="847" operator="lessThan">
      <formula>0.8</formula>
    </cfRule>
    <cfRule type="cellIs" dxfId="7366" priority="848" operator="greaterThan">
      <formula>1</formula>
    </cfRule>
  </conditionalFormatting>
  <conditionalFormatting sqref="R148:R153">
    <cfRule type="cellIs" dxfId="7365" priority="845" operator="greaterThan">
      <formula>1</formula>
    </cfRule>
    <cfRule type="cellIs" dxfId="7364" priority="846" operator="lessThan">
      <formula>0.8</formula>
    </cfRule>
  </conditionalFormatting>
  <conditionalFormatting sqref="P148:P153">
    <cfRule type="cellIs" dxfId="7363" priority="844" operator="greaterThan">
      <formula>0</formula>
    </cfRule>
  </conditionalFormatting>
  <conditionalFormatting sqref="Q148:Q153">
    <cfRule type="cellIs" dxfId="7362" priority="843" operator="lessThan">
      <formula>0</formula>
    </cfRule>
  </conditionalFormatting>
  <conditionalFormatting sqref="R148:R153">
    <cfRule type="cellIs" dxfId="7361" priority="841" operator="lessThan">
      <formula>0.8</formula>
    </cfRule>
    <cfRule type="cellIs" dxfId="7360" priority="842" operator="greaterThan">
      <formula>1</formula>
    </cfRule>
  </conditionalFormatting>
  <conditionalFormatting sqref="R148:R153">
    <cfRule type="cellIs" dxfId="7359" priority="839" operator="greaterThan">
      <formula>1</formula>
    </cfRule>
    <cfRule type="cellIs" dxfId="7358" priority="840" operator="lessThan">
      <formula>0.8</formula>
    </cfRule>
  </conditionalFormatting>
  <conditionalFormatting sqref="P148:P153">
    <cfRule type="cellIs" dxfId="7357" priority="838" operator="greaterThan">
      <formula>0</formula>
    </cfRule>
  </conditionalFormatting>
  <conditionalFormatting sqref="P148:P153">
    <cfRule type="cellIs" dxfId="7356" priority="832" operator="greaterThan">
      <formula>0</formula>
    </cfRule>
  </conditionalFormatting>
  <conditionalFormatting sqref="Q148:Q153">
    <cfRule type="cellIs" dxfId="7355" priority="837" operator="lessThan">
      <formula>0</formula>
    </cfRule>
  </conditionalFormatting>
  <conditionalFormatting sqref="R148:R153">
    <cfRule type="cellIs" dxfId="7354" priority="835" operator="lessThan">
      <formula>0.8</formula>
    </cfRule>
    <cfRule type="cellIs" dxfId="7353" priority="836" operator="greaterThan">
      <formula>1</formula>
    </cfRule>
  </conditionalFormatting>
  <conditionalFormatting sqref="R148:R153">
    <cfRule type="cellIs" dxfId="7352" priority="833" operator="greaterThan">
      <formula>1</formula>
    </cfRule>
    <cfRule type="cellIs" dxfId="7351" priority="834" operator="lessThan">
      <formula>0.8</formula>
    </cfRule>
  </conditionalFormatting>
  <conditionalFormatting sqref="P148:P153">
    <cfRule type="cellIs" dxfId="7350" priority="826" operator="greaterThan">
      <formula>0</formula>
    </cfRule>
  </conditionalFormatting>
  <conditionalFormatting sqref="Q148:Q153">
    <cfRule type="cellIs" dxfId="7349" priority="831" operator="lessThan">
      <formula>0</formula>
    </cfRule>
  </conditionalFormatting>
  <conditionalFormatting sqref="R148:R153">
    <cfRule type="cellIs" dxfId="7348" priority="829" operator="lessThan">
      <formula>0.8</formula>
    </cfRule>
    <cfRule type="cellIs" dxfId="7347" priority="830" operator="greaterThan">
      <formula>1</formula>
    </cfRule>
  </conditionalFormatting>
  <conditionalFormatting sqref="R148:R153">
    <cfRule type="cellIs" dxfId="7346" priority="827" operator="greaterThan">
      <formula>1</formula>
    </cfRule>
    <cfRule type="cellIs" dxfId="7345" priority="828" operator="lessThan">
      <formula>0.8</formula>
    </cfRule>
  </conditionalFormatting>
  <conditionalFormatting sqref="R148:R153">
    <cfRule type="cellIs" dxfId="7344" priority="823" operator="lessThan">
      <formula>0.8</formula>
    </cfRule>
    <cfRule type="cellIs" dxfId="7343" priority="824" operator="greaterThan">
      <formula>1</formula>
    </cfRule>
  </conditionalFormatting>
  <conditionalFormatting sqref="R148:R153">
    <cfRule type="cellIs" dxfId="7342" priority="821" operator="greaterThan">
      <formula>1</formula>
    </cfRule>
    <cfRule type="cellIs" dxfId="7341" priority="822" operator="lessThan">
      <formula>0.8</formula>
    </cfRule>
  </conditionalFormatting>
  <conditionalFormatting sqref="P148:P153">
    <cfRule type="cellIs" dxfId="7340" priority="820" operator="greaterThan">
      <formula>0</formula>
    </cfRule>
  </conditionalFormatting>
  <conditionalFormatting sqref="Q148:Q153">
    <cfRule type="cellIs" dxfId="7339" priority="825" operator="lessThan">
      <formula>0</formula>
    </cfRule>
  </conditionalFormatting>
  <conditionalFormatting sqref="Q148:Q153">
    <cfRule type="cellIs" dxfId="7338" priority="819" operator="lessThan">
      <formula>0</formula>
    </cfRule>
  </conditionalFormatting>
  <conditionalFormatting sqref="R148:R153">
    <cfRule type="cellIs" dxfId="7337" priority="817" operator="lessThan">
      <formula>0.8</formula>
    </cfRule>
    <cfRule type="cellIs" dxfId="7336" priority="818" operator="greaterThan">
      <formula>1</formula>
    </cfRule>
  </conditionalFormatting>
  <conditionalFormatting sqref="R148:R153">
    <cfRule type="cellIs" dxfId="7335" priority="815" operator="greaterThan">
      <formula>1</formula>
    </cfRule>
    <cfRule type="cellIs" dxfId="7334" priority="816" operator="lessThan">
      <formula>0.8</formula>
    </cfRule>
  </conditionalFormatting>
  <conditionalFormatting sqref="P148:P153">
    <cfRule type="cellIs" dxfId="7333" priority="814" operator="greaterThan">
      <formula>0</formula>
    </cfRule>
  </conditionalFormatting>
  <conditionalFormatting sqref="P148:P153">
    <cfRule type="cellIs" dxfId="7332" priority="808" operator="greaterThan">
      <formula>0</formula>
    </cfRule>
  </conditionalFormatting>
  <conditionalFormatting sqref="Q148:Q153">
    <cfRule type="cellIs" dxfId="7331" priority="813" operator="lessThan">
      <formula>0</formula>
    </cfRule>
  </conditionalFormatting>
  <conditionalFormatting sqref="R148:R153">
    <cfRule type="cellIs" dxfId="7330" priority="811" operator="lessThan">
      <formula>0.8</formula>
    </cfRule>
    <cfRule type="cellIs" dxfId="7329" priority="812" operator="greaterThan">
      <formula>1</formula>
    </cfRule>
  </conditionalFormatting>
  <conditionalFormatting sqref="R148:R153">
    <cfRule type="cellIs" dxfId="7328" priority="809" operator="greaterThan">
      <formula>1</formula>
    </cfRule>
    <cfRule type="cellIs" dxfId="7327" priority="810" operator="lessThan">
      <formula>0.8</formula>
    </cfRule>
  </conditionalFormatting>
  <conditionalFormatting sqref="P148:P153">
    <cfRule type="cellIs" dxfId="7326" priority="802" operator="greaterThan">
      <formula>0</formula>
    </cfRule>
  </conditionalFormatting>
  <conditionalFormatting sqref="Q148:Q153">
    <cfRule type="cellIs" dxfId="7325" priority="807" operator="lessThan">
      <formula>0</formula>
    </cfRule>
  </conditionalFormatting>
  <conditionalFormatting sqref="R148:R153">
    <cfRule type="cellIs" dxfId="7324" priority="805" operator="lessThan">
      <formula>0.8</formula>
    </cfRule>
    <cfRule type="cellIs" dxfId="7323" priority="806" operator="greaterThan">
      <formula>1</formula>
    </cfRule>
  </conditionalFormatting>
  <conditionalFormatting sqref="R148:R153">
    <cfRule type="cellIs" dxfId="7322" priority="803" operator="greaterThan">
      <formula>1</formula>
    </cfRule>
    <cfRule type="cellIs" dxfId="7321" priority="804" operator="lessThan">
      <formula>0.8</formula>
    </cfRule>
  </conditionalFormatting>
  <conditionalFormatting sqref="R148:R153">
    <cfRule type="cellIs" dxfId="7320" priority="799" operator="lessThan">
      <formula>0.8</formula>
    </cfRule>
    <cfRule type="cellIs" dxfId="7319" priority="800" operator="greaterThan">
      <formula>1</formula>
    </cfRule>
  </conditionalFormatting>
  <conditionalFormatting sqref="R148:R153">
    <cfRule type="cellIs" dxfId="7318" priority="797" operator="greaterThan">
      <formula>1</formula>
    </cfRule>
    <cfRule type="cellIs" dxfId="7317" priority="798" operator="lessThan">
      <formula>0.8</formula>
    </cfRule>
  </conditionalFormatting>
  <conditionalFormatting sqref="P148:P153">
    <cfRule type="cellIs" dxfId="7316" priority="796" operator="greaterThan">
      <formula>0</formula>
    </cfRule>
  </conditionalFormatting>
  <conditionalFormatting sqref="Q148:Q153">
    <cfRule type="cellIs" dxfId="7315" priority="801" operator="lessThan">
      <formula>0</formula>
    </cfRule>
  </conditionalFormatting>
  <conditionalFormatting sqref="P148:P153">
    <cfRule type="cellIs" dxfId="7314" priority="790" operator="greaterThan">
      <formula>0</formula>
    </cfRule>
  </conditionalFormatting>
  <conditionalFormatting sqref="Q148:Q153">
    <cfRule type="cellIs" dxfId="7313" priority="795" operator="lessThan">
      <formula>0</formula>
    </cfRule>
  </conditionalFormatting>
  <conditionalFormatting sqref="R148:R153">
    <cfRule type="cellIs" dxfId="7312" priority="793" operator="lessThan">
      <formula>0.8</formula>
    </cfRule>
    <cfRule type="cellIs" dxfId="7311" priority="794" operator="greaterThan">
      <formula>1</formula>
    </cfRule>
  </conditionalFormatting>
  <conditionalFormatting sqref="R148:R153">
    <cfRule type="cellIs" dxfId="7310" priority="791" operator="greaterThan">
      <formula>1</formula>
    </cfRule>
    <cfRule type="cellIs" dxfId="7309" priority="792" operator="lessThan">
      <formula>0.8</formula>
    </cfRule>
  </conditionalFormatting>
  <conditionalFormatting sqref="R148:R153">
    <cfRule type="cellIs" dxfId="7308" priority="787" operator="lessThan">
      <formula>0.8</formula>
    </cfRule>
    <cfRule type="cellIs" dxfId="7307" priority="788" operator="greaterThan">
      <formula>1</formula>
    </cfRule>
  </conditionalFormatting>
  <conditionalFormatting sqref="R148:R153">
    <cfRule type="cellIs" dxfId="7306" priority="785" operator="greaterThan">
      <formula>1</formula>
    </cfRule>
    <cfRule type="cellIs" dxfId="7305" priority="786" operator="lessThan">
      <formula>0.8</formula>
    </cfRule>
  </conditionalFormatting>
  <conditionalFormatting sqref="P148:P153">
    <cfRule type="cellIs" dxfId="7304" priority="784" operator="greaterThan">
      <formula>0</formula>
    </cfRule>
  </conditionalFormatting>
  <conditionalFormatting sqref="Q148:Q153">
    <cfRule type="cellIs" dxfId="7303" priority="789" operator="lessThan">
      <formula>0</formula>
    </cfRule>
  </conditionalFormatting>
  <conditionalFormatting sqref="R148:R153">
    <cfRule type="cellIs" dxfId="7302" priority="781" operator="lessThan">
      <formula>0.8</formula>
    </cfRule>
    <cfRule type="cellIs" dxfId="7301" priority="782" operator="greaterThan">
      <formula>1</formula>
    </cfRule>
  </conditionalFormatting>
  <conditionalFormatting sqref="R148:R153">
    <cfRule type="cellIs" dxfId="7300" priority="779" operator="greaterThan">
      <formula>1</formula>
    </cfRule>
    <cfRule type="cellIs" dxfId="7299" priority="780" operator="lessThan">
      <formula>0.8</formula>
    </cfRule>
  </conditionalFormatting>
  <conditionalFormatting sqref="P148:P153">
    <cfRule type="cellIs" dxfId="7298" priority="778" operator="greaterThan">
      <formula>0</formula>
    </cfRule>
  </conditionalFormatting>
  <conditionalFormatting sqref="Q148:Q153">
    <cfRule type="cellIs" dxfId="7297" priority="783" operator="lessThan">
      <formula>0</formula>
    </cfRule>
  </conditionalFormatting>
  <conditionalFormatting sqref="Q148:Q153">
    <cfRule type="cellIs" dxfId="7296" priority="777" operator="lessThan">
      <formula>0</formula>
    </cfRule>
  </conditionalFormatting>
  <conditionalFormatting sqref="R148:R153">
    <cfRule type="cellIs" dxfId="7295" priority="775" operator="lessThan">
      <formula>0.8</formula>
    </cfRule>
    <cfRule type="cellIs" dxfId="7294" priority="776" operator="greaterThan">
      <formula>1</formula>
    </cfRule>
  </conditionalFormatting>
  <conditionalFormatting sqref="R148:R153">
    <cfRule type="cellIs" dxfId="7293" priority="773" operator="greaterThan">
      <formula>1</formula>
    </cfRule>
    <cfRule type="cellIs" dxfId="7292" priority="774" operator="lessThan">
      <formula>0.8</formula>
    </cfRule>
  </conditionalFormatting>
  <conditionalFormatting sqref="P148:P153">
    <cfRule type="cellIs" dxfId="7291" priority="772" operator="greaterThan">
      <formula>0</formula>
    </cfRule>
  </conditionalFormatting>
  <conditionalFormatting sqref="Q148:Q153">
    <cfRule type="cellIs" dxfId="7290" priority="766" operator="lessThan">
      <formula>0</formula>
    </cfRule>
  </conditionalFormatting>
  <conditionalFormatting sqref="R148:R153">
    <cfRule type="cellIs" dxfId="7289" priority="770" operator="lessThan">
      <formula>0.8</formula>
    </cfRule>
    <cfRule type="cellIs" dxfId="7288" priority="771" operator="greaterThan">
      <formula>1</formula>
    </cfRule>
  </conditionalFormatting>
  <conditionalFormatting sqref="R148:R153">
    <cfRule type="cellIs" dxfId="7287" priority="768" operator="greaterThan">
      <formula>1</formula>
    </cfRule>
    <cfRule type="cellIs" dxfId="7286" priority="769" operator="lessThan">
      <formula>0.8</formula>
    </cfRule>
  </conditionalFormatting>
  <conditionalFormatting sqref="P148:P153">
    <cfRule type="cellIs" dxfId="7285" priority="767" operator="greaterThan">
      <formula>0</formula>
    </cfRule>
  </conditionalFormatting>
  <conditionalFormatting sqref="Q148:Q153">
    <cfRule type="cellIs" dxfId="7284" priority="765" operator="lessThan">
      <formula>0</formula>
    </cfRule>
  </conditionalFormatting>
  <conditionalFormatting sqref="R148:R153">
    <cfRule type="cellIs" dxfId="7283" priority="763" operator="lessThan">
      <formula>0.8</formula>
    </cfRule>
    <cfRule type="cellIs" dxfId="7282" priority="764" operator="greaterThan">
      <formula>1</formula>
    </cfRule>
  </conditionalFormatting>
  <conditionalFormatting sqref="R148:R153">
    <cfRule type="cellIs" dxfId="7281" priority="761" operator="greaterThan">
      <formula>1</formula>
    </cfRule>
    <cfRule type="cellIs" dxfId="7280" priority="762" operator="lessThan">
      <formula>0.8</formula>
    </cfRule>
  </conditionalFormatting>
  <conditionalFormatting sqref="P148:P153">
    <cfRule type="cellIs" dxfId="7279" priority="760" operator="greaterThan">
      <formula>0</formula>
    </cfRule>
  </conditionalFormatting>
  <conditionalFormatting sqref="Q148:Q153">
    <cfRule type="cellIs" dxfId="7278" priority="759" operator="lessThan">
      <formula>0</formula>
    </cfRule>
  </conditionalFormatting>
  <conditionalFormatting sqref="R148:R153">
    <cfRule type="cellIs" dxfId="7277" priority="757" operator="lessThan">
      <formula>0.8</formula>
    </cfRule>
    <cfRule type="cellIs" dxfId="7276" priority="758" operator="greaterThan">
      <formula>1</formula>
    </cfRule>
  </conditionalFormatting>
  <conditionalFormatting sqref="R148:R153">
    <cfRule type="cellIs" dxfId="7275" priority="755" operator="greaterThan">
      <formula>1</formula>
    </cfRule>
    <cfRule type="cellIs" dxfId="7274" priority="756" operator="lessThan">
      <formula>0.8</formula>
    </cfRule>
  </conditionalFormatting>
  <conditionalFormatting sqref="P148:P153">
    <cfRule type="cellIs" dxfId="7273" priority="754" operator="greaterThan">
      <formula>0</formula>
    </cfRule>
  </conditionalFormatting>
  <conditionalFormatting sqref="Q148:Q153">
    <cfRule type="cellIs" dxfId="7272" priority="753" operator="lessThan">
      <formula>0</formula>
    </cfRule>
  </conditionalFormatting>
  <conditionalFormatting sqref="R148:R153">
    <cfRule type="cellIs" dxfId="7271" priority="751" operator="lessThan">
      <formula>0.8</formula>
    </cfRule>
    <cfRule type="cellIs" dxfId="7270" priority="752" operator="greaterThan">
      <formula>1</formula>
    </cfRule>
  </conditionalFormatting>
  <conditionalFormatting sqref="R148:R153">
    <cfRule type="cellIs" dxfId="7269" priority="749" operator="greaterThan">
      <formula>1</formula>
    </cfRule>
    <cfRule type="cellIs" dxfId="7268" priority="750" operator="lessThan">
      <formula>0.8</formula>
    </cfRule>
  </conditionalFormatting>
  <conditionalFormatting sqref="P148:P153">
    <cfRule type="cellIs" dxfId="7267" priority="748" operator="greaterThan">
      <formula>0</formula>
    </cfRule>
  </conditionalFormatting>
  <conditionalFormatting sqref="Q148:Q153">
    <cfRule type="cellIs" dxfId="7266" priority="747" operator="lessThan">
      <formula>0</formula>
    </cfRule>
  </conditionalFormatting>
  <conditionalFormatting sqref="R148:R153">
    <cfRule type="cellIs" dxfId="7265" priority="745" operator="lessThan">
      <formula>0.8</formula>
    </cfRule>
    <cfRule type="cellIs" dxfId="7264" priority="746" operator="greaterThan">
      <formula>1</formula>
    </cfRule>
  </conditionalFormatting>
  <conditionalFormatting sqref="R148:R153">
    <cfRule type="cellIs" dxfId="7263" priority="743" operator="greaterThan">
      <formula>1</formula>
    </cfRule>
    <cfRule type="cellIs" dxfId="7262" priority="744" operator="lessThan">
      <formula>0.8</formula>
    </cfRule>
  </conditionalFormatting>
  <conditionalFormatting sqref="P148:P153">
    <cfRule type="cellIs" dxfId="7261" priority="742" operator="greaterThan">
      <formula>0</formula>
    </cfRule>
  </conditionalFormatting>
  <conditionalFormatting sqref="Q148:Q153">
    <cfRule type="cellIs" dxfId="7260" priority="741" operator="lessThan">
      <formula>0</formula>
    </cfRule>
  </conditionalFormatting>
  <conditionalFormatting sqref="R148:R153">
    <cfRule type="cellIs" dxfId="7259" priority="739" operator="lessThan">
      <formula>0.8</formula>
    </cfRule>
    <cfRule type="cellIs" dxfId="7258" priority="740" operator="greaterThan">
      <formula>1</formula>
    </cfRule>
  </conditionalFormatting>
  <conditionalFormatting sqref="R148:R153">
    <cfRule type="cellIs" dxfId="7257" priority="737" operator="greaterThan">
      <formula>1</formula>
    </cfRule>
    <cfRule type="cellIs" dxfId="7256" priority="738" operator="lessThan">
      <formula>0.8</formula>
    </cfRule>
  </conditionalFormatting>
  <conditionalFormatting sqref="P148:P153">
    <cfRule type="cellIs" dxfId="7255" priority="736" operator="greaterThan">
      <formula>0</formula>
    </cfRule>
  </conditionalFormatting>
  <conditionalFormatting sqref="P148:P153">
    <cfRule type="cellIs" dxfId="7254" priority="730" operator="greaterThan">
      <formula>0</formula>
    </cfRule>
  </conditionalFormatting>
  <conditionalFormatting sqref="Q148:Q153">
    <cfRule type="cellIs" dxfId="7253" priority="735" operator="lessThan">
      <formula>0</formula>
    </cfRule>
  </conditionalFormatting>
  <conditionalFormatting sqref="R148:R153">
    <cfRule type="cellIs" dxfId="7252" priority="733" operator="lessThan">
      <formula>0.8</formula>
    </cfRule>
    <cfRule type="cellIs" dxfId="7251" priority="734" operator="greaterThan">
      <formula>1</formula>
    </cfRule>
  </conditionalFormatting>
  <conditionalFormatting sqref="R148:R153">
    <cfRule type="cellIs" dxfId="7250" priority="731" operator="greaterThan">
      <formula>1</formula>
    </cfRule>
    <cfRule type="cellIs" dxfId="7249" priority="732" operator="lessThan">
      <formula>0.8</formula>
    </cfRule>
  </conditionalFormatting>
  <conditionalFormatting sqref="P148:P153">
    <cfRule type="cellIs" dxfId="7248" priority="724" operator="greaterThan">
      <formula>0</formula>
    </cfRule>
  </conditionalFormatting>
  <conditionalFormatting sqref="Q148:Q153">
    <cfRule type="cellIs" dxfId="7247" priority="729" operator="lessThan">
      <formula>0</formula>
    </cfRule>
  </conditionalFormatting>
  <conditionalFormatting sqref="R148:R153">
    <cfRule type="cellIs" dxfId="7246" priority="727" operator="lessThan">
      <formula>0.8</formula>
    </cfRule>
    <cfRule type="cellIs" dxfId="7245" priority="728" operator="greaterThan">
      <formula>1</formula>
    </cfRule>
  </conditionalFormatting>
  <conditionalFormatting sqref="R148:R153">
    <cfRule type="cellIs" dxfId="7244" priority="725" operator="greaterThan">
      <formula>1</formula>
    </cfRule>
    <cfRule type="cellIs" dxfId="7243" priority="726" operator="lessThan">
      <formula>0.8</formula>
    </cfRule>
  </conditionalFormatting>
  <conditionalFormatting sqref="R148:R153">
    <cfRule type="cellIs" dxfId="7242" priority="721" operator="lessThan">
      <formula>0.8</formula>
    </cfRule>
    <cfRule type="cellIs" dxfId="7241" priority="722" operator="greaterThan">
      <formula>1</formula>
    </cfRule>
  </conditionalFormatting>
  <conditionalFormatting sqref="R148:R153">
    <cfRule type="cellIs" dxfId="7240" priority="719" operator="greaterThan">
      <formula>1</formula>
    </cfRule>
    <cfRule type="cellIs" dxfId="7239" priority="720" operator="lessThan">
      <formula>0.8</formula>
    </cfRule>
  </conditionalFormatting>
  <conditionalFormatting sqref="P148:P153">
    <cfRule type="cellIs" dxfId="7238" priority="718" operator="greaterThan">
      <formula>0</formula>
    </cfRule>
  </conditionalFormatting>
  <conditionalFormatting sqref="Q148:Q153">
    <cfRule type="cellIs" dxfId="7237" priority="723" operator="lessThan">
      <formula>0</formula>
    </cfRule>
  </conditionalFormatting>
  <conditionalFormatting sqref="P44:P51">
    <cfRule type="cellIs" dxfId="7236" priority="712" operator="greaterThan">
      <formula>0</formula>
    </cfRule>
  </conditionalFormatting>
  <conditionalFormatting sqref="Q44:Q51">
    <cfRule type="cellIs" dxfId="7235" priority="717" operator="lessThan">
      <formula>0</formula>
    </cfRule>
  </conditionalFormatting>
  <conditionalFormatting sqref="R44:R51">
    <cfRule type="cellIs" dxfId="7234" priority="715" operator="lessThan">
      <formula>0.8</formula>
    </cfRule>
    <cfRule type="cellIs" dxfId="7233" priority="716" operator="greaterThan">
      <formula>1</formula>
    </cfRule>
  </conditionalFormatting>
  <conditionalFormatting sqref="R44:R51">
    <cfRule type="cellIs" dxfId="7232" priority="713" operator="greaterThan">
      <formula>1</formula>
    </cfRule>
    <cfRule type="cellIs" dxfId="7231" priority="714" operator="lessThan">
      <formula>0.8</formula>
    </cfRule>
  </conditionalFormatting>
  <conditionalFormatting sqref="Q84:Q91">
    <cfRule type="cellIs" dxfId="7230" priority="711" operator="lessThan">
      <formula>0</formula>
    </cfRule>
  </conditionalFormatting>
  <conditionalFormatting sqref="R84:R91">
    <cfRule type="cellIs" dxfId="7229" priority="709" operator="lessThan">
      <formula>0.8</formula>
    </cfRule>
    <cfRule type="cellIs" dxfId="7228" priority="710" operator="greaterThan">
      <formula>1</formula>
    </cfRule>
  </conditionalFormatting>
  <conditionalFormatting sqref="R84:R91">
    <cfRule type="cellIs" dxfId="7227" priority="707" operator="greaterThan">
      <formula>1</formula>
    </cfRule>
    <cfRule type="cellIs" dxfId="7226" priority="708" operator="lessThan">
      <formula>0.8</formula>
    </cfRule>
  </conditionalFormatting>
  <conditionalFormatting sqref="P84:P91">
    <cfRule type="cellIs" dxfId="7225" priority="706" operator="greaterThan">
      <formula>0</formula>
    </cfRule>
  </conditionalFormatting>
  <conditionalFormatting sqref="Q84:Q91">
    <cfRule type="cellIs" dxfId="7224" priority="705" operator="lessThan">
      <formula>0</formula>
    </cfRule>
  </conditionalFormatting>
  <conditionalFormatting sqref="R84:R91">
    <cfRule type="cellIs" dxfId="7223" priority="703" operator="lessThan">
      <formula>0.8</formula>
    </cfRule>
    <cfRule type="cellIs" dxfId="7222" priority="704" operator="greaterThan">
      <formula>1</formula>
    </cfRule>
  </conditionalFormatting>
  <conditionalFormatting sqref="R84:R91">
    <cfRule type="cellIs" dxfId="7221" priority="701" operator="greaterThan">
      <formula>1</formula>
    </cfRule>
    <cfRule type="cellIs" dxfId="7220" priority="702" operator="lessThan">
      <formula>0.8</formula>
    </cfRule>
  </conditionalFormatting>
  <conditionalFormatting sqref="P84:P91">
    <cfRule type="cellIs" dxfId="7219" priority="700" operator="greaterThan">
      <formula>0</formula>
    </cfRule>
  </conditionalFormatting>
  <conditionalFormatting sqref="Q84:Q91">
    <cfRule type="cellIs" dxfId="7218" priority="699" operator="lessThan">
      <formula>0</formula>
    </cfRule>
  </conditionalFormatting>
  <conditionalFormatting sqref="R84:R91">
    <cfRule type="cellIs" dxfId="7217" priority="697" operator="lessThan">
      <formula>0.8</formula>
    </cfRule>
    <cfRule type="cellIs" dxfId="7216" priority="698" operator="greaterThan">
      <formula>1</formula>
    </cfRule>
  </conditionalFormatting>
  <conditionalFormatting sqref="R84:R91">
    <cfRule type="cellIs" dxfId="7215" priority="695" operator="greaterThan">
      <formula>1</formula>
    </cfRule>
    <cfRule type="cellIs" dxfId="7214" priority="696" operator="lessThan">
      <formula>0.8</formula>
    </cfRule>
  </conditionalFormatting>
  <conditionalFormatting sqref="P84:P91">
    <cfRule type="cellIs" dxfId="7213" priority="694" operator="greaterThan">
      <formula>0</formula>
    </cfRule>
  </conditionalFormatting>
  <conditionalFormatting sqref="Q84:Q91">
    <cfRule type="cellIs" dxfId="7212" priority="693" operator="lessThan">
      <formula>0</formula>
    </cfRule>
  </conditionalFormatting>
  <conditionalFormatting sqref="R84:R91">
    <cfRule type="cellIs" dxfId="7211" priority="691" operator="lessThan">
      <formula>0.8</formula>
    </cfRule>
    <cfRule type="cellIs" dxfId="7210" priority="692" operator="greaterThan">
      <formula>1</formula>
    </cfRule>
  </conditionalFormatting>
  <conditionalFormatting sqref="R84:R91">
    <cfRule type="cellIs" dxfId="7209" priority="689" operator="greaterThan">
      <formula>1</formula>
    </cfRule>
    <cfRule type="cellIs" dxfId="7208" priority="690" operator="lessThan">
      <formula>0.8</formula>
    </cfRule>
  </conditionalFormatting>
  <conditionalFormatting sqref="P84:P91">
    <cfRule type="cellIs" dxfId="7207" priority="688" operator="greaterThan">
      <formula>0</formula>
    </cfRule>
  </conditionalFormatting>
  <conditionalFormatting sqref="P84:P91">
    <cfRule type="cellIs" dxfId="7206" priority="682" operator="greaterThan">
      <formula>0</formula>
    </cfRule>
  </conditionalFormatting>
  <conditionalFormatting sqref="Q84:Q91">
    <cfRule type="cellIs" dxfId="7205" priority="687" operator="lessThan">
      <formula>0</formula>
    </cfRule>
  </conditionalFormatting>
  <conditionalFormatting sqref="R84:R91">
    <cfRule type="cellIs" dxfId="7204" priority="685" operator="lessThan">
      <formula>0.8</formula>
    </cfRule>
    <cfRule type="cellIs" dxfId="7203" priority="686" operator="greaterThan">
      <formula>1</formula>
    </cfRule>
  </conditionalFormatting>
  <conditionalFormatting sqref="R84:R91">
    <cfRule type="cellIs" dxfId="7202" priority="683" operator="greaterThan">
      <formula>1</formula>
    </cfRule>
    <cfRule type="cellIs" dxfId="7201" priority="684" operator="lessThan">
      <formula>0.8</formula>
    </cfRule>
  </conditionalFormatting>
  <conditionalFormatting sqref="P84:P91">
    <cfRule type="cellIs" dxfId="7200" priority="676" operator="greaterThan">
      <formula>0</formula>
    </cfRule>
  </conditionalFormatting>
  <conditionalFormatting sqref="Q84:Q91">
    <cfRule type="cellIs" dxfId="7199" priority="681" operator="lessThan">
      <formula>0</formula>
    </cfRule>
  </conditionalFormatting>
  <conditionalFormatting sqref="R84:R91">
    <cfRule type="cellIs" dxfId="7198" priority="679" operator="lessThan">
      <formula>0.8</formula>
    </cfRule>
    <cfRule type="cellIs" dxfId="7197" priority="680" operator="greaterThan">
      <formula>1</formula>
    </cfRule>
  </conditionalFormatting>
  <conditionalFormatting sqref="R84:R91">
    <cfRule type="cellIs" dxfId="7196" priority="677" operator="greaterThan">
      <formula>1</formula>
    </cfRule>
    <cfRule type="cellIs" dxfId="7195" priority="678" operator="lessThan">
      <formula>0.8</formula>
    </cfRule>
  </conditionalFormatting>
  <conditionalFormatting sqref="R84:R91">
    <cfRule type="cellIs" dxfId="7194" priority="673" operator="lessThan">
      <formula>0.8</formula>
    </cfRule>
    <cfRule type="cellIs" dxfId="7193" priority="674" operator="greaterThan">
      <formula>1</formula>
    </cfRule>
  </conditionalFormatting>
  <conditionalFormatting sqref="R84:R91">
    <cfRule type="cellIs" dxfId="7192" priority="671" operator="greaterThan">
      <formula>1</formula>
    </cfRule>
    <cfRule type="cellIs" dxfId="7191" priority="672" operator="lessThan">
      <formula>0.8</formula>
    </cfRule>
  </conditionalFormatting>
  <conditionalFormatting sqref="P84:P91">
    <cfRule type="cellIs" dxfId="7190" priority="670" operator="greaterThan">
      <formula>0</formula>
    </cfRule>
  </conditionalFormatting>
  <conditionalFormatting sqref="Q84:Q91">
    <cfRule type="cellIs" dxfId="7189" priority="675" operator="lessThan">
      <formula>0</formula>
    </cfRule>
  </conditionalFormatting>
  <conditionalFormatting sqref="Q84:Q91">
    <cfRule type="cellIs" dxfId="7188" priority="669" operator="lessThan">
      <formula>0</formula>
    </cfRule>
  </conditionalFormatting>
  <conditionalFormatting sqref="R84:R91">
    <cfRule type="cellIs" dxfId="7187" priority="667" operator="lessThan">
      <formula>0.8</formula>
    </cfRule>
    <cfRule type="cellIs" dxfId="7186" priority="668" operator="greaterThan">
      <formula>1</formula>
    </cfRule>
  </conditionalFormatting>
  <conditionalFormatting sqref="R84:R91">
    <cfRule type="cellIs" dxfId="7185" priority="665" operator="greaterThan">
      <formula>1</formula>
    </cfRule>
    <cfRule type="cellIs" dxfId="7184" priority="666" operator="lessThan">
      <formula>0.8</formula>
    </cfRule>
  </conditionalFormatting>
  <conditionalFormatting sqref="P84:P91">
    <cfRule type="cellIs" dxfId="7183" priority="664" operator="greaterThan">
      <formula>0</formula>
    </cfRule>
  </conditionalFormatting>
  <conditionalFormatting sqref="P84:P91">
    <cfRule type="cellIs" dxfId="7182" priority="658" operator="greaterThan">
      <formula>0</formula>
    </cfRule>
  </conditionalFormatting>
  <conditionalFormatting sqref="Q84:Q91">
    <cfRule type="cellIs" dxfId="7181" priority="663" operator="lessThan">
      <formula>0</formula>
    </cfRule>
  </conditionalFormatting>
  <conditionalFormatting sqref="R84:R91">
    <cfRule type="cellIs" dxfId="7180" priority="661" operator="lessThan">
      <formula>0.8</formula>
    </cfRule>
    <cfRule type="cellIs" dxfId="7179" priority="662" operator="greaterThan">
      <formula>1</formula>
    </cfRule>
  </conditionalFormatting>
  <conditionalFormatting sqref="R84:R91">
    <cfRule type="cellIs" dxfId="7178" priority="659" operator="greaterThan">
      <formula>1</formula>
    </cfRule>
    <cfRule type="cellIs" dxfId="7177" priority="660" operator="lessThan">
      <formula>0.8</formula>
    </cfRule>
  </conditionalFormatting>
  <conditionalFormatting sqref="P84:P91">
    <cfRule type="cellIs" dxfId="7176" priority="652" operator="greaterThan">
      <formula>0</formula>
    </cfRule>
  </conditionalFormatting>
  <conditionalFormatting sqref="Q84:Q91">
    <cfRule type="cellIs" dxfId="7175" priority="657" operator="lessThan">
      <formula>0</formula>
    </cfRule>
  </conditionalFormatting>
  <conditionalFormatting sqref="R84:R91">
    <cfRule type="cellIs" dxfId="7174" priority="655" operator="lessThan">
      <formula>0.8</formula>
    </cfRule>
    <cfRule type="cellIs" dxfId="7173" priority="656" operator="greaterThan">
      <formula>1</formula>
    </cfRule>
  </conditionalFormatting>
  <conditionalFormatting sqref="R84:R91">
    <cfRule type="cellIs" dxfId="7172" priority="653" operator="greaterThan">
      <formula>1</formula>
    </cfRule>
    <cfRule type="cellIs" dxfId="7171" priority="654" operator="lessThan">
      <formula>0.8</formula>
    </cfRule>
  </conditionalFormatting>
  <conditionalFormatting sqref="R84:R91">
    <cfRule type="cellIs" dxfId="7170" priority="649" operator="lessThan">
      <formula>0.8</formula>
    </cfRule>
    <cfRule type="cellIs" dxfId="7169" priority="650" operator="greaterThan">
      <formula>1</formula>
    </cfRule>
  </conditionalFormatting>
  <conditionalFormatting sqref="R84:R91">
    <cfRule type="cellIs" dxfId="7168" priority="647" operator="greaterThan">
      <formula>1</formula>
    </cfRule>
    <cfRule type="cellIs" dxfId="7167" priority="648" operator="lessThan">
      <formula>0.8</formula>
    </cfRule>
  </conditionalFormatting>
  <conditionalFormatting sqref="P84:P91">
    <cfRule type="cellIs" dxfId="7166" priority="646" operator="greaterThan">
      <formula>0</formula>
    </cfRule>
  </conditionalFormatting>
  <conditionalFormatting sqref="Q84:Q91">
    <cfRule type="cellIs" dxfId="7165" priority="651" operator="lessThan">
      <formula>0</formula>
    </cfRule>
  </conditionalFormatting>
  <conditionalFormatting sqref="P84:P91">
    <cfRule type="cellIs" dxfId="7164" priority="640" operator="greaterThan">
      <formula>0</formula>
    </cfRule>
  </conditionalFormatting>
  <conditionalFormatting sqref="Q84:Q91">
    <cfRule type="cellIs" dxfId="7163" priority="645" operator="lessThan">
      <formula>0</formula>
    </cfRule>
  </conditionalFormatting>
  <conditionalFormatting sqref="R84:R91">
    <cfRule type="cellIs" dxfId="7162" priority="643" operator="lessThan">
      <formula>0.8</formula>
    </cfRule>
    <cfRule type="cellIs" dxfId="7161" priority="644" operator="greaterThan">
      <formula>1</formula>
    </cfRule>
  </conditionalFormatting>
  <conditionalFormatting sqref="R84:R91">
    <cfRule type="cellIs" dxfId="7160" priority="641" operator="greaterThan">
      <formula>1</formula>
    </cfRule>
    <cfRule type="cellIs" dxfId="7159" priority="642" operator="lessThan">
      <formula>0.8</formula>
    </cfRule>
  </conditionalFormatting>
  <conditionalFormatting sqref="R84:R91">
    <cfRule type="cellIs" dxfId="7158" priority="637" operator="lessThan">
      <formula>0.8</formula>
    </cfRule>
    <cfRule type="cellIs" dxfId="7157" priority="638" operator="greaterThan">
      <formula>1</formula>
    </cfRule>
  </conditionalFormatting>
  <conditionalFormatting sqref="R84:R91">
    <cfRule type="cellIs" dxfId="7156" priority="635" operator="greaterThan">
      <formula>1</formula>
    </cfRule>
    <cfRule type="cellIs" dxfId="7155" priority="636" operator="lessThan">
      <formula>0.8</formula>
    </cfRule>
  </conditionalFormatting>
  <conditionalFormatting sqref="P84:P91">
    <cfRule type="cellIs" dxfId="7154" priority="634" operator="greaterThan">
      <formula>0</formula>
    </cfRule>
  </conditionalFormatting>
  <conditionalFormatting sqref="Q84:Q91">
    <cfRule type="cellIs" dxfId="7153" priority="639" operator="lessThan">
      <formula>0</formula>
    </cfRule>
  </conditionalFormatting>
  <conditionalFormatting sqref="R84:R91">
    <cfRule type="cellIs" dxfId="7152" priority="631" operator="lessThan">
      <formula>0.8</formula>
    </cfRule>
    <cfRule type="cellIs" dxfId="7151" priority="632" operator="greaterThan">
      <formula>1</formula>
    </cfRule>
  </conditionalFormatting>
  <conditionalFormatting sqref="R84:R91">
    <cfRule type="cellIs" dxfId="7150" priority="629" operator="greaterThan">
      <formula>1</formula>
    </cfRule>
    <cfRule type="cellIs" dxfId="7149" priority="630" operator="lessThan">
      <formula>0.8</formula>
    </cfRule>
  </conditionalFormatting>
  <conditionalFormatting sqref="P84:P91">
    <cfRule type="cellIs" dxfId="7148" priority="628" operator="greaterThan">
      <formula>0</formula>
    </cfRule>
  </conditionalFormatting>
  <conditionalFormatting sqref="Q84:Q91">
    <cfRule type="cellIs" dxfId="7147" priority="633" operator="lessThan">
      <formula>0</formula>
    </cfRule>
  </conditionalFormatting>
  <conditionalFormatting sqref="Q84:Q91">
    <cfRule type="cellIs" dxfId="7146" priority="627" operator="lessThan">
      <formula>0</formula>
    </cfRule>
  </conditionalFormatting>
  <conditionalFormatting sqref="R84:R91">
    <cfRule type="cellIs" dxfId="7145" priority="625" operator="lessThan">
      <formula>0.8</formula>
    </cfRule>
    <cfRule type="cellIs" dxfId="7144" priority="626" operator="greaterThan">
      <formula>1</formula>
    </cfRule>
  </conditionalFormatting>
  <conditionalFormatting sqref="R84:R91">
    <cfRule type="cellIs" dxfId="7143" priority="623" operator="greaterThan">
      <formula>1</formula>
    </cfRule>
    <cfRule type="cellIs" dxfId="7142" priority="624" operator="lessThan">
      <formula>0.8</formula>
    </cfRule>
  </conditionalFormatting>
  <conditionalFormatting sqref="P84:P91">
    <cfRule type="cellIs" dxfId="7141" priority="622" operator="greaterThan">
      <formula>0</formula>
    </cfRule>
  </conditionalFormatting>
  <conditionalFormatting sqref="Q84:Q91">
    <cfRule type="cellIs" dxfId="7140" priority="616" operator="lessThan">
      <formula>0</formula>
    </cfRule>
  </conditionalFormatting>
  <conditionalFormatting sqref="R84:R91">
    <cfRule type="cellIs" dxfId="7139" priority="620" operator="lessThan">
      <formula>0.8</formula>
    </cfRule>
    <cfRule type="cellIs" dxfId="7138" priority="621" operator="greaterThan">
      <formula>1</formula>
    </cfRule>
  </conditionalFormatting>
  <conditionalFormatting sqref="R84:R91">
    <cfRule type="cellIs" dxfId="7137" priority="618" operator="greaterThan">
      <formula>1</formula>
    </cfRule>
    <cfRule type="cellIs" dxfId="7136" priority="619" operator="lessThan">
      <formula>0.8</formula>
    </cfRule>
  </conditionalFormatting>
  <conditionalFormatting sqref="P84:P91">
    <cfRule type="cellIs" dxfId="7135" priority="617" operator="greaterThan">
      <formula>0</formula>
    </cfRule>
  </conditionalFormatting>
  <conditionalFormatting sqref="Q84:Q91">
    <cfRule type="cellIs" dxfId="7134" priority="615" operator="lessThan">
      <formula>0</formula>
    </cfRule>
  </conditionalFormatting>
  <conditionalFormatting sqref="R84:R91">
    <cfRule type="cellIs" dxfId="7133" priority="613" operator="lessThan">
      <formula>0.8</formula>
    </cfRule>
    <cfRule type="cellIs" dxfId="7132" priority="614" operator="greaterThan">
      <formula>1</formula>
    </cfRule>
  </conditionalFormatting>
  <conditionalFormatting sqref="R84:R91">
    <cfRule type="cellIs" dxfId="7131" priority="611" operator="greaterThan">
      <formula>1</formula>
    </cfRule>
    <cfRule type="cellIs" dxfId="7130" priority="612" operator="lessThan">
      <formula>0.8</formula>
    </cfRule>
  </conditionalFormatting>
  <conditionalFormatting sqref="P84:P91">
    <cfRule type="cellIs" dxfId="7129" priority="610" operator="greaterThan">
      <formula>0</formula>
    </cfRule>
  </conditionalFormatting>
  <conditionalFormatting sqref="Q84:Q91">
    <cfRule type="cellIs" dxfId="7128" priority="609" operator="lessThan">
      <formula>0</formula>
    </cfRule>
  </conditionalFormatting>
  <conditionalFormatting sqref="R84:R91">
    <cfRule type="cellIs" dxfId="7127" priority="607" operator="lessThan">
      <formula>0.8</formula>
    </cfRule>
    <cfRule type="cellIs" dxfId="7126" priority="608" operator="greaterThan">
      <formula>1</formula>
    </cfRule>
  </conditionalFormatting>
  <conditionalFormatting sqref="R84:R91">
    <cfRule type="cellIs" dxfId="7125" priority="605" operator="greaterThan">
      <formula>1</formula>
    </cfRule>
    <cfRule type="cellIs" dxfId="7124" priority="606" operator="lessThan">
      <formula>0.8</formula>
    </cfRule>
  </conditionalFormatting>
  <conditionalFormatting sqref="P84:P91">
    <cfRule type="cellIs" dxfId="7123" priority="604" operator="greaterThan">
      <formula>0</formula>
    </cfRule>
  </conditionalFormatting>
  <conditionalFormatting sqref="Q84:Q91">
    <cfRule type="cellIs" dxfId="7122" priority="603" operator="lessThan">
      <formula>0</formula>
    </cfRule>
  </conditionalFormatting>
  <conditionalFormatting sqref="R84:R91">
    <cfRule type="cellIs" dxfId="7121" priority="601" operator="lessThan">
      <formula>0.8</formula>
    </cfRule>
    <cfRule type="cellIs" dxfId="7120" priority="602" operator="greaterThan">
      <formula>1</formula>
    </cfRule>
  </conditionalFormatting>
  <conditionalFormatting sqref="R84:R91">
    <cfRule type="cellIs" dxfId="7119" priority="599" operator="greaterThan">
      <formula>1</formula>
    </cfRule>
    <cfRule type="cellIs" dxfId="7118" priority="600" operator="lessThan">
      <formula>0.8</formula>
    </cfRule>
  </conditionalFormatting>
  <conditionalFormatting sqref="P84:P91">
    <cfRule type="cellIs" dxfId="7117" priority="598" operator="greaterThan">
      <formula>0</formula>
    </cfRule>
  </conditionalFormatting>
  <conditionalFormatting sqref="Q84:Q91">
    <cfRule type="cellIs" dxfId="7116" priority="597" operator="lessThan">
      <formula>0</formula>
    </cfRule>
  </conditionalFormatting>
  <conditionalFormatting sqref="R84:R91">
    <cfRule type="cellIs" dxfId="7115" priority="595" operator="lessThan">
      <formula>0.8</formula>
    </cfRule>
    <cfRule type="cellIs" dxfId="7114" priority="596" operator="greaterThan">
      <formula>1</formula>
    </cfRule>
  </conditionalFormatting>
  <conditionalFormatting sqref="R84:R91">
    <cfRule type="cellIs" dxfId="7113" priority="593" operator="greaterThan">
      <formula>1</formula>
    </cfRule>
    <cfRule type="cellIs" dxfId="7112" priority="594" operator="lessThan">
      <formula>0.8</formula>
    </cfRule>
  </conditionalFormatting>
  <conditionalFormatting sqref="P84:P91">
    <cfRule type="cellIs" dxfId="7111" priority="592" operator="greaterThan">
      <formula>0</formula>
    </cfRule>
  </conditionalFormatting>
  <conditionalFormatting sqref="Q84:Q91">
    <cfRule type="cellIs" dxfId="7110" priority="591" operator="lessThan">
      <formula>0</formula>
    </cfRule>
  </conditionalFormatting>
  <conditionalFormatting sqref="R84:R91">
    <cfRule type="cellIs" dxfId="7109" priority="589" operator="lessThan">
      <formula>0.8</formula>
    </cfRule>
    <cfRule type="cellIs" dxfId="7108" priority="590" operator="greaterThan">
      <formula>1</formula>
    </cfRule>
  </conditionalFormatting>
  <conditionalFormatting sqref="R84:R91">
    <cfRule type="cellIs" dxfId="7107" priority="587" operator="greaterThan">
      <formula>1</formula>
    </cfRule>
    <cfRule type="cellIs" dxfId="7106" priority="588" operator="lessThan">
      <formula>0.8</formula>
    </cfRule>
  </conditionalFormatting>
  <conditionalFormatting sqref="P84:P91">
    <cfRule type="cellIs" dxfId="7105" priority="586" operator="greaterThan">
      <formula>0</formula>
    </cfRule>
  </conditionalFormatting>
  <conditionalFormatting sqref="P84:P91">
    <cfRule type="cellIs" dxfId="7104" priority="580" operator="greaterThan">
      <formula>0</formula>
    </cfRule>
  </conditionalFormatting>
  <conditionalFormatting sqref="Q84:Q91">
    <cfRule type="cellIs" dxfId="7103" priority="585" operator="lessThan">
      <formula>0</formula>
    </cfRule>
  </conditionalFormatting>
  <conditionalFormatting sqref="R84:R91">
    <cfRule type="cellIs" dxfId="7102" priority="583" operator="lessThan">
      <formula>0.8</formula>
    </cfRule>
    <cfRule type="cellIs" dxfId="7101" priority="584" operator="greaterThan">
      <formula>1</formula>
    </cfRule>
  </conditionalFormatting>
  <conditionalFormatting sqref="R84:R91">
    <cfRule type="cellIs" dxfId="7100" priority="581" operator="greaterThan">
      <formula>1</formula>
    </cfRule>
    <cfRule type="cellIs" dxfId="7099" priority="582" operator="lessThan">
      <formula>0.8</formula>
    </cfRule>
  </conditionalFormatting>
  <conditionalFormatting sqref="P84:P91">
    <cfRule type="cellIs" dxfId="7098" priority="574" operator="greaterThan">
      <formula>0</formula>
    </cfRule>
  </conditionalFormatting>
  <conditionalFormatting sqref="Q84:Q91">
    <cfRule type="cellIs" dxfId="7097" priority="579" operator="lessThan">
      <formula>0</formula>
    </cfRule>
  </conditionalFormatting>
  <conditionalFormatting sqref="R84:R91">
    <cfRule type="cellIs" dxfId="7096" priority="577" operator="lessThan">
      <formula>0.8</formula>
    </cfRule>
    <cfRule type="cellIs" dxfId="7095" priority="578" operator="greaterThan">
      <formula>1</formula>
    </cfRule>
  </conditionalFormatting>
  <conditionalFormatting sqref="R84:R91">
    <cfRule type="cellIs" dxfId="7094" priority="575" operator="greaterThan">
      <formula>1</formula>
    </cfRule>
    <cfRule type="cellIs" dxfId="7093" priority="576" operator="lessThan">
      <formula>0.8</formula>
    </cfRule>
  </conditionalFormatting>
  <conditionalFormatting sqref="R84:R91">
    <cfRule type="cellIs" dxfId="7092" priority="571" operator="lessThan">
      <formula>0.8</formula>
    </cfRule>
    <cfRule type="cellIs" dxfId="7091" priority="572" operator="greaterThan">
      <formula>1</formula>
    </cfRule>
  </conditionalFormatting>
  <conditionalFormatting sqref="R84:R91">
    <cfRule type="cellIs" dxfId="7090" priority="569" operator="greaterThan">
      <formula>1</formula>
    </cfRule>
    <cfRule type="cellIs" dxfId="7089" priority="570" operator="lessThan">
      <formula>0.8</formula>
    </cfRule>
  </conditionalFormatting>
  <conditionalFormatting sqref="P84:P91">
    <cfRule type="cellIs" dxfId="7088" priority="568" operator="greaterThan">
      <formula>0</formula>
    </cfRule>
  </conditionalFormatting>
  <conditionalFormatting sqref="Q84:Q91">
    <cfRule type="cellIs" dxfId="7087" priority="573" operator="lessThan">
      <formula>0</formula>
    </cfRule>
  </conditionalFormatting>
  <conditionalFormatting sqref="Q84:Q91">
    <cfRule type="cellIs" dxfId="7086" priority="567" operator="lessThan">
      <formula>0</formula>
    </cfRule>
  </conditionalFormatting>
  <conditionalFormatting sqref="R84:R91">
    <cfRule type="cellIs" dxfId="7085" priority="565" operator="lessThan">
      <formula>0.8</formula>
    </cfRule>
    <cfRule type="cellIs" dxfId="7084" priority="566" operator="greaterThan">
      <formula>1</formula>
    </cfRule>
  </conditionalFormatting>
  <conditionalFormatting sqref="R84:R91">
    <cfRule type="cellIs" dxfId="7083" priority="563" operator="greaterThan">
      <formula>1</formula>
    </cfRule>
    <cfRule type="cellIs" dxfId="7082" priority="564" operator="lessThan">
      <formula>0.8</formula>
    </cfRule>
  </conditionalFormatting>
  <conditionalFormatting sqref="P84:P91">
    <cfRule type="cellIs" dxfId="7081" priority="562" operator="greaterThan">
      <formula>0</formula>
    </cfRule>
  </conditionalFormatting>
  <conditionalFormatting sqref="Q84:Q91">
    <cfRule type="cellIs" dxfId="7080" priority="561" operator="lessThan">
      <formula>0</formula>
    </cfRule>
  </conditionalFormatting>
  <conditionalFormatting sqref="R84:R91">
    <cfRule type="cellIs" dxfId="7079" priority="559" operator="lessThan">
      <formula>0.8</formula>
    </cfRule>
    <cfRule type="cellIs" dxfId="7078" priority="560" operator="greaterThan">
      <formula>1</formula>
    </cfRule>
  </conditionalFormatting>
  <conditionalFormatting sqref="R84:R91">
    <cfRule type="cellIs" dxfId="7077" priority="557" operator="greaterThan">
      <formula>1</formula>
    </cfRule>
    <cfRule type="cellIs" dxfId="7076" priority="558" operator="lessThan">
      <formula>0.8</formula>
    </cfRule>
  </conditionalFormatting>
  <conditionalFormatting sqref="P84:P91">
    <cfRule type="cellIs" dxfId="7075" priority="556" operator="greaterThan">
      <formula>0</formula>
    </cfRule>
  </conditionalFormatting>
  <conditionalFormatting sqref="Q84:Q91">
    <cfRule type="cellIs" dxfId="7074" priority="555" operator="lessThan">
      <formula>0</formula>
    </cfRule>
  </conditionalFormatting>
  <conditionalFormatting sqref="R84:R91">
    <cfRule type="cellIs" dxfId="7073" priority="553" operator="lessThan">
      <formula>0.8</formula>
    </cfRule>
    <cfRule type="cellIs" dxfId="7072" priority="554" operator="greaterThan">
      <formula>1</formula>
    </cfRule>
  </conditionalFormatting>
  <conditionalFormatting sqref="R84:R91">
    <cfRule type="cellIs" dxfId="7071" priority="551" operator="greaterThan">
      <formula>1</formula>
    </cfRule>
    <cfRule type="cellIs" dxfId="7070" priority="552" operator="lessThan">
      <formula>0.8</formula>
    </cfRule>
  </conditionalFormatting>
  <conditionalFormatting sqref="P84:P91">
    <cfRule type="cellIs" dxfId="7069" priority="550" operator="greaterThan">
      <formula>0</formula>
    </cfRule>
  </conditionalFormatting>
  <conditionalFormatting sqref="Q84:Q91">
    <cfRule type="cellIs" dxfId="7068" priority="549" operator="lessThan">
      <formula>0</formula>
    </cfRule>
  </conditionalFormatting>
  <conditionalFormatting sqref="R84:R91">
    <cfRule type="cellIs" dxfId="7067" priority="547" operator="lessThan">
      <formula>0.8</formula>
    </cfRule>
    <cfRule type="cellIs" dxfId="7066" priority="548" operator="greaterThan">
      <formula>1</formula>
    </cfRule>
  </conditionalFormatting>
  <conditionalFormatting sqref="R84:R91">
    <cfRule type="cellIs" dxfId="7065" priority="545" operator="greaterThan">
      <formula>1</formula>
    </cfRule>
    <cfRule type="cellIs" dxfId="7064" priority="546" operator="lessThan">
      <formula>0.8</formula>
    </cfRule>
  </conditionalFormatting>
  <conditionalFormatting sqref="P84:P91">
    <cfRule type="cellIs" dxfId="7063" priority="544" operator="greaterThan">
      <formula>0</formula>
    </cfRule>
  </conditionalFormatting>
  <conditionalFormatting sqref="P84:P91">
    <cfRule type="cellIs" dxfId="7062" priority="538" operator="greaterThan">
      <formula>0</formula>
    </cfRule>
  </conditionalFormatting>
  <conditionalFormatting sqref="Q84:Q91">
    <cfRule type="cellIs" dxfId="7061" priority="543" operator="lessThan">
      <formula>0</formula>
    </cfRule>
  </conditionalFormatting>
  <conditionalFormatting sqref="R84:R91">
    <cfRule type="cellIs" dxfId="7060" priority="541" operator="lessThan">
      <formula>0.8</formula>
    </cfRule>
    <cfRule type="cellIs" dxfId="7059" priority="542" operator="greaterThan">
      <formula>1</formula>
    </cfRule>
  </conditionalFormatting>
  <conditionalFormatting sqref="R84:R91">
    <cfRule type="cellIs" dxfId="7058" priority="539" operator="greaterThan">
      <formula>1</formula>
    </cfRule>
    <cfRule type="cellIs" dxfId="7057" priority="540" operator="lessThan">
      <formula>0.8</formula>
    </cfRule>
  </conditionalFormatting>
  <conditionalFormatting sqref="P84:P91">
    <cfRule type="cellIs" dxfId="7056" priority="532" operator="greaterThan">
      <formula>0</formula>
    </cfRule>
  </conditionalFormatting>
  <conditionalFormatting sqref="Q84:Q91">
    <cfRule type="cellIs" dxfId="7055" priority="537" operator="lessThan">
      <formula>0</formula>
    </cfRule>
  </conditionalFormatting>
  <conditionalFormatting sqref="R84:R91">
    <cfRule type="cellIs" dxfId="7054" priority="535" operator="lessThan">
      <formula>0.8</formula>
    </cfRule>
    <cfRule type="cellIs" dxfId="7053" priority="536" operator="greaterThan">
      <formula>1</formula>
    </cfRule>
  </conditionalFormatting>
  <conditionalFormatting sqref="R84:R91">
    <cfRule type="cellIs" dxfId="7052" priority="533" operator="greaterThan">
      <formula>1</formula>
    </cfRule>
    <cfRule type="cellIs" dxfId="7051" priority="534" operator="lessThan">
      <formula>0.8</formula>
    </cfRule>
  </conditionalFormatting>
  <conditionalFormatting sqref="R84:R91">
    <cfRule type="cellIs" dxfId="7050" priority="529" operator="lessThan">
      <formula>0.8</formula>
    </cfRule>
    <cfRule type="cellIs" dxfId="7049" priority="530" operator="greaterThan">
      <formula>1</formula>
    </cfRule>
  </conditionalFormatting>
  <conditionalFormatting sqref="R84:R91">
    <cfRule type="cellIs" dxfId="7048" priority="527" operator="greaterThan">
      <formula>1</formula>
    </cfRule>
    <cfRule type="cellIs" dxfId="7047" priority="528" operator="lessThan">
      <formula>0.8</formula>
    </cfRule>
  </conditionalFormatting>
  <conditionalFormatting sqref="P84:P91">
    <cfRule type="cellIs" dxfId="7046" priority="526" operator="greaterThan">
      <formula>0</formula>
    </cfRule>
  </conditionalFormatting>
  <conditionalFormatting sqref="Q84:Q91">
    <cfRule type="cellIs" dxfId="7045" priority="531" operator="lessThan">
      <formula>0</formula>
    </cfRule>
  </conditionalFormatting>
  <conditionalFormatting sqref="Q84:Q91">
    <cfRule type="cellIs" dxfId="7044" priority="525" operator="lessThan">
      <formula>0</formula>
    </cfRule>
  </conditionalFormatting>
  <conditionalFormatting sqref="R84:R91">
    <cfRule type="cellIs" dxfId="7043" priority="523" operator="lessThan">
      <formula>0.8</formula>
    </cfRule>
    <cfRule type="cellIs" dxfId="7042" priority="524" operator="greaterThan">
      <formula>1</formula>
    </cfRule>
  </conditionalFormatting>
  <conditionalFormatting sqref="R84:R91">
    <cfRule type="cellIs" dxfId="7041" priority="521" operator="greaterThan">
      <formula>1</formula>
    </cfRule>
    <cfRule type="cellIs" dxfId="7040" priority="522" operator="lessThan">
      <formula>0.8</formula>
    </cfRule>
  </conditionalFormatting>
  <conditionalFormatting sqref="P84:P91">
    <cfRule type="cellIs" dxfId="7039" priority="520" operator="greaterThan">
      <formula>0</formula>
    </cfRule>
  </conditionalFormatting>
  <conditionalFormatting sqref="P84:P91">
    <cfRule type="cellIs" dxfId="7038" priority="514" operator="greaterThan">
      <formula>0</formula>
    </cfRule>
  </conditionalFormatting>
  <conditionalFormatting sqref="Q84:Q91">
    <cfRule type="cellIs" dxfId="7037" priority="519" operator="lessThan">
      <formula>0</formula>
    </cfRule>
  </conditionalFormatting>
  <conditionalFormatting sqref="R84:R91">
    <cfRule type="cellIs" dxfId="7036" priority="517" operator="lessThan">
      <formula>0.8</formula>
    </cfRule>
    <cfRule type="cellIs" dxfId="7035" priority="518" operator="greaterThan">
      <formula>1</formula>
    </cfRule>
  </conditionalFormatting>
  <conditionalFormatting sqref="R84:R91">
    <cfRule type="cellIs" dxfId="7034" priority="515" operator="greaterThan">
      <formula>1</formula>
    </cfRule>
    <cfRule type="cellIs" dxfId="7033" priority="516" operator="lessThan">
      <formula>0.8</formula>
    </cfRule>
  </conditionalFormatting>
  <conditionalFormatting sqref="P84:P91">
    <cfRule type="cellIs" dxfId="7032" priority="508" operator="greaterThan">
      <formula>0</formula>
    </cfRule>
  </conditionalFormatting>
  <conditionalFormatting sqref="Q84:Q91">
    <cfRule type="cellIs" dxfId="7031" priority="513" operator="lessThan">
      <formula>0</formula>
    </cfRule>
  </conditionalFormatting>
  <conditionalFormatting sqref="R84:R91">
    <cfRule type="cellIs" dxfId="7030" priority="511" operator="lessThan">
      <formula>0.8</formula>
    </cfRule>
    <cfRule type="cellIs" dxfId="7029" priority="512" operator="greaterThan">
      <formula>1</formula>
    </cfRule>
  </conditionalFormatting>
  <conditionalFormatting sqref="R84:R91">
    <cfRule type="cellIs" dxfId="7028" priority="509" operator="greaterThan">
      <formula>1</formula>
    </cfRule>
    <cfRule type="cellIs" dxfId="7027" priority="510" operator="lessThan">
      <formula>0.8</formula>
    </cfRule>
  </conditionalFormatting>
  <conditionalFormatting sqref="R84:R91">
    <cfRule type="cellIs" dxfId="7026" priority="505" operator="lessThan">
      <formula>0.8</formula>
    </cfRule>
    <cfRule type="cellIs" dxfId="7025" priority="506" operator="greaterThan">
      <formula>1</formula>
    </cfRule>
  </conditionalFormatting>
  <conditionalFormatting sqref="R84:R91">
    <cfRule type="cellIs" dxfId="7024" priority="503" operator="greaterThan">
      <formula>1</formula>
    </cfRule>
    <cfRule type="cellIs" dxfId="7023" priority="504" operator="lessThan">
      <formula>0.8</formula>
    </cfRule>
  </conditionalFormatting>
  <conditionalFormatting sqref="P84:P91">
    <cfRule type="cellIs" dxfId="7022" priority="502" operator="greaterThan">
      <formula>0</formula>
    </cfRule>
  </conditionalFormatting>
  <conditionalFormatting sqref="Q84:Q91">
    <cfRule type="cellIs" dxfId="7021" priority="507" operator="lessThan">
      <formula>0</formula>
    </cfRule>
  </conditionalFormatting>
  <conditionalFormatting sqref="P84:P91">
    <cfRule type="cellIs" dxfId="7020" priority="496" operator="greaterThan">
      <formula>0</formula>
    </cfRule>
  </conditionalFormatting>
  <conditionalFormatting sqref="Q84:Q91">
    <cfRule type="cellIs" dxfId="7019" priority="501" operator="lessThan">
      <formula>0</formula>
    </cfRule>
  </conditionalFormatting>
  <conditionalFormatting sqref="R84:R91">
    <cfRule type="cellIs" dxfId="7018" priority="499" operator="lessThan">
      <formula>0.8</formula>
    </cfRule>
    <cfRule type="cellIs" dxfId="7017" priority="500" operator="greaterThan">
      <formula>1</formula>
    </cfRule>
  </conditionalFormatting>
  <conditionalFormatting sqref="R84:R91">
    <cfRule type="cellIs" dxfId="7016" priority="497" operator="greaterThan">
      <formula>1</formula>
    </cfRule>
    <cfRule type="cellIs" dxfId="7015" priority="498" operator="lessThan">
      <formula>0.8</formula>
    </cfRule>
  </conditionalFormatting>
  <conditionalFormatting sqref="R84:R91">
    <cfRule type="cellIs" dxfId="7014" priority="493" operator="lessThan">
      <formula>0.8</formula>
    </cfRule>
    <cfRule type="cellIs" dxfId="7013" priority="494" operator="greaterThan">
      <formula>1</formula>
    </cfRule>
  </conditionalFormatting>
  <conditionalFormatting sqref="R84:R91">
    <cfRule type="cellIs" dxfId="7012" priority="491" operator="greaterThan">
      <formula>1</formula>
    </cfRule>
    <cfRule type="cellIs" dxfId="7011" priority="492" operator="lessThan">
      <formula>0.8</formula>
    </cfRule>
  </conditionalFormatting>
  <conditionalFormatting sqref="P84:P91">
    <cfRule type="cellIs" dxfId="7010" priority="490" operator="greaterThan">
      <formula>0</formula>
    </cfRule>
  </conditionalFormatting>
  <conditionalFormatting sqref="Q84:Q91">
    <cfRule type="cellIs" dxfId="7009" priority="495" operator="lessThan">
      <formula>0</formula>
    </cfRule>
  </conditionalFormatting>
  <conditionalFormatting sqref="R84:R91">
    <cfRule type="cellIs" dxfId="7008" priority="487" operator="lessThan">
      <formula>0.8</formula>
    </cfRule>
    <cfRule type="cellIs" dxfId="7007" priority="488" operator="greaterThan">
      <formula>1</formula>
    </cfRule>
  </conditionalFormatting>
  <conditionalFormatting sqref="R84:R91">
    <cfRule type="cellIs" dxfId="7006" priority="485" operator="greaterThan">
      <formula>1</formula>
    </cfRule>
    <cfRule type="cellIs" dxfId="7005" priority="486" operator="lessThan">
      <formula>0.8</formula>
    </cfRule>
  </conditionalFormatting>
  <conditionalFormatting sqref="P84:P91">
    <cfRule type="cellIs" dxfId="7004" priority="484" operator="greaterThan">
      <formula>0</formula>
    </cfRule>
  </conditionalFormatting>
  <conditionalFormatting sqref="Q84:Q91">
    <cfRule type="cellIs" dxfId="7003" priority="489" operator="lessThan">
      <formula>0</formula>
    </cfRule>
  </conditionalFormatting>
  <conditionalFormatting sqref="Q84:Q91">
    <cfRule type="cellIs" dxfId="7002" priority="483" operator="lessThan">
      <formula>0</formula>
    </cfRule>
  </conditionalFormatting>
  <conditionalFormatting sqref="R84:R91">
    <cfRule type="cellIs" dxfId="7001" priority="481" operator="lessThan">
      <formula>0.8</formula>
    </cfRule>
    <cfRule type="cellIs" dxfId="7000" priority="482" operator="greaterThan">
      <formula>1</formula>
    </cfRule>
  </conditionalFormatting>
  <conditionalFormatting sqref="R84:R91">
    <cfRule type="cellIs" dxfId="6999" priority="479" operator="greaterThan">
      <formula>1</formula>
    </cfRule>
    <cfRule type="cellIs" dxfId="6998" priority="480" operator="lessThan">
      <formula>0.8</formula>
    </cfRule>
  </conditionalFormatting>
  <conditionalFormatting sqref="P84:P91">
    <cfRule type="cellIs" dxfId="6997" priority="478" operator="greaterThan">
      <formula>0</formula>
    </cfRule>
  </conditionalFormatting>
  <conditionalFormatting sqref="Q84:Q91">
    <cfRule type="cellIs" dxfId="6996" priority="472" operator="lessThan">
      <formula>0</formula>
    </cfRule>
  </conditionalFormatting>
  <conditionalFormatting sqref="R84:R91">
    <cfRule type="cellIs" dxfId="6995" priority="476" operator="lessThan">
      <formula>0.8</formula>
    </cfRule>
    <cfRule type="cellIs" dxfId="6994" priority="477" operator="greaterThan">
      <formula>1</formula>
    </cfRule>
  </conditionalFormatting>
  <conditionalFormatting sqref="R84:R91">
    <cfRule type="cellIs" dxfId="6993" priority="474" operator="greaterThan">
      <formula>1</formula>
    </cfRule>
    <cfRule type="cellIs" dxfId="6992" priority="475" operator="lessThan">
      <formula>0.8</formula>
    </cfRule>
  </conditionalFormatting>
  <conditionalFormatting sqref="P84:P91">
    <cfRule type="cellIs" dxfId="6991" priority="473" operator="greaterThan">
      <formula>0</formula>
    </cfRule>
  </conditionalFormatting>
  <conditionalFormatting sqref="Q84:Q91">
    <cfRule type="cellIs" dxfId="6990" priority="471" operator="lessThan">
      <formula>0</formula>
    </cfRule>
  </conditionalFormatting>
  <conditionalFormatting sqref="R84:R91">
    <cfRule type="cellIs" dxfId="6989" priority="469" operator="lessThan">
      <formula>0.8</formula>
    </cfRule>
    <cfRule type="cellIs" dxfId="6988" priority="470" operator="greaterThan">
      <formula>1</formula>
    </cfRule>
  </conditionalFormatting>
  <conditionalFormatting sqref="R84:R91">
    <cfRule type="cellIs" dxfId="6987" priority="467" operator="greaterThan">
      <formula>1</formula>
    </cfRule>
    <cfRule type="cellIs" dxfId="6986" priority="468" operator="lessThan">
      <formula>0.8</formula>
    </cfRule>
  </conditionalFormatting>
  <conditionalFormatting sqref="P84:P91">
    <cfRule type="cellIs" dxfId="6985" priority="466" operator="greaterThan">
      <formula>0</formula>
    </cfRule>
  </conditionalFormatting>
  <conditionalFormatting sqref="Q84:Q91">
    <cfRule type="cellIs" dxfId="6984" priority="465" operator="lessThan">
      <formula>0</formula>
    </cfRule>
  </conditionalFormatting>
  <conditionalFormatting sqref="R84:R91">
    <cfRule type="cellIs" dxfId="6983" priority="463" operator="lessThan">
      <formula>0.8</formula>
    </cfRule>
    <cfRule type="cellIs" dxfId="6982" priority="464" operator="greaterThan">
      <formula>1</formula>
    </cfRule>
  </conditionalFormatting>
  <conditionalFormatting sqref="R84:R91">
    <cfRule type="cellIs" dxfId="6981" priority="461" operator="greaterThan">
      <formula>1</formula>
    </cfRule>
    <cfRule type="cellIs" dxfId="6980" priority="462" operator="lessThan">
      <formula>0.8</formula>
    </cfRule>
  </conditionalFormatting>
  <conditionalFormatting sqref="P84:P91">
    <cfRule type="cellIs" dxfId="6979" priority="460" operator="greaterThan">
      <formula>0</formula>
    </cfRule>
  </conditionalFormatting>
  <conditionalFormatting sqref="Q84:Q91">
    <cfRule type="cellIs" dxfId="6978" priority="459" operator="lessThan">
      <formula>0</formula>
    </cfRule>
  </conditionalFormatting>
  <conditionalFormatting sqref="R84:R91">
    <cfRule type="cellIs" dxfId="6977" priority="457" operator="lessThan">
      <formula>0.8</formula>
    </cfRule>
    <cfRule type="cellIs" dxfId="6976" priority="458" operator="greaterThan">
      <formula>1</formula>
    </cfRule>
  </conditionalFormatting>
  <conditionalFormatting sqref="R84:R91">
    <cfRule type="cellIs" dxfId="6975" priority="455" operator="greaterThan">
      <formula>1</formula>
    </cfRule>
    <cfRule type="cellIs" dxfId="6974" priority="456" operator="lessThan">
      <formula>0.8</formula>
    </cfRule>
  </conditionalFormatting>
  <conditionalFormatting sqref="P84:P91">
    <cfRule type="cellIs" dxfId="6973" priority="454" operator="greaterThan">
      <formula>0</formula>
    </cfRule>
  </conditionalFormatting>
  <conditionalFormatting sqref="Q84:Q91">
    <cfRule type="cellIs" dxfId="6972" priority="453" operator="lessThan">
      <formula>0</formula>
    </cfRule>
  </conditionalFormatting>
  <conditionalFormatting sqref="R84:R91">
    <cfRule type="cellIs" dxfId="6971" priority="451" operator="lessThan">
      <formula>0.8</formula>
    </cfRule>
    <cfRule type="cellIs" dxfId="6970" priority="452" operator="greaterThan">
      <formula>1</formula>
    </cfRule>
  </conditionalFormatting>
  <conditionalFormatting sqref="R84:R91">
    <cfRule type="cellIs" dxfId="6969" priority="449" operator="greaterThan">
      <formula>1</formula>
    </cfRule>
    <cfRule type="cellIs" dxfId="6968" priority="450" operator="lessThan">
      <formula>0.8</formula>
    </cfRule>
  </conditionalFormatting>
  <conditionalFormatting sqref="P84:P91">
    <cfRule type="cellIs" dxfId="6967" priority="448" operator="greaterThan">
      <formula>0</formula>
    </cfRule>
  </conditionalFormatting>
  <conditionalFormatting sqref="Q84:Q91">
    <cfRule type="cellIs" dxfId="6966" priority="447" operator="lessThan">
      <formula>0</formula>
    </cfRule>
  </conditionalFormatting>
  <conditionalFormatting sqref="R84:R91">
    <cfRule type="cellIs" dxfId="6965" priority="445" operator="lessThan">
      <formula>0.8</formula>
    </cfRule>
    <cfRule type="cellIs" dxfId="6964" priority="446" operator="greaterThan">
      <formula>1</formula>
    </cfRule>
  </conditionalFormatting>
  <conditionalFormatting sqref="R84:R91">
    <cfRule type="cellIs" dxfId="6963" priority="443" operator="greaterThan">
      <formula>1</formula>
    </cfRule>
    <cfRule type="cellIs" dxfId="6962" priority="444" operator="lessThan">
      <formula>0.8</formula>
    </cfRule>
  </conditionalFormatting>
  <conditionalFormatting sqref="P84:P91">
    <cfRule type="cellIs" dxfId="6961" priority="442" operator="greaterThan">
      <formula>0</formula>
    </cfRule>
  </conditionalFormatting>
  <conditionalFormatting sqref="P84:P91">
    <cfRule type="cellIs" dxfId="6960" priority="436" operator="greaterThan">
      <formula>0</formula>
    </cfRule>
  </conditionalFormatting>
  <conditionalFormatting sqref="Q84:Q91">
    <cfRule type="cellIs" dxfId="6959" priority="441" operator="lessThan">
      <formula>0</formula>
    </cfRule>
  </conditionalFormatting>
  <conditionalFormatting sqref="R84:R91">
    <cfRule type="cellIs" dxfId="6958" priority="439" operator="lessThan">
      <formula>0.8</formula>
    </cfRule>
    <cfRule type="cellIs" dxfId="6957" priority="440" operator="greaterThan">
      <formula>1</formula>
    </cfRule>
  </conditionalFormatting>
  <conditionalFormatting sqref="R84:R91">
    <cfRule type="cellIs" dxfId="6956" priority="437" operator="greaterThan">
      <formula>1</formula>
    </cfRule>
    <cfRule type="cellIs" dxfId="6955" priority="438" operator="lessThan">
      <formula>0.8</formula>
    </cfRule>
  </conditionalFormatting>
  <conditionalFormatting sqref="P84:P91">
    <cfRule type="cellIs" dxfId="6954" priority="430" operator="greaterThan">
      <formula>0</formula>
    </cfRule>
  </conditionalFormatting>
  <conditionalFormatting sqref="Q84:Q91">
    <cfRule type="cellIs" dxfId="6953" priority="435" operator="lessThan">
      <formula>0</formula>
    </cfRule>
  </conditionalFormatting>
  <conditionalFormatting sqref="R84:R91">
    <cfRule type="cellIs" dxfId="6952" priority="433" operator="lessThan">
      <formula>0.8</formula>
    </cfRule>
    <cfRule type="cellIs" dxfId="6951" priority="434" operator="greaterThan">
      <formula>1</formula>
    </cfRule>
  </conditionalFormatting>
  <conditionalFormatting sqref="R84:R91">
    <cfRule type="cellIs" dxfId="6950" priority="431" operator="greaterThan">
      <formula>1</formula>
    </cfRule>
    <cfRule type="cellIs" dxfId="6949" priority="432" operator="lessThan">
      <formula>0.8</formula>
    </cfRule>
  </conditionalFormatting>
  <conditionalFormatting sqref="R84:R91">
    <cfRule type="cellIs" dxfId="6948" priority="427" operator="lessThan">
      <formula>0.8</formula>
    </cfRule>
    <cfRule type="cellIs" dxfId="6947" priority="428" operator="greaterThan">
      <formula>1</formula>
    </cfRule>
  </conditionalFormatting>
  <conditionalFormatting sqref="R84:R91">
    <cfRule type="cellIs" dxfId="6946" priority="425" operator="greaterThan">
      <formula>1</formula>
    </cfRule>
    <cfRule type="cellIs" dxfId="6945" priority="426" operator="lessThan">
      <formula>0.8</formula>
    </cfRule>
  </conditionalFormatting>
  <conditionalFormatting sqref="P84:P91">
    <cfRule type="cellIs" dxfId="6944" priority="424" operator="greaterThan">
      <formula>0</formula>
    </cfRule>
  </conditionalFormatting>
  <conditionalFormatting sqref="Q84:Q91">
    <cfRule type="cellIs" dxfId="6943" priority="429" operator="lessThan">
      <formula>0</formula>
    </cfRule>
  </conditionalFormatting>
  <conditionalFormatting sqref="Q84:Q91">
    <cfRule type="cellIs" dxfId="6942" priority="418" operator="lessThan">
      <formula>0</formula>
    </cfRule>
  </conditionalFormatting>
  <conditionalFormatting sqref="P84:P91">
    <cfRule type="cellIs" dxfId="6941" priority="419" operator="greaterThan">
      <formula>0</formula>
    </cfRule>
  </conditionalFormatting>
  <conditionalFormatting sqref="R84:R91">
    <cfRule type="cellIs" dxfId="6940" priority="422" operator="lessThan">
      <formula>0.8</formula>
    </cfRule>
    <cfRule type="cellIs" dxfId="6939" priority="423" operator="greaterThan">
      <formula>1</formula>
    </cfRule>
  </conditionalFormatting>
  <conditionalFormatting sqref="R84:R91">
    <cfRule type="cellIs" dxfId="6938" priority="420" operator="greaterThan">
      <formula>1</formula>
    </cfRule>
    <cfRule type="cellIs" dxfId="6937" priority="421" operator="lessThan">
      <formula>0.8</formula>
    </cfRule>
  </conditionalFormatting>
  <conditionalFormatting sqref="Q84:Q91">
    <cfRule type="cellIs" dxfId="6936" priority="412" operator="lessThan">
      <formula>0</formula>
    </cfRule>
  </conditionalFormatting>
  <conditionalFormatting sqref="R84:R91">
    <cfRule type="cellIs" dxfId="6935" priority="416" operator="lessThan">
      <formula>0.8</formula>
    </cfRule>
    <cfRule type="cellIs" dxfId="6934" priority="417" operator="greaterThan">
      <formula>1</formula>
    </cfRule>
  </conditionalFormatting>
  <conditionalFormatting sqref="R84:R91">
    <cfRule type="cellIs" dxfId="6933" priority="414" operator="greaterThan">
      <formula>1</formula>
    </cfRule>
    <cfRule type="cellIs" dxfId="6932" priority="415" operator="lessThan">
      <formula>0.8</formula>
    </cfRule>
  </conditionalFormatting>
  <conditionalFormatting sqref="P84:P91">
    <cfRule type="cellIs" dxfId="6931" priority="413" operator="greaterThan">
      <formula>0</formula>
    </cfRule>
  </conditionalFormatting>
  <conditionalFormatting sqref="Q84:Q91">
    <cfRule type="cellIs" dxfId="6930" priority="411" operator="lessThan">
      <formula>0</formula>
    </cfRule>
  </conditionalFormatting>
  <conditionalFormatting sqref="R84:R91">
    <cfRule type="cellIs" dxfId="6929" priority="409" operator="lessThan">
      <formula>0.8</formula>
    </cfRule>
    <cfRule type="cellIs" dxfId="6928" priority="410" operator="greaterThan">
      <formula>1</formula>
    </cfRule>
  </conditionalFormatting>
  <conditionalFormatting sqref="R84:R91">
    <cfRule type="cellIs" dxfId="6927" priority="407" operator="greaterThan">
      <formula>1</formula>
    </cfRule>
    <cfRule type="cellIs" dxfId="6926" priority="408" operator="lessThan">
      <formula>0.8</formula>
    </cfRule>
  </conditionalFormatting>
  <conditionalFormatting sqref="P84:P91">
    <cfRule type="cellIs" dxfId="6925" priority="406" operator="greaterThan">
      <formula>0</formula>
    </cfRule>
  </conditionalFormatting>
  <conditionalFormatting sqref="Q84:Q91">
    <cfRule type="cellIs" dxfId="6924" priority="405" operator="lessThan">
      <formula>0</formula>
    </cfRule>
  </conditionalFormatting>
  <conditionalFormatting sqref="R84:R91">
    <cfRule type="cellIs" dxfId="6923" priority="403" operator="lessThan">
      <formula>0.8</formula>
    </cfRule>
    <cfRule type="cellIs" dxfId="6922" priority="404" operator="greaterThan">
      <formula>1</formula>
    </cfRule>
  </conditionalFormatting>
  <conditionalFormatting sqref="R84:R91">
    <cfRule type="cellIs" dxfId="6921" priority="401" operator="greaterThan">
      <formula>1</formula>
    </cfRule>
    <cfRule type="cellIs" dxfId="6920" priority="402" operator="lessThan">
      <formula>0.8</formula>
    </cfRule>
  </conditionalFormatting>
  <conditionalFormatting sqref="P84:P91">
    <cfRule type="cellIs" dxfId="6919" priority="400" operator="greaterThan">
      <formula>0</formula>
    </cfRule>
  </conditionalFormatting>
  <conditionalFormatting sqref="Q84:Q91">
    <cfRule type="cellIs" dxfId="6918" priority="399" operator="lessThan">
      <formula>0</formula>
    </cfRule>
  </conditionalFormatting>
  <conditionalFormatting sqref="R84:R91">
    <cfRule type="cellIs" dxfId="6917" priority="397" operator="lessThan">
      <formula>0.8</formula>
    </cfRule>
    <cfRule type="cellIs" dxfId="6916" priority="398" operator="greaterThan">
      <formula>1</formula>
    </cfRule>
  </conditionalFormatting>
  <conditionalFormatting sqref="R84:R91">
    <cfRule type="cellIs" dxfId="6915" priority="395" operator="greaterThan">
      <formula>1</formula>
    </cfRule>
    <cfRule type="cellIs" dxfId="6914" priority="396" operator="lessThan">
      <formula>0.8</formula>
    </cfRule>
  </conditionalFormatting>
  <conditionalFormatting sqref="P84:P91">
    <cfRule type="cellIs" dxfId="6913" priority="394" operator="greaterThan">
      <formula>0</formula>
    </cfRule>
  </conditionalFormatting>
  <conditionalFormatting sqref="Q84:Q91">
    <cfRule type="cellIs" dxfId="6912" priority="393" operator="lessThan">
      <formula>0</formula>
    </cfRule>
  </conditionalFormatting>
  <conditionalFormatting sqref="R84:R91">
    <cfRule type="cellIs" dxfId="6911" priority="391" operator="lessThan">
      <formula>0.8</formula>
    </cfRule>
    <cfRule type="cellIs" dxfId="6910" priority="392" operator="greaterThan">
      <formula>1</formula>
    </cfRule>
  </conditionalFormatting>
  <conditionalFormatting sqref="R84:R91">
    <cfRule type="cellIs" dxfId="6909" priority="389" operator="greaterThan">
      <formula>1</formula>
    </cfRule>
    <cfRule type="cellIs" dxfId="6908" priority="390" operator="lessThan">
      <formula>0.8</formula>
    </cfRule>
  </conditionalFormatting>
  <conditionalFormatting sqref="P84:P91">
    <cfRule type="cellIs" dxfId="6907" priority="388" operator="greaterThan">
      <formula>0</formula>
    </cfRule>
  </conditionalFormatting>
  <conditionalFormatting sqref="Q84:Q91">
    <cfRule type="cellIs" dxfId="6906" priority="387" operator="lessThan">
      <formula>0</formula>
    </cfRule>
  </conditionalFormatting>
  <conditionalFormatting sqref="R84:R91">
    <cfRule type="cellIs" dxfId="6905" priority="385" operator="lessThan">
      <formula>0.8</formula>
    </cfRule>
    <cfRule type="cellIs" dxfId="6904" priority="386" operator="greaterThan">
      <formula>1</formula>
    </cfRule>
  </conditionalFormatting>
  <conditionalFormatting sqref="R84:R91">
    <cfRule type="cellIs" dxfId="6903" priority="383" operator="greaterThan">
      <formula>1</formula>
    </cfRule>
    <cfRule type="cellIs" dxfId="6902" priority="384" operator="lessThan">
      <formula>0.8</formula>
    </cfRule>
  </conditionalFormatting>
  <conditionalFormatting sqref="P84:P91">
    <cfRule type="cellIs" dxfId="6901" priority="382" operator="greaterThan">
      <formula>0</formula>
    </cfRule>
  </conditionalFormatting>
  <conditionalFormatting sqref="Q84:Q91">
    <cfRule type="cellIs" dxfId="6900" priority="381" operator="lessThan">
      <formula>0</formula>
    </cfRule>
  </conditionalFormatting>
  <conditionalFormatting sqref="R84:R91">
    <cfRule type="cellIs" dxfId="6899" priority="379" operator="lessThan">
      <formula>0.8</formula>
    </cfRule>
    <cfRule type="cellIs" dxfId="6898" priority="380" operator="greaterThan">
      <formula>1</formula>
    </cfRule>
  </conditionalFormatting>
  <conditionalFormatting sqref="R84:R91">
    <cfRule type="cellIs" dxfId="6897" priority="377" operator="greaterThan">
      <formula>1</formula>
    </cfRule>
    <cfRule type="cellIs" dxfId="6896" priority="378" operator="lessThan">
      <formula>0.8</formula>
    </cfRule>
  </conditionalFormatting>
  <conditionalFormatting sqref="P84:P91">
    <cfRule type="cellIs" dxfId="6895" priority="376" operator="greaterThan">
      <formula>0</formula>
    </cfRule>
  </conditionalFormatting>
  <conditionalFormatting sqref="Q84:Q91">
    <cfRule type="cellIs" dxfId="6894" priority="375" operator="lessThan">
      <formula>0</formula>
    </cfRule>
  </conditionalFormatting>
  <conditionalFormatting sqref="R84:R91">
    <cfRule type="cellIs" dxfId="6893" priority="373" operator="lessThan">
      <formula>0.8</formula>
    </cfRule>
    <cfRule type="cellIs" dxfId="6892" priority="374" operator="greaterThan">
      <formula>1</formula>
    </cfRule>
  </conditionalFormatting>
  <conditionalFormatting sqref="R84:R91">
    <cfRule type="cellIs" dxfId="6891" priority="371" operator="greaterThan">
      <formula>1</formula>
    </cfRule>
    <cfRule type="cellIs" dxfId="6890" priority="372" operator="lessThan">
      <formula>0.8</formula>
    </cfRule>
  </conditionalFormatting>
  <conditionalFormatting sqref="P84:P91">
    <cfRule type="cellIs" dxfId="6889" priority="370" operator="greaterThan">
      <formula>0</formula>
    </cfRule>
  </conditionalFormatting>
  <conditionalFormatting sqref="P84:P91">
    <cfRule type="cellIs" dxfId="6888" priority="364" operator="greaterThan">
      <formula>0</formula>
    </cfRule>
  </conditionalFormatting>
  <conditionalFormatting sqref="Q84:Q91">
    <cfRule type="cellIs" dxfId="6887" priority="369" operator="lessThan">
      <formula>0</formula>
    </cfRule>
  </conditionalFormatting>
  <conditionalFormatting sqref="R84:R91">
    <cfRule type="cellIs" dxfId="6886" priority="367" operator="lessThan">
      <formula>0.8</formula>
    </cfRule>
    <cfRule type="cellIs" dxfId="6885" priority="368" operator="greaterThan">
      <formula>1</formula>
    </cfRule>
  </conditionalFormatting>
  <conditionalFormatting sqref="R84:R91">
    <cfRule type="cellIs" dxfId="6884" priority="365" operator="greaterThan">
      <formula>1</formula>
    </cfRule>
    <cfRule type="cellIs" dxfId="6883" priority="366" operator="lessThan">
      <formula>0.8</formula>
    </cfRule>
  </conditionalFormatting>
  <conditionalFormatting sqref="P84:P91">
    <cfRule type="cellIs" dxfId="6882" priority="358" operator="greaterThan">
      <formula>0</formula>
    </cfRule>
  </conditionalFormatting>
  <conditionalFormatting sqref="Q84:Q91">
    <cfRule type="cellIs" dxfId="6881" priority="363" operator="lessThan">
      <formula>0</formula>
    </cfRule>
  </conditionalFormatting>
  <conditionalFormatting sqref="R84:R91">
    <cfRule type="cellIs" dxfId="6880" priority="361" operator="lessThan">
      <formula>0.8</formula>
    </cfRule>
    <cfRule type="cellIs" dxfId="6879" priority="362" operator="greaterThan">
      <formula>1</formula>
    </cfRule>
  </conditionalFormatting>
  <conditionalFormatting sqref="R84:R91">
    <cfRule type="cellIs" dxfId="6878" priority="359" operator="greaterThan">
      <formula>1</formula>
    </cfRule>
    <cfRule type="cellIs" dxfId="6877" priority="360" operator="lessThan">
      <formula>0.8</formula>
    </cfRule>
  </conditionalFormatting>
  <conditionalFormatting sqref="R84:R91">
    <cfRule type="cellIs" dxfId="6876" priority="355" operator="lessThan">
      <formula>0.8</formula>
    </cfRule>
    <cfRule type="cellIs" dxfId="6875" priority="356" operator="greaterThan">
      <formula>1</formula>
    </cfRule>
  </conditionalFormatting>
  <conditionalFormatting sqref="R84:R91">
    <cfRule type="cellIs" dxfId="6874" priority="353" operator="greaterThan">
      <formula>1</formula>
    </cfRule>
    <cfRule type="cellIs" dxfId="6873" priority="354" operator="lessThan">
      <formula>0.8</formula>
    </cfRule>
  </conditionalFormatting>
  <conditionalFormatting sqref="P84:P91">
    <cfRule type="cellIs" dxfId="6872" priority="352" operator="greaterThan">
      <formula>0</formula>
    </cfRule>
  </conditionalFormatting>
  <conditionalFormatting sqref="Q84:Q91">
    <cfRule type="cellIs" dxfId="6871" priority="357" operator="lessThan">
      <formula>0</formula>
    </cfRule>
  </conditionalFormatting>
  <conditionalFormatting sqref="Q84:Q91">
    <cfRule type="cellIs" dxfId="6870" priority="351" operator="lessThan">
      <formula>0</formula>
    </cfRule>
  </conditionalFormatting>
  <conditionalFormatting sqref="R84:R91">
    <cfRule type="cellIs" dxfId="6869" priority="349" operator="lessThan">
      <formula>0.8</formula>
    </cfRule>
    <cfRule type="cellIs" dxfId="6868" priority="350" operator="greaterThan">
      <formula>1</formula>
    </cfRule>
  </conditionalFormatting>
  <conditionalFormatting sqref="R84:R91">
    <cfRule type="cellIs" dxfId="6867" priority="347" operator="greaterThan">
      <formula>1</formula>
    </cfRule>
    <cfRule type="cellIs" dxfId="6866" priority="348" operator="lessThan">
      <formula>0.8</formula>
    </cfRule>
  </conditionalFormatting>
  <conditionalFormatting sqref="P84:P91">
    <cfRule type="cellIs" dxfId="6865" priority="346" operator="greaterThan">
      <formula>0</formula>
    </cfRule>
  </conditionalFormatting>
  <conditionalFormatting sqref="P84:P91">
    <cfRule type="cellIs" dxfId="6864" priority="340" operator="greaterThan">
      <formula>0</formula>
    </cfRule>
  </conditionalFormatting>
  <conditionalFormatting sqref="Q84:Q91">
    <cfRule type="cellIs" dxfId="6863" priority="345" operator="lessThan">
      <formula>0</formula>
    </cfRule>
  </conditionalFormatting>
  <conditionalFormatting sqref="R84:R91">
    <cfRule type="cellIs" dxfId="6862" priority="343" operator="lessThan">
      <formula>0.8</formula>
    </cfRule>
    <cfRule type="cellIs" dxfId="6861" priority="344" operator="greaterThan">
      <formula>1</formula>
    </cfRule>
  </conditionalFormatting>
  <conditionalFormatting sqref="R84:R91">
    <cfRule type="cellIs" dxfId="6860" priority="341" operator="greaterThan">
      <formula>1</formula>
    </cfRule>
    <cfRule type="cellIs" dxfId="6859" priority="342" operator="lessThan">
      <formula>0.8</formula>
    </cfRule>
  </conditionalFormatting>
  <conditionalFormatting sqref="P84:P91">
    <cfRule type="cellIs" dxfId="6858" priority="334" operator="greaterThan">
      <formula>0</formula>
    </cfRule>
  </conditionalFormatting>
  <conditionalFormatting sqref="Q84:Q91">
    <cfRule type="cellIs" dxfId="6857" priority="339" operator="lessThan">
      <formula>0</formula>
    </cfRule>
  </conditionalFormatting>
  <conditionalFormatting sqref="R84:R91">
    <cfRule type="cellIs" dxfId="6856" priority="337" operator="lessThan">
      <formula>0.8</formula>
    </cfRule>
    <cfRule type="cellIs" dxfId="6855" priority="338" operator="greaterThan">
      <formula>1</formula>
    </cfRule>
  </conditionalFormatting>
  <conditionalFormatting sqref="R84:R91">
    <cfRule type="cellIs" dxfId="6854" priority="335" operator="greaterThan">
      <formula>1</formula>
    </cfRule>
    <cfRule type="cellIs" dxfId="6853" priority="336" operator="lessThan">
      <formula>0.8</formula>
    </cfRule>
  </conditionalFormatting>
  <conditionalFormatting sqref="R84:R91">
    <cfRule type="cellIs" dxfId="6852" priority="331" operator="lessThan">
      <formula>0.8</formula>
    </cfRule>
    <cfRule type="cellIs" dxfId="6851" priority="332" operator="greaterThan">
      <formula>1</formula>
    </cfRule>
  </conditionalFormatting>
  <conditionalFormatting sqref="R84:R91">
    <cfRule type="cellIs" dxfId="6850" priority="329" operator="greaterThan">
      <formula>1</formula>
    </cfRule>
    <cfRule type="cellIs" dxfId="6849" priority="330" operator="lessThan">
      <formula>0.8</formula>
    </cfRule>
  </conditionalFormatting>
  <conditionalFormatting sqref="P84:P91">
    <cfRule type="cellIs" dxfId="6848" priority="328" operator="greaterThan">
      <formula>0</formula>
    </cfRule>
  </conditionalFormatting>
  <conditionalFormatting sqref="Q84:Q91">
    <cfRule type="cellIs" dxfId="6847" priority="333" operator="lessThan">
      <formula>0</formula>
    </cfRule>
  </conditionalFormatting>
  <conditionalFormatting sqref="P84:P91">
    <cfRule type="cellIs" dxfId="6846" priority="322" operator="greaterThan">
      <formula>0</formula>
    </cfRule>
  </conditionalFormatting>
  <conditionalFormatting sqref="Q84:Q91">
    <cfRule type="cellIs" dxfId="6845" priority="327" operator="lessThan">
      <formula>0</formula>
    </cfRule>
  </conditionalFormatting>
  <conditionalFormatting sqref="R84:R91">
    <cfRule type="cellIs" dxfId="6844" priority="325" operator="lessThan">
      <formula>0.8</formula>
    </cfRule>
    <cfRule type="cellIs" dxfId="6843" priority="326" operator="greaterThan">
      <formula>1</formula>
    </cfRule>
  </conditionalFormatting>
  <conditionalFormatting sqref="R84:R91">
    <cfRule type="cellIs" dxfId="6842" priority="323" operator="greaterThan">
      <formula>1</formula>
    </cfRule>
    <cfRule type="cellIs" dxfId="6841" priority="324" operator="lessThan">
      <formula>0.8</formula>
    </cfRule>
  </conditionalFormatting>
  <conditionalFormatting sqref="R84:R91">
    <cfRule type="cellIs" dxfId="6840" priority="319" operator="lessThan">
      <formula>0.8</formula>
    </cfRule>
    <cfRule type="cellIs" dxfId="6839" priority="320" operator="greaterThan">
      <formula>1</formula>
    </cfRule>
  </conditionalFormatting>
  <conditionalFormatting sqref="R84:R91">
    <cfRule type="cellIs" dxfId="6838" priority="317" operator="greaterThan">
      <formula>1</formula>
    </cfRule>
    <cfRule type="cellIs" dxfId="6837" priority="318" operator="lessThan">
      <formula>0.8</formula>
    </cfRule>
  </conditionalFormatting>
  <conditionalFormatting sqref="P84:P91">
    <cfRule type="cellIs" dxfId="6836" priority="316" operator="greaterThan">
      <formula>0</formula>
    </cfRule>
  </conditionalFormatting>
  <conditionalFormatting sqref="Q84:Q91">
    <cfRule type="cellIs" dxfId="6835" priority="321" operator="lessThan">
      <formula>0</formula>
    </cfRule>
  </conditionalFormatting>
  <conditionalFormatting sqref="R84:R91">
    <cfRule type="cellIs" dxfId="6834" priority="313" operator="lessThan">
      <formula>0.8</formula>
    </cfRule>
    <cfRule type="cellIs" dxfId="6833" priority="314" operator="greaterThan">
      <formula>1</formula>
    </cfRule>
  </conditionalFormatting>
  <conditionalFormatting sqref="R84:R91">
    <cfRule type="cellIs" dxfId="6832" priority="311" operator="greaterThan">
      <formula>1</formula>
    </cfRule>
    <cfRule type="cellIs" dxfId="6831" priority="312" operator="lessThan">
      <formula>0.8</formula>
    </cfRule>
  </conditionalFormatting>
  <conditionalFormatting sqref="P84:P91">
    <cfRule type="cellIs" dxfId="6830" priority="310" operator="greaterThan">
      <formula>0</formula>
    </cfRule>
  </conditionalFormatting>
  <conditionalFormatting sqref="Q84:Q91">
    <cfRule type="cellIs" dxfId="6829" priority="315" operator="lessThan">
      <formula>0</formula>
    </cfRule>
  </conditionalFormatting>
  <conditionalFormatting sqref="Q84:Q91">
    <cfRule type="cellIs" dxfId="6828" priority="309" operator="lessThan">
      <formula>0</formula>
    </cfRule>
  </conditionalFormatting>
  <conditionalFormatting sqref="R84:R91">
    <cfRule type="cellIs" dxfId="6827" priority="307" operator="lessThan">
      <formula>0.8</formula>
    </cfRule>
    <cfRule type="cellIs" dxfId="6826" priority="308" operator="greaterThan">
      <formula>1</formula>
    </cfRule>
  </conditionalFormatting>
  <conditionalFormatting sqref="R84:R91">
    <cfRule type="cellIs" dxfId="6825" priority="305" operator="greaterThan">
      <formula>1</formula>
    </cfRule>
    <cfRule type="cellIs" dxfId="6824" priority="306" operator="lessThan">
      <formula>0.8</formula>
    </cfRule>
  </conditionalFormatting>
  <conditionalFormatting sqref="P84:P91">
    <cfRule type="cellIs" dxfId="6823" priority="304" operator="greaterThan">
      <formula>0</formula>
    </cfRule>
  </conditionalFormatting>
  <conditionalFormatting sqref="Q84:Q91">
    <cfRule type="cellIs" dxfId="6822" priority="298" operator="lessThan">
      <formula>0</formula>
    </cfRule>
  </conditionalFormatting>
  <conditionalFormatting sqref="R84:R91">
    <cfRule type="cellIs" dxfId="6821" priority="302" operator="lessThan">
      <formula>0.8</formula>
    </cfRule>
    <cfRule type="cellIs" dxfId="6820" priority="303" operator="greaterThan">
      <formula>1</formula>
    </cfRule>
  </conditionalFormatting>
  <conditionalFormatting sqref="R84:R91">
    <cfRule type="cellIs" dxfId="6819" priority="300" operator="greaterThan">
      <formula>1</formula>
    </cfRule>
    <cfRule type="cellIs" dxfId="6818" priority="301" operator="lessThan">
      <formula>0.8</formula>
    </cfRule>
  </conditionalFormatting>
  <conditionalFormatting sqref="P84:P91">
    <cfRule type="cellIs" dxfId="6817" priority="299" operator="greaterThan">
      <formula>0</formula>
    </cfRule>
  </conditionalFormatting>
  <conditionalFormatting sqref="Q84:Q91">
    <cfRule type="cellIs" dxfId="6816" priority="297" operator="lessThan">
      <formula>0</formula>
    </cfRule>
  </conditionalFormatting>
  <conditionalFormatting sqref="R84:R91">
    <cfRule type="cellIs" dxfId="6815" priority="295" operator="lessThan">
      <formula>0.8</formula>
    </cfRule>
    <cfRule type="cellIs" dxfId="6814" priority="296" operator="greaterThan">
      <formula>1</formula>
    </cfRule>
  </conditionalFormatting>
  <conditionalFormatting sqref="R84:R91">
    <cfRule type="cellIs" dxfId="6813" priority="293" operator="greaterThan">
      <formula>1</formula>
    </cfRule>
    <cfRule type="cellIs" dxfId="6812" priority="294" operator="lessThan">
      <formula>0.8</formula>
    </cfRule>
  </conditionalFormatting>
  <conditionalFormatting sqref="P84:P91">
    <cfRule type="cellIs" dxfId="6811" priority="292" operator="greaterThan">
      <formula>0</formula>
    </cfRule>
  </conditionalFormatting>
  <conditionalFormatting sqref="Q84:Q91">
    <cfRule type="cellIs" dxfId="6810" priority="291" operator="lessThan">
      <formula>0</formula>
    </cfRule>
  </conditionalFormatting>
  <conditionalFormatting sqref="R84:R91">
    <cfRule type="cellIs" dxfId="6809" priority="289" operator="lessThan">
      <formula>0.8</formula>
    </cfRule>
    <cfRule type="cellIs" dxfId="6808" priority="290" operator="greaterThan">
      <formula>1</formula>
    </cfRule>
  </conditionalFormatting>
  <conditionalFormatting sqref="R84:R91">
    <cfRule type="cellIs" dxfId="6807" priority="287" operator="greaterThan">
      <formula>1</formula>
    </cfRule>
    <cfRule type="cellIs" dxfId="6806" priority="288" operator="lessThan">
      <formula>0.8</formula>
    </cfRule>
  </conditionalFormatting>
  <conditionalFormatting sqref="P84:P91">
    <cfRule type="cellIs" dxfId="6805" priority="286" operator="greaterThan">
      <formula>0</formula>
    </cfRule>
  </conditionalFormatting>
  <conditionalFormatting sqref="Q84:Q91">
    <cfRule type="cellIs" dxfId="6804" priority="285" operator="lessThan">
      <formula>0</formula>
    </cfRule>
  </conditionalFormatting>
  <conditionalFormatting sqref="R84:R91">
    <cfRule type="cellIs" dxfId="6803" priority="283" operator="lessThan">
      <formula>0.8</formula>
    </cfRule>
    <cfRule type="cellIs" dxfId="6802" priority="284" operator="greaterThan">
      <formula>1</formula>
    </cfRule>
  </conditionalFormatting>
  <conditionalFormatting sqref="R84:R91">
    <cfRule type="cellIs" dxfId="6801" priority="281" operator="greaterThan">
      <formula>1</formula>
    </cfRule>
    <cfRule type="cellIs" dxfId="6800" priority="282" operator="lessThan">
      <formula>0.8</formula>
    </cfRule>
  </conditionalFormatting>
  <conditionalFormatting sqref="P84:P91">
    <cfRule type="cellIs" dxfId="6799" priority="280" operator="greaterThan">
      <formula>0</formula>
    </cfRule>
  </conditionalFormatting>
  <conditionalFormatting sqref="Q84:Q91">
    <cfRule type="cellIs" dxfId="6798" priority="279" operator="lessThan">
      <formula>0</formula>
    </cfRule>
  </conditionalFormatting>
  <conditionalFormatting sqref="R84:R91">
    <cfRule type="cellIs" dxfId="6797" priority="277" operator="lessThan">
      <formula>0.8</formula>
    </cfRule>
    <cfRule type="cellIs" dxfId="6796" priority="278" operator="greaterThan">
      <formula>1</formula>
    </cfRule>
  </conditionalFormatting>
  <conditionalFormatting sqref="R84:R91">
    <cfRule type="cellIs" dxfId="6795" priority="275" operator="greaterThan">
      <formula>1</formula>
    </cfRule>
    <cfRule type="cellIs" dxfId="6794" priority="276" operator="lessThan">
      <formula>0.8</formula>
    </cfRule>
  </conditionalFormatting>
  <conditionalFormatting sqref="P84:P91">
    <cfRule type="cellIs" dxfId="6793" priority="274" operator="greaterThan">
      <formula>0</formula>
    </cfRule>
  </conditionalFormatting>
  <conditionalFormatting sqref="Q84:Q91">
    <cfRule type="cellIs" dxfId="6792" priority="273" operator="lessThan">
      <formula>0</formula>
    </cfRule>
  </conditionalFormatting>
  <conditionalFormatting sqref="R84:R91">
    <cfRule type="cellIs" dxfId="6791" priority="271" operator="lessThan">
      <formula>0.8</formula>
    </cfRule>
    <cfRule type="cellIs" dxfId="6790" priority="272" operator="greaterThan">
      <formula>1</formula>
    </cfRule>
  </conditionalFormatting>
  <conditionalFormatting sqref="R84:R91">
    <cfRule type="cellIs" dxfId="6789" priority="269" operator="greaterThan">
      <formula>1</formula>
    </cfRule>
    <cfRule type="cellIs" dxfId="6788" priority="270" operator="lessThan">
      <formula>0.8</formula>
    </cfRule>
  </conditionalFormatting>
  <conditionalFormatting sqref="P84:P91">
    <cfRule type="cellIs" dxfId="6787" priority="268" operator="greaterThan">
      <formula>0</formula>
    </cfRule>
  </conditionalFormatting>
  <conditionalFormatting sqref="P84:P91">
    <cfRule type="cellIs" dxfId="6786" priority="262" operator="greaterThan">
      <formula>0</formula>
    </cfRule>
  </conditionalFormatting>
  <conditionalFormatting sqref="Q84:Q91">
    <cfRule type="cellIs" dxfId="6785" priority="267" operator="lessThan">
      <formula>0</formula>
    </cfRule>
  </conditionalFormatting>
  <conditionalFormatting sqref="R84:R91">
    <cfRule type="cellIs" dxfId="6784" priority="265" operator="lessThan">
      <formula>0.8</formula>
    </cfRule>
    <cfRule type="cellIs" dxfId="6783" priority="266" operator="greaterThan">
      <formula>1</formula>
    </cfRule>
  </conditionalFormatting>
  <conditionalFormatting sqref="R84:R91">
    <cfRule type="cellIs" dxfId="6782" priority="263" operator="greaterThan">
      <formula>1</formula>
    </cfRule>
    <cfRule type="cellIs" dxfId="6781" priority="264" operator="lessThan">
      <formula>0.8</formula>
    </cfRule>
  </conditionalFormatting>
  <conditionalFormatting sqref="P84:P91">
    <cfRule type="cellIs" dxfId="6780" priority="256" operator="greaterThan">
      <formula>0</formula>
    </cfRule>
  </conditionalFormatting>
  <conditionalFormatting sqref="Q84:Q91">
    <cfRule type="cellIs" dxfId="6779" priority="261" operator="lessThan">
      <formula>0</formula>
    </cfRule>
  </conditionalFormatting>
  <conditionalFormatting sqref="R84:R91">
    <cfRule type="cellIs" dxfId="6778" priority="259" operator="lessThan">
      <formula>0.8</formula>
    </cfRule>
    <cfRule type="cellIs" dxfId="6777" priority="260" operator="greaterThan">
      <formula>1</formula>
    </cfRule>
  </conditionalFormatting>
  <conditionalFormatting sqref="R84:R91">
    <cfRule type="cellIs" dxfId="6776" priority="257" operator="greaterThan">
      <formula>1</formula>
    </cfRule>
    <cfRule type="cellIs" dxfId="6775" priority="258" operator="lessThan">
      <formula>0.8</formula>
    </cfRule>
  </conditionalFormatting>
  <conditionalFormatting sqref="R84:R91">
    <cfRule type="cellIs" dxfId="6774" priority="253" operator="lessThan">
      <formula>0.8</formula>
    </cfRule>
    <cfRule type="cellIs" dxfId="6773" priority="254" operator="greaterThan">
      <formula>1</formula>
    </cfRule>
  </conditionalFormatting>
  <conditionalFormatting sqref="R84:R91">
    <cfRule type="cellIs" dxfId="6772" priority="251" operator="greaterThan">
      <formula>1</formula>
    </cfRule>
    <cfRule type="cellIs" dxfId="6771" priority="252" operator="lessThan">
      <formula>0.8</formula>
    </cfRule>
  </conditionalFormatting>
  <conditionalFormatting sqref="P84:P91">
    <cfRule type="cellIs" dxfId="6770" priority="250" operator="greaterThan">
      <formula>0</formula>
    </cfRule>
  </conditionalFormatting>
  <conditionalFormatting sqref="Q84:Q91">
    <cfRule type="cellIs" dxfId="6769" priority="255" operator="lessThan">
      <formula>0</formula>
    </cfRule>
  </conditionalFormatting>
  <conditionalFormatting sqref="Q84:Q91">
    <cfRule type="cellIs" dxfId="6768" priority="249" operator="lessThan">
      <formula>0</formula>
    </cfRule>
  </conditionalFormatting>
  <conditionalFormatting sqref="R84:R91">
    <cfRule type="cellIs" dxfId="6767" priority="247" operator="lessThan">
      <formula>0.8</formula>
    </cfRule>
    <cfRule type="cellIs" dxfId="6766" priority="248" operator="greaterThan">
      <formula>1</formula>
    </cfRule>
  </conditionalFormatting>
  <conditionalFormatting sqref="R84:R91">
    <cfRule type="cellIs" dxfId="6765" priority="245" operator="greaterThan">
      <formula>1</formula>
    </cfRule>
    <cfRule type="cellIs" dxfId="6764" priority="246" operator="lessThan">
      <formula>0.8</formula>
    </cfRule>
  </conditionalFormatting>
  <conditionalFormatting sqref="P84:P91">
    <cfRule type="cellIs" dxfId="6763" priority="244" operator="greaterThan">
      <formula>0</formula>
    </cfRule>
  </conditionalFormatting>
  <conditionalFormatting sqref="Q84:Q91">
    <cfRule type="cellIs" dxfId="6762" priority="243" operator="lessThan">
      <formula>0</formula>
    </cfRule>
  </conditionalFormatting>
  <conditionalFormatting sqref="R84:R91">
    <cfRule type="cellIs" dxfId="6761" priority="241" operator="lessThan">
      <formula>0.8</formula>
    </cfRule>
    <cfRule type="cellIs" dxfId="6760" priority="242" operator="greaterThan">
      <formula>1</formula>
    </cfRule>
  </conditionalFormatting>
  <conditionalFormatting sqref="R84:R91">
    <cfRule type="cellIs" dxfId="6759" priority="239" operator="greaterThan">
      <formula>1</formula>
    </cfRule>
    <cfRule type="cellIs" dxfId="6758" priority="240" operator="lessThan">
      <formula>0.8</formula>
    </cfRule>
  </conditionalFormatting>
  <conditionalFormatting sqref="P84:P91">
    <cfRule type="cellIs" dxfId="6757" priority="238" operator="greaterThan">
      <formula>0</formula>
    </cfRule>
  </conditionalFormatting>
  <conditionalFormatting sqref="Q84:Q91">
    <cfRule type="cellIs" dxfId="6756" priority="237" operator="lessThan">
      <formula>0</formula>
    </cfRule>
  </conditionalFormatting>
  <conditionalFormatting sqref="R84:R91">
    <cfRule type="cellIs" dxfId="6755" priority="235" operator="lessThan">
      <formula>0.8</formula>
    </cfRule>
    <cfRule type="cellIs" dxfId="6754" priority="236" operator="greaterThan">
      <formula>1</formula>
    </cfRule>
  </conditionalFormatting>
  <conditionalFormatting sqref="R84:R91">
    <cfRule type="cellIs" dxfId="6753" priority="233" operator="greaterThan">
      <formula>1</formula>
    </cfRule>
    <cfRule type="cellIs" dxfId="6752" priority="234" operator="lessThan">
      <formula>0.8</formula>
    </cfRule>
  </conditionalFormatting>
  <conditionalFormatting sqref="P84:P91">
    <cfRule type="cellIs" dxfId="6751" priority="232" operator="greaterThan">
      <formula>0</formula>
    </cfRule>
  </conditionalFormatting>
  <conditionalFormatting sqref="Q84:Q91">
    <cfRule type="cellIs" dxfId="6750" priority="231" operator="lessThan">
      <formula>0</formula>
    </cfRule>
  </conditionalFormatting>
  <conditionalFormatting sqref="R84:R91">
    <cfRule type="cellIs" dxfId="6749" priority="229" operator="lessThan">
      <formula>0.8</formula>
    </cfRule>
    <cfRule type="cellIs" dxfId="6748" priority="230" operator="greaterThan">
      <formula>1</formula>
    </cfRule>
  </conditionalFormatting>
  <conditionalFormatting sqref="R84:R91">
    <cfRule type="cellIs" dxfId="6747" priority="227" operator="greaterThan">
      <formula>1</formula>
    </cfRule>
    <cfRule type="cellIs" dxfId="6746" priority="228" operator="lessThan">
      <formula>0.8</formula>
    </cfRule>
  </conditionalFormatting>
  <conditionalFormatting sqref="P84:P91">
    <cfRule type="cellIs" dxfId="6745" priority="226" operator="greaterThan">
      <formula>0</formula>
    </cfRule>
  </conditionalFormatting>
  <conditionalFormatting sqref="P84:P91">
    <cfRule type="cellIs" dxfId="6744" priority="220" operator="greaterThan">
      <formula>0</formula>
    </cfRule>
  </conditionalFormatting>
  <conditionalFormatting sqref="Q84:Q91">
    <cfRule type="cellIs" dxfId="6743" priority="225" operator="lessThan">
      <formula>0</formula>
    </cfRule>
  </conditionalFormatting>
  <conditionalFormatting sqref="R84:R91">
    <cfRule type="cellIs" dxfId="6742" priority="223" operator="lessThan">
      <formula>0.8</formula>
    </cfRule>
    <cfRule type="cellIs" dxfId="6741" priority="224" operator="greaterThan">
      <formula>1</formula>
    </cfRule>
  </conditionalFormatting>
  <conditionalFormatting sqref="R84:R91">
    <cfRule type="cellIs" dxfId="6740" priority="221" operator="greaterThan">
      <formula>1</formula>
    </cfRule>
    <cfRule type="cellIs" dxfId="6739" priority="222" operator="lessThan">
      <formula>0.8</formula>
    </cfRule>
  </conditionalFormatting>
  <conditionalFormatting sqref="P84:P91">
    <cfRule type="cellIs" dxfId="6738" priority="214" operator="greaterThan">
      <formula>0</formula>
    </cfRule>
  </conditionalFormatting>
  <conditionalFormatting sqref="Q84:Q91">
    <cfRule type="cellIs" dxfId="6737" priority="219" operator="lessThan">
      <formula>0</formula>
    </cfRule>
  </conditionalFormatting>
  <conditionalFormatting sqref="R84:R91">
    <cfRule type="cellIs" dxfId="6736" priority="217" operator="lessThan">
      <formula>0.8</formula>
    </cfRule>
    <cfRule type="cellIs" dxfId="6735" priority="218" operator="greaterThan">
      <formula>1</formula>
    </cfRule>
  </conditionalFormatting>
  <conditionalFormatting sqref="R84:R91">
    <cfRule type="cellIs" dxfId="6734" priority="215" operator="greaterThan">
      <formula>1</formula>
    </cfRule>
    <cfRule type="cellIs" dxfId="6733" priority="216" operator="lessThan">
      <formula>0.8</formula>
    </cfRule>
  </conditionalFormatting>
  <conditionalFormatting sqref="R84:R91">
    <cfRule type="cellIs" dxfId="6732" priority="211" operator="lessThan">
      <formula>0.8</formula>
    </cfRule>
    <cfRule type="cellIs" dxfId="6731" priority="212" operator="greaterThan">
      <formula>1</formula>
    </cfRule>
  </conditionalFormatting>
  <conditionalFormatting sqref="R84:R91">
    <cfRule type="cellIs" dxfId="6730" priority="209" operator="greaterThan">
      <formula>1</formula>
    </cfRule>
    <cfRule type="cellIs" dxfId="6729" priority="210" operator="lessThan">
      <formula>0.8</formula>
    </cfRule>
  </conditionalFormatting>
  <conditionalFormatting sqref="P84:P91">
    <cfRule type="cellIs" dxfId="6728" priority="208" operator="greaterThan">
      <formula>0</formula>
    </cfRule>
  </conditionalFormatting>
  <conditionalFormatting sqref="Q84:Q91">
    <cfRule type="cellIs" dxfId="6727" priority="213" operator="lessThan">
      <formula>0</formula>
    </cfRule>
  </conditionalFormatting>
  <conditionalFormatting sqref="Q84:Q91">
    <cfRule type="cellIs" dxfId="6726" priority="207" operator="lessThan">
      <formula>0</formula>
    </cfRule>
  </conditionalFormatting>
  <conditionalFormatting sqref="R84:R91">
    <cfRule type="cellIs" dxfId="6725" priority="205" operator="lessThan">
      <formula>0.8</formula>
    </cfRule>
    <cfRule type="cellIs" dxfId="6724" priority="206" operator="greaterThan">
      <formula>1</formula>
    </cfRule>
  </conditionalFormatting>
  <conditionalFormatting sqref="R84:R91">
    <cfRule type="cellIs" dxfId="6723" priority="203" operator="greaterThan">
      <formula>1</formula>
    </cfRule>
    <cfRule type="cellIs" dxfId="6722" priority="204" operator="lessThan">
      <formula>0.8</formula>
    </cfRule>
  </conditionalFormatting>
  <conditionalFormatting sqref="P84:P91">
    <cfRule type="cellIs" dxfId="6721" priority="202" operator="greaterThan">
      <formula>0</formula>
    </cfRule>
  </conditionalFormatting>
  <conditionalFormatting sqref="P84:P91">
    <cfRule type="cellIs" dxfId="6720" priority="196" operator="greaterThan">
      <formula>0</formula>
    </cfRule>
  </conditionalFormatting>
  <conditionalFormatting sqref="Q84:Q91">
    <cfRule type="cellIs" dxfId="6719" priority="201" operator="lessThan">
      <formula>0</formula>
    </cfRule>
  </conditionalFormatting>
  <conditionalFormatting sqref="R84:R91">
    <cfRule type="cellIs" dxfId="6718" priority="199" operator="lessThan">
      <formula>0.8</formula>
    </cfRule>
    <cfRule type="cellIs" dxfId="6717" priority="200" operator="greaterThan">
      <formula>1</formula>
    </cfRule>
  </conditionalFormatting>
  <conditionalFormatting sqref="R84:R91">
    <cfRule type="cellIs" dxfId="6716" priority="197" operator="greaterThan">
      <formula>1</formula>
    </cfRule>
    <cfRule type="cellIs" dxfId="6715" priority="198" operator="lessThan">
      <formula>0.8</formula>
    </cfRule>
  </conditionalFormatting>
  <conditionalFormatting sqref="P84:P91">
    <cfRule type="cellIs" dxfId="6714" priority="190" operator="greaterThan">
      <formula>0</formula>
    </cfRule>
  </conditionalFormatting>
  <conditionalFormatting sqref="Q84:Q91">
    <cfRule type="cellIs" dxfId="6713" priority="195" operator="lessThan">
      <formula>0</formula>
    </cfRule>
  </conditionalFormatting>
  <conditionalFormatting sqref="R84:R91">
    <cfRule type="cellIs" dxfId="6712" priority="193" operator="lessThan">
      <formula>0.8</formula>
    </cfRule>
    <cfRule type="cellIs" dxfId="6711" priority="194" operator="greaterThan">
      <formula>1</formula>
    </cfRule>
  </conditionalFormatting>
  <conditionalFormatting sqref="R84:R91">
    <cfRule type="cellIs" dxfId="6710" priority="191" operator="greaterThan">
      <formula>1</formula>
    </cfRule>
    <cfRule type="cellIs" dxfId="6709" priority="192" operator="lessThan">
      <formula>0.8</formula>
    </cfRule>
  </conditionalFormatting>
  <conditionalFormatting sqref="R84:R91">
    <cfRule type="cellIs" dxfId="6708" priority="187" operator="lessThan">
      <formula>0.8</formula>
    </cfRule>
    <cfRule type="cellIs" dxfId="6707" priority="188" operator="greaterThan">
      <formula>1</formula>
    </cfRule>
  </conditionalFormatting>
  <conditionalFormatting sqref="R84:R91">
    <cfRule type="cellIs" dxfId="6706" priority="185" operator="greaterThan">
      <formula>1</formula>
    </cfRule>
    <cfRule type="cellIs" dxfId="6705" priority="186" operator="lessThan">
      <formula>0.8</formula>
    </cfRule>
  </conditionalFormatting>
  <conditionalFormatting sqref="P84:P91">
    <cfRule type="cellIs" dxfId="6704" priority="184" operator="greaterThan">
      <formula>0</formula>
    </cfRule>
  </conditionalFormatting>
  <conditionalFormatting sqref="Q84:Q91">
    <cfRule type="cellIs" dxfId="6703" priority="189" operator="lessThan">
      <formula>0</formula>
    </cfRule>
  </conditionalFormatting>
  <conditionalFormatting sqref="P84:P91">
    <cfRule type="cellIs" dxfId="6702" priority="178" operator="greaterThan">
      <formula>0</formula>
    </cfRule>
  </conditionalFormatting>
  <conditionalFormatting sqref="Q84:Q91">
    <cfRule type="cellIs" dxfId="6701" priority="183" operator="lessThan">
      <formula>0</formula>
    </cfRule>
  </conditionalFormatting>
  <conditionalFormatting sqref="R84:R91">
    <cfRule type="cellIs" dxfId="6700" priority="181" operator="lessThan">
      <formula>0.8</formula>
    </cfRule>
    <cfRule type="cellIs" dxfId="6699" priority="182" operator="greaterThan">
      <formula>1</formula>
    </cfRule>
  </conditionalFormatting>
  <conditionalFormatting sqref="R84:R91">
    <cfRule type="cellIs" dxfId="6698" priority="179" operator="greaterThan">
      <formula>1</formula>
    </cfRule>
    <cfRule type="cellIs" dxfId="6697" priority="180" operator="lessThan">
      <formula>0.8</formula>
    </cfRule>
  </conditionalFormatting>
  <conditionalFormatting sqref="R84:R91">
    <cfRule type="cellIs" dxfId="6696" priority="175" operator="lessThan">
      <formula>0.8</formula>
    </cfRule>
    <cfRule type="cellIs" dxfId="6695" priority="176" operator="greaterThan">
      <formula>1</formula>
    </cfRule>
  </conditionalFormatting>
  <conditionalFormatting sqref="R84:R91">
    <cfRule type="cellIs" dxfId="6694" priority="173" operator="greaterThan">
      <formula>1</formula>
    </cfRule>
    <cfRule type="cellIs" dxfId="6693" priority="174" operator="lessThan">
      <formula>0.8</formula>
    </cfRule>
  </conditionalFormatting>
  <conditionalFormatting sqref="P84:P91">
    <cfRule type="cellIs" dxfId="6692" priority="172" operator="greaterThan">
      <formula>0</formula>
    </cfRule>
  </conditionalFormatting>
  <conditionalFormatting sqref="Q84:Q91">
    <cfRule type="cellIs" dxfId="6691" priority="177" operator="lessThan">
      <formula>0</formula>
    </cfRule>
  </conditionalFormatting>
  <conditionalFormatting sqref="R84:R91">
    <cfRule type="cellIs" dxfId="6690" priority="169" operator="lessThan">
      <formula>0.8</formula>
    </cfRule>
    <cfRule type="cellIs" dxfId="6689" priority="170" operator="greaterThan">
      <formula>1</formula>
    </cfRule>
  </conditionalFormatting>
  <conditionalFormatting sqref="R84:R91">
    <cfRule type="cellIs" dxfId="6688" priority="167" operator="greaterThan">
      <formula>1</formula>
    </cfRule>
    <cfRule type="cellIs" dxfId="6687" priority="168" operator="lessThan">
      <formula>0.8</formula>
    </cfRule>
  </conditionalFormatting>
  <conditionalFormatting sqref="P84:P91">
    <cfRule type="cellIs" dxfId="6686" priority="166" operator="greaterThan">
      <formula>0</formula>
    </cfRule>
  </conditionalFormatting>
  <conditionalFormatting sqref="Q84:Q91">
    <cfRule type="cellIs" dxfId="6685" priority="171" operator="lessThan">
      <formula>0</formula>
    </cfRule>
  </conditionalFormatting>
  <conditionalFormatting sqref="Q84:Q91">
    <cfRule type="cellIs" dxfId="6684" priority="165" operator="lessThan">
      <formula>0</formula>
    </cfRule>
  </conditionalFormatting>
  <conditionalFormatting sqref="R84:R91">
    <cfRule type="cellIs" dxfId="6683" priority="163" operator="lessThan">
      <formula>0.8</formula>
    </cfRule>
    <cfRule type="cellIs" dxfId="6682" priority="164" operator="greaterThan">
      <formula>1</formula>
    </cfRule>
  </conditionalFormatting>
  <conditionalFormatting sqref="R84:R91">
    <cfRule type="cellIs" dxfId="6681" priority="161" operator="greaterThan">
      <formula>1</formula>
    </cfRule>
    <cfRule type="cellIs" dxfId="6680" priority="162" operator="lessThan">
      <formula>0.8</formula>
    </cfRule>
  </conditionalFormatting>
  <conditionalFormatting sqref="P84:P91">
    <cfRule type="cellIs" dxfId="6679" priority="160" operator="greaterThan">
      <formula>0</formula>
    </cfRule>
  </conditionalFormatting>
  <conditionalFormatting sqref="Q84:Q91">
    <cfRule type="cellIs" dxfId="6678" priority="154" operator="lessThan">
      <formula>0</formula>
    </cfRule>
  </conditionalFormatting>
  <conditionalFormatting sqref="R84:R91">
    <cfRule type="cellIs" dxfId="6677" priority="158" operator="lessThan">
      <formula>0.8</formula>
    </cfRule>
    <cfRule type="cellIs" dxfId="6676" priority="159" operator="greaterThan">
      <formula>1</formula>
    </cfRule>
  </conditionalFormatting>
  <conditionalFormatting sqref="R84:R91">
    <cfRule type="cellIs" dxfId="6675" priority="156" operator="greaterThan">
      <formula>1</formula>
    </cfRule>
    <cfRule type="cellIs" dxfId="6674" priority="157" operator="lessThan">
      <formula>0.8</formula>
    </cfRule>
  </conditionalFormatting>
  <conditionalFormatting sqref="P84:P91">
    <cfRule type="cellIs" dxfId="6673" priority="155" operator="greaterThan">
      <formula>0</formula>
    </cfRule>
  </conditionalFormatting>
  <conditionalFormatting sqref="Q84:Q91">
    <cfRule type="cellIs" dxfId="6672" priority="153" operator="lessThan">
      <formula>0</formula>
    </cfRule>
  </conditionalFormatting>
  <conditionalFormatting sqref="R84:R91">
    <cfRule type="cellIs" dxfId="6671" priority="151" operator="lessThan">
      <formula>0.8</formula>
    </cfRule>
    <cfRule type="cellIs" dxfId="6670" priority="152" operator="greaterThan">
      <formula>1</formula>
    </cfRule>
  </conditionalFormatting>
  <conditionalFormatting sqref="R84:R91">
    <cfRule type="cellIs" dxfId="6669" priority="149" operator="greaterThan">
      <formula>1</formula>
    </cfRule>
    <cfRule type="cellIs" dxfId="6668" priority="150" operator="lessThan">
      <formula>0.8</formula>
    </cfRule>
  </conditionalFormatting>
  <conditionalFormatting sqref="P84:P91">
    <cfRule type="cellIs" dxfId="6667" priority="148" operator="greaterThan">
      <formula>0</formula>
    </cfRule>
  </conditionalFormatting>
  <conditionalFormatting sqref="Q84:Q91">
    <cfRule type="cellIs" dxfId="6666" priority="147" operator="lessThan">
      <formula>0</formula>
    </cfRule>
  </conditionalFormatting>
  <conditionalFormatting sqref="R84:R91">
    <cfRule type="cellIs" dxfId="6665" priority="145" operator="lessThan">
      <formula>0.8</formula>
    </cfRule>
    <cfRule type="cellIs" dxfId="6664" priority="146" operator="greaterThan">
      <formula>1</formula>
    </cfRule>
  </conditionalFormatting>
  <conditionalFormatting sqref="R84:R91">
    <cfRule type="cellIs" dxfId="6663" priority="143" operator="greaterThan">
      <formula>1</formula>
    </cfRule>
    <cfRule type="cellIs" dxfId="6662" priority="144" operator="lessThan">
      <formula>0.8</formula>
    </cfRule>
  </conditionalFormatting>
  <conditionalFormatting sqref="P84:P91">
    <cfRule type="cellIs" dxfId="6661" priority="142" operator="greaterThan">
      <formula>0</formula>
    </cfRule>
  </conditionalFormatting>
  <conditionalFormatting sqref="Q84:Q91">
    <cfRule type="cellIs" dxfId="6660" priority="141" operator="lessThan">
      <formula>0</formula>
    </cfRule>
  </conditionalFormatting>
  <conditionalFormatting sqref="R84:R91">
    <cfRule type="cellIs" dxfId="6659" priority="139" operator="lessThan">
      <formula>0.8</formula>
    </cfRule>
    <cfRule type="cellIs" dxfId="6658" priority="140" operator="greaterThan">
      <formula>1</formula>
    </cfRule>
  </conditionalFormatting>
  <conditionalFormatting sqref="R84:R91">
    <cfRule type="cellIs" dxfId="6657" priority="137" operator="greaterThan">
      <formula>1</formula>
    </cfRule>
    <cfRule type="cellIs" dxfId="6656" priority="138" operator="lessThan">
      <formula>0.8</formula>
    </cfRule>
  </conditionalFormatting>
  <conditionalFormatting sqref="P84:P91">
    <cfRule type="cellIs" dxfId="6655" priority="136" operator="greaterThan">
      <formula>0</formula>
    </cfRule>
  </conditionalFormatting>
  <conditionalFormatting sqref="Q84:Q91">
    <cfRule type="cellIs" dxfId="6654" priority="135" operator="lessThan">
      <formula>0</formula>
    </cfRule>
  </conditionalFormatting>
  <conditionalFormatting sqref="R84:R91">
    <cfRule type="cellIs" dxfId="6653" priority="133" operator="lessThan">
      <formula>0.8</formula>
    </cfRule>
    <cfRule type="cellIs" dxfId="6652" priority="134" operator="greaterThan">
      <formula>1</formula>
    </cfRule>
  </conditionalFormatting>
  <conditionalFormatting sqref="R84:R91">
    <cfRule type="cellIs" dxfId="6651" priority="131" operator="greaterThan">
      <formula>1</formula>
    </cfRule>
    <cfRule type="cellIs" dxfId="6650" priority="132" operator="lessThan">
      <formula>0.8</formula>
    </cfRule>
  </conditionalFormatting>
  <conditionalFormatting sqref="P84:P91">
    <cfRule type="cellIs" dxfId="6649" priority="130" operator="greaterThan">
      <formula>0</formula>
    </cfRule>
  </conditionalFormatting>
  <conditionalFormatting sqref="Q84:Q91">
    <cfRule type="cellIs" dxfId="6648" priority="129" operator="lessThan">
      <formula>0</formula>
    </cfRule>
  </conditionalFormatting>
  <conditionalFormatting sqref="R84:R91">
    <cfRule type="cellIs" dxfId="6647" priority="127" operator="lessThan">
      <formula>0.8</formula>
    </cfRule>
    <cfRule type="cellIs" dxfId="6646" priority="128" operator="greaterThan">
      <formula>1</formula>
    </cfRule>
  </conditionalFormatting>
  <conditionalFormatting sqref="R84:R91">
    <cfRule type="cellIs" dxfId="6645" priority="125" operator="greaterThan">
      <formula>1</formula>
    </cfRule>
    <cfRule type="cellIs" dxfId="6644" priority="126" operator="lessThan">
      <formula>0.8</formula>
    </cfRule>
  </conditionalFormatting>
  <conditionalFormatting sqref="P84:P91">
    <cfRule type="cellIs" dxfId="6643" priority="124" operator="greaterThan">
      <formula>0</formula>
    </cfRule>
  </conditionalFormatting>
  <conditionalFormatting sqref="P84:P91">
    <cfRule type="cellIs" dxfId="6642" priority="118" operator="greaterThan">
      <formula>0</formula>
    </cfRule>
  </conditionalFormatting>
  <conditionalFormatting sqref="Q84:Q91">
    <cfRule type="cellIs" dxfId="6641" priority="123" operator="lessThan">
      <formula>0</formula>
    </cfRule>
  </conditionalFormatting>
  <conditionalFormatting sqref="R84:R91">
    <cfRule type="cellIs" dxfId="6640" priority="121" operator="lessThan">
      <formula>0.8</formula>
    </cfRule>
    <cfRule type="cellIs" dxfId="6639" priority="122" operator="greaterThan">
      <formula>1</formula>
    </cfRule>
  </conditionalFormatting>
  <conditionalFormatting sqref="R84:R91">
    <cfRule type="cellIs" dxfId="6638" priority="119" operator="greaterThan">
      <formula>1</formula>
    </cfRule>
    <cfRule type="cellIs" dxfId="6637" priority="120" operator="lessThan">
      <formula>0.8</formula>
    </cfRule>
  </conditionalFormatting>
  <conditionalFormatting sqref="P84:P91">
    <cfRule type="cellIs" dxfId="6636" priority="112" operator="greaterThan">
      <formula>0</formula>
    </cfRule>
  </conditionalFormatting>
  <conditionalFormatting sqref="Q84:Q91">
    <cfRule type="cellIs" dxfId="6635" priority="117" operator="lessThan">
      <formula>0</formula>
    </cfRule>
  </conditionalFormatting>
  <conditionalFormatting sqref="R84:R91">
    <cfRule type="cellIs" dxfId="6634" priority="115" operator="lessThan">
      <formula>0.8</formula>
    </cfRule>
    <cfRule type="cellIs" dxfId="6633" priority="116" operator="greaterThan">
      <formula>1</formula>
    </cfRule>
  </conditionalFormatting>
  <conditionalFormatting sqref="R84:R91">
    <cfRule type="cellIs" dxfId="6632" priority="113" operator="greaterThan">
      <formula>1</formula>
    </cfRule>
    <cfRule type="cellIs" dxfId="6631" priority="114" operator="lessThan">
      <formula>0.8</formula>
    </cfRule>
  </conditionalFormatting>
  <conditionalFormatting sqref="R84:R91">
    <cfRule type="cellIs" dxfId="6630" priority="109" operator="lessThan">
      <formula>0.8</formula>
    </cfRule>
    <cfRule type="cellIs" dxfId="6629" priority="110" operator="greaterThan">
      <formula>1</formula>
    </cfRule>
  </conditionalFormatting>
  <conditionalFormatting sqref="R84:R91">
    <cfRule type="cellIs" dxfId="6628" priority="107" operator="greaterThan">
      <formula>1</formula>
    </cfRule>
    <cfRule type="cellIs" dxfId="6627" priority="108" operator="lessThan">
      <formula>0.8</formula>
    </cfRule>
  </conditionalFormatting>
  <conditionalFormatting sqref="P84:P91">
    <cfRule type="cellIs" dxfId="6626" priority="106" operator="greaterThan">
      <formula>0</formula>
    </cfRule>
  </conditionalFormatting>
  <conditionalFormatting sqref="Q84:Q91">
    <cfRule type="cellIs" dxfId="6625" priority="111" operator="lessThan">
      <formula>0</formula>
    </cfRule>
  </conditionalFormatting>
  <conditionalFormatting sqref="Q84:Q91">
    <cfRule type="cellIs" dxfId="6624" priority="100" operator="lessThan">
      <formula>0</formula>
    </cfRule>
  </conditionalFormatting>
  <conditionalFormatting sqref="P84:P91">
    <cfRule type="cellIs" dxfId="6623" priority="101" operator="greaterThan">
      <formula>0</formula>
    </cfRule>
  </conditionalFormatting>
  <conditionalFormatting sqref="R84:R91">
    <cfRule type="cellIs" dxfId="6622" priority="104" operator="lessThan">
      <formula>0.8</formula>
    </cfRule>
    <cfRule type="cellIs" dxfId="6621" priority="105" operator="greaterThan">
      <formula>1</formula>
    </cfRule>
  </conditionalFormatting>
  <conditionalFormatting sqref="R84:R91">
    <cfRule type="cellIs" dxfId="6620" priority="102" operator="greaterThan">
      <formula>1</formula>
    </cfRule>
    <cfRule type="cellIs" dxfId="6619" priority="103" operator="lessThan">
      <formula>0.8</formula>
    </cfRule>
  </conditionalFormatting>
  <conditionalFormatting sqref="Q84:Q91">
    <cfRule type="cellIs" dxfId="6618" priority="94" operator="lessThan">
      <formula>0</formula>
    </cfRule>
  </conditionalFormatting>
  <conditionalFormatting sqref="R84:R91">
    <cfRule type="cellIs" dxfId="6617" priority="98" operator="lessThan">
      <formula>0.8</formula>
    </cfRule>
    <cfRule type="cellIs" dxfId="6616" priority="99" operator="greaterThan">
      <formula>1</formula>
    </cfRule>
  </conditionalFormatting>
  <conditionalFormatting sqref="R84:R91">
    <cfRule type="cellIs" dxfId="6615" priority="96" operator="greaterThan">
      <formula>1</formula>
    </cfRule>
    <cfRule type="cellIs" dxfId="6614" priority="97" operator="lessThan">
      <formula>0.8</formula>
    </cfRule>
  </conditionalFormatting>
  <conditionalFormatting sqref="P84:P91">
    <cfRule type="cellIs" dxfId="6613" priority="95" operator="greaterThan">
      <formula>0</formula>
    </cfRule>
  </conditionalFormatting>
  <conditionalFormatting sqref="Q84:Q91">
    <cfRule type="cellIs" dxfId="6612" priority="93" operator="lessThan">
      <formula>0</formula>
    </cfRule>
  </conditionalFormatting>
  <conditionalFormatting sqref="R84:R91">
    <cfRule type="cellIs" dxfId="6611" priority="91" operator="lessThan">
      <formula>0.8</formula>
    </cfRule>
    <cfRule type="cellIs" dxfId="6610" priority="92" operator="greaterThan">
      <formula>1</formula>
    </cfRule>
  </conditionalFormatting>
  <conditionalFormatting sqref="R84:R91">
    <cfRule type="cellIs" dxfId="6609" priority="89" operator="greaterThan">
      <formula>1</formula>
    </cfRule>
    <cfRule type="cellIs" dxfId="6608" priority="90" operator="lessThan">
      <formula>0.8</formula>
    </cfRule>
  </conditionalFormatting>
  <conditionalFormatting sqref="P84:P91">
    <cfRule type="cellIs" dxfId="6607" priority="88" operator="greaterThan">
      <formula>0</formula>
    </cfRule>
  </conditionalFormatting>
  <conditionalFormatting sqref="Q84:Q91">
    <cfRule type="cellIs" dxfId="6606" priority="87" operator="lessThan">
      <formula>0</formula>
    </cfRule>
  </conditionalFormatting>
  <conditionalFormatting sqref="R84:R91">
    <cfRule type="cellIs" dxfId="6605" priority="85" operator="lessThan">
      <formula>0.8</formula>
    </cfRule>
    <cfRule type="cellIs" dxfId="6604" priority="86" operator="greaterThan">
      <formula>1</formula>
    </cfRule>
  </conditionalFormatting>
  <conditionalFormatting sqref="R84:R91">
    <cfRule type="cellIs" dxfId="6603" priority="83" operator="greaterThan">
      <formula>1</formula>
    </cfRule>
    <cfRule type="cellIs" dxfId="6602" priority="84" operator="lessThan">
      <formula>0.8</formula>
    </cfRule>
  </conditionalFormatting>
  <conditionalFormatting sqref="P84:P91">
    <cfRule type="cellIs" dxfId="6601" priority="82" operator="greaterThan">
      <formula>0</formula>
    </cfRule>
  </conditionalFormatting>
  <conditionalFormatting sqref="Q84:Q91">
    <cfRule type="cellIs" dxfId="6600" priority="81" operator="lessThan">
      <formula>0</formula>
    </cfRule>
  </conditionalFormatting>
  <conditionalFormatting sqref="R84:R91">
    <cfRule type="cellIs" dxfId="6599" priority="79" operator="lessThan">
      <formula>0.8</formula>
    </cfRule>
    <cfRule type="cellIs" dxfId="6598" priority="80" operator="greaterThan">
      <formula>1</formula>
    </cfRule>
  </conditionalFormatting>
  <conditionalFormatting sqref="R84:R91">
    <cfRule type="cellIs" dxfId="6597" priority="77" operator="greaterThan">
      <formula>1</formula>
    </cfRule>
    <cfRule type="cellIs" dxfId="6596" priority="78" operator="lessThan">
      <formula>0.8</formula>
    </cfRule>
  </conditionalFormatting>
  <conditionalFormatting sqref="P84:P91">
    <cfRule type="cellIs" dxfId="6595" priority="76" operator="greaterThan">
      <formula>0</formula>
    </cfRule>
  </conditionalFormatting>
  <conditionalFormatting sqref="Q162:Q166">
    <cfRule type="cellIs" dxfId="6594" priority="75" operator="lessThan">
      <formula>0</formula>
    </cfRule>
  </conditionalFormatting>
  <conditionalFormatting sqref="R162:R166">
    <cfRule type="cellIs" dxfId="6593" priority="73" operator="lessThan">
      <formula>0.8</formula>
    </cfRule>
    <cfRule type="cellIs" dxfId="6592" priority="74" operator="greaterThan">
      <formula>1</formula>
    </cfRule>
  </conditionalFormatting>
  <conditionalFormatting sqref="R162:R166">
    <cfRule type="cellIs" dxfId="6591" priority="71" operator="greaterThan">
      <formula>1</formula>
    </cfRule>
    <cfRule type="cellIs" dxfId="6590" priority="72" operator="lessThan">
      <formula>0.8</formula>
    </cfRule>
  </conditionalFormatting>
  <conditionalFormatting sqref="P162:P166">
    <cfRule type="cellIs" dxfId="6589" priority="70" operator="greaterThan">
      <formula>0</formula>
    </cfRule>
  </conditionalFormatting>
  <conditionalFormatting sqref="P167:P168">
    <cfRule type="cellIs" dxfId="6588" priority="64" operator="greaterThan">
      <formula>0</formula>
    </cfRule>
  </conditionalFormatting>
  <conditionalFormatting sqref="R167:R168">
    <cfRule type="cellIs" dxfId="6587" priority="67" operator="lessThan">
      <formula>0.8</formula>
    </cfRule>
    <cfRule type="cellIs" dxfId="6586" priority="68" operator="greaterThan">
      <formula>1</formula>
    </cfRule>
  </conditionalFormatting>
  <conditionalFormatting sqref="R167:R168">
    <cfRule type="cellIs" dxfId="6585" priority="65" operator="greaterThan">
      <formula>1</formula>
    </cfRule>
    <cfRule type="cellIs" dxfId="6584" priority="66" operator="lessThan">
      <formula>0.8</formula>
    </cfRule>
  </conditionalFormatting>
  <conditionalFormatting sqref="Q167:Q168">
    <cfRule type="cellIs" dxfId="6583" priority="69" operator="lessThan">
      <formula>0</formula>
    </cfRule>
  </conditionalFormatting>
  <conditionalFormatting sqref="Q161">
    <cfRule type="cellIs" dxfId="6582" priority="63" operator="lessThan">
      <formula>0</formula>
    </cfRule>
  </conditionalFormatting>
  <conditionalFormatting sqref="R161">
    <cfRule type="cellIs" dxfId="6581" priority="61" operator="lessThan">
      <formula>0.8</formula>
    </cfRule>
    <cfRule type="cellIs" dxfId="6580" priority="62" operator="greaterThan">
      <formula>1</formula>
    </cfRule>
  </conditionalFormatting>
  <conditionalFormatting sqref="R161">
    <cfRule type="cellIs" dxfId="6579" priority="59" operator="greaterThan">
      <formula>1</formula>
    </cfRule>
    <cfRule type="cellIs" dxfId="6578" priority="60" operator="lessThan">
      <formula>0.8</formula>
    </cfRule>
  </conditionalFormatting>
  <conditionalFormatting sqref="P161">
    <cfRule type="cellIs" dxfId="6577" priority="58" operator="greaterThan">
      <formula>0</formula>
    </cfRule>
  </conditionalFormatting>
  <conditionalFormatting sqref="Q162:Q166">
    <cfRule type="cellIs" dxfId="6576" priority="57" operator="lessThan">
      <formula>0</formula>
    </cfRule>
  </conditionalFormatting>
  <conditionalFormatting sqref="R162:R166">
    <cfRule type="cellIs" dxfId="6575" priority="55" operator="lessThan">
      <formula>0.8</formula>
    </cfRule>
    <cfRule type="cellIs" dxfId="6574" priority="56" operator="greaterThan">
      <formula>1</formula>
    </cfRule>
  </conditionalFormatting>
  <conditionalFormatting sqref="R162:R166">
    <cfRule type="cellIs" dxfId="6573" priority="53" operator="greaterThan">
      <formula>1</formula>
    </cfRule>
    <cfRule type="cellIs" dxfId="6572" priority="54" operator="lessThan">
      <formula>0.8</formula>
    </cfRule>
  </conditionalFormatting>
  <conditionalFormatting sqref="P162:P166">
    <cfRule type="cellIs" dxfId="6571" priority="52" operator="greaterThan">
      <formula>0</formula>
    </cfRule>
  </conditionalFormatting>
  <conditionalFormatting sqref="Q162:Q166">
    <cfRule type="cellIs" dxfId="6570" priority="51" operator="lessThan">
      <formula>0</formula>
    </cfRule>
  </conditionalFormatting>
  <conditionalFormatting sqref="R162:R166">
    <cfRule type="cellIs" dxfId="6569" priority="49" operator="lessThan">
      <formula>0.8</formula>
    </cfRule>
    <cfRule type="cellIs" dxfId="6568" priority="50" operator="greaterThan">
      <formula>1</formula>
    </cfRule>
  </conditionalFormatting>
  <conditionalFormatting sqref="R162:R166">
    <cfRule type="cellIs" dxfId="6567" priority="47" operator="greaterThan">
      <formula>1</formula>
    </cfRule>
    <cfRule type="cellIs" dxfId="6566" priority="48" operator="lessThan">
      <formula>0.8</formula>
    </cfRule>
  </conditionalFormatting>
  <conditionalFormatting sqref="P162:P166">
    <cfRule type="cellIs" dxfId="6565" priority="46" operator="greaterThan">
      <formula>0</formula>
    </cfRule>
  </conditionalFormatting>
  <conditionalFormatting sqref="Q167:Q168">
    <cfRule type="cellIs" dxfId="6564" priority="45" operator="lessThan">
      <formula>0</formula>
    </cfRule>
  </conditionalFormatting>
  <conditionalFormatting sqref="R167:R168">
    <cfRule type="cellIs" dxfId="6563" priority="43" operator="lessThan">
      <formula>0.8</formula>
    </cfRule>
    <cfRule type="cellIs" dxfId="6562" priority="44" operator="greaterThan">
      <formula>1</formula>
    </cfRule>
  </conditionalFormatting>
  <conditionalFormatting sqref="R167:R168">
    <cfRule type="cellIs" dxfId="6561" priority="41" operator="greaterThan">
      <formula>1</formula>
    </cfRule>
    <cfRule type="cellIs" dxfId="6560" priority="42" operator="lessThan">
      <formula>0.8</formula>
    </cfRule>
  </conditionalFormatting>
  <conditionalFormatting sqref="P167:P168">
    <cfRule type="cellIs" dxfId="6559" priority="40" operator="greaterThan">
      <formula>0</formula>
    </cfRule>
  </conditionalFormatting>
  <conditionalFormatting sqref="Q161">
    <cfRule type="cellIs" dxfId="6558" priority="39" operator="lessThan">
      <formula>0</formula>
    </cfRule>
  </conditionalFormatting>
  <conditionalFormatting sqref="R161">
    <cfRule type="cellIs" dxfId="6557" priority="37" operator="lessThan">
      <formula>0.8</formula>
    </cfRule>
    <cfRule type="cellIs" dxfId="6556" priority="38" operator="greaterThan">
      <formula>1</formula>
    </cfRule>
  </conditionalFormatting>
  <conditionalFormatting sqref="R161">
    <cfRule type="cellIs" dxfId="6555" priority="35" operator="greaterThan">
      <formula>1</formula>
    </cfRule>
    <cfRule type="cellIs" dxfId="6554" priority="36" operator="lessThan">
      <formula>0.8</formula>
    </cfRule>
  </conditionalFormatting>
  <conditionalFormatting sqref="P161">
    <cfRule type="cellIs" dxfId="6553" priority="34" operator="greaterThan">
      <formula>0</formula>
    </cfRule>
  </conditionalFormatting>
  <conditionalFormatting sqref="Q162:Q166">
    <cfRule type="cellIs" dxfId="6552" priority="33" operator="lessThan">
      <formula>0</formula>
    </cfRule>
  </conditionalFormatting>
  <conditionalFormatting sqref="R162:R166">
    <cfRule type="cellIs" dxfId="6551" priority="31" operator="lessThan">
      <formula>0.8</formula>
    </cfRule>
    <cfRule type="cellIs" dxfId="6550" priority="32" operator="greaterThan">
      <formula>1</formula>
    </cfRule>
  </conditionalFormatting>
  <conditionalFormatting sqref="R162:R166">
    <cfRule type="cellIs" dxfId="6549" priority="29" operator="greaterThan">
      <formula>1</formula>
    </cfRule>
    <cfRule type="cellIs" dxfId="6548" priority="30" operator="lessThan">
      <formula>0.8</formula>
    </cfRule>
  </conditionalFormatting>
  <conditionalFormatting sqref="P162:P166">
    <cfRule type="cellIs" dxfId="6547" priority="28" operator="greaterThan">
      <formula>0</formula>
    </cfRule>
  </conditionalFormatting>
  <conditionalFormatting sqref="Q161">
    <cfRule type="cellIs" dxfId="6546" priority="27" operator="lessThan">
      <formula>0</formula>
    </cfRule>
  </conditionalFormatting>
  <conditionalFormatting sqref="R161">
    <cfRule type="cellIs" dxfId="6545" priority="25" operator="lessThan">
      <formula>0.8</formula>
    </cfRule>
    <cfRule type="cellIs" dxfId="6544" priority="26" operator="greaterThan">
      <formula>1</formula>
    </cfRule>
  </conditionalFormatting>
  <conditionalFormatting sqref="R161">
    <cfRule type="cellIs" dxfId="6543" priority="23" operator="greaterThan">
      <formula>1</formula>
    </cfRule>
    <cfRule type="cellIs" dxfId="6542" priority="24" operator="lessThan">
      <formula>0.8</formula>
    </cfRule>
  </conditionalFormatting>
  <conditionalFormatting sqref="P161">
    <cfRule type="cellIs" dxfId="6541" priority="22" operator="greaterThan">
      <formula>0</formula>
    </cfRule>
  </conditionalFormatting>
  <conditionalFormatting sqref="Q162:Q166">
    <cfRule type="cellIs" dxfId="6540" priority="21" operator="lessThan">
      <formula>0</formula>
    </cfRule>
  </conditionalFormatting>
  <conditionalFormatting sqref="R162:R166">
    <cfRule type="cellIs" dxfId="6539" priority="19" operator="lessThan">
      <formula>0.8</formula>
    </cfRule>
    <cfRule type="cellIs" dxfId="6538" priority="20" operator="greaterThan">
      <formula>1</formula>
    </cfRule>
  </conditionalFormatting>
  <conditionalFormatting sqref="R162:R166">
    <cfRule type="cellIs" dxfId="6537" priority="17" operator="greaterThan">
      <formula>1</formula>
    </cfRule>
    <cfRule type="cellIs" dxfId="6536" priority="18" operator="lessThan">
      <formula>0.8</formula>
    </cfRule>
  </conditionalFormatting>
  <conditionalFormatting sqref="P162:P166">
    <cfRule type="cellIs" dxfId="6535" priority="16" operator="greaterThan">
      <formula>0</formula>
    </cfRule>
  </conditionalFormatting>
  <conditionalFormatting sqref="Q161">
    <cfRule type="cellIs" dxfId="6534" priority="15" operator="lessThan">
      <formula>0</formula>
    </cfRule>
  </conditionalFormatting>
  <conditionalFormatting sqref="R161">
    <cfRule type="cellIs" dxfId="6533" priority="13" operator="lessThan">
      <formula>0.8</formula>
    </cfRule>
    <cfRule type="cellIs" dxfId="6532" priority="14" operator="greaterThan">
      <formula>1</formula>
    </cfRule>
  </conditionalFormatting>
  <conditionalFormatting sqref="R161">
    <cfRule type="cellIs" dxfId="6531" priority="11" operator="greaterThan">
      <formula>1</formula>
    </cfRule>
    <cfRule type="cellIs" dxfId="6530" priority="12" operator="lessThan">
      <formula>0.8</formula>
    </cfRule>
  </conditionalFormatting>
  <conditionalFormatting sqref="P161">
    <cfRule type="cellIs" dxfId="6529" priority="10" operator="greaterThan">
      <formula>0</formula>
    </cfRule>
  </conditionalFormatting>
  <conditionalFormatting sqref="P167:P168">
    <cfRule type="cellIs" dxfId="6528" priority="4" operator="greaterThan">
      <formula>0</formula>
    </cfRule>
  </conditionalFormatting>
  <conditionalFormatting sqref="R167:R168">
    <cfRule type="cellIs" dxfId="6527" priority="7" operator="lessThan">
      <formula>0.8</formula>
    </cfRule>
    <cfRule type="cellIs" dxfId="6526" priority="8" operator="greaterThan">
      <formula>1</formula>
    </cfRule>
  </conditionalFormatting>
  <conditionalFormatting sqref="R167:R168">
    <cfRule type="cellIs" dxfId="6525" priority="5" operator="greaterThan">
      <formula>1</formula>
    </cfRule>
    <cfRule type="cellIs" dxfId="6524" priority="6" operator="lessThan">
      <formula>0.8</formula>
    </cfRule>
  </conditionalFormatting>
  <conditionalFormatting sqref="Q167:Q168">
    <cfRule type="cellIs" dxfId="6523" priority="9" operator="lessThan">
      <formula>0</formula>
    </cfRule>
  </conditionalFormatting>
  <conditionalFormatting sqref="AF30">
    <cfRule type="cellIs" dxfId="6522" priority="3" operator="lessThan">
      <formula>0</formula>
    </cfRule>
  </conditionalFormatting>
  <conditionalFormatting sqref="AG30">
    <cfRule type="cellIs" dxfId="6521" priority="1" operator="greaterThan">
      <formula>1</formula>
    </cfRule>
    <cfRule type="cellIs" dxfId="652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7" zoomScale="40" zoomScaleNormal="40" workbookViewId="0">
      <selection activeCell="R35" sqref="R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659</v>
      </c>
      <c r="E3" s="581"/>
      <c r="F3" s="570" t="s">
        <v>2</v>
      </c>
      <c r="G3" s="531"/>
      <c r="H3" s="582">
        <v>216285.00000000003</v>
      </c>
      <c r="I3" s="583"/>
      <c r="J3" s="570" t="s">
        <v>3</v>
      </c>
      <c r="K3" s="531"/>
      <c r="L3" s="575">
        <v>7148071.15583687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384.39706001050274</v>
      </c>
      <c r="G6" s="572"/>
      <c r="H6" s="550">
        <f>AVERAGE(D13:P13,Q13)</f>
        <v>141.90966573079004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v>0</v>
      </c>
      <c r="O6" s="539">
        <v>0</v>
      </c>
      <c r="P6" s="555">
        <v>4</v>
      </c>
      <c r="Q6" s="539">
        <v>3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355.20151088997295</v>
      </c>
      <c r="G7" s="543"/>
      <c r="H7" s="544">
        <f>AVERAGE(D14:P14,Q14)</f>
        <v>128.5205059574192</v>
      </c>
      <c r="I7" s="545"/>
      <c r="J7" s="544">
        <f>AVERAGE(D31:E31,G31:H31)</f>
        <v>749.04613015309053</v>
      </c>
      <c r="K7" s="545"/>
      <c r="L7" s="546">
        <f>AVERAGE(J31:M31)</f>
        <v>754.74040889079345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0.90716754215133222</v>
      </c>
      <c r="G8" s="549"/>
      <c r="H8" s="548">
        <f>AVERAGE(D15:O15,P15:Q15)</f>
        <v>0.89891214033331113</v>
      </c>
      <c r="I8" s="549"/>
      <c r="J8" s="548">
        <f>AVERAGE(D32:E32,G32:H32)</f>
        <v>0.99212471998662055</v>
      </c>
      <c r="K8" s="549"/>
      <c r="L8" s="548">
        <f>AVERAGE(J32:M32)</f>
        <v>0.85627722199987155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133.76218323586747</v>
      </c>
      <c r="E13" s="19">
        <v>116.95452069716777</v>
      </c>
      <c r="F13" s="19">
        <v>182.47499999999999</v>
      </c>
      <c r="G13" s="19">
        <v>369.04761904761904</v>
      </c>
      <c r="H13" s="19">
        <v>228.57142857142858</v>
      </c>
      <c r="I13" s="19">
        <v>92.122938064114535</v>
      </c>
      <c r="J13" s="19">
        <v>77.529239766081872</v>
      </c>
      <c r="K13" s="19">
        <v>112.10838779956428</v>
      </c>
      <c r="L13" s="19">
        <v>97.11904761904762</v>
      </c>
      <c r="M13" s="19">
        <v>84.016229298737045</v>
      </c>
      <c r="N13" s="19">
        <v>84.321731488648098</v>
      </c>
      <c r="O13" s="19">
        <v>79.853801169590653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124.13655811609652</v>
      </c>
      <c r="E14" s="19">
        <v>101.84294508118937</v>
      </c>
      <c r="F14" s="19">
        <v>155.19686801921429</v>
      </c>
      <c r="G14" s="19">
        <v>329.37790122372087</v>
      </c>
      <c r="H14" s="19">
        <v>223.95657612362766</v>
      </c>
      <c r="I14" s="19">
        <v>79.924455609046461</v>
      </c>
      <c r="J14" s="19">
        <v>71.281628589263434</v>
      </c>
      <c r="K14" s="19">
        <v>101.69924416050138</v>
      </c>
      <c r="L14" s="19">
        <v>82.025633709713915</v>
      </c>
      <c r="M14" s="19">
        <v>74.74427649188236</v>
      </c>
      <c r="N14" s="19">
        <v>78.116985994369216</v>
      </c>
      <c r="O14" s="19">
        <v>64.119392649605501</v>
      </c>
      <c r="P14" s="19">
        <v>167.74657826759812</v>
      </c>
      <c r="Q14" s="9">
        <v>145.1180393680394</v>
      </c>
    </row>
    <row r="15" spans="2:17" ht="39.9" customHeight="1">
      <c r="B15" s="524"/>
      <c r="C15" s="379" t="s">
        <v>295</v>
      </c>
      <c r="D15" s="10">
        <f t="shared" ref="D15:Q15" si="0">D14/D13</f>
        <v>0.92803926426052907</v>
      </c>
      <c r="E15" s="10">
        <f t="shared" si="0"/>
        <v>0.87079100896743411</v>
      </c>
      <c r="F15" s="10">
        <f t="shared" si="0"/>
        <v>0.85051030562660257</v>
      </c>
      <c r="G15" s="10">
        <f t="shared" si="0"/>
        <v>0.89250786138040494</v>
      </c>
      <c r="H15" s="10">
        <f t="shared" si="0"/>
        <v>0.97981002054087096</v>
      </c>
      <c r="I15" s="10">
        <f t="shared" si="0"/>
        <v>0.86758474369783634</v>
      </c>
      <c r="J15" s="10">
        <f t="shared" si="0"/>
        <v>0.91941606553000543</v>
      </c>
      <c r="K15" s="10">
        <f t="shared" si="0"/>
        <v>0.9071510718923802</v>
      </c>
      <c r="L15" s="10">
        <f t="shared" si="0"/>
        <v>0.84458853047511262</v>
      </c>
      <c r="M15" s="10">
        <f t="shared" si="0"/>
        <v>0.8896409314694862</v>
      </c>
      <c r="N15" s="10">
        <f t="shared" si="0"/>
        <v>0.92641581968565001</v>
      </c>
      <c r="O15" s="10">
        <f t="shared" si="0"/>
        <v>0.80295980542530498</v>
      </c>
      <c r="P15" s="381">
        <f t="shared" si="0"/>
        <v>0.93790093992780732</v>
      </c>
      <c r="Q15" s="11">
        <f t="shared" si="0"/>
        <v>0.96745359578692935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0.64097222222222228</v>
      </c>
      <c r="E17" s="12">
        <v>0.52013888888888882</v>
      </c>
      <c r="F17" s="12">
        <v>0.49236111111111103</v>
      </c>
      <c r="G17" s="12">
        <v>0.60833333333333328</v>
      </c>
      <c r="H17" s="12">
        <v>0.67847222222222214</v>
      </c>
      <c r="I17" s="12">
        <v>0.70486111111111094</v>
      </c>
      <c r="J17" s="12">
        <v>0.72847222222222208</v>
      </c>
      <c r="K17" s="12">
        <v>0.68611111111111112</v>
      </c>
      <c r="L17" s="12">
        <v>0.88055555555555554</v>
      </c>
      <c r="M17" s="12">
        <v>0.9312499999999998</v>
      </c>
      <c r="N17" s="12">
        <v>0.97708333333333341</v>
      </c>
      <c r="O17" s="22">
        <v>0.96736111111111101</v>
      </c>
      <c r="P17" s="12">
        <v>0.57986111111111105</v>
      </c>
      <c r="Q17" s="382">
        <v>0.49305555555555558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 t="s">
        <v>30</v>
      </c>
      <c r="E20" s="384" t="s">
        <v>30</v>
      </c>
      <c r="F20" s="384" t="s">
        <v>30</v>
      </c>
      <c r="G20" s="384" t="s">
        <v>30</v>
      </c>
      <c r="H20" s="384" t="s">
        <v>30</v>
      </c>
      <c r="I20" s="384" t="s">
        <v>30</v>
      </c>
      <c r="J20" s="384" t="s">
        <v>30</v>
      </c>
      <c r="K20" s="384" t="s">
        <v>30</v>
      </c>
      <c r="L20" s="384">
        <v>1</v>
      </c>
      <c r="M20" s="384">
        <v>2</v>
      </c>
      <c r="N20" s="384">
        <v>1</v>
      </c>
      <c r="O20" s="384" t="s">
        <v>30</v>
      </c>
      <c r="P20" s="384" t="s">
        <v>30</v>
      </c>
      <c r="Q20" s="385"/>
    </row>
    <row r="21" spans="2:17" ht="22.8" customHeight="1">
      <c r="B21" s="530"/>
      <c r="C21" s="383" t="s">
        <v>300</v>
      </c>
      <c r="D21" s="384" t="s">
        <v>30</v>
      </c>
      <c r="E21" s="384" t="s">
        <v>30</v>
      </c>
      <c r="F21" s="384" t="s">
        <v>30</v>
      </c>
      <c r="G21" s="384" t="s">
        <v>30</v>
      </c>
      <c r="H21" s="384" t="s">
        <v>30</v>
      </c>
      <c r="I21" s="384">
        <v>1</v>
      </c>
      <c r="J21" s="384" t="s">
        <v>30</v>
      </c>
      <c r="K21" s="384" t="s">
        <v>30</v>
      </c>
      <c r="L21" s="384" t="s">
        <v>30</v>
      </c>
      <c r="M21" s="384" t="s">
        <v>30</v>
      </c>
      <c r="N21" s="384" t="s">
        <v>30</v>
      </c>
      <c r="O21" s="384">
        <v>2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19.666666666666668</v>
      </c>
      <c r="E22" s="386">
        <v>17.666666666666668</v>
      </c>
      <c r="F22" s="386">
        <v>12.5</v>
      </c>
      <c r="G22" s="386">
        <v>5.666666666666667</v>
      </c>
      <c r="H22" s="386">
        <v>6.6</v>
      </c>
      <c r="I22" s="386">
        <v>16.5</v>
      </c>
      <c r="J22" s="386">
        <v>18.399999999999999</v>
      </c>
      <c r="K22" s="386">
        <v>16.166666666666668</v>
      </c>
      <c r="L22" s="386">
        <v>15.875</v>
      </c>
      <c r="M22" s="386">
        <v>18.625</v>
      </c>
      <c r="N22" s="386">
        <v>17.75</v>
      </c>
      <c r="O22" s="386">
        <v>18.666666666666668</v>
      </c>
      <c r="P22" s="386">
        <v>13</v>
      </c>
      <c r="Q22" s="387">
        <v>11.4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38</v>
      </c>
      <c r="H25" s="17" t="s">
        <v>38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505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507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277.89610389610425</v>
      </c>
      <c r="E31" s="8">
        <v>789.55561330561341</v>
      </c>
      <c r="F31" s="8">
        <v>0</v>
      </c>
      <c r="G31" s="8">
        <v>934.70424242424338</v>
      </c>
      <c r="H31" s="397">
        <v>994.02856098640109</v>
      </c>
      <c r="I31" s="396">
        <v>0</v>
      </c>
      <c r="J31" s="8">
        <v>700.0000000000025</v>
      </c>
      <c r="K31" s="8">
        <v>600.83597883597849</v>
      </c>
      <c r="L31" s="8">
        <v>883.05224403628142</v>
      </c>
      <c r="M31" s="397">
        <v>835.0734126909116</v>
      </c>
      <c r="N31" s="378"/>
      <c r="O31" s="378"/>
      <c r="P31" s="378"/>
      <c r="Q31" s="378"/>
    </row>
    <row r="32" spans="2:17" ht="39.9" customHeight="1">
      <c r="B32" s="524"/>
      <c r="C32" s="506" t="s">
        <v>295</v>
      </c>
      <c r="D32" s="399">
        <f t="shared" ref="D32:M32" si="1">D31/D30</f>
        <v>0.86842532467532574</v>
      </c>
      <c r="E32" s="10">
        <f t="shared" si="1"/>
        <v>0.9570371070371072</v>
      </c>
      <c r="F32" s="10">
        <f t="shared" si="1"/>
        <v>0</v>
      </c>
      <c r="G32" s="10">
        <f t="shared" si="1"/>
        <v>1.0385602693602705</v>
      </c>
      <c r="H32" s="10">
        <f t="shared" si="1"/>
        <v>1.1044761788737789</v>
      </c>
      <c r="I32" s="396">
        <f t="shared" si="1"/>
        <v>0</v>
      </c>
      <c r="J32" s="10">
        <f t="shared" si="1"/>
        <v>0.84848484848485151</v>
      </c>
      <c r="K32" s="10">
        <f t="shared" si="1"/>
        <v>0.66759553203997613</v>
      </c>
      <c r="L32" s="10">
        <f t="shared" si="1"/>
        <v>0.98116916004031274</v>
      </c>
      <c r="M32" s="11">
        <f t="shared" si="1"/>
        <v>0.92785934743434617</v>
      </c>
      <c r="N32" s="378"/>
      <c r="O32" s="378"/>
      <c r="P32" s="378"/>
      <c r="Q32" s="378"/>
    </row>
    <row r="33" spans="2:17" ht="25.8" customHeight="1">
      <c r="B33" s="525" t="s">
        <v>296</v>
      </c>
      <c r="C33" s="506" t="s">
        <v>297</v>
      </c>
      <c r="D33" s="400">
        <v>0.18055555555555555</v>
      </c>
      <c r="E33" s="12">
        <v>0.17361111111111113</v>
      </c>
      <c r="F33" s="12">
        <v>0</v>
      </c>
      <c r="G33" s="12">
        <v>3211.3636363636419</v>
      </c>
      <c r="H33" s="382">
        <v>0.18055555555555555</v>
      </c>
      <c r="I33" s="400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506" t="s">
        <v>51</v>
      </c>
      <c r="D34" s="400">
        <v>0.21944444444444444</v>
      </c>
      <c r="E34" s="12">
        <v>0.28819444444444448</v>
      </c>
      <c r="F34" s="12">
        <v>0</v>
      </c>
      <c r="G34" s="12">
        <v>1101.6666666666633</v>
      </c>
      <c r="H34" s="382">
        <v>0.38611111111111113</v>
      </c>
      <c r="I34" s="23">
        <v>0</v>
      </c>
      <c r="J34" s="12">
        <v>0.72638888888888886</v>
      </c>
      <c r="K34" s="12">
        <v>0.81944444444444453</v>
      </c>
      <c r="L34" s="12">
        <v>46118.086805555555</v>
      </c>
      <c r="M34" s="13">
        <v>46118.020833333336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4</v>
      </c>
      <c r="K35" s="402">
        <v>3.6666666666666665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519" priority="4" operator="lessThan">
      <formula>0.8</formula>
    </cfRule>
  </conditionalFormatting>
  <conditionalFormatting sqref="J32:L32">
    <cfRule type="cellIs" dxfId="6518" priority="3" operator="lessThan">
      <formula>0.8</formula>
    </cfRule>
  </conditionalFormatting>
  <conditionalFormatting sqref="M32">
    <cfRule type="cellIs" dxfId="6517" priority="2" operator="lessThan">
      <formula>0.8</formula>
    </cfRule>
  </conditionalFormatting>
  <conditionalFormatting sqref="H32">
    <cfRule type="cellIs" dxfId="65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6" zoomScale="70" zoomScaleNormal="70" workbookViewId="0">
      <selection activeCell="X95" sqref="W95:X95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514</v>
      </c>
      <c r="B1" s="281"/>
      <c r="C1" s="282"/>
      <c r="D1" s="283" t="s">
        <v>515</v>
      </c>
      <c r="E1" s="284">
        <f>SUM(G5:G124)</f>
        <v>66919</v>
      </c>
      <c r="F1" s="285" t="s">
        <v>3</v>
      </c>
      <c r="G1" s="286">
        <f>SUM(H5:H124)</f>
        <v>1241673.4996233769</v>
      </c>
      <c r="H1" s="287" t="s">
        <v>516</v>
      </c>
      <c r="I1" s="288">
        <f>+J16+J64+J24+J38+J51+J81+J100+J91+J57+J124+J111</f>
        <v>38.733333333333334</v>
      </c>
      <c r="J1" s="584" t="s">
        <v>517</v>
      </c>
      <c r="K1" s="585"/>
      <c r="L1" s="586"/>
      <c r="M1" s="584" t="s">
        <v>518</v>
      </c>
      <c r="N1" s="585"/>
      <c r="O1" s="585"/>
      <c r="P1" s="585"/>
      <c r="Q1" s="585"/>
      <c r="R1" s="586"/>
    </row>
    <row r="2" spans="1:18" ht="26.25" customHeight="1" thickBot="1">
      <c r="A2" s="590" t="s">
        <v>519</v>
      </c>
      <c r="B2" s="591"/>
      <c r="C2" s="290"/>
      <c r="D2" s="475" t="s">
        <v>520</v>
      </c>
      <c r="E2" s="291">
        <f>AVERAGE(L16,L24,L38,L51,L100,L111,L91)</f>
        <v>566.07632990700324</v>
      </c>
      <c r="F2" s="292" t="s">
        <v>55</v>
      </c>
      <c r="G2" s="293">
        <f>G1/E1</f>
        <v>18.554872302684991</v>
      </c>
      <c r="H2" s="294" t="s">
        <v>521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522</v>
      </c>
      <c r="B3" s="594" t="s">
        <v>523</v>
      </c>
      <c r="C3" s="477"/>
      <c r="D3" s="595" t="s">
        <v>524</v>
      </c>
      <c r="E3" s="595"/>
      <c r="F3" s="596" t="s">
        <v>58</v>
      </c>
      <c r="G3" s="597" t="s">
        <v>525</v>
      </c>
      <c r="H3" s="598" t="s">
        <v>526</v>
      </c>
      <c r="I3" s="599" t="s">
        <v>527</v>
      </c>
      <c r="J3" s="601" t="s">
        <v>528</v>
      </c>
      <c r="K3" s="603" t="s">
        <v>529</v>
      </c>
      <c r="L3" s="605" t="s">
        <v>520</v>
      </c>
      <c r="M3" s="607" t="s">
        <v>63</v>
      </c>
      <c r="N3" s="607"/>
      <c r="O3" s="601" t="s">
        <v>150</v>
      </c>
      <c r="P3" s="608" t="s">
        <v>530</v>
      </c>
      <c r="Q3" s="601" t="s">
        <v>531</v>
      </c>
      <c r="R3" s="601"/>
    </row>
    <row r="4" spans="1:18" ht="15.75" customHeight="1">
      <c r="A4" s="593"/>
      <c r="B4" s="594"/>
      <c r="C4" s="477"/>
      <c r="D4" s="595"/>
      <c r="E4" s="595"/>
      <c r="F4" s="596"/>
      <c r="G4" s="597"/>
      <c r="H4" s="598"/>
      <c r="I4" s="600"/>
      <c r="J4" s="602"/>
      <c r="K4" s="604"/>
      <c r="L4" s="606"/>
      <c r="M4" s="481" t="s">
        <v>65</v>
      </c>
      <c r="N4" s="481" t="s">
        <v>66</v>
      </c>
      <c r="O4" s="602"/>
      <c r="P4" s="609"/>
      <c r="Q4" s="296" t="s">
        <v>532</v>
      </c>
      <c r="R4" s="296" t="s">
        <v>533</v>
      </c>
    </row>
    <row r="5" spans="1:18">
      <c r="A5" s="610" t="s">
        <v>534</v>
      </c>
      <c r="B5" s="297">
        <v>0</v>
      </c>
      <c r="C5" s="297"/>
      <c r="D5" s="298" t="s">
        <v>535</v>
      </c>
      <c r="E5" s="298"/>
      <c r="F5" s="299" t="s">
        <v>186</v>
      </c>
      <c r="G5" s="477">
        <v>1164</v>
      </c>
      <c r="H5" s="300">
        <f>F5*G5</f>
        <v>0</v>
      </c>
      <c r="I5" s="479"/>
      <c r="J5" s="301">
        <v>9</v>
      </c>
      <c r="K5" s="302">
        <f t="shared" ref="K5:K12" si="0">G5/P5*60</f>
        <v>1552</v>
      </c>
      <c r="L5" s="303">
        <f t="shared" ref="L5:L12" si="1">K5/J5</f>
        <v>172.44444444444446</v>
      </c>
      <c r="M5" s="304">
        <v>0.17361111111111113</v>
      </c>
      <c r="N5" s="304">
        <v>0.20486111111111113</v>
      </c>
      <c r="O5" s="296">
        <v>10</v>
      </c>
      <c r="P5" s="482">
        <f t="shared" ref="P5:P14" si="2">(N5-M5)*24*60</f>
        <v>45</v>
      </c>
      <c r="Q5" s="305"/>
      <c r="R5" s="305"/>
    </row>
    <row r="6" spans="1:18">
      <c r="A6" s="610"/>
      <c r="B6" s="297">
        <v>0</v>
      </c>
      <c r="C6" s="297"/>
      <c r="D6" s="298" t="s">
        <v>536</v>
      </c>
      <c r="E6" s="298"/>
      <c r="F6" s="299" t="s">
        <v>186</v>
      </c>
      <c r="G6" s="477">
        <v>1219</v>
      </c>
      <c r="H6" s="300">
        <f t="shared" ref="H6:H113" si="3">F6*G6</f>
        <v>0</v>
      </c>
      <c r="I6" s="479"/>
      <c r="J6" s="301">
        <v>9</v>
      </c>
      <c r="K6" s="302">
        <f t="shared" si="0"/>
        <v>1625.3333333333333</v>
      </c>
      <c r="L6" s="303">
        <f t="shared" si="1"/>
        <v>180.59259259259258</v>
      </c>
      <c r="M6" s="304">
        <v>0.20833333333333334</v>
      </c>
      <c r="N6" s="304">
        <v>0.23958333333333334</v>
      </c>
      <c r="O6" s="296">
        <v>5</v>
      </c>
      <c r="P6" s="482">
        <f t="shared" si="2"/>
        <v>45</v>
      </c>
      <c r="Q6" s="296"/>
      <c r="R6" s="296"/>
    </row>
    <row r="7" spans="1:18">
      <c r="A7" s="610"/>
      <c r="B7" s="297" t="s">
        <v>187</v>
      </c>
      <c r="C7" s="297"/>
      <c r="D7" s="298" t="s">
        <v>537</v>
      </c>
      <c r="E7" s="298"/>
      <c r="F7" s="299">
        <v>36.450000000000003</v>
      </c>
      <c r="G7" s="477">
        <v>1108</v>
      </c>
      <c r="H7" s="300">
        <f t="shared" si="3"/>
        <v>40386.600000000006</v>
      </c>
      <c r="I7" s="479"/>
      <c r="J7" s="301">
        <v>13</v>
      </c>
      <c r="K7" s="302">
        <f t="shared" si="0"/>
        <v>1477.3333333333346</v>
      </c>
      <c r="L7" s="303">
        <f t="shared" si="1"/>
        <v>113.64102564102573</v>
      </c>
      <c r="M7" s="304">
        <v>0.24305555555555555</v>
      </c>
      <c r="N7" s="304">
        <v>0.27430555555555552</v>
      </c>
      <c r="O7" s="296">
        <v>5</v>
      </c>
      <c r="P7" s="482">
        <f t="shared" si="2"/>
        <v>44.999999999999957</v>
      </c>
      <c r="Q7" s="305"/>
      <c r="R7" s="305"/>
    </row>
    <row r="8" spans="1:18">
      <c r="A8" s="610"/>
      <c r="B8" s="297" t="s">
        <v>187</v>
      </c>
      <c r="C8" s="297"/>
      <c r="D8" s="298" t="s">
        <v>538</v>
      </c>
      <c r="E8" s="298"/>
      <c r="F8" s="299">
        <v>27.05</v>
      </c>
      <c r="G8" s="477">
        <v>342</v>
      </c>
      <c r="H8" s="300">
        <f t="shared" si="3"/>
        <v>9251.1</v>
      </c>
      <c r="I8" s="479"/>
      <c r="J8" s="301">
        <v>13</v>
      </c>
      <c r="K8" s="302">
        <f t="shared" si="0"/>
        <v>1367.9999999999975</v>
      </c>
      <c r="L8" s="303">
        <f t="shared" si="1"/>
        <v>105.23076923076904</v>
      </c>
      <c r="M8" s="304">
        <v>0.27777777777777779</v>
      </c>
      <c r="N8" s="304">
        <v>0.28819444444444448</v>
      </c>
      <c r="O8" s="296">
        <v>5</v>
      </c>
      <c r="P8" s="482">
        <f t="shared" si="2"/>
        <v>15.000000000000027</v>
      </c>
      <c r="Q8" s="305">
        <v>0.2951388888888889</v>
      </c>
      <c r="R8" s="305">
        <v>0.3263888888888889</v>
      </c>
    </row>
    <row r="9" spans="1:18">
      <c r="A9" s="610"/>
      <c r="B9" s="297" t="s">
        <v>187</v>
      </c>
      <c r="C9" s="297"/>
      <c r="D9" s="298" t="s">
        <v>539</v>
      </c>
      <c r="E9" s="298"/>
      <c r="F9" s="299">
        <v>19.7</v>
      </c>
      <c r="G9" s="306">
        <v>833</v>
      </c>
      <c r="H9" s="300">
        <f t="shared" si="3"/>
        <v>16410.099999999999</v>
      </c>
      <c r="I9" s="479"/>
      <c r="J9" s="301">
        <v>13</v>
      </c>
      <c r="K9" s="302">
        <f t="shared" si="0"/>
        <v>1110.6666666666667</v>
      </c>
      <c r="L9" s="303">
        <f t="shared" si="1"/>
        <v>85.435897435897445</v>
      </c>
      <c r="M9" s="304">
        <v>0.3298611111111111</v>
      </c>
      <c r="N9" s="304">
        <v>0.3611111111111111</v>
      </c>
      <c r="O9" s="296">
        <v>5</v>
      </c>
      <c r="P9" s="482">
        <f t="shared" si="2"/>
        <v>45</v>
      </c>
      <c r="Q9" s="305"/>
      <c r="R9" s="305"/>
    </row>
    <row r="10" spans="1:18">
      <c r="A10" s="610"/>
      <c r="B10" s="297" t="s">
        <v>187</v>
      </c>
      <c r="C10" s="297"/>
      <c r="D10" s="298" t="s">
        <v>540</v>
      </c>
      <c r="E10" s="298"/>
      <c r="F10" s="299">
        <v>17.87</v>
      </c>
      <c r="G10" s="306">
        <v>411</v>
      </c>
      <c r="H10" s="300">
        <f t="shared" si="3"/>
        <v>7344.5700000000006</v>
      </c>
      <c r="I10" s="479"/>
      <c r="J10" s="301">
        <v>13</v>
      </c>
      <c r="K10" s="302">
        <f t="shared" si="0"/>
        <v>2466.0000000000086</v>
      </c>
      <c r="L10" s="303">
        <f t="shared" si="1"/>
        <v>189.69230769230836</v>
      </c>
      <c r="M10" s="304">
        <v>0.36458333333333331</v>
      </c>
      <c r="N10" s="304">
        <v>0.37152777777777773</v>
      </c>
      <c r="O10" s="296">
        <v>5</v>
      </c>
      <c r="P10" s="482">
        <f t="shared" si="2"/>
        <v>9.9999999999999645</v>
      </c>
      <c r="Q10" s="305"/>
      <c r="R10" s="305"/>
    </row>
    <row r="11" spans="1:18">
      <c r="A11" s="610"/>
      <c r="B11" s="297" t="s">
        <v>187</v>
      </c>
      <c r="C11" s="297"/>
      <c r="D11" s="298" t="s">
        <v>541</v>
      </c>
      <c r="E11" s="298"/>
      <c r="F11" s="299">
        <v>25.64</v>
      </c>
      <c r="G11" s="306">
        <v>515</v>
      </c>
      <c r="H11" s="300">
        <f t="shared" si="3"/>
        <v>13204.6</v>
      </c>
      <c r="I11" s="479"/>
      <c r="J11" s="301">
        <v>10</v>
      </c>
      <c r="K11" s="302">
        <f t="shared" si="0"/>
        <v>1544.9999999999993</v>
      </c>
      <c r="L11" s="303">
        <f t="shared" si="1"/>
        <v>154.49999999999994</v>
      </c>
      <c r="M11" s="304">
        <v>0.375</v>
      </c>
      <c r="N11" s="304">
        <v>0.3888888888888889</v>
      </c>
      <c r="O11" s="296">
        <v>5</v>
      </c>
      <c r="P11" s="482">
        <f t="shared" si="2"/>
        <v>20.000000000000007</v>
      </c>
      <c r="Q11" s="305"/>
      <c r="R11" s="305"/>
    </row>
    <row r="12" spans="1:18">
      <c r="A12" s="611"/>
      <c r="B12" s="297" t="s">
        <v>187</v>
      </c>
      <c r="C12" s="297"/>
      <c r="D12" s="298" t="s">
        <v>542</v>
      </c>
      <c r="E12" s="298"/>
      <c r="F12" s="299">
        <v>29.52</v>
      </c>
      <c r="G12" s="306">
        <v>1164</v>
      </c>
      <c r="H12" s="300">
        <f t="shared" si="3"/>
        <v>34361.279999999999</v>
      </c>
      <c r="I12" s="479"/>
      <c r="J12" s="301">
        <v>13</v>
      </c>
      <c r="K12" s="302">
        <f t="shared" si="0"/>
        <v>1745.9999999999995</v>
      </c>
      <c r="L12" s="303">
        <f t="shared" si="1"/>
        <v>134.30769230769226</v>
      </c>
      <c r="M12" s="304">
        <v>0.3923611111111111</v>
      </c>
      <c r="N12" s="304">
        <v>0.4201388888888889</v>
      </c>
      <c r="O12" s="296">
        <v>5</v>
      </c>
      <c r="P12" s="482">
        <f t="shared" si="2"/>
        <v>40.000000000000014</v>
      </c>
      <c r="Q12" s="305"/>
      <c r="R12" s="305"/>
    </row>
    <row r="13" spans="1:18">
      <c r="A13" s="611"/>
      <c r="B13" s="297" t="s">
        <v>187</v>
      </c>
      <c r="C13" s="478"/>
      <c r="D13" s="298" t="s">
        <v>543</v>
      </c>
      <c r="E13" s="298"/>
      <c r="F13" s="299">
        <v>29.856999999999999</v>
      </c>
      <c r="G13" s="476">
        <v>1219</v>
      </c>
      <c r="H13" s="300">
        <f t="shared" si="3"/>
        <v>36395.682999999997</v>
      </c>
      <c r="I13" s="479"/>
      <c r="J13" s="301">
        <v>13</v>
      </c>
      <c r="K13" s="302">
        <f>G13/P13*60</f>
        <v>1828.4999999999995</v>
      </c>
      <c r="L13" s="303">
        <f>K13/J13</f>
        <v>140.65384615384613</v>
      </c>
      <c r="M13" s="304">
        <v>0.4236111111111111</v>
      </c>
      <c r="N13" s="304">
        <v>0.4513888888888889</v>
      </c>
      <c r="O13" s="296">
        <v>5</v>
      </c>
      <c r="P13" s="482">
        <f t="shared" si="2"/>
        <v>40.000000000000014</v>
      </c>
      <c r="Q13" s="305"/>
      <c r="R13" s="296"/>
    </row>
    <row r="14" spans="1:18">
      <c r="A14" s="611"/>
      <c r="B14" s="297" t="s">
        <v>184</v>
      </c>
      <c r="C14" s="297"/>
      <c r="D14" s="483" t="s">
        <v>155</v>
      </c>
      <c r="E14" s="484"/>
      <c r="F14" s="299">
        <v>28.57</v>
      </c>
      <c r="G14" s="306">
        <v>1281</v>
      </c>
      <c r="H14" s="300">
        <f t="shared" si="3"/>
        <v>36598.17</v>
      </c>
      <c r="I14" s="479"/>
      <c r="J14" s="301">
        <v>8</v>
      </c>
      <c r="K14" s="302">
        <f>G14/P14*60</f>
        <v>1397.4545454545444</v>
      </c>
      <c r="L14" s="303">
        <f>K14/J14</f>
        <v>174.68181818181804</v>
      </c>
      <c r="M14" s="304">
        <v>0.4548611111111111</v>
      </c>
      <c r="N14" s="304">
        <v>0.49305555555555558</v>
      </c>
      <c r="O14" s="296">
        <v>5</v>
      </c>
      <c r="P14" s="482">
        <f t="shared" si="2"/>
        <v>55.000000000000043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3"/>
        <v>0</v>
      </c>
      <c r="I15" s="479"/>
      <c r="J15" s="301"/>
      <c r="K15" s="302"/>
      <c r="L15" s="303"/>
      <c r="M15" s="304"/>
      <c r="N15" s="304"/>
      <c r="O15" s="296"/>
      <c r="P15" s="482"/>
      <c r="Q15" s="296"/>
      <c r="R15" s="296"/>
    </row>
    <row r="16" spans="1:18" ht="15.75" customHeight="1">
      <c r="A16" s="612"/>
      <c r="B16" s="297">
        <v>0</v>
      </c>
      <c r="C16" s="308" t="s">
        <v>544</v>
      </c>
      <c r="D16" s="613" t="s">
        <v>545</v>
      </c>
      <c r="E16" s="613"/>
      <c r="F16" s="309"/>
      <c r="G16" s="310"/>
      <c r="H16" s="311"/>
      <c r="I16" s="312"/>
      <c r="J16" s="313">
        <f>AVERAGE(J5:J15)</f>
        <v>11.4</v>
      </c>
      <c r="K16" s="313">
        <f>AVERAGE(K5:K15)</f>
        <v>1611.6287878787884</v>
      </c>
      <c r="L16" s="314">
        <f>AVERAGE(L5:L15)</f>
        <v>145.1180393680394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546</v>
      </c>
      <c r="B17" s="297" t="s">
        <v>187</v>
      </c>
      <c r="C17" s="478"/>
      <c r="D17" s="617" t="s">
        <v>547</v>
      </c>
      <c r="E17" s="618"/>
      <c r="F17" s="299">
        <v>14.03</v>
      </c>
      <c r="G17" s="477">
        <v>352</v>
      </c>
      <c r="H17" s="315">
        <f t="shared" ref="H17:H23" si="4">F17*G17</f>
        <v>4938.5599999999995</v>
      </c>
      <c r="I17" s="316"/>
      <c r="J17" s="301">
        <v>6</v>
      </c>
      <c r="K17" s="302">
        <f>G17/P17*60</f>
        <v>1508.5714285714298</v>
      </c>
      <c r="L17" s="303">
        <f>K17/J17</f>
        <v>251.42857142857164</v>
      </c>
      <c r="M17" s="304">
        <v>0.18055555555555555</v>
      </c>
      <c r="N17" s="304">
        <v>0.19027777777777777</v>
      </c>
      <c r="O17" s="296">
        <v>20</v>
      </c>
      <c r="P17" s="482">
        <f>(N17-M17)*24*60</f>
        <v>13.999999999999989</v>
      </c>
      <c r="Q17" s="296"/>
      <c r="R17" s="296"/>
    </row>
    <row r="18" spans="1:18" ht="15.75" customHeight="1">
      <c r="A18" s="614"/>
      <c r="B18" s="297" t="s">
        <v>184</v>
      </c>
      <c r="C18" s="478"/>
      <c r="D18" s="619" t="s">
        <v>548</v>
      </c>
      <c r="E18" s="620"/>
      <c r="F18" s="299">
        <v>14.49</v>
      </c>
      <c r="G18" s="476">
        <v>558</v>
      </c>
      <c r="H18" s="300">
        <f t="shared" si="4"/>
        <v>8085.42</v>
      </c>
      <c r="I18" s="479"/>
      <c r="J18" s="301">
        <v>5</v>
      </c>
      <c r="K18" s="302">
        <f>G18/P18*60</f>
        <v>1521.8181818181845</v>
      </c>
      <c r="L18" s="303">
        <f>K18/J18</f>
        <v>304.36363636363689</v>
      </c>
      <c r="M18" s="304">
        <v>0.20416666666666669</v>
      </c>
      <c r="N18" s="304">
        <v>0.21944444444444444</v>
      </c>
      <c r="O18" s="296">
        <v>20</v>
      </c>
      <c r="P18" s="482">
        <f t="shared" ref="P18" si="5">(N18-M18)*24*60</f>
        <v>21.999999999999961</v>
      </c>
      <c r="Q18" s="305"/>
      <c r="R18" s="305"/>
    </row>
    <row r="19" spans="1:18" ht="15.75" customHeight="1">
      <c r="A19" s="614"/>
      <c r="B19" s="297">
        <v>0</v>
      </c>
      <c r="C19" s="478"/>
      <c r="D19" s="619"/>
      <c r="E19" s="620"/>
      <c r="F19" s="299" t="s">
        <v>186</v>
      </c>
      <c r="G19" s="476"/>
      <c r="H19" s="300">
        <f t="shared" si="4"/>
        <v>0</v>
      </c>
      <c r="I19" s="479"/>
      <c r="J19" s="301"/>
      <c r="K19" s="302"/>
      <c r="L19" s="303"/>
      <c r="M19" s="304"/>
      <c r="N19" s="304"/>
      <c r="O19" s="296"/>
      <c r="P19" s="482"/>
      <c r="Q19" s="305"/>
      <c r="R19" s="305"/>
    </row>
    <row r="20" spans="1:18" ht="15.75" customHeight="1">
      <c r="A20" s="615"/>
      <c r="B20" s="297">
        <v>0</v>
      </c>
      <c r="C20" s="478"/>
      <c r="D20" s="317"/>
      <c r="E20" s="484"/>
      <c r="F20" s="299" t="s">
        <v>186</v>
      </c>
      <c r="G20" s="476"/>
      <c r="H20" s="300">
        <f t="shared" si="4"/>
        <v>0</v>
      </c>
      <c r="I20" s="479"/>
      <c r="J20" s="301"/>
      <c r="K20" s="302"/>
      <c r="L20" s="303"/>
      <c r="M20" s="304"/>
      <c r="N20" s="304"/>
      <c r="O20" s="296"/>
      <c r="P20" s="482"/>
      <c r="Q20" s="296"/>
      <c r="R20" s="296"/>
    </row>
    <row r="21" spans="1:18" ht="15.75" customHeight="1">
      <c r="A21" s="615"/>
      <c r="B21" s="297">
        <v>0</v>
      </c>
      <c r="C21" s="478"/>
      <c r="D21" s="317"/>
      <c r="E21" s="484"/>
      <c r="F21" s="299" t="s">
        <v>186</v>
      </c>
      <c r="G21" s="476"/>
      <c r="H21" s="300">
        <f t="shared" si="4"/>
        <v>0</v>
      </c>
      <c r="I21" s="479"/>
      <c r="J21" s="301"/>
      <c r="K21" s="302"/>
      <c r="L21" s="303"/>
      <c r="M21" s="304"/>
      <c r="N21" s="304"/>
      <c r="O21" s="296"/>
      <c r="P21" s="482"/>
      <c r="Q21" s="296"/>
      <c r="R21" s="296"/>
    </row>
    <row r="22" spans="1:18" ht="15.75" customHeight="1">
      <c r="A22" s="615"/>
      <c r="B22" s="297">
        <v>0</v>
      </c>
      <c r="C22" s="478"/>
      <c r="D22" s="317"/>
      <c r="E22" s="484"/>
      <c r="F22" s="299" t="s">
        <v>186</v>
      </c>
      <c r="G22" s="476"/>
      <c r="H22" s="300">
        <f t="shared" si="4"/>
        <v>0</v>
      </c>
      <c r="I22" s="479"/>
      <c r="J22" s="301"/>
      <c r="K22" s="302"/>
      <c r="L22" s="303"/>
      <c r="M22" s="304"/>
      <c r="N22" s="304"/>
      <c r="O22" s="296"/>
      <c r="P22" s="482"/>
      <c r="Q22" s="296"/>
      <c r="R22" s="296"/>
    </row>
    <row r="23" spans="1:18" ht="15.75" customHeight="1">
      <c r="A23" s="615"/>
      <c r="B23" s="297">
        <v>0</v>
      </c>
      <c r="C23" s="478"/>
      <c r="D23" s="317"/>
      <c r="E23" s="484"/>
      <c r="F23" s="299" t="s">
        <v>186</v>
      </c>
      <c r="G23" s="476"/>
      <c r="H23" s="300">
        <f t="shared" si="4"/>
        <v>0</v>
      </c>
      <c r="I23" s="479"/>
      <c r="J23" s="301"/>
      <c r="K23" s="302"/>
      <c r="L23" s="303"/>
      <c r="M23" s="304"/>
      <c r="N23" s="304"/>
      <c r="O23" s="296"/>
      <c r="P23" s="482"/>
      <c r="Q23" s="296"/>
      <c r="R23" s="296"/>
    </row>
    <row r="24" spans="1:18" ht="17.399999999999999" customHeight="1">
      <c r="A24" s="616"/>
      <c r="B24" s="297">
        <v>0</v>
      </c>
      <c r="C24" s="6" t="s">
        <v>549</v>
      </c>
      <c r="D24" s="613" t="s">
        <v>550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1515.194805194807</v>
      </c>
      <c r="L24" s="314">
        <f>AVERAGE(L17:L23)</f>
        <v>277.89610389610425</v>
      </c>
      <c r="M24" s="304"/>
      <c r="N24" s="304"/>
      <c r="O24" s="296"/>
      <c r="P24" s="296"/>
      <c r="Q24" s="296"/>
      <c r="R24" s="296"/>
    </row>
    <row r="25" spans="1:18">
      <c r="A25" s="625" t="s">
        <v>551</v>
      </c>
      <c r="B25" s="297" t="s">
        <v>184</v>
      </c>
      <c r="C25" s="319"/>
      <c r="D25" s="321" t="s">
        <v>552</v>
      </c>
      <c r="E25" s="320"/>
      <c r="F25" s="299">
        <v>15.03</v>
      </c>
      <c r="G25" s="477">
        <v>1692</v>
      </c>
      <c r="H25" s="300">
        <f t="shared" ref="H25:H27" si="6">F25*G25</f>
        <v>25430.76</v>
      </c>
      <c r="I25" s="479"/>
      <c r="J25" s="301">
        <v>4</v>
      </c>
      <c r="K25" s="302">
        <f t="shared" ref="K25:K27" si="7">G25/P25*60</f>
        <v>2820.0000000000036</v>
      </c>
      <c r="L25" s="303">
        <f t="shared" ref="L25:L27" si="8">K25/J25</f>
        <v>705.00000000000091</v>
      </c>
      <c r="M25" s="304">
        <v>0.17361111111111113</v>
      </c>
      <c r="N25" s="304">
        <v>0.1986111111111111</v>
      </c>
      <c r="O25" s="296">
        <v>10</v>
      </c>
      <c r="P25" s="482">
        <f t="shared" ref="P25:P27" si="9">(N25-M25)*24*60</f>
        <v>35.99999999999995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77">
        <v>2445</v>
      </c>
      <c r="H26" s="300">
        <f t="shared" si="6"/>
        <v>44450.1</v>
      </c>
      <c r="I26" s="479"/>
      <c r="J26" s="301">
        <v>4</v>
      </c>
      <c r="K26" s="302">
        <f t="shared" si="7"/>
        <v>2821.1538461538457</v>
      </c>
      <c r="L26" s="303">
        <f t="shared" si="8"/>
        <v>705.28846153846143</v>
      </c>
      <c r="M26" s="304">
        <v>0.21249999999999999</v>
      </c>
      <c r="N26" s="304">
        <v>0.24861111111111112</v>
      </c>
      <c r="O26" s="296">
        <v>20</v>
      </c>
      <c r="P26" s="482">
        <f t="shared" si="9"/>
        <v>52.000000000000014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77">
        <v>1773</v>
      </c>
      <c r="H27" s="300">
        <f t="shared" si="6"/>
        <v>32853.69</v>
      </c>
      <c r="I27" s="479"/>
      <c r="J27" s="301">
        <v>3</v>
      </c>
      <c r="K27" s="302">
        <f t="shared" si="7"/>
        <v>2875.1351351351332</v>
      </c>
      <c r="L27" s="303">
        <f t="shared" si="8"/>
        <v>958.37837837837776</v>
      </c>
      <c r="M27" s="304">
        <v>0.26250000000000001</v>
      </c>
      <c r="N27" s="304">
        <v>0.28819444444444448</v>
      </c>
      <c r="O27" s="296">
        <v>20</v>
      </c>
      <c r="P27" s="482">
        <f t="shared" si="9"/>
        <v>37.000000000000028</v>
      </c>
      <c r="Q27" s="305"/>
      <c r="R27" s="305"/>
    </row>
    <row r="28" spans="1:18">
      <c r="A28" s="625"/>
      <c r="B28" s="297">
        <v>0</v>
      </c>
      <c r="C28" s="478"/>
      <c r="D28" s="317"/>
      <c r="E28" s="322"/>
      <c r="F28" s="299"/>
      <c r="G28" s="477"/>
      <c r="H28" s="300"/>
      <c r="I28" s="479"/>
      <c r="J28" s="301"/>
      <c r="K28" s="302"/>
      <c r="L28" s="303"/>
      <c r="M28" s="304"/>
      <c r="N28" s="304"/>
      <c r="O28" s="296"/>
      <c r="P28" s="482"/>
      <c r="Q28" s="305"/>
      <c r="R28" s="305"/>
    </row>
    <row r="29" spans="1:18">
      <c r="A29" s="625"/>
      <c r="B29" s="297">
        <v>0</v>
      </c>
      <c r="C29" s="477"/>
      <c r="D29" s="321"/>
      <c r="E29" s="322"/>
      <c r="F29" s="299"/>
      <c r="G29" s="477"/>
      <c r="H29" s="300"/>
      <c r="I29" s="479"/>
      <c r="J29" s="301"/>
      <c r="K29" s="302"/>
      <c r="L29" s="303"/>
      <c r="M29" s="304"/>
      <c r="N29" s="304"/>
      <c r="O29" s="296"/>
      <c r="P29" s="482"/>
      <c r="Q29" s="305"/>
      <c r="R29" s="305"/>
    </row>
    <row r="30" spans="1:18">
      <c r="A30" s="625"/>
      <c r="B30" s="297">
        <v>0</v>
      </c>
      <c r="C30" s="477"/>
      <c r="D30" s="323"/>
      <c r="E30" s="322"/>
      <c r="F30" s="299"/>
      <c r="G30" s="477"/>
      <c r="H30" s="300"/>
      <c r="I30" s="479"/>
      <c r="J30" s="301"/>
      <c r="K30" s="302"/>
      <c r="L30" s="303"/>
      <c r="M30" s="304"/>
      <c r="N30" s="304"/>
      <c r="O30" s="296"/>
      <c r="P30" s="482"/>
      <c r="Q30" s="305"/>
      <c r="R30" s="305"/>
    </row>
    <row r="31" spans="1:18" ht="15.75" customHeight="1">
      <c r="A31" s="625"/>
      <c r="B31" s="297">
        <v>0</v>
      </c>
      <c r="C31" s="478"/>
      <c r="D31" s="317"/>
      <c r="E31" s="322"/>
      <c r="F31" s="299"/>
      <c r="G31" s="477"/>
      <c r="H31" s="300"/>
      <c r="I31" s="479"/>
      <c r="J31" s="301"/>
      <c r="K31" s="302"/>
      <c r="L31" s="303"/>
      <c r="M31" s="304"/>
      <c r="N31" s="304"/>
      <c r="O31" s="296"/>
      <c r="P31" s="482"/>
      <c r="Q31" s="305"/>
      <c r="R31" s="305"/>
    </row>
    <row r="32" spans="1:18">
      <c r="A32" s="625"/>
      <c r="B32" s="297">
        <v>0</v>
      </c>
      <c r="C32" s="478"/>
      <c r="D32" s="317"/>
      <c r="E32" s="484"/>
      <c r="F32" s="299" t="s">
        <v>186</v>
      </c>
      <c r="G32" s="477"/>
      <c r="H32" s="300">
        <f t="shared" ref="H32:H37" si="10">F32*G32</f>
        <v>0</v>
      </c>
      <c r="I32" s="479"/>
      <c r="J32" s="301"/>
      <c r="K32" s="302"/>
      <c r="L32" s="303"/>
      <c r="M32" s="304"/>
      <c r="N32" s="304"/>
      <c r="O32" s="296"/>
      <c r="P32" s="482"/>
      <c r="Q32" s="305"/>
      <c r="R32" s="305"/>
    </row>
    <row r="33" spans="1:18">
      <c r="A33" s="625"/>
      <c r="B33" s="297">
        <v>0</v>
      </c>
      <c r="C33" s="477"/>
      <c r="D33" s="321"/>
      <c r="E33" s="322"/>
      <c r="F33" s="299" t="s">
        <v>186</v>
      </c>
      <c r="G33" s="477"/>
      <c r="H33" s="300">
        <f t="shared" si="10"/>
        <v>0</v>
      </c>
      <c r="I33" s="479"/>
      <c r="J33" s="301"/>
      <c r="K33" s="302"/>
      <c r="L33" s="303"/>
      <c r="M33" s="304"/>
      <c r="N33" s="304"/>
      <c r="O33" s="296"/>
      <c r="P33" s="482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10"/>
        <v>0</v>
      </c>
      <c r="I34" s="479"/>
      <c r="J34" s="301"/>
      <c r="K34" s="302"/>
      <c r="L34" s="303"/>
      <c r="M34" s="304"/>
      <c r="N34" s="304"/>
      <c r="O34" s="296"/>
      <c r="P34" s="482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10"/>
        <v>0</v>
      </c>
      <c r="I35" s="479"/>
      <c r="J35" s="301"/>
      <c r="K35" s="302"/>
      <c r="L35" s="303"/>
      <c r="M35" s="304"/>
      <c r="N35" s="304"/>
      <c r="O35" s="296"/>
      <c r="P35" s="482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10"/>
        <v>0</v>
      </c>
      <c r="I36" s="479"/>
      <c r="J36" s="301"/>
      <c r="K36" s="302"/>
      <c r="L36" s="303"/>
      <c r="M36" s="304"/>
      <c r="N36" s="304"/>
      <c r="O36" s="296"/>
      <c r="P36" s="482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10"/>
        <v>0</v>
      </c>
      <c r="I37" s="479"/>
      <c r="J37" s="301"/>
      <c r="K37" s="302"/>
      <c r="L37" s="303"/>
      <c r="M37" s="304"/>
      <c r="N37" s="304"/>
      <c r="O37" s="296"/>
      <c r="P37" s="482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2838.762993762994</v>
      </c>
      <c r="L38" s="314">
        <f>AVERAGE(L25:L37)</f>
        <v>789.55561330561341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553</v>
      </c>
      <c r="B39" s="297">
        <v>0</v>
      </c>
      <c r="C39" s="478"/>
      <c r="D39" s="317"/>
      <c r="E39" s="484"/>
      <c r="F39" s="299" t="s">
        <v>186</v>
      </c>
      <c r="G39" s="477"/>
      <c r="H39" s="300">
        <f t="shared" ref="H39:H47" si="11">F39*G39</f>
        <v>0</v>
      </c>
      <c r="I39" s="479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78"/>
      <c r="D40" s="317"/>
      <c r="E40" s="484"/>
      <c r="F40" s="299" t="s">
        <v>186</v>
      </c>
      <c r="G40" s="477"/>
      <c r="H40" s="300">
        <f t="shared" si="11"/>
        <v>0</v>
      </c>
      <c r="I40" s="479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78"/>
      <c r="D41" s="321"/>
      <c r="E41" s="484"/>
      <c r="F41" s="299" t="s">
        <v>186</v>
      </c>
      <c r="G41" s="477"/>
      <c r="H41" s="300">
        <f t="shared" si="11"/>
        <v>0</v>
      </c>
      <c r="I41" s="479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78"/>
      <c r="D42" s="321"/>
      <c r="E42" s="484"/>
      <c r="F42" s="299" t="s">
        <v>186</v>
      </c>
      <c r="G42" s="477"/>
      <c r="H42" s="300">
        <f t="shared" si="11"/>
        <v>0</v>
      </c>
      <c r="I42" s="479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78"/>
      <c r="D43" s="320"/>
      <c r="E43" s="484"/>
      <c r="F43" s="299" t="s">
        <v>186</v>
      </c>
      <c r="G43" s="477"/>
      <c r="H43" s="300">
        <f t="shared" si="11"/>
        <v>0</v>
      </c>
      <c r="I43" s="479"/>
      <c r="J43" s="301"/>
      <c r="K43" s="302"/>
      <c r="L43" s="303"/>
      <c r="M43" s="304"/>
      <c r="N43" s="304"/>
      <c r="O43" s="296"/>
      <c r="P43" s="482"/>
      <c r="Q43" s="305"/>
      <c r="R43" s="305"/>
    </row>
    <row r="44" spans="1:18">
      <c r="A44" s="628"/>
      <c r="B44" s="297">
        <v>0</v>
      </c>
      <c r="C44" s="478"/>
      <c r="D44" s="321"/>
      <c r="E44" s="327"/>
      <c r="F44" s="299" t="s">
        <v>186</v>
      </c>
      <c r="G44" s="328"/>
      <c r="H44" s="329">
        <f t="shared" si="11"/>
        <v>0</v>
      </c>
      <c r="I44" s="480"/>
      <c r="J44" s="301"/>
      <c r="K44" s="302"/>
      <c r="L44" s="303"/>
      <c r="M44" s="304"/>
      <c r="N44" s="304"/>
      <c r="O44" s="296"/>
      <c r="P44" s="482"/>
      <c r="Q44" s="305"/>
      <c r="R44" s="305"/>
    </row>
    <row r="45" spans="1:18">
      <c r="A45" s="628"/>
      <c r="B45" s="297">
        <v>0</v>
      </c>
      <c r="C45" s="478"/>
      <c r="D45" s="337"/>
      <c r="E45" s="322"/>
      <c r="F45" s="299" t="s">
        <v>186</v>
      </c>
      <c r="G45" s="477"/>
      <c r="H45" s="300">
        <f t="shared" si="11"/>
        <v>0</v>
      </c>
      <c r="I45" s="479"/>
      <c r="J45" s="301"/>
      <c r="K45" s="302"/>
      <c r="L45" s="303"/>
      <c r="M45" s="304"/>
      <c r="N45" s="304"/>
      <c r="O45" s="296"/>
      <c r="P45" s="482"/>
      <c r="Q45" s="305"/>
      <c r="R45" s="305"/>
    </row>
    <row r="46" spans="1:18">
      <c r="A46" s="628"/>
      <c r="B46" s="297">
        <v>0</v>
      </c>
      <c r="C46" s="478"/>
      <c r="D46" s="321"/>
      <c r="E46" s="327"/>
      <c r="F46" s="299" t="s">
        <v>186</v>
      </c>
      <c r="G46" s="328"/>
      <c r="H46" s="329">
        <f t="shared" si="11"/>
        <v>0</v>
      </c>
      <c r="I46" s="480"/>
      <c r="J46" s="301"/>
      <c r="K46" s="302"/>
      <c r="L46" s="303"/>
      <c r="M46" s="304"/>
      <c r="N46" s="304"/>
      <c r="O46" s="296"/>
      <c r="P46" s="482"/>
      <c r="Q46" s="305"/>
      <c r="R46" s="305"/>
    </row>
    <row r="47" spans="1:18">
      <c r="A47" s="628"/>
      <c r="B47" s="297">
        <v>0</v>
      </c>
      <c r="C47" s="478"/>
      <c r="D47" s="337"/>
      <c r="E47" s="322"/>
      <c r="F47" s="299" t="s">
        <v>186</v>
      </c>
      <c r="G47" s="477"/>
      <c r="H47" s="300">
        <f t="shared" si="11"/>
        <v>0</v>
      </c>
      <c r="I47" s="479"/>
      <c r="J47" s="301"/>
      <c r="K47" s="302"/>
      <c r="L47" s="303"/>
      <c r="M47" s="304"/>
      <c r="N47" s="304"/>
      <c r="O47" s="296"/>
      <c r="P47" s="482"/>
      <c r="Q47" s="305"/>
      <c r="R47" s="305"/>
    </row>
    <row r="48" spans="1:18">
      <c r="A48" s="629"/>
      <c r="B48" s="297">
        <v>0</v>
      </c>
      <c r="C48" s="477"/>
      <c r="D48" s="321"/>
      <c r="E48" s="376"/>
      <c r="F48" s="299" t="s">
        <v>186</v>
      </c>
      <c r="G48" s="477"/>
      <c r="H48" s="300"/>
      <c r="I48" s="479"/>
      <c r="J48" s="301"/>
      <c r="K48" s="302"/>
      <c r="L48" s="303"/>
      <c r="M48" s="304"/>
      <c r="N48" s="304"/>
      <c r="O48" s="296"/>
      <c r="P48" s="482"/>
      <c r="Q48" s="305"/>
      <c r="R48" s="305"/>
    </row>
    <row r="49" spans="1:18">
      <c r="A49" s="629"/>
      <c r="B49" s="297">
        <v>0</v>
      </c>
      <c r="C49" s="477"/>
      <c r="D49" s="330"/>
      <c r="E49" s="331"/>
      <c r="F49" s="299" t="s">
        <v>186</v>
      </c>
      <c r="G49" s="296"/>
      <c r="H49" s="329">
        <f>F49*G49</f>
        <v>0</v>
      </c>
      <c r="I49" s="482"/>
      <c r="J49" s="301"/>
      <c r="K49" s="302"/>
      <c r="L49" s="303"/>
      <c r="M49" s="304"/>
      <c r="N49" s="304"/>
      <c r="O49" s="296"/>
      <c r="P49" s="482"/>
      <c r="Q49" s="305"/>
      <c r="R49" s="305"/>
    </row>
    <row r="50" spans="1:18">
      <c r="A50" s="629"/>
      <c r="B50" s="297">
        <v>0</v>
      </c>
      <c r="C50" s="477"/>
      <c r="D50" s="330"/>
      <c r="E50" s="331"/>
      <c r="F50" s="299" t="s">
        <v>186</v>
      </c>
      <c r="G50" s="296"/>
      <c r="H50" s="329">
        <f>F50*G50</f>
        <v>0</v>
      </c>
      <c r="I50" s="482"/>
      <c r="J50" s="301"/>
      <c r="K50" s="302"/>
      <c r="L50" s="303"/>
      <c r="M50" s="304"/>
      <c r="N50" s="304"/>
      <c r="O50" s="296"/>
      <c r="P50" s="482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550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554</v>
      </c>
      <c r="B52" s="297" t="s">
        <v>184</v>
      </c>
      <c r="C52" s="478"/>
      <c r="D52" s="320" t="s">
        <v>159</v>
      </c>
      <c r="E52" s="335"/>
      <c r="F52" s="299">
        <v>25.03</v>
      </c>
      <c r="G52" s="477">
        <v>578</v>
      </c>
      <c r="H52" s="300">
        <f>F52*G52</f>
        <v>14467.34</v>
      </c>
      <c r="I52" s="479"/>
      <c r="J52" s="301">
        <v>4</v>
      </c>
      <c r="K52" s="302">
        <f>G52/P52*60</f>
        <v>3468.0000000000123</v>
      </c>
      <c r="L52" s="303">
        <f>K52/J52</f>
        <v>867.00000000000307</v>
      </c>
      <c r="M52" s="304">
        <v>0.2986111111111111</v>
      </c>
      <c r="N52" s="304">
        <v>0.30555555555555552</v>
      </c>
      <c r="O52" s="302">
        <v>10</v>
      </c>
      <c r="P52" s="482">
        <f>(N52-M52)*24*60</f>
        <v>9.9999999999999645</v>
      </c>
      <c r="Q52" s="305"/>
      <c r="R52" s="305"/>
    </row>
    <row r="53" spans="1:18" ht="15.6" customHeight="1">
      <c r="A53" s="632"/>
      <c r="B53" s="297" t="s">
        <v>184</v>
      </c>
      <c r="C53" s="478"/>
      <c r="D53" s="320" t="s">
        <v>160</v>
      </c>
      <c r="E53" s="336"/>
      <c r="F53" s="299">
        <v>24.82</v>
      </c>
      <c r="G53" s="306">
        <v>804</v>
      </c>
      <c r="H53" s="300">
        <f t="shared" ref="H53:H62" si="12">F53*G53</f>
        <v>19955.28</v>
      </c>
      <c r="I53" s="479"/>
      <c r="J53" s="301">
        <v>4</v>
      </c>
      <c r="K53" s="302">
        <f t="shared" ref="K53:K56" si="13">G53/P53*60</f>
        <v>3216.0000000000118</v>
      </c>
      <c r="L53" s="303">
        <f t="shared" ref="L53:L56" si="14">K53/J53</f>
        <v>804.00000000000296</v>
      </c>
      <c r="M53" s="304">
        <v>0.31944444444444448</v>
      </c>
      <c r="N53" s="304">
        <v>0.3298611111111111</v>
      </c>
      <c r="O53" s="302">
        <v>20</v>
      </c>
      <c r="P53" s="482">
        <f t="shared" ref="P53:P56" si="15">(N53-M53)*24*60</f>
        <v>14.999999999999947</v>
      </c>
      <c r="Q53" s="305"/>
      <c r="R53" s="305"/>
    </row>
    <row r="54" spans="1:18" ht="15.6" customHeight="1">
      <c r="A54" s="632"/>
      <c r="B54" s="297" t="s">
        <v>184</v>
      </c>
      <c r="C54" s="478"/>
      <c r="D54" s="320" t="s">
        <v>161</v>
      </c>
      <c r="E54" s="484"/>
      <c r="F54" s="299">
        <v>30</v>
      </c>
      <c r="G54" s="306">
        <v>1384</v>
      </c>
      <c r="H54" s="300">
        <f t="shared" si="12"/>
        <v>41520</v>
      </c>
      <c r="I54" s="479"/>
      <c r="J54" s="301">
        <v>4</v>
      </c>
      <c r="K54" s="302">
        <f t="shared" si="13"/>
        <v>3321.6000000000008</v>
      </c>
      <c r="L54" s="303">
        <f t="shared" si="14"/>
        <v>830.4000000000002</v>
      </c>
      <c r="M54" s="304">
        <v>0.34375</v>
      </c>
      <c r="N54" s="304">
        <v>0.3611111111111111</v>
      </c>
      <c r="O54" s="302">
        <v>20</v>
      </c>
      <c r="P54" s="482">
        <f t="shared" si="15"/>
        <v>24.999999999999993</v>
      </c>
      <c r="Q54" s="305">
        <v>0.3611111111111111</v>
      </c>
      <c r="R54" s="305">
        <v>0.40277777777777773</v>
      </c>
    </row>
    <row r="55" spans="1:18" ht="15.6" customHeight="1">
      <c r="A55" s="632"/>
      <c r="B55" s="297" t="s">
        <v>184</v>
      </c>
      <c r="C55" s="478"/>
      <c r="D55" s="338" t="s">
        <v>162</v>
      </c>
      <c r="E55" s="322"/>
      <c r="F55" s="299">
        <v>14.03</v>
      </c>
      <c r="G55" s="306">
        <v>2355</v>
      </c>
      <c r="H55" s="300">
        <f t="shared" si="12"/>
        <v>33040.65</v>
      </c>
      <c r="I55" s="479"/>
      <c r="J55" s="301">
        <v>3</v>
      </c>
      <c r="K55" s="302">
        <f t="shared" si="13"/>
        <v>3211.3636363636419</v>
      </c>
      <c r="L55" s="303">
        <f t="shared" si="14"/>
        <v>1070.4545454545473</v>
      </c>
      <c r="M55" s="304">
        <v>0.41666666666666669</v>
      </c>
      <c r="N55" s="304">
        <v>0.44722222222222219</v>
      </c>
      <c r="O55" s="302">
        <v>20</v>
      </c>
      <c r="P55" s="482">
        <f t="shared" si="15"/>
        <v>43.999999999999922</v>
      </c>
      <c r="Q55" s="305"/>
      <c r="R55" s="305"/>
    </row>
    <row r="56" spans="1:18" ht="15.6" customHeight="1">
      <c r="A56" s="632"/>
      <c r="B56" s="297" t="s">
        <v>184</v>
      </c>
      <c r="C56" s="478"/>
      <c r="D56" s="321" t="s">
        <v>164</v>
      </c>
      <c r="E56" s="322"/>
      <c r="F56" s="299">
        <v>18.18</v>
      </c>
      <c r="G56" s="306">
        <v>1322</v>
      </c>
      <c r="H56" s="300">
        <f t="shared" si="12"/>
        <v>24033.96</v>
      </c>
      <c r="I56" s="479"/>
      <c r="J56" s="301">
        <v>3</v>
      </c>
      <c r="K56" s="302">
        <f t="shared" si="13"/>
        <v>3304.99999999999</v>
      </c>
      <c r="L56" s="303">
        <f t="shared" si="14"/>
        <v>1101.6666666666633</v>
      </c>
      <c r="M56" s="304">
        <v>0.46111111111111108</v>
      </c>
      <c r="N56" s="304">
        <v>0.4777777777777778</v>
      </c>
      <c r="O56" s="302">
        <v>20</v>
      </c>
      <c r="P56" s="482">
        <f t="shared" si="15"/>
        <v>24.000000000000075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12"/>
        <v>0</v>
      </c>
      <c r="I57" s="479"/>
      <c r="J57" s="301"/>
      <c r="K57" s="302"/>
      <c r="L57" s="303"/>
      <c r="M57" s="304"/>
      <c r="N57" s="304"/>
      <c r="O57" s="302"/>
      <c r="P57" s="482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12"/>
        <v>0</v>
      </c>
      <c r="I58" s="479"/>
      <c r="J58" s="301"/>
      <c r="K58" s="302"/>
      <c r="L58" s="303"/>
      <c r="M58" s="304"/>
      <c r="N58" s="304"/>
      <c r="O58" s="302"/>
      <c r="P58" s="482"/>
      <c r="Q58" s="305"/>
      <c r="R58" s="305"/>
    </row>
    <row r="59" spans="1:18" ht="15.6" customHeight="1">
      <c r="A59" s="632"/>
      <c r="B59" s="297">
        <v>0</v>
      </c>
      <c r="C59" s="478"/>
      <c r="D59" s="337"/>
      <c r="E59" s="322"/>
      <c r="F59" s="299" t="s">
        <v>186</v>
      </c>
      <c r="G59" s="306"/>
      <c r="H59" s="300">
        <f t="shared" si="12"/>
        <v>0</v>
      </c>
      <c r="I59" s="479"/>
      <c r="J59" s="301"/>
      <c r="K59" s="302"/>
      <c r="L59" s="303"/>
      <c r="M59" s="304"/>
      <c r="N59" s="304"/>
      <c r="O59" s="302"/>
      <c r="P59" s="482"/>
      <c r="Q59" s="305"/>
      <c r="R59" s="305"/>
    </row>
    <row r="60" spans="1:18" ht="15.6" customHeight="1">
      <c r="A60" s="632"/>
      <c r="B60" s="297">
        <v>0</v>
      </c>
      <c r="C60" s="478"/>
      <c r="D60" s="338"/>
      <c r="E60" s="341"/>
      <c r="F60" s="299" t="s">
        <v>186</v>
      </c>
      <c r="G60" s="306"/>
      <c r="H60" s="300">
        <f t="shared" si="12"/>
        <v>0</v>
      </c>
      <c r="I60" s="479"/>
      <c r="J60" s="301"/>
      <c r="K60" s="302"/>
      <c r="L60" s="303"/>
      <c r="M60" s="304"/>
      <c r="N60" s="304"/>
      <c r="O60" s="302"/>
      <c r="P60" s="482"/>
      <c r="Q60" s="305"/>
      <c r="R60" s="305"/>
    </row>
    <row r="61" spans="1:18" ht="15.6" customHeight="1">
      <c r="A61" s="632"/>
      <c r="B61" s="297">
        <v>0</v>
      </c>
      <c r="C61" s="478"/>
      <c r="D61" s="320"/>
      <c r="E61" s="322"/>
      <c r="F61" s="299" t="s">
        <v>186</v>
      </c>
      <c r="G61" s="306"/>
      <c r="H61" s="300">
        <f t="shared" si="12"/>
        <v>0</v>
      </c>
      <c r="I61" s="479"/>
      <c r="J61" s="301"/>
      <c r="K61" s="302"/>
      <c r="L61" s="303"/>
      <c r="M61" s="304"/>
      <c r="N61" s="304"/>
      <c r="O61" s="302"/>
      <c r="P61" s="482"/>
      <c r="Q61" s="305"/>
      <c r="R61" s="305"/>
    </row>
    <row r="62" spans="1:18" ht="15.6" customHeight="1">
      <c r="A62" s="632"/>
      <c r="B62" s="297">
        <v>0</v>
      </c>
      <c r="C62" s="478"/>
      <c r="D62" s="337"/>
      <c r="E62" s="342"/>
      <c r="F62" s="299" t="s">
        <v>186</v>
      </c>
      <c r="G62" s="306"/>
      <c r="H62" s="300">
        <f t="shared" si="12"/>
        <v>0</v>
      </c>
      <c r="I62" s="479"/>
      <c r="J62" s="301"/>
      <c r="K62" s="302"/>
      <c r="L62" s="303"/>
      <c r="M62" s="304"/>
      <c r="N62" s="304"/>
      <c r="O62" s="302"/>
      <c r="P62" s="482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3"/>
        <v>0</v>
      </c>
      <c r="I63" s="480"/>
      <c r="J63" s="301"/>
      <c r="K63" s="302"/>
      <c r="L63" s="303"/>
      <c r="M63" s="304"/>
      <c r="N63" s="304"/>
      <c r="O63" s="296"/>
      <c r="P63" s="482"/>
      <c r="Q63" s="305"/>
      <c r="R63" s="305"/>
    </row>
    <row r="64" spans="1:18" ht="15.75" customHeight="1">
      <c r="A64" s="633"/>
      <c r="B64" s="297">
        <v>0</v>
      </c>
      <c r="C64" s="6" t="s">
        <v>555</v>
      </c>
      <c r="D64" s="613" t="s">
        <v>550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3304.3927272727315</v>
      </c>
      <c r="L64" s="314">
        <f>AVERAGE(L52:L63)</f>
        <v>934.70424242424338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556</v>
      </c>
      <c r="B65" s="297" t="s">
        <v>184</v>
      </c>
      <c r="C65" s="478"/>
      <c r="D65" s="321" t="s">
        <v>557</v>
      </c>
      <c r="E65" s="335"/>
      <c r="F65" s="299">
        <v>16.66</v>
      </c>
      <c r="G65" s="477">
        <v>2339</v>
      </c>
      <c r="H65" s="300">
        <f>F65*G65</f>
        <v>38967.74</v>
      </c>
      <c r="I65" s="479"/>
      <c r="J65" s="301">
        <v>4</v>
      </c>
      <c r="K65" s="302">
        <f t="shared" ref="K65:K69" si="16">G65/P65*60</f>
        <v>3263.7209302325573</v>
      </c>
      <c r="L65" s="303">
        <f t="shared" ref="L65:L69" si="17">K65/J65</f>
        <v>815.93023255813932</v>
      </c>
      <c r="M65" s="304">
        <v>0.18055555555555555</v>
      </c>
      <c r="N65" s="304">
        <v>0.21041666666666667</v>
      </c>
      <c r="O65" s="302">
        <v>20</v>
      </c>
      <c r="P65" s="482">
        <f>(N65-M65)*24*60</f>
        <v>43.000000000000007</v>
      </c>
      <c r="Q65" s="305"/>
      <c r="R65" s="305"/>
    </row>
    <row r="66" spans="1:18" ht="15.6" customHeight="1">
      <c r="A66" s="635"/>
      <c r="B66" s="297" t="s">
        <v>184</v>
      </c>
      <c r="C66" s="478"/>
      <c r="D66" s="321" t="s">
        <v>558</v>
      </c>
      <c r="E66" s="336"/>
      <c r="F66" s="299">
        <v>22.281818181818181</v>
      </c>
      <c r="G66" s="306">
        <v>574</v>
      </c>
      <c r="H66" s="300">
        <f t="shared" ref="H66:H74" si="18">F66*G66</f>
        <v>12789.763636363636</v>
      </c>
      <c r="I66" s="479"/>
      <c r="J66" s="301">
        <v>4</v>
      </c>
      <c r="K66" s="302">
        <f t="shared" si="16"/>
        <v>3444.0000000000123</v>
      </c>
      <c r="L66" s="303">
        <f t="shared" si="17"/>
        <v>861.00000000000307</v>
      </c>
      <c r="M66" s="304">
        <v>0.22430555555555556</v>
      </c>
      <c r="N66" s="304">
        <v>0.23124999999999998</v>
      </c>
      <c r="O66" s="302">
        <v>20</v>
      </c>
      <c r="P66" s="482">
        <f t="shared" ref="P66:P69" si="19">(N66-M66)*24*60</f>
        <v>9.9999999999999645</v>
      </c>
      <c r="Q66" s="305"/>
      <c r="R66" s="305"/>
    </row>
    <row r="67" spans="1:18" ht="15.6" customHeight="1">
      <c r="A67" s="635"/>
      <c r="B67" s="297" t="s">
        <v>184</v>
      </c>
      <c r="C67" s="478"/>
      <c r="D67" s="337" t="s">
        <v>559</v>
      </c>
      <c r="E67" s="322"/>
      <c r="F67" s="299">
        <v>17.890909090909091</v>
      </c>
      <c r="G67" s="306">
        <v>1437</v>
      </c>
      <c r="H67" s="300">
        <f t="shared" si="18"/>
        <v>25709.236363636363</v>
      </c>
      <c r="I67" s="479"/>
      <c r="J67" s="301">
        <v>3</v>
      </c>
      <c r="K67" s="302">
        <f t="shared" si="16"/>
        <v>3316.1538461538426</v>
      </c>
      <c r="L67" s="303">
        <f t="shared" si="17"/>
        <v>1105.3846153846141</v>
      </c>
      <c r="M67" s="304">
        <v>0.24513888888888888</v>
      </c>
      <c r="N67" s="304">
        <v>0.26319444444444445</v>
      </c>
      <c r="O67" s="302">
        <v>20</v>
      </c>
      <c r="P67" s="482">
        <f t="shared" si="19"/>
        <v>26.000000000000028</v>
      </c>
      <c r="Q67" s="305">
        <v>0.26319444444444445</v>
      </c>
      <c r="R67" s="305">
        <v>0.30486111111111108</v>
      </c>
    </row>
    <row r="68" spans="1:18" ht="15.6" customHeight="1">
      <c r="A68" s="635"/>
      <c r="B68" s="297" t="s">
        <v>184</v>
      </c>
      <c r="C68" s="478"/>
      <c r="D68" s="320" t="s">
        <v>163</v>
      </c>
      <c r="E68" s="322"/>
      <c r="F68" s="299">
        <v>18.18</v>
      </c>
      <c r="G68" s="306">
        <v>827</v>
      </c>
      <c r="H68" s="300">
        <f t="shared" si="18"/>
        <v>15034.86</v>
      </c>
      <c r="I68" s="479"/>
      <c r="J68" s="301">
        <v>3</v>
      </c>
      <c r="K68" s="302">
        <f t="shared" si="16"/>
        <v>3308.0000000000118</v>
      </c>
      <c r="L68" s="303">
        <f t="shared" si="17"/>
        <v>1102.6666666666706</v>
      </c>
      <c r="M68" s="304">
        <v>0.31875000000000003</v>
      </c>
      <c r="N68" s="304">
        <v>0.32916666666666666</v>
      </c>
      <c r="O68" s="302">
        <v>20</v>
      </c>
      <c r="P68" s="482">
        <f t="shared" si="19"/>
        <v>14.999999999999947</v>
      </c>
      <c r="Q68" s="305"/>
      <c r="R68" s="305"/>
    </row>
    <row r="69" spans="1:18" ht="15.6" customHeight="1">
      <c r="A69" s="635"/>
      <c r="B69" s="297" t="s">
        <v>184</v>
      </c>
      <c r="C69" s="478"/>
      <c r="D69" s="337" t="s">
        <v>165</v>
      </c>
      <c r="E69" s="322"/>
      <c r="F69" s="299">
        <v>14.285714285714283</v>
      </c>
      <c r="G69" s="306">
        <v>3364</v>
      </c>
      <c r="H69" s="300">
        <f t="shared" si="18"/>
        <v>48057.142857142848</v>
      </c>
      <c r="I69" s="479"/>
      <c r="J69" s="301">
        <v>3</v>
      </c>
      <c r="K69" s="302">
        <f t="shared" si="16"/>
        <v>3255.4838709677369</v>
      </c>
      <c r="L69" s="303">
        <f t="shared" si="17"/>
        <v>1085.1612903225789</v>
      </c>
      <c r="M69" s="304">
        <v>0.3430555555555555</v>
      </c>
      <c r="N69" s="304">
        <v>0.38611111111111113</v>
      </c>
      <c r="O69" s="302">
        <v>20</v>
      </c>
      <c r="P69" s="482">
        <f t="shared" si="19"/>
        <v>62.000000000000099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18"/>
        <v>0</v>
      </c>
      <c r="I70" s="479"/>
      <c r="J70" s="301"/>
      <c r="K70" s="302"/>
      <c r="L70" s="303"/>
      <c r="M70" s="304"/>
      <c r="N70" s="304"/>
      <c r="O70" s="302"/>
      <c r="P70" s="482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18"/>
        <v>0</v>
      </c>
      <c r="I71" s="479"/>
      <c r="J71" s="301"/>
      <c r="K71" s="302"/>
      <c r="L71" s="303"/>
      <c r="M71" s="304"/>
      <c r="N71" s="304"/>
      <c r="O71" s="302"/>
      <c r="P71" s="482"/>
      <c r="Q71" s="305"/>
      <c r="R71" s="305"/>
    </row>
    <row r="72" spans="1:18" ht="15.6" customHeight="1">
      <c r="A72" s="635"/>
      <c r="B72" s="297">
        <v>0</v>
      </c>
      <c r="C72" s="478"/>
      <c r="D72" s="337"/>
      <c r="E72" s="322"/>
      <c r="F72" s="299" t="s">
        <v>186</v>
      </c>
      <c r="G72" s="306"/>
      <c r="H72" s="300">
        <f t="shared" si="18"/>
        <v>0</v>
      </c>
      <c r="I72" s="479"/>
      <c r="J72" s="301"/>
      <c r="K72" s="302"/>
      <c r="L72" s="303"/>
      <c r="M72" s="304"/>
      <c r="N72" s="304"/>
      <c r="O72" s="302"/>
      <c r="P72" s="482"/>
      <c r="Q72" s="305"/>
      <c r="R72" s="305"/>
    </row>
    <row r="73" spans="1:18" ht="15.6" customHeight="1">
      <c r="A73" s="635"/>
      <c r="B73" s="297">
        <v>0</v>
      </c>
      <c r="C73" s="478"/>
      <c r="D73" s="337"/>
      <c r="E73" s="322"/>
      <c r="F73" s="299" t="s">
        <v>186</v>
      </c>
      <c r="G73" s="306"/>
      <c r="H73" s="300">
        <f t="shared" si="18"/>
        <v>0</v>
      </c>
      <c r="I73" s="479"/>
      <c r="J73" s="301"/>
      <c r="K73" s="302"/>
      <c r="L73" s="303"/>
      <c r="M73" s="304"/>
      <c r="N73" s="304"/>
      <c r="O73" s="302"/>
      <c r="P73" s="482"/>
      <c r="Q73" s="305"/>
      <c r="R73" s="305"/>
    </row>
    <row r="74" spans="1:18" ht="15.6" customHeight="1">
      <c r="A74" s="635"/>
      <c r="B74" s="297">
        <v>0</v>
      </c>
      <c r="C74" s="478"/>
      <c r="D74" s="337"/>
      <c r="E74" s="322"/>
      <c r="F74" s="299" t="s">
        <v>186</v>
      </c>
      <c r="G74" s="306"/>
      <c r="H74" s="300">
        <f t="shared" si="18"/>
        <v>0</v>
      </c>
      <c r="I74" s="479"/>
      <c r="J74" s="301"/>
      <c r="K74" s="302"/>
      <c r="L74" s="303"/>
      <c r="M74" s="304"/>
      <c r="N74" s="304"/>
      <c r="O74" s="302"/>
      <c r="P74" s="482"/>
      <c r="Q74" s="305"/>
      <c r="R74" s="305"/>
    </row>
    <row r="75" spans="1:18" ht="15.75" customHeight="1">
      <c r="A75" s="636"/>
      <c r="B75" s="297">
        <v>0</v>
      </c>
      <c r="C75" s="6" t="s">
        <v>560</v>
      </c>
      <c r="D75" s="613" t="s">
        <v>550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3317.4717294708316</v>
      </c>
      <c r="L75" s="314">
        <f>AVERAGE(L65:L74)</f>
        <v>994.02856098640109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 t="shared" si="3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82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77"/>
      <c r="H77" s="300">
        <f t="shared" si="3"/>
        <v>0</v>
      </c>
      <c r="I77" s="479"/>
      <c r="J77" s="301"/>
      <c r="K77" s="302"/>
      <c r="L77" s="303"/>
      <c r="M77" s="304"/>
      <c r="N77" s="304"/>
      <c r="O77" s="296"/>
      <c r="P77" s="482"/>
      <c r="Q77" s="296"/>
      <c r="R77" s="296"/>
    </row>
    <row r="78" spans="1:18">
      <c r="A78" s="621"/>
      <c r="B78" s="297">
        <v>0</v>
      </c>
      <c r="C78" s="308"/>
      <c r="D78" s="485"/>
      <c r="E78" s="485"/>
      <c r="F78" s="299" t="s">
        <v>186</v>
      </c>
      <c r="G78" s="324"/>
      <c r="H78" s="300">
        <f t="shared" si="3"/>
        <v>0</v>
      </c>
      <c r="I78" s="479"/>
      <c r="J78" s="301"/>
      <c r="K78" s="302"/>
      <c r="L78" s="303"/>
      <c r="M78" s="304"/>
      <c r="N78" s="304"/>
      <c r="O78" s="296"/>
      <c r="P78" s="482"/>
      <c r="Q78" s="296"/>
      <c r="R78" s="296"/>
    </row>
    <row r="79" spans="1:18">
      <c r="A79" s="621"/>
      <c r="B79" s="297">
        <v>0</v>
      </c>
      <c r="C79" s="308"/>
      <c r="D79" s="485"/>
      <c r="E79" s="485"/>
      <c r="F79" s="299" t="s">
        <v>186</v>
      </c>
      <c r="G79" s="324"/>
      <c r="H79" s="300">
        <f t="shared" si="3"/>
        <v>0</v>
      </c>
      <c r="I79" s="479"/>
      <c r="J79" s="301"/>
      <c r="K79" s="302"/>
      <c r="L79" s="303"/>
      <c r="M79" s="304"/>
      <c r="N79" s="304"/>
      <c r="O79" s="296"/>
      <c r="P79" s="482"/>
      <c r="Q79" s="296"/>
      <c r="R79" s="296"/>
    </row>
    <row r="80" spans="1:18">
      <c r="A80" s="621"/>
      <c r="B80" s="297">
        <v>0</v>
      </c>
      <c r="C80" s="308"/>
      <c r="D80" s="485"/>
      <c r="E80" s="485"/>
      <c r="F80" s="299" t="s">
        <v>186</v>
      </c>
      <c r="G80" s="324"/>
      <c r="H80" s="300">
        <f t="shared" si="3"/>
        <v>0</v>
      </c>
      <c r="I80" s="479"/>
      <c r="J80" s="301"/>
      <c r="K80" s="302"/>
      <c r="L80" s="303"/>
      <c r="M80" s="304"/>
      <c r="N80" s="304"/>
      <c r="O80" s="296"/>
      <c r="P80" s="482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550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561</v>
      </c>
      <c r="B82" s="297" t="s">
        <v>184</v>
      </c>
      <c r="C82" s="319"/>
      <c r="D82" s="320" t="s">
        <v>168</v>
      </c>
      <c r="E82" s="346"/>
      <c r="F82" s="299">
        <v>18.18</v>
      </c>
      <c r="G82" s="324">
        <v>280</v>
      </c>
      <c r="H82" s="347">
        <f t="shared" ref="H82:H90" si="20">F82*G82</f>
        <v>5090.3999999999996</v>
      </c>
      <c r="I82" s="479"/>
      <c r="J82" s="301">
        <v>4</v>
      </c>
      <c r="K82" s="302">
        <f t="shared" ref="K82" si="21">G82/P82*60</f>
        <v>2800.00000000001</v>
      </c>
      <c r="L82" s="303">
        <f t="shared" ref="L82" si="22">K82/J82</f>
        <v>700.0000000000025</v>
      </c>
      <c r="M82" s="304">
        <v>0.72222222222222221</v>
      </c>
      <c r="N82" s="304">
        <v>0.72638888888888886</v>
      </c>
      <c r="O82" s="302">
        <v>20</v>
      </c>
      <c r="P82" s="482">
        <f>(N82-M82)*24*60</f>
        <v>5.9999999999999787</v>
      </c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20"/>
        <v>0</v>
      </c>
      <c r="I83" s="479"/>
      <c r="J83" s="301"/>
      <c r="K83" s="302"/>
      <c r="L83" s="303"/>
      <c r="M83" s="304"/>
      <c r="N83" s="304"/>
      <c r="O83" s="302"/>
      <c r="P83" s="482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20"/>
        <v>0</v>
      </c>
      <c r="I84" s="479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20"/>
        <v>0</v>
      </c>
      <c r="I85" s="479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77"/>
      <c r="H86" s="348">
        <f t="shared" si="20"/>
        <v>0</v>
      </c>
      <c r="I86" s="479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77"/>
      <c r="H87" s="348">
        <f t="shared" si="20"/>
        <v>0</v>
      </c>
      <c r="I87" s="479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77"/>
      <c r="H88" s="348">
        <f t="shared" si="20"/>
        <v>0</v>
      </c>
      <c r="I88" s="479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77"/>
      <c r="H89" s="348">
        <f t="shared" si="20"/>
        <v>0</v>
      </c>
      <c r="I89" s="479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77"/>
      <c r="H90" s="348">
        <f t="shared" si="20"/>
        <v>0</v>
      </c>
      <c r="I90" s="479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551</v>
      </c>
      <c r="D91" s="641" t="s">
        <v>550</v>
      </c>
      <c r="E91" s="641"/>
      <c r="F91" s="309"/>
      <c r="G91" s="350"/>
      <c r="H91" s="351"/>
      <c r="I91" s="312"/>
      <c r="J91" s="313">
        <f>AVERAGE(J82:J90)</f>
        <v>4</v>
      </c>
      <c r="K91" s="313">
        <f>AVERAGE(K82:K90)</f>
        <v>2800.00000000001</v>
      </c>
      <c r="L91" s="314">
        <f>AVERAGE(L82:L90)</f>
        <v>700.0000000000025</v>
      </c>
      <c r="M91" s="304"/>
      <c r="N91" s="304"/>
      <c r="O91" s="302"/>
      <c r="P91" s="302"/>
      <c r="Q91" s="303"/>
      <c r="R91" s="303"/>
    </row>
    <row r="92" spans="1:18" ht="16.2" customHeight="1">
      <c r="A92" s="642" t="s">
        <v>562</v>
      </c>
      <c r="B92" s="297" t="s">
        <v>184</v>
      </c>
      <c r="C92" s="308"/>
      <c r="D92" s="352" t="s">
        <v>563</v>
      </c>
      <c r="E92" s="346"/>
      <c r="F92" s="299">
        <v>24.54</v>
      </c>
      <c r="G92" s="477">
        <v>1643</v>
      </c>
      <c r="H92" s="300">
        <f t="shared" ref="H92:H97" si="23">F92*G92</f>
        <v>40319.22</v>
      </c>
      <c r="I92" s="479"/>
      <c r="J92" s="301">
        <v>3</v>
      </c>
      <c r="K92" s="302">
        <f>G92/P92*60</f>
        <v>2190.666666666667</v>
      </c>
      <c r="L92" s="303">
        <f t="shared" ref="L92:L94" si="24">K92/J92</f>
        <v>730.22222222222229</v>
      </c>
      <c r="M92" s="304">
        <v>0.72222222222222221</v>
      </c>
      <c r="N92" s="304">
        <v>0.75347222222222221</v>
      </c>
      <c r="O92" s="296">
        <v>20</v>
      </c>
      <c r="P92" s="482">
        <f>(N92-M92)*24*60</f>
        <v>45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77">
        <v>736</v>
      </c>
      <c r="H93" s="300">
        <f t="shared" si="23"/>
        <v>16545.28</v>
      </c>
      <c r="I93" s="479"/>
      <c r="J93" s="301">
        <v>4</v>
      </c>
      <c r="K93" s="302">
        <f t="shared" ref="K93:K94" si="25">G93/P93*60</f>
        <v>2208.0000000000077</v>
      </c>
      <c r="L93" s="303">
        <f t="shared" si="24"/>
        <v>552.00000000000193</v>
      </c>
      <c r="M93" s="304">
        <v>0.76736111111111116</v>
      </c>
      <c r="N93" s="304">
        <v>0.78125</v>
      </c>
      <c r="O93" s="296">
        <v>20</v>
      </c>
      <c r="P93" s="482">
        <f>(N93-M93)*24*60</f>
        <v>19.999999999999929</v>
      </c>
      <c r="Q93" s="305"/>
      <c r="R93" s="305"/>
    </row>
    <row r="94" spans="1:18">
      <c r="A94" s="643"/>
      <c r="B94" s="297" t="s">
        <v>184</v>
      </c>
      <c r="C94" s="308"/>
      <c r="D94" s="352" t="s">
        <v>564</v>
      </c>
      <c r="E94" s="341"/>
      <c r="F94" s="299">
        <v>22.21</v>
      </c>
      <c r="G94" s="306">
        <v>1214</v>
      </c>
      <c r="H94" s="300">
        <f t="shared" si="23"/>
        <v>26962.940000000002</v>
      </c>
      <c r="I94" s="479"/>
      <c r="J94" s="301">
        <v>4</v>
      </c>
      <c r="K94" s="302">
        <f t="shared" si="25"/>
        <v>2081.1428571428455</v>
      </c>
      <c r="L94" s="303">
        <f t="shared" si="24"/>
        <v>520.28571428571138</v>
      </c>
      <c r="M94" s="304">
        <v>0.79513888888888884</v>
      </c>
      <c r="N94" s="304">
        <v>0.81944444444444453</v>
      </c>
      <c r="O94" s="296">
        <v>20</v>
      </c>
      <c r="P94" s="482">
        <f>(N94-M94)*24*60</f>
        <v>35.000000000000199</v>
      </c>
      <c r="Q94" s="305"/>
      <c r="R94" s="305"/>
    </row>
    <row r="95" spans="1:18">
      <c r="A95" s="644"/>
      <c r="B95" s="297">
        <v>0</v>
      </c>
      <c r="C95" s="308"/>
      <c r="D95" s="320"/>
      <c r="E95" s="341"/>
      <c r="F95" s="299" t="s">
        <v>186</v>
      </c>
      <c r="G95" s="306"/>
      <c r="H95" s="300">
        <f t="shared" si="23"/>
        <v>0</v>
      </c>
      <c r="I95" s="479"/>
      <c r="J95" s="301"/>
      <c r="K95" s="302"/>
      <c r="L95" s="303"/>
      <c r="M95" s="304"/>
      <c r="N95" s="304"/>
      <c r="O95" s="296"/>
      <c r="P95" s="482"/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23"/>
        <v>0</v>
      </c>
      <c r="I96" s="479"/>
      <c r="J96" s="301"/>
      <c r="K96" s="302"/>
      <c r="L96" s="303"/>
      <c r="M96" s="304"/>
      <c r="N96" s="304"/>
      <c r="O96" s="296"/>
      <c r="P96" s="482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23"/>
        <v>0</v>
      </c>
      <c r="I97" s="479"/>
      <c r="J97" s="301"/>
      <c r="K97" s="302"/>
      <c r="L97" s="303"/>
      <c r="M97" s="304"/>
      <c r="N97" s="304"/>
      <c r="O97" s="296"/>
      <c r="P97" s="482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79"/>
      <c r="J98" s="301"/>
      <c r="K98" s="302"/>
      <c r="L98" s="303"/>
      <c r="M98" s="304"/>
      <c r="N98" s="304"/>
      <c r="O98" s="296"/>
      <c r="P98" s="482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79"/>
      <c r="J99" s="301"/>
      <c r="K99" s="302"/>
      <c r="L99" s="303"/>
      <c r="M99" s="304"/>
      <c r="N99" s="304"/>
      <c r="O99" s="296"/>
      <c r="P99" s="482"/>
      <c r="Q99" s="305"/>
      <c r="R99" s="305"/>
    </row>
    <row r="100" spans="1:18" ht="15.75" customHeight="1">
      <c r="A100" s="644"/>
      <c r="B100" s="297">
        <v>0</v>
      </c>
      <c r="C100" s="6" t="s">
        <v>565</v>
      </c>
      <c r="D100" s="645" t="s">
        <v>550</v>
      </c>
      <c r="E100" s="646"/>
      <c r="F100" s="309"/>
      <c r="G100" s="310"/>
      <c r="H100" s="353"/>
      <c r="I100" s="312"/>
      <c r="J100" s="313">
        <f>AVERAGE(J92:J99)</f>
        <v>3.6666666666666665</v>
      </c>
      <c r="K100" s="313">
        <f>AVERAGE(K92:K99)</f>
        <v>2159.936507936507</v>
      </c>
      <c r="L100" s="314">
        <f>AVERAGE(L92:L99)</f>
        <v>600.83597883597849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566</v>
      </c>
      <c r="B101" s="297" t="s">
        <v>184</v>
      </c>
      <c r="C101" s="6"/>
      <c r="D101" s="341" t="s">
        <v>173</v>
      </c>
      <c r="E101" s="354"/>
      <c r="F101" s="299">
        <v>25.03</v>
      </c>
      <c r="G101" s="477">
        <v>1051</v>
      </c>
      <c r="H101" s="300">
        <f t="shared" ref="H101:H110" si="26">F101*G101</f>
        <v>26306.530000000002</v>
      </c>
      <c r="I101" s="479"/>
      <c r="J101" s="301">
        <v>4</v>
      </c>
      <c r="K101" s="302">
        <f>G101/P101*60</f>
        <v>3152.9999999999864</v>
      </c>
      <c r="L101" s="303">
        <f t="shared" ref="L101:L105" si="27">K101/J101</f>
        <v>788.24999999999659</v>
      </c>
      <c r="M101" s="304">
        <v>0.72222222222222221</v>
      </c>
      <c r="N101" s="304">
        <v>0.73611111111111116</v>
      </c>
      <c r="O101" s="296">
        <v>20</v>
      </c>
      <c r="P101" s="302">
        <f t="shared" ref="P101:P103" si="28">(N101-M101)*24*60</f>
        <v>20.000000000000089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77">
        <v>1638</v>
      </c>
      <c r="H102" s="300">
        <f t="shared" si="26"/>
        <v>40655.160000000003</v>
      </c>
      <c r="I102" s="479"/>
      <c r="J102" s="301">
        <v>4</v>
      </c>
      <c r="K102" s="302">
        <f t="shared" ref="K102:K105" si="29">G102/P102*60</f>
        <v>2808.00000000001</v>
      </c>
      <c r="L102" s="303">
        <f t="shared" si="27"/>
        <v>702.0000000000025</v>
      </c>
      <c r="M102" s="304">
        <v>0.75</v>
      </c>
      <c r="N102" s="304">
        <v>0.77430555555555547</v>
      </c>
      <c r="O102" s="296">
        <v>20</v>
      </c>
      <c r="P102" s="302">
        <f t="shared" si="28"/>
        <v>34.999999999999872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77">
        <v>2859</v>
      </c>
      <c r="H103" s="300">
        <f t="shared" si="26"/>
        <v>81681.63</v>
      </c>
      <c r="I103" s="479"/>
      <c r="J103" s="301">
        <v>3</v>
      </c>
      <c r="K103" s="302">
        <f t="shared" si="29"/>
        <v>2859.0000000000027</v>
      </c>
      <c r="L103" s="303">
        <f t="shared" si="27"/>
        <v>953.00000000000091</v>
      </c>
      <c r="M103" s="304">
        <v>0.78819444444444453</v>
      </c>
      <c r="N103" s="304">
        <v>0.82986111111111116</v>
      </c>
      <c r="O103" s="296">
        <v>20</v>
      </c>
      <c r="P103" s="302">
        <f t="shared" si="28"/>
        <v>59.999999999999943</v>
      </c>
      <c r="Q103" s="305"/>
      <c r="R103" s="305"/>
    </row>
    <row r="104" spans="1:18">
      <c r="A104" s="647"/>
      <c r="B104" s="297" t="s">
        <v>184</v>
      </c>
      <c r="C104" s="6"/>
      <c r="D104" s="320" t="s">
        <v>567</v>
      </c>
      <c r="E104" s="341"/>
      <c r="F104" s="299">
        <v>14.03</v>
      </c>
      <c r="G104" s="477">
        <v>5618</v>
      </c>
      <c r="H104" s="300">
        <f t="shared" si="26"/>
        <v>78820.539999999994</v>
      </c>
      <c r="I104" s="479"/>
      <c r="J104" s="301">
        <v>3</v>
      </c>
      <c r="K104" s="302">
        <f t="shared" si="29"/>
        <v>2931.1304347826072</v>
      </c>
      <c r="L104" s="303">
        <f t="shared" si="27"/>
        <v>977.04347826086905</v>
      </c>
      <c r="M104" s="304">
        <v>0.84375</v>
      </c>
      <c r="N104" s="304">
        <v>0.92361111111111116</v>
      </c>
      <c r="O104" s="296">
        <v>20</v>
      </c>
      <c r="P104" s="302">
        <f>(N104-M104)*24*60</f>
        <v>115.00000000000007</v>
      </c>
      <c r="Q104" s="305">
        <v>0.92361111111111116</v>
      </c>
      <c r="R104" s="305">
        <v>0.96527777777777779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77">
        <v>7711</v>
      </c>
      <c r="H105" s="300">
        <f t="shared" si="26"/>
        <v>110157.14285714284</v>
      </c>
      <c r="I105" s="479"/>
      <c r="J105" s="301">
        <v>3</v>
      </c>
      <c r="K105" s="302">
        <f t="shared" si="29"/>
        <v>2984.9032257616141</v>
      </c>
      <c r="L105" s="303">
        <f t="shared" si="27"/>
        <v>994.96774192053806</v>
      </c>
      <c r="M105" s="304">
        <v>46117.979166666664</v>
      </c>
      <c r="N105" s="304">
        <v>46118.086805555555</v>
      </c>
      <c r="O105" s="296">
        <v>20</v>
      </c>
      <c r="P105" s="302">
        <f>(N105-M105)*24*60</f>
        <v>155.00000000232831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26"/>
        <v>0</v>
      </c>
      <c r="I106" s="479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77"/>
      <c r="H107" s="300">
        <f t="shared" si="26"/>
        <v>0</v>
      </c>
      <c r="I107" s="479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77"/>
      <c r="H108" s="300">
        <f t="shared" si="26"/>
        <v>0</v>
      </c>
      <c r="I108" s="479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77"/>
      <c r="H109" s="300">
        <f t="shared" si="26"/>
        <v>0</v>
      </c>
      <c r="I109" s="479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77"/>
      <c r="H110" s="300">
        <f t="shared" si="26"/>
        <v>0</v>
      </c>
      <c r="I110" s="479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47"/>
      <c r="B111" s="297">
        <v>0</v>
      </c>
      <c r="C111" s="6" t="s">
        <v>555</v>
      </c>
      <c r="D111" s="624" t="s">
        <v>550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2947.2067321088443</v>
      </c>
      <c r="L111" s="314">
        <f>AVERAGE(L101:L110)</f>
        <v>883.05224403628142</v>
      </c>
      <c r="M111" s="304"/>
      <c r="N111" s="304"/>
      <c r="O111" s="302"/>
      <c r="P111" s="302"/>
      <c r="Q111" s="303"/>
      <c r="R111" s="296"/>
    </row>
    <row r="112" spans="1:18" ht="16.2" customHeight="1">
      <c r="A112" s="637" t="s">
        <v>568</v>
      </c>
      <c r="B112" s="297" t="s">
        <v>184</v>
      </c>
      <c r="C112" s="6"/>
      <c r="D112" s="337" t="s">
        <v>169</v>
      </c>
      <c r="E112" s="357"/>
      <c r="F112" s="299">
        <v>16.7</v>
      </c>
      <c r="G112" s="477">
        <v>1129</v>
      </c>
      <c r="H112" s="347">
        <f t="shared" si="3"/>
        <v>18854.3</v>
      </c>
      <c r="I112" s="479"/>
      <c r="J112" s="301">
        <v>3</v>
      </c>
      <c r="K112" s="302">
        <f t="shared" ref="K112:K117" si="30">G112/P112*60</f>
        <v>2709.5999999999922</v>
      </c>
      <c r="L112" s="303">
        <f t="shared" ref="L112:L117" si="31">K112/J112</f>
        <v>903.19999999999743</v>
      </c>
      <c r="M112" s="304">
        <v>0.72222222222222221</v>
      </c>
      <c r="N112" s="304">
        <v>0.73958333333333337</v>
      </c>
      <c r="O112" s="296">
        <v>20</v>
      </c>
      <c r="P112" s="482">
        <f t="shared" ref="P112:P117" si="32">(N112-M112)*24*60</f>
        <v>25.000000000000071</v>
      </c>
      <c r="Q112" s="296"/>
      <c r="R112" s="296"/>
    </row>
    <row r="113" spans="1:18">
      <c r="A113" s="637"/>
      <c r="B113" s="297" t="s">
        <v>184</v>
      </c>
      <c r="C113" s="319"/>
      <c r="D113" s="485" t="s">
        <v>177</v>
      </c>
      <c r="E113" s="485"/>
      <c r="F113" s="299">
        <v>18.18</v>
      </c>
      <c r="G113" s="477">
        <v>968</v>
      </c>
      <c r="H113" s="347">
        <f t="shared" si="3"/>
        <v>17598.239999999998</v>
      </c>
      <c r="I113" s="479"/>
      <c r="J113" s="301">
        <v>4</v>
      </c>
      <c r="K113" s="302">
        <f t="shared" si="30"/>
        <v>2903.9999999999873</v>
      </c>
      <c r="L113" s="303">
        <f t="shared" si="31"/>
        <v>725.99999999999682</v>
      </c>
      <c r="M113" s="304">
        <v>0.75347222222222221</v>
      </c>
      <c r="N113" s="304">
        <v>0.76736111111111116</v>
      </c>
      <c r="O113" s="296">
        <v>20</v>
      </c>
      <c r="P113" s="482">
        <f t="shared" si="32"/>
        <v>20.000000000000089</v>
      </c>
      <c r="Q113" s="305"/>
      <c r="R113" s="305"/>
    </row>
    <row r="114" spans="1:18">
      <c r="A114" s="637"/>
      <c r="B114" s="297" t="s">
        <v>184</v>
      </c>
      <c r="C114" s="319"/>
      <c r="D114" s="485" t="s">
        <v>569</v>
      </c>
      <c r="E114" s="320"/>
      <c r="F114" s="299">
        <v>18.18</v>
      </c>
      <c r="G114" s="477">
        <v>1120</v>
      </c>
      <c r="H114" s="347">
        <f>F114*G114</f>
        <v>20361.599999999999</v>
      </c>
      <c r="I114" s="479"/>
      <c r="J114" s="301">
        <v>3</v>
      </c>
      <c r="K114" s="302">
        <f t="shared" si="30"/>
        <v>2687.9999999999923</v>
      </c>
      <c r="L114" s="303">
        <f t="shared" si="31"/>
        <v>895.99999999999739</v>
      </c>
      <c r="M114" s="304">
        <v>0.78125</v>
      </c>
      <c r="N114" s="304">
        <v>0.79861111111111116</v>
      </c>
      <c r="O114" s="296">
        <v>20</v>
      </c>
      <c r="P114" s="482">
        <f t="shared" si="32"/>
        <v>25.000000000000071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77">
        <v>5242</v>
      </c>
      <c r="H115" s="347">
        <f t="shared" ref="H115:H123" si="33">F115*G115</f>
        <v>87331.72</v>
      </c>
      <c r="I115" s="479"/>
      <c r="J115" s="301">
        <v>4</v>
      </c>
      <c r="K115" s="302">
        <f t="shared" si="30"/>
        <v>2995.4285714285734</v>
      </c>
      <c r="L115" s="303">
        <f t="shared" si="31"/>
        <v>748.85714285714334</v>
      </c>
      <c r="M115" s="304">
        <v>0.8125</v>
      </c>
      <c r="N115" s="304">
        <v>0.88541666666666663</v>
      </c>
      <c r="O115" s="296">
        <v>20</v>
      </c>
      <c r="P115" s="482">
        <f t="shared" si="32"/>
        <v>104.99999999999994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77">
        <v>1027</v>
      </c>
      <c r="H116" s="347">
        <f t="shared" si="33"/>
        <v>22883.427272727273</v>
      </c>
      <c r="I116" s="479"/>
      <c r="J116" s="301">
        <v>4</v>
      </c>
      <c r="K116" s="302">
        <f t="shared" si="30"/>
        <v>3080.9999999999618</v>
      </c>
      <c r="L116" s="303">
        <f t="shared" si="31"/>
        <v>770.24999999999045</v>
      </c>
      <c r="M116" s="304">
        <v>0.89930555555555547</v>
      </c>
      <c r="N116" s="349">
        <v>0.91319444444444453</v>
      </c>
      <c r="O116" s="296">
        <v>20</v>
      </c>
      <c r="P116" s="482">
        <f t="shared" si="32"/>
        <v>20.000000000000249</v>
      </c>
      <c r="Q116" s="305">
        <v>0.91319444444444453</v>
      </c>
      <c r="R116" s="305">
        <v>0.95486111111111116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77">
        <v>3623</v>
      </c>
      <c r="H117" s="347">
        <f t="shared" si="33"/>
        <v>64818.763636363634</v>
      </c>
      <c r="I117" s="479"/>
      <c r="J117" s="301">
        <v>3</v>
      </c>
      <c r="K117" s="302">
        <f t="shared" si="30"/>
        <v>2898.3999998650329</v>
      </c>
      <c r="L117" s="303">
        <f t="shared" si="31"/>
        <v>966.13333328834426</v>
      </c>
      <c r="M117" s="304">
        <v>46117.96875</v>
      </c>
      <c r="N117" s="304">
        <v>46118.020833333336</v>
      </c>
      <c r="O117" s="302">
        <v>20</v>
      </c>
      <c r="P117" s="482">
        <f t="shared" si="32"/>
        <v>75.00000000349246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77"/>
      <c r="H118" s="347">
        <f t="shared" si="33"/>
        <v>0</v>
      </c>
      <c r="I118" s="479"/>
      <c r="J118" s="301"/>
      <c r="K118" s="302"/>
      <c r="L118" s="303"/>
      <c r="M118" s="304"/>
      <c r="N118" s="304"/>
      <c r="O118" s="296"/>
      <c r="P118" s="482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77"/>
      <c r="H119" s="347">
        <f t="shared" si="33"/>
        <v>0</v>
      </c>
      <c r="I119" s="479"/>
      <c r="J119" s="301"/>
      <c r="K119" s="302"/>
      <c r="L119" s="303"/>
      <c r="M119" s="304"/>
      <c r="N119" s="304"/>
      <c r="O119" s="296"/>
      <c r="P119" s="482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77"/>
      <c r="H120" s="347"/>
      <c r="I120" s="479"/>
      <c r="J120" s="301"/>
      <c r="K120" s="302"/>
      <c r="L120" s="303"/>
      <c r="M120" s="304"/>
      <c r="N120" s="304"/>
      <c r="O120" s="296"/>
      <c r="P120" s="482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77"/>
      <c r="H121" s="347"/>
      <c r="I121" s="479"/>
      <c r="J121" s="301"/>
      <c r="K121" s="302"/>
      <c r="L121" s="303"/>
      <c r="M121" s="304"/>
      <c r="N121" s="304"/>
      <c r="O121" s="296"/>
      <c r="P121" s="482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77"/>
      <c r="H122" s="347"/>
      <c r="I122" s="479"/>
      <c r="J122" s="301"/>
      <c r="K122" s="302"/>
      <c r="L122" s="303"/>
      <c r="M122" s="304"/>
      <c r="N122" s="304"/>
      <c r="O122" s="296"/>
      <c r="P122" s="482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77"/>
      <c r="H123" s="347">
        <f t="shared" si="33"/>
        <v>0</v>
      </c>
      <c r="I123" s="479"/>
      <c r="J123" s="301"/>
      <c r="K123" s="302"/>
      <c r="L123" s="303"/>
      <c r="M123" s="304"/>
      <c r="N123" s="304"/>
      <c r="O123" s="296"/>
      <c r="P123" s="482"/>
      <c r="Q123" s="305"/>
      <c r="R123" s="305"/>
    </row>
    <row r="124" spans="1:18" ht="17.399999999999999" customHeight="1">
      <c r="A124" s="637"/>
      <c r="B124" s="308">
        <v>0</v>
      </c>
      <c r="C124" s="6" t="s">
        <v>560</v>
      </c>
      <c r="D124" s="638" t="s">
        <v>550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2879.4047618822569</v>
      </c>
      <c r="L124" s="314">
        <f>AVERAGE(L112:L123)</f>
        <v>835.0734126909116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65" activePane="bottomLeft" state="frozen"/>
      <selection activeCell="AE73" sqref="AE73"/>
      <selection pane="bottomLeft" activeCell="L72" sqref="L7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604</v>
      </c>
      <c r="B1" s="28"/>
      <c r="C1" s="28"/>
      <c r="D1" s="489" t="s">
        <v>515</v>
      </c>
      <c r="E1" s="29">
        <f>SUM(G5:G173)</f>
        <v>149366.00000000003</v>
      </c>
      <c r="F1" s="490" t="s">
        <v>3</v>
      </c>
      <c r="G1" s="30">
        <f>SUM(H5:H173)</f>
        <v>5906397.6562134931</v>
      </c>
      <c r="H1" s="486" t="s">
        <v>52</v>
      </c>
      <c r="I1" s="31">
        <f>M17+M30+M43+M56+M69+M82+M95+M108+M121+M134+M147+M160+M173</f>
        <v>197.08333333333334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605</v>
      </c>
      <c r="Q1" s="649"/>
      <c r="R1" s="649"/>
      <c r="S1" s="649"/>
      <c r="T1" s="649" t="s">
        <v>518</v>
      </c>
      <c r="U1" s="649"/>
      <c r="V1" s="649"/>
      <c r="W1" s="649"/>
      <c r="X1" s="649"/>
      <c r="Y1" s="649"/>
      <c r="Z1" s="32" t="s">
        <v>606</v>
      </c>
      <c r="AA1" s="32" t="s">
        <v>607</v>
      </c>
      <c r="AB1" s="665" t="s">
        <v>608</v>
      </c>
      <c r="AC1" s="666"/>
      <c r="AD1" s="32" t="s">
        <v>606</v>
      </c>
      <c r="AE1" s="32" t="s">
        <v>609</v>
      </c>
      <c r="AF1" s="649" t="s">
        <v>610</v>
      </c>
      <c r="AG1" s="650"/>
      <c r="AH1" s="650"/>
    </row>
    <row r="2" spans="1:34" ht="26.25" customHeight="1">
      <c r="A2" s="657" t="s">
        <v>611</v>
      </c>
      <c r="B2" s="657"/>
      <c r="C2" s="489"/>
      <c r="D2" s="489" t="s">
        <v>520</v>
      </c>
      <c r="E2" s="34">
        <f>AVERAGE(O17,O30,O43,O56,O69,O82,O95,O108,O121,O134,O147,O160,O173)</f>
        <v>127.24377261814071</v>
      </c>
      <c r="F2" s="35" t="s">
        <v>55</v>
      </c>
      <c r="G2" s="36">
        <f>G1/E1</f>
        <v>39.543119961795135</v>
      </c>
      <c r="H2" s="486" t="s">
        <v>56</v>
      </c>
      <c r="I2" s="486">
        <f>COUNT(I5:I173)</f>
        <v>5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4</v>
      </c>
      <c r="AE2" s="38">
        <f>AE17+AE30+AE43+AE56+AE69+AE82+AE95+AE108+AE121+AE134+AE147+AE160+AE173</f>
        <v>3</v>
      </c>
      <c r="AF2" s="650"/>
      <c r="AG2" s="650"/>
      <c r="AH2" s="650"/>
    </row>
    <row r="3" spans="1:34" ht="30.6" customHeight="1">
      <c r="A3" s="658" t="s">
        <v>522</v>
      </c>
      <c r="B3" s="658" t="s">
        <v>57</v>
      </c>
      <c r="C3" s="659"/>
      <c r="D3" s="658" t="s">
        <v>524</v>
      </c>
      <c r="E3" s="658"/>
      <c r="F3" s="659" t="s">
        <v>58</v>
      </c>
      <c r="G3" s="674" t="s">
        <v>59</v>
      </c>
      <c r="H3" s="659" t="s">
        <v>60</v>
      </c>
      <c r="I3" s="651" t="s">
        <v>527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529</v>
      </c>
      <c r="O3" s="654" t="s">
        <v>520</v>
      </c>
      <c r="P3" s="652" t="s">
        <v>528</v>
      </c>
      <c r="Q3" s="654" t="s">
        <v>520</v>
      </c>
      <c r="R3" s="655" t="s">
        <v>612</v>
      </c>
      <c r="S3" s="656" t="s">
        <v>613</v>
      </c>
      <c r="T3" s="674" t="s">
        <v>63</v>
      </c>
      <c r="U3" s="674"/>
      <c r="V3" s="675" t="s">
        <v>64</v>
      </c>
      <c r="W3" s="651" t="s">
        <v>614</v>
      </c>
      <c r="X3" s="674" t="s">
        <v>615</v>
      </c>
      <c r="Y3" s="674"/>
      <c r="Z3" s="676" t="s">
        <v>616</v>
      </c>
      <c r="AA3" s="677"/>
      <c r="AB3" s="661" t="s">
        <v>617</v>
      </c>
      <c r="AC3" s="662"/>
      <c r="AD3" s="663" t="s">
        <v>618</v>
      </c>
      <c r="AE3" s="664"/>
      <c r="AF3" s="653" t="s">
        <v>619</v>
      </c>
      <c r="AG3" s="655" t="s">
        <v>620</v>
      </c>
      <c r="AH3" s="656" t="s">
        <v>621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96" t="s">
        <v>65</v>
      </c>
      <c r="U4" s="496" t="s">
        <v>66</v>
      </c>
      <c r="V4" s="674"/>
      <c r="W4" s="651"/>
      <c r="X4" s="490" t="s">
        <v>622</v>
      </c>
      <c r="Y4" s="490" t="s">
        <v>51</v>
      </c>
      <c r="Z4" s="496" t="s">
        <v>623</v>
      </c>
      <c r="AA4" s="496" t="s">
        <v>624</v>
      </c>
      <c r="AB4" s="662"/>
      <c r="AC4" s="662"/>
      <c r="AD4" s="496" t="s">
        <v>625</v>
      </c>
      <c r="AE4" s="39" t="s">
        <v>626</v>
      </c>
      <c r="AF4" s="653"/>
      <c r="AG4" s="655"/>
      <c r="AH4" s="656"/>
    </row>
    <row r="5" spans="1:34" ht="18.75" customHeight="1">
      <c r="A5" s="669" t="s">
        <v>627</v>
      </c>
      <c r="B5" s="40" t="s">
        <v>180</v>
      </c>
      <c r="C5" s="41"/>
      <c r="D5" s="42" t="s">
        <v>70</v>
      </c>
      <c r="E5" s="43"/>
      <c r="F5" s="361">
        <v>37.94</v>
      </c>
      <c r="G5" s="44">
        <v>3394.3</v>
      </c>
      <c r="H5" s="45">
        <f t="shared" ref="H5:H16" si="0">F5*G5</f>
        <v>128779.742</v>
      </c>
      <c r="I5" s="487"/>
      <c r="J5" s="46">
        <v>20</v>
      </c>
      <c r="K5" s="44">
        <v>2400</v>
      </c>
      <c r="L5" s="47">
        <v>120</v>
      </c>
      <c r="M5" s="488">
        <v>20</v>
      </c>
      <c r="N5" s="44">
        <f t="shared" ref="N5:N10" si="1">G5/W5*60</f>
        <v>2288.2921348314608</v>
      </c>
      <c r="O5" s="47">
        <f t="shared" ref="O5:O10" si="2">N5/M5</f>
        <v>114.41460674157304</v>
      </c>
      <c r="P5" s="48">
        <f t="shared" ref="P5:P10" si="3">M5-J5</f>
        <v>0</v>
      </c>
      <c r="Q5" s="49">
        <f t="shared" ref="Q5:Q10" si="4">O5-L5</f>
        <v>-5.5853932584269614</v>
      </c>
      <c r="R5" s="494">
        <f t="shared" ref="R5:R10" si="5">O5/L5</f>
        <v>0.95345505617977533</v>
      </c>
      <c r="S5" s="672">
        <f>R17</f>
        <v>0.92803926426052907</v>
      </c>
      <c r="T5" s="50">
        <v>0.29166666666666669</v>
      </c>
      <c r="U5" s="50">
        <v>0.35347222222222224</v>
      </c>
      <c r="V5" s="490">
        <v>5</v>
      </c>
      <c r="W5" s="487">
        <f>(U5-T5)*24*60</f>
        <v>89</v>
      </c>
      <c r="X5" s="490"/>
      <c r="Y5" s="490"/>
      <c r="Z5" s="51"/>
      <c r="AA5" s="51"/>
      <c r="AB5" s="658"/>
      <c r="AC5" s="658"/>
      <c r="AD5" s="52"/>
      <c r="AE5" s="52"/>
      <c r="AF5" s="48">
        <f t="shared" ref="AF5:AF70" si="6">N5-K5</f>
        <v>-111.70786516853923</v>
      </c>
      <c r="AG5" s="494">
        <f t="shared" ref="AG5:AG70" si="7">N5/K5</f>
        <v>0.95345505617977533</v>
      </c>
      <c r="AH5" s="672">
        <f>AG17</f>
        <v>0.9625612667965856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2023.45</v>
      </c>
      <c r="H6" s="45">
        <f t="shared" si="0"/>
        <v>63265.454421152528</v>
      </c>
      <c r="I6" s="487"/>
      <c r="J6" s="46">
        <v>18</v>
      </c>
      <c r="K6" s="44">
        <v>2600</v>
      </c>
      <c r="L6" s="47">
        <v>144.44444444444446</v>
      </c>
      <c r="M6" s="488">
        <v>19</v>
      </c>
      <c r="N6" s="44">
        <f t="shared" si="1"/>
        <v>2529.3125000000009</v>
      </c>
      <c r="O6" s="47">
        <f t="shared" si="2"/>
        <v>133.12171052631584</v>
      </c>
      <c r="P6" s="48">
        <f t="shared" si="3"/>
        <v>1</v>
      </c>
      <c r="Q6" s="49">
        <f t="shared" si="4"/>
        <v>-11.32273391812862</v>
      </c>
      <c r="R6" s="494">
        <f t="shared" si="5"/>
        <v>0.92161184210526337</v>
      </c>
      <c r="S6" s="672"/>
      <c r="T6" s="50">
        <v>0.35833333333333334</v>
      </c>
      <c r="U6" s="50">
        <v>0.39166666666666666</v>
      </c>
      <c r="V6" s="490">
        <v>7</v>
      </c>
      <c r="W6" s="487">
        <f t="shared" ref="W6:W17" si="8">(U6-T6)*24*60</f>
        <v>47.999999999999986</v>
      </c>
      <c r="X6" s="53"/>
      <c r="Y6" s="53"/>
      <c r="Z6" s="54"/>
      <c r="AA6" s="54"/>
      <c r="AB6" s="658"/>
      <c r="AC6" s="658"/>
      <c r="AD6" s="504"/>
      <c r="AE6" s="504"/>
      <c r="AF6" s="48">
        <f t="shared" si="6"/>
        <v>-70.687499999999091</v>
      </c>
      <c r="AG6" s="494">
        <f t="shared" si="7"/>
        <v>0.9728125000000003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4085.2000000000003</v>
      </c>
      <c r="H7" s="45">
        <f t="shared" si="0"/>
        <v>155237.6</v>
      </c>
      <c r="I7" s="487"/>
      <c r="J7" s="46">
        <v>19</v>
      </c>
      <c r="K7" s="44">
        <v>2600</v>
      </c>
      <c r="L7" s="47">
        <v>136.84210526315789</v>
      </c>
      <c r="M7" s="488">
        <v>20</v>
      </c>
      <c r="N7" s="44">
        <f t="shared" si="1"/>
        <v>2526.9278350515474</v>
      </c>
      <c r="O7" s="47">
        <f t="shared" si="2"/>
        <v>126.34639175257738</v>
      </c>
      <c r="P7" s="48">
        <f t="shared" si="3"/>
        <v>1</v>
      </c>
      <c r="Q7" s="49">
        <f t="shared" si="4"/>
        <v>-10.495713510580515</v>
      </c>
      <c r="R7" s="494">
        <f t="shared" si="5"/>
        <v>0.92330055511498854</v>
      </c>
      <c r="S7" s="672"/>
      <c r="T7" s="50">
        <v>0.40694444444444444</v>
      </c>
      <c r="U7" s="50">
        <v>0.47430555555555554</v>
      </c>
      <c r="V7" s="490">
        <v>22</v>
      </c>
      <c r="W7" s="487">
        <f t="shared" si="8"/>
        <v>96.999999999999972</v>
      </c>
      <c r="X7" s="53">
        <v>0.39513888888888887</v>
      </c>
      <c r="Y7" s="53">
        <v>0.40416666666666662</v>
      </c>
      <c r="Z7" s="54"/>
      <c r="AA7" s="54"/>
      <c r="AB7" s="658"/>
      <c r="AC7" s="658"/>
      <c r="AD7" s="504"/>
      <c r="AE7" s="504"/>
      <c r="AF7" s="48">
        <f t="shared" si="6"/>
        <v>-73.07216494845261</v>
      </c>
      <c r="AG7" s="494">
        <f t="shared" si="7"/>
        <v>0.97189532117367206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3209.8</v>
      </c>
      <c r="H8" s="45">
        <f t="shared" si="0"/>
        <v>121972.40000000001</v>
      </c>
      <c r="I8" s="487"/>
      <c r="J8" s="46">
        <v>19</v>
      </c>
      <c r="K8" s="44">
        <v>2600</v>
      </c>
      <c r="L8" s="47">
        <v>136.84210526315789</v>
      </c>
      <c r="M8" s="488">
        <v>20</v>
      </c>
      <c r="N8" s="44">
        <f t="shared" si="1"/>
        <v>2534.0526315789457</v>
      </c>
      <c r="O8" s="47">
        <f t="shared" si="2"/>
        <v>126.70263157894729</v>
      </c>
      <c r="P8" s="48">
        <f t="shared" si="3"/>
        <v>1</v>
      </c>
      <c r="Q8" s="49">
        <f t="shared" si="4"/>
        <v>-10.1394736842106</v>
      </c>
      <c r="R8" s="494">
        <f t="shared" si="5"/>
        <v>0.92590384615384558</v>
      </c>
      <c r="S8" s="672"/>
      <c r="T8" s="50">
        <v>0.51458333333333328</v>
      </c>
      <c r="U8" s="50">
        <v>0.56736111111111109</v>
      </c>
      <c r="V8" s="490">
        <v>6</v>
      </c>
      <c r="W8" s="487">
        <f t="shared" si="8"/>
        <v>76.000000000000057</v>
      </c>
      <c r="X8" s="53"/>
      <c r="Y8" s="53"/>
      <c r="Z8" s="54"/>
      <c r="AA8" s="54"/>
      <c r="AB8" s="658"/>
      <c r="AC8" s="658"/>
      <c r="AD8" s="504"/>
      <c r="AE8" s="504"/>
      <c r="AF8" s="48">
        <f t="shared" si="6"/>
        <v>-65.947368421054307</v>
      </c>
      <c r="AG8" s="494">
        <f t="shared" si="7"/>
        <v>0.9746356275303637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1089.55</v>
      </c>
      <c r="H9" s="45">
        <f t="shared" si="0"/>
        <v>34066.013919082128</v>
      </c>
      <c r="I9" s="504"/>
      <c r="J9" s="46">
        <v>18</v>
      </c>
      <c r="K9" s="44">
        <v>2600</v>
      </c>
      <c r="L9" s="47">
        <v>144.44444444444446</v>
      </c>
      <c r="M9" s="488">
        <v>19</v>
      </c>
      <c r="N9" s="44">
        <f t="shared" si="1"/>
        <v>2514.346153846147</v>
      </c>
      <c r="O9" s="47">
        <f t="shared" si="2"/>
        <v>132.33400809716562</v>
      </c>
      <c r="P9" s="48">
        <f t="shared" si="3"/>
        <v>1</v>
      </c>
      <c r="Q9" s="49">
        <f t="shared" si="4"/>
        <v>-12.110436347278835</v>
      </c>
      <c r="R9" s="494">
        <f t="shared" si="5"/>
        <v>0.91615851759576195</v>
      </c>
      <c r="S9" s="672"/>
      <c r="T9" s="50">
        <v>0.57291666666666663</v>
      </c>
      <c r="U9" s="50">
        <v>0.59097222222222223</v>
      </c>
      <c r="V9" s="490">
        <v>8</v>
      </c>
      <c r="W9" s="487">
        <f t="shared" si="8"/>
        <v>26.000000000000068</v>
      </c>
      <c r="X9" s="53"/>
      <c r="Y9" s="53"/>
      <c r="Z9" s="54"/>
      <c r="AA9" s="54"/>
      <c r="AB9" s="658"/>
      <c r="AC9" s="658"/>
      <c r="AD9" s="504"/>
      <c r="AE9" s="504"/>
      <c r="AF9" s="48">
        <f t="shared" si="6"/>
        <v>-85.65384615385301</v>
      </c>
      <c r="AG9" s="494">
        <f t="shared" si="7"/>
        <v>0.9670562130177488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1827.6999999999998</v>
      </c>
      <c r="H10" s="45">
        <f t="shared" si="0"/>
        <v>69342.937999999995</v>
      </c>
      <c r="I10" s="487"/>
      <c r="J10" s="46">
        <v>20</v>
      </c>
      <c r="K10" s="44">
        <v>2400</v>
      </c>
      <c r="L10" s="47">
        <v>120</v>
      </c>
      <c r="M10" s="488">
        <v>20</v>
      </c>
      <c r="N10" s="44">
        <f t="shared" si="1"/>
        <v>2238.0000000000005</v>
      </c>
      <c r="O10" s="47">
        <f t="shared" si="2"/>
        <v>111.90000000000002</v>
      </c>
      <c r="P10" s="48">
        <f t="shared" si="3"/>
        <v>0</v>
      </c>
      <c r="Q10" s="49">
        <f t="shared" si="4"/>
        <v>-8.0999999999999801</v>
      </c>
      <c r="R10" s="494">
        <f t="shared" si="5"/>
        <v>0.93250000000000022</v>
      </c>
      <c r="S10" s="673"/>
      <c r="T10" s="50">
        <v>0.60694444444444451</v>
      </c>
      <c r="U10" s="50">
        <v>0.64097222222222228</v>
      </c>
      <c r="V10" s="490">
        <v>23</v>
      </c>
      <c r="W10" s="487">
        <f t="shared" si="8"/>
        <v>48.999999999999986</v>
      </c>
      <c r="X10" s="53">
        <v>0.59444444444444444</v>
      </c>
      <c r="Y10" s="53">
        <v>0.60416666666666663</v>
      </c>
      <c r="Z10" s="54"/>
      <c r="AA10" s="54"/>
      <c r="AB10" s="658"/>
      <c r="AC10" s="658"/>
      <c r="AD10" s="504"/>
      <c r="AE10" s="504"/>
      <c r="AF10" s="48">
        <f t="shared" si="6"/>
        <v>-161.99999999999955</v>
      </c>
      <c r="AG10" s="494">
        <f t="shared" si="7"/>
        <v>0.93250000000000022</v>
      </c>
      <c r="AH10" s="673"/>
    </row>
    <row r="11" spans="1:34" ht="19.2" customHeight="1">
      <c r="A11" s="671"/>
      <c r="B11" s="40">
        <v>0</v>
      </c>
      <c r="C11" s="41"/>
      <c r="D11" s="42"/>
      <c r="E11" s="43"/>
      <c r="F11" s="361" t="s">
        <v>186</v>
      </c>
      <c r="G11" s="44"/>
      <c r="H11" s="45">
        <f t="shared" si="0"/>
        <v>0</v>
      </c>
      <c r="I11" s="487"/>
      <c r="J11" s="46"/>
      <c r="K11" s="44"/>
      <c r="L11" s="47"/>
      <c r="M11" s="488"/>
      <c r="N11" s="44"/>
      <c r="O11" s="47"/>
      <c r="P11" s="48"/>
      <c r="Q11" s="49"/>
      <c r="R11" s="494"/>
      <c r="S11" s="673"/>
      <c r="T11" s="50"/>
      <c r="U11" s="50"/>
      <c r="V11" s="490"/>
      <c r="W11" s="487"/>
      <c r="X11" s="53"/>
      <c r="Y11" s="53"/>
      <c r="Z11" s="54"/>
      <c r="AA11" s="54"/>
      <c r="AB11" s="658"/>
      <c r="AC11" s="658"/>
      <c r="AD11" s="504"/>
      <c r="AE11" s="504"/>
      <c r="AF11" s="48">
        <f t="shared" si="6"/>
        <v>0</v>
      </c>
      <c r="AG11" s="494" t="e">
        <f t="shared" si="7"/>
        <v>#DIV/0!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87"/>
      <c r="J12" s="46"/>
      <c r="K12" s="44"/>
      <c r="L12" s="47"/>
      <c r="M12" s="488"/>
      <c r="N12" s="44"/>
      <c r="O12" s="47"/>
      <c r="P12" s="48"/>
      <c r="Q12" s="49"/>
      <c r="R12" s="494"/>
      <c r="S12" s="673"/>
      <c r="T12" s="50"/>
      <c r="U12" s="50"/>
      <c r="V12" s="490"/>
      <c r="W12" s="487"/>
      <c r="X12" s="53"/>
      <c r="Y12" s="53"/>
      <c r="Z12" s="54"/>
      <c r="AA12" s="54"/>
      <c r="AB12" s="658"/>
      <c r="AC12" s="658"/>
      <c r="AD12" s="504"/>
      <c r="AE12" s="504"/>
      <c r="AF12" s="48">
        <f t="shared" si="6"/>
        <v>0</v>
      </c>
      <c r="AG12" s="494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91"/>
      <c r="J13" s="46"/>
      <c r="K13" s="44"/>
      <c r="L13" s="47"/>
      <c r="M13" s="62"/>
      <c r="N13" s="44"/>
      <c r="O13" s="47"/>
      <c r="P13" s="48"/>
      <c r="Q13" s="49"/>
      <c r="R13" s="494"/>
      <c r="S13" s="673"/>
      <c r="T13" s="63"/>
      <c r="U13" s="63"/>
      <c r="V13" s="491"/>
      <c r="W13" s="487"/>
      <c r="X13" s="64"/>
      <c r="Y13" s="64"/>
      <c r="Z13" s="54"/>
      <c r="AA13" s="54"/>
      <c r="AB13" s="658"/>
      <c r="AC13" s="658"/>
      <c r="AD13" s="504"/>
      <c r="AE13" s="504"/>
      <c r="AF13" s="48">
        <f t="shared" si="6"/>
        <v>0</v>
      </c>
      <c r="AG13" s="494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91"/>
      <c r="J14" s="46"/>
      <c r="K14" s="44"/>
      <c r="L14" s="47"/>
      <c r="M14" s="62"/>
      <c r="N14" s="44"/>
      <c r="O14" s="47"/>
      <c r="P14" s="48"/>
      <c r="Q14" s="49"/>
      <c r="R14" s="494"/>
      <c r="S14" s="673"/>
      <c r="T14" s="63"/>
      <c r="U14" s="63"/>
      <c r="V14" s="491"/>
      <c r="W14" s="487">
        <f t="shared" si="8"/>
        <v>0</v>
      </c>
      <c r="X14" s="64"/>
      <c r="Y14" s="64"/>
      <c r="Z14" s="54"/>
      <c r="AA14" s="54"/>
      <c r="AB14" s="658"/>
      <c r="AC14" s="658"/>
      <c r="AD14" s="504"/>
      <c r="AE14" s="504"/>
      <c r="AF14" s="65"/>
      <c r="AG14" s="495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91"/>
      <c r="J15" s="46"/>
      <c r="K15" s="44"/>
      <c r="L15" s="47"/>
      <c r="M15" s="62"/>
      <c r="N15" s="68"/>
      <c r="O15" s="47"/>
      <c r="P15" s="48"/>
      <c r="Q15" s="49"/>
      <c r="R15" s="494"/>
      <c r="S15" s="673"/>
      <c r="T15" s="63"/>
      <c r="U15" s="63"/>
      <c r="V15" s="491"/>
      <c r="W15" s="487">
        <f t="shared" si="8"/>
        <v>0</v>
      </c>
      <c r="X15" s="64"/>
      <c r="Y15" s="64"/>
      <c r="Z15" s="54"/>
      <c r="AA15" s="54"/>
      <c r="AB15" s="658"/>
      <c r="AC15" s="658"/>
      <c r="AD15" s="504"/>
      <c r="AE15" s="504"/>
      <c r="AF15" s="65"/>
      <c r="AG15" s="495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91"/>
      <c r="J16" s="46"/>
      <c r="K16" s="44"/>
      <c r="L16" s="47"/>
      <c r="M16" s="62"/>
      <c r="N16" s="68"/>
      <c r="O16" s="47"/>
      <c r="P16" s="48"/>
      <c r="Q16" s="49"/>
      <c r="R16" s="494"/>
      <c r="S16" s="673"/>
      <c r="T16" s="63"/>
      <c r="U16" s="63"/>
      <c r="V16" s="491"/>
      <c r="W16" s="487">
        <f t="shared" si="8"/>
        <v>0</v>
      </c>
      <c r="X16" s="64"/>
      <c r="Y16" s="64"/>
      <c r="Z16" s="54"/>
      <c r="AA16" s="54"/>
      <c r="AB16" s="658"/>
      <c r="AC16" s="658"/>
      <c r="AD16" s="504"/>
      <c r="AE16" s="504"/>
      <c r="AF16" s="65"/>
      <c r="AG16" s="495"/>
      <c r="AH16" s="673"/>
    </row>
    <row r="17" spans="1:34" ht="19.2" customHeight="1">
      <c r="A17" s="671"/>
      <c r="B17" s="69">
        <v>0</v>
      </c>
      <c r="C17" s="69" t="s">
        <v>628</v>
      </c>
      <c r="D17" s="678" t="s">
        <v>545</v>
      </c>
      <c r="E17" s="678"/>
      <c r="F17" s="362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J17:O17" si="9">AVERAGE(M5:M16)</f>
        <v>19.666666666666668</v>
      </c>
      <c r="N17" s="70">
        <f t="shared" si="9"/>
        <v>2438.4885425513503</v>
      </c>
      <c r="O17" s="73">
        <f t="shared" si="9"/>
        <v>124.13655811609652</v>
      </c>
      <c r="P17" s="65">
        <f t="shared" ref="P17:P23" si="10">M17-J17</f>
        <v>0.66666666666666785</v>
      </c>
      <c r="Q17" s="74">
        <f t="shared" ref="Q17:Q23" si="11">O17-L17</f>
        <v>-9.6256251197709446</v>
      </c>
      <c r="R17" s="75">
        <f>O17/L17</f>
        <v>0.92803926426052907</v>
      </c>
      <c r="S17" s="673"/>
      <c r="T17" s="63"/>
      <c r="U17" s="63"/>
      <c r="V17" s="491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0</v>
      </c>
      <c r="AE17" s="79">
        <f>SUM(AE5:AE16)</f>
        <v>0</v>
      </c>
      <c r="AF17" s="65">
        <f t="shared" si="6"/>
        <v>-94.844790781983193</v>
      </c>
      <c r="AG17" s="495">
        <f t="shared" si="7"/>
        <v>0.9625612667965856</v>
      </c>
      <c r="AH17" s="673"/>
    </row>
    <row r="18" spans="1:34" ht="19.2" customHeight="1">
      <c r="A18" s="680" t="s">
        <v>629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3122</v>
      </c>
      <c r="H18" s="84">
        <f t="shared" ref="H18:H29" si="12">F18*G18</f>
        <v>115076.92</v>
      </c>
      <c r="I18" s="504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2153.1034482758614</v>
      </c>
      <c r="O18" s="86">
        <f t="shared" ref="O18:O23" si="14">N18/M18</f>
        <v>119.61685823754786</v>
      </c>
      <c r="P18" s="54">
        <f t="shared" si="10"/>
        <v>1</v>
      </c>
      <c r="Q18" s="88">
        <f t="shared" si="11"/>
        <v>-12.736082938922721</v>
      </c>
      <c r="R18" s="497">
        <f t="shared" ref="R18:R23" si="15">O18/L18</f>
        <v>0.90377181779480609</v>
      </c>
      <c r="S18" s="681">
        <f>R30</f>
        <v>0.87079100896743411</v>
      </c>
      <c r="T18" s="89">
        <v>0.16666666666666666</v>
      </c>
      <c r="U18" s="89">
        <v>0.22708333333333333</v>
      </c>
      <c r="V18" s="504">
        <v>5</v>
      </c>
      <c r="W18" s="90">
        <f>(U18-T18)*24*60</f>
        <v>87.000000000000014</v>
      </c>
      <c r="X18" s="86"/>
      <c r="Y18" s="86"/>
      <c r="Z18" s="54"/>
      <c r="AA18" s="54"/>
      <c r="AB18" s="658"/>
      <c r="AC18" s="658"/>
      <c r="AD18" s="504"/>
      <c r="AE18" s="504"/>
      <c r="AF18" s="91">
        <f t="shared" si="6"/>
        <v>-96.89655172413859</v>
      </c>
      <c r="AG18" s="92">
        <f t="shared" si="7"/>
        <v>0.9569348659003829</v>
      </c>
      <c r="AH18" s="682">
        <f>AG30</f>
        <v>0.90987616326059662</v>
      </c>
    </row>
    <row r="19" spans="1:34" ht="19.2" customHeight="1">
      <c r="A19" s="680"/>
      <c r="B19" s="501" t="s">
        <v>180</v>
      </c>
      <c r="C19" s="500"/>
      <c r="D19" s="82" t="s">
        <v>72</v>
      </c>
      <c r="E19" s="83"/>
      <c r="F19" s="361">
        <v>38.630952380952372</v>
      </c>
      <c r="G19" s="57">
        <v>929.6</v>
      </c>
      <c r="H19" s="84">
        <f t="shared" si="12"/>
        <v>35911.333333333328</v>
      </c>
      <c r="I19" s="504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2324.0000000000009</v>
      </c>
      <c r="O19" s="95">
        <f t="shared" si="14"/>
        <v>122.31578947368426</v>
      </c>
      <c r="P19" s="54">
        <f t="shared" si="10"/>
        <v>1</v>
      </c>
      <c r="Q19" s="88">
        <f t="shared" si="11"/>
        <v>-22.128654970760195</v>
      </c>
      <c r="R19" s="497">
        <f t="shared" si="15"/>
        <v>0.84680161943319865</v>
      </c>
      <c r="S19" s="681"/>
      <c r="T19" s="89">
        <v>0.23125000000000001</v>
      </c>
      <c r="U19" s="89">
        <v>0.24791666666666667</v>
      </c>
      <c r="V19" s="504">
        <v>6</v>
      </c>
      <c r="W19" s="90">
        <f>(U19-T19)*24*60</f>
        <v>23.999999999999993</v>
      </c>
      <c r="X19" s="96"/>
      <c r="Y19" s="96"/>
      <c r="Z19" s="54"/>
      <c r="AA19" s="54"/>
      <c r="AB19" s="658"/>
      <c r="AC19" s="658"/>
      <c r="AD19" s="504"/>
      <c r="AE19" s="504"/>
      <c r="AF19" s="48">
        <f t="shared" si="6"/>
        <v>-275.99999999999909</v>
      </c>
      <c r="AG19" s="494">
        <f t="shared" si="7"/>
        <v>0.89384615384615418</v>
      </c>
      <c r="AH19" s="683"/>
    </row>
    <row r="20" spans="1:34" ht="19.2" customHeight="1">
      <c r="A20" s="680"/>
      <c r="B20" s="501" t="s">
        <v>182</v>
      </c>
      <c r="C20" s="55"/>
      <c r="D20" s="42" t="s">
        <v>80</v>
      </c>
      <c r="E20" s="83"/>
      <c r="F20" s="361">
        <v>38.39</v>
      </c>
      <c r="G20" s="57">
        <v>2056</v>
      </c>
      <c r="H20" s="84">
        <f t="shared" si="12"/>
        <v>78929.84</v>
      </c>
      <c r="I20" s="504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1434.4186046511625</v>
      </c>
      <c r="O20" s="95">
        <f t="shared" si="14"/>
        <v>84.377564979480141</v>
      </c>
      <c r="P20" s="54">
        <f t="shared" si="10"/>
        <v>1</v>
      </c>
      <c r="Q20" s="88">
        <f t="shared" si="11"/>
        <v>-17.872435020519859</v>
      </c>
      <c r="R20" s="497">
        <f t="shared" si="15"/>
        <v>0.82520845945701848</v>
      </c>
      <c r="S20" s="681"/>
      <c r="T20" s="89">
        <v>0.2638888888888889</v>
      </c>
      <c r="U20" s="89">
        <v>0.32361111111111113</v>
      </c>
      <c r="V20" s="504">
        <v>23</v>
      </c>
      <c r="W20" s="90">
        <f t="shared" ref="W20:W29" si="16">(U20-T20)*24*60</f>
        <v>86.000000000000014</v>
      </c>
      <c r="X20" s="96">
        <v>0.25138888888888888</v>
      </c>
      <c r="Y20" s="96">
        <v>0.26111111111111113</v>
      </c>
      <c r="Z20" s="54"/>
      <c r="AA20" s="54"/>
      <c r="AB20" s="658"/>
      <c r="AC20" s="658"/>
      <c r="AD20" s="504"/>
      <c r="AE20" s="504"/>
      <c r="AF20" s="91">
        <f t="shared" si="6"/>
        <v>-201.58139534883753</v>
      </c>
      <c r="AG20" s="92">
        <f t="shared" si="7"/>
        <v>0.87678398817308223</v>
      </c>
      <c r="AH20" s="683"/>
    </row>
    <row r="21" spans="1:34" ht="19.2" customHeight="1">
      <c r="A21" s="680"/>
      <c r="B21" s="501" t="s">
        <v>183</v>
      </c>
      <c r="C21" s="97"/>
      <c r="D21" s="98" t="s">
        <v>79</v>
      </c>
      <c r="E21" s="43"/>
      <c r="F21" s="361">
        <v>43.14</v>
      </c>
      <c r="G21" s="44">
        <v>1636</v>
      </c>
      <c r="H21" s="84">
        <f t="shared" si="12"/>
        <v>70577.040000000008</v>
      </c>
      <c r="I21" s="490"/>
      <c r="J21" s="93">
        <v>16</v>
      </c>
      <c r="K21" s="44">
        <v>1440</v>
      </c>
      <c r="L21" s="47">
        <v>90</v>
      </c>
      <c r="M21" s="488">
        <v>16</v>
      </c>
      <c r="N21" s="94">
        <f t="shared" si="13"/>
        <v>1382.5352112676057</v>
      </c>
      <c r="O21" s="95">
        <f t="shared" si="14"/>
        <v>86.408450704225359</v>
      </c>
      <c r="P21" s="54">
        <f t="shared" si="10"/>
        <v>0</v>
      </c>
      <c r="Q21" s="88">
        <f t="shared" si="11"/>
        <v>-3.5915492957746409</v>
      </c>
      <c r="R21" s="497">
        <f t="shared" si="15"/>
        <v>0.96009389671361511</v>
      </c>
      <c r="S21" s="681"/>
      <c r="T21" s="89">
        <v>0.32916666666666666</v>
      </c>
      <c r="U21" s="89">
        <v>0.37847222222222221</v>
      </c>
      <c r="V21" s="504">
        <v>8</v>
      </c>
      <c r="W21" s="90">
        <f t="shared" si="16"/>
        <v>70.999999999999986</v>
      </c>
      <c r="X21" s="96"/>
      <c r="Y21" s="96"/>
      <c r="Z21" s="54"/>
      <c r="AA21" s="54"/>
      <c r="AB21" s="658"/>
      <c r="AC21" s="658"/>
      <c r="AD21" s="504"/>
      <c r="AE21" s="504"/>
      <c r="AF21" s="48">
        <f t="shared" si="6"/>
        <v>-57.464788732394254</v>
      </c>
      <c r="AG21" s="494">
        <f t="shared" si="7"/>
        <v>0.96009389671361511</v>
      </c>
      <c r="AH21" s="684"/>
    </row>
    <row r="22" spans="1:34" ht="19.2" customHeight="1">
      <c r="A22" s="680"/>
      <c r="B22" s="501" t="s">
        <v>182</v>
      </c>
      <c r="C22" s="97"/>
      <c r="D22" s="42" t="s">
        <v>198</v>
      </c>
      <c r="E22" s="43"/>
      <c r="F22" s="361">
        <v>38.1</v>
      </c>
      <c r="G22" s="44">
        <v>956</v>
      </c>
      <c r="H22" s="84">
        <f t="shared" si="12"/>
        <v>36423.599999999999</v>
      </c>
      <c r="I22" s="490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1274.6666666666665</v>
      </c>
      <c r="O22" s="95">
        <f t="shared" si="14"/>
        <v>79.666666666666657</v>
      </c>
      <c r="P22" s="54">
        <f t="shared" si="10"/>
        <v>-1</v>
      </c>
      <c r="Q22" s="88">
        <f t="shared" si="11"/>
        <v>-8.5686274509804008</v>
      </c>
      <c r="R22" s="497">
        <f t="shared" si="15"/>
        <v>0.90288888888888874</v>
      </c>
      <c r="S22" s="681"/>
      <c r="T22" s="89">
        <v>0.38263888888888886</v>
      </c>
      <c r="U22" s="89">
        <v>0.41388888888888886</v>
      </c>
      <c r="V22" s="504">
        <v>6</v>
      </c>
      <c r="W22" s="90">
        <f t="shared" si="16"/>
        <v>45</v>
      </c>
      <c r="X22" s="96"/>
      <c r="Y22" s="96"/>
      <c r="Z22" s="54"/>
      <c r="AA22" s="54"/>
      <c r="AB22" s="658"/>
      <c r="AC22" s="658"/>
      <c r="AD22" s="504"/>
      <c r="AE22" s="504"/>
      <c r="AF22" s="91">
        <f t="shared" si="6"/>
        <v>-225.33333333333348</v>
      </c>
      <c r="AG22" s="92">
        <f t="shared" si="7"/>
        <v>0.84977777777777763</v>
      </c>
      <c r="AH22" s="684"/>
    </row>
    <row r="23" spans="1:34" ht="19.2" customHeight="1">
      <c r="A23" s="680"/>
      <c r="B23" s="501" t="s">
        <v>180</v>
      </c>
      <c r="C23" s="97"/>
      <c r="D23" s="42" t="s">
        <v>72</v>
      </c>
      <c r="E23" s="43"/>
      <c r="F23" s="361">
        <v>38.630952380952372</v>
      </c>
      <c r="G23" s="44">
        <v>3718.4</v>
      </c>
      <c r="H23" s="84">
        <f t="shared" si="12"/>
        <v>143645.33333333331</v>
      </c>
      <c r="I23" s="490"/>
      <c r="J23" s="93">
        <v>18</v>
      </c>
      <c r="K23" s="44">
        <v>2600</v>
      </c>
      <c r="L23" s="47">
        <v>144.44444444444446</v>
      </c>
      <c r="M23" s="87">
        <v>20</v>
      </c>
      <c r="N23" s="94">
        <f t="shared" si="13"/>
        <v>2373.4468085106387</v>
      </c>
      <c r="O23" s="95">
        <f t="shared" si="14"/>
        <v>118.67234042553193</v>
      </c>
      <c r="P23" s="54">
        <f t="shared" si="10"/>
        <v>2</v>
      </c>
      <c r="Q23" s="88">
        <f t="shared" si="11"/>
        <v>-25.772104018912529</v>
      </c>
      <c r="R23" s="497">
        <f t="shared" si="15"/>
        <v>0.82157774140752871</v>
      </c>
      <c r="S23" s="681"/>
      <c r="T23" s="89">
        <v>0.45486111111111105</v>
      </c>
      <c r="U23" s="89">
        <v>0.52013888888888882</v>
      </c>
      <c r="V23" s="504">
        <v>6</v>
      </c>
      <c r="W23" s="90">
        <f t="shared" si="16"/>
        <v>93.999999999999986</v>
      </c>
      <c r="X23" s="96"/>
      <c r="Y23" s="96"/>
      <c r="Z23" s="54"/>
      <c r="AA23" s="54"/>
      <c r="AB23" s="658"/>
      <c r="AC23" s="658"/>
      <c r="AD23" s="504"/>
      <c r="AE23" s="504"/>
      <c r="AF23" s="48">
        <f t="shared" si="6"/>
        <v>-226.55319148936132</v>
      </c>
      <c r="AG23" s="494">
        <f t="shared" si="7"/>
        <v>0.91286415711947644</v>
      </c>
      <c r="AH23" s="684"/>
    </row>
    <row r="24" spans="1:34" ht="19.2" customHeight="1">
      <c r="A24" s="680"/>
      <c r="B24" s="501">
        <v>0</v>
      </c>
      <c r="C24" s="81"/>
      <c r="D24" s="82"/>
      <c r="E24" s="83"/>
      <c r="F24" s="361" t="s">
        <v>186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97"/>
      <c r="S24" s="681"/>
      <c r="T24" s="89"/>
      <c r="U24" s="89"/>
      <c r="V24" s="504"/>
      <c r="W24" s="90"/>
      <c r="X24" s="504"/>
      <c r="Y24" s="504"/>
      <c r="Z24" s="54"/>
      <c r="AA24" s="54"/>
      <c r="AB24" s="658"/>
      <c r="AC24" s="658"/>
      <c r="AD24" s="504"/>
      <c r="AE24" s="504"/>
      <c r="AF24" s="91">
        <f t="shared" si="6"/>
        <v>0</v>
      </c>
      <c r="AG24" s="92" t="e">
        <f t="shared" si="7"/>
        <v>#DIV/0!</v>
      </c>
      <c r="AH24" s="684"/>
    </row>
    <row r="25" spans="1:34" ht="19.2" customHeight="1">
      <c r="A25" s="680"/>
      <c r="B25" s="501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97"/>
      <c r="S25" s="681"/>
      <c r="T25" s="89"/>
      <c r="U25" s="89"/>
      <c r="V25" s="504"/>
      <c r="W25" s="90">
        <f t="shared" si="16"/>
        <v>0</v>
      </c>
      <c r="X25" s="504"/>
      <c r="Y25" s="504"/>
      <c r="Z25" s="54"/>
      <c r="AA25" s="54"/>
      <c r="AB25" s="658"/>
      <c r="AC25" s="658"/>
      <c r="AD25" s="504"/>
      <c r="AE25" s="504"/>
      <c r="AF25" s="48">
        <f t="shared" si="6"/>
        <v>0</v>
      </c>
      <c r="AG25" s="494" t="e">
        <f t="shared" si="7"/>
        <v>#DIV/0!</v>
      </c>
      <c r="AH25" s="684"/>
    </row>
    <row r="26" spans="1:34" ht="19.2" customHeight="1">
      <c r="A26" s="680"/>
      <c r="B26" s="501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7"/>
      <c r="S26" s="681"/>
      <c r="T26" s="89"/>
      <c r="U26" s="89"/>
      <c r="V26" s="504"/>
      <c r="W26" s="90">
        <f t="shared" si="16"/>
        <v>0</v>
      </c>
      <c r="X26" s="504"/>
      <c r="Y26" s="504"/>
      <c r="Z26" s="54"/>
      <c r="AA26" s="54"/>
      <c r="AB26" s="658"/>
      <c r="AC26" s="658"/>
      <c r="AD26" s="504"/>
      <c r="AE26" s="504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7"/>
      <c r="S27" s="681"/>
      <c r="T27" s="89"/>
      <c r="U27" s="89"/>
      <c r="V27" s="504"/>
      <c r="W27" s="90">
        <f t="shared" si="16"/>
        <v>0</v>
      </c>
      <c r="X27" s="504"/>
      <c r="Y27" s="504"/>
      <c r="Z27" s="54"/>
      <c r="AA27" s="54"/>
      <c r="AB27" s="658"/>
      <c r="AC27" s="658"/>
      <c r="AD27" s="504"/>
      <c r="AE27" s="504"/>
      <c r="AF27" s="48">
        <f t="shared" si="6"/>
        <v>0</v>
      </c>
      <c r="AG27" s="494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7"/>
      <c r="S28" s="681"/>
      <c r="T28" s="89"/>
      <c r="U28" s="89"/>
      <c r="V28" s="504"/>
      <c r="W28" s="90">
        <f t="shared" si="16"/>
        <v>0</v>
      </c>
      <c r="X28" s="504"/>
      <c r="Y28" s="504"/>
      <c r="Z28" s="54"/>
      <c r="AA28" s="54"/>
      <c r="AB28" s="658"/>
      <c r="AC28" s="658"/>
      <c r="AD28" s="504"/>
      <c r="AE28" s="504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7"/>
      <c r="S29" s="681"/>
      <c r="T29" s="89"/>
      <c r="U29" s="89"/>
      <c r="V29" s="504"/>
      <c r="W29" s="90">
        <f t="shared" si="16"/>
        <v>0</v>
      </c>
      <c r="X29" s="504"/>
      <c r="Y29" s="504"/>
      <c r="Z29" s="54"/>
      <c r="AA29" s="54"/>
      <c r="AB29" s="658"/>
      <c r="AC29" s="658"/>
      <c r="AD29" s="504"/>
      <c r="AE29" s="504"/>
      <c r="AF29" s="48">
        <f t="shared" si="6"/>
        <v>0</v>
      </c>
      <c r="AG29" s="494"/>
      <c r="AH29" s="684"/>
    </row>
    <row r="30" spans="1:34" ht="19.2" customHeight="1">
      <c r="A30" s="680"/>
      <c r="B30" s="99">
        <v>0</v>
      </c>
      <c r="C30" s="100" t="s">
        <v>630</v>
      </c>
      <c r="D30" s="679" t="s">
        <v>545</v>
      </c>
      <c r="E30" s="679"/>
      <c r="F30" s="365"/>
      <c r="G30" s="101"/>
      <c r="H30" s="102"/>
      <c r="I30" s="103"/>
      <c r="J30" s="101">
        <v>17</v>
      </c>
      <c r="K30" s="101">
        <v>2004.3333333333333</v>
      </c>
      <c r="L30" s="104">
        <v>116.95452069716777</v>
      </c>
      <c r="M30" s="101">
        <f t="shared" ref="J30:O30" si="17">AVERAGE(M18:M29)</f>
        <v>17.666666666666668</v>
      </c>
      <c r="N30" s="101">
        <f t="shared" si="17"/>
        <v>1823.6951232286558</v>
      </c>
      <c r="O30" s="104">
        <f t="shared" si="17"/>
        <v>101.84294508118937</v>
      </c>
      <c r="P30" s="54">
        <f t="shared" ref="P30:P34" si="18">M30-J30</f>
        <v>0.66666666666666785</v>
      </c>
      <c r="Q30" s="88">
        <f t="shared" ref="Q30:Q34" si="19">O30-L30</f>
        <v>-15.111575615978396</v>
      </c>
      <c r="R30" s="105">
        <f t="shared" ref="R30:R34" si="20">O30/L30</f>
        <v>0.87079100896743411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0</v>
      </c>
      <c r="AE30" s="107">
        <f>SUM(AE18:AE29)</f>
        <v>0</v>
      </c>
      <c r="AF30" s="108">
        <f t="shared" si="6"/>
        <v>-180.63821010467746</v>
      </c>
      <c r="AG30" s="109">
        <f t="shared" ref="AG30" si="21">N30/K30</f>
        <v>0.90987616326059662</v>
      </c>
      <c r="AH30" s="685"/>
    </row>
    <row r="31" spans="1:34" ht="19.2" customHeight="1">
      <c r="A31" s="688" t="s">
        <v>631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1850</v>
      </c>
      <c r="H31" s="113">
        <f t="shared" ref="H31:H40" si="22">F31*G31</f>
        <v>65360.5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1881.35593220339</v>
      </c>
      <c r="O31" s="116">
        <f t="shared" ref="O31:O34" si="24">N31/M31</f>
        <v>156.77966101694918</v>
      </c>
      <c r="P31" s="117">
        <f t="shared" si="18"/>
        <v>0</v>
      </c>
      <c r="Q31" s="118">
        <f t="shared" si="19"/>
        <v>-19.720338983050823</v>
      </c>
      <c r="R31" s="498">
        <f t="shared" si="20"/>
        <v>0.88827003409036365</v>
      </c>
      <c r="S31" s="690">
        <f>R43</f>
        <v>0.85051030562660257</v>
      </c>
      <c r="T31" s="119">
        <v>0.16666666666666666</v>
      </c>
      <c r="U31" s="119">
        <v>0.20763888888888887</v>
      </c>
      <c r="V31" s="52">
        <v>5</v>
      </c>
      <c r="W31" s="120">
        <f t="shared" ref="W31:W42" si="25">(U31-T31)*24*60</f>
        <v>58.999999999999993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-236.64406779660999</v>
      </c>
      <c r="AG31" s="121">
        <f t="shared" si="7"/>
        <v>0.88827003409036354</v>
      </c>
      <c r="AH31" s="686">
        <f>AG43</f>
        <v>0.86184780153075369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1784</v>
      </c>
      <c r="H32" s="84">
        <f t="shared" si="22"/>
        <v>61066.319999999992</v>
      </c>
      <c r="I32" s="487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1911.4285714285716</v>
      </c>
      <c r="O32" s="47">
        <f t="shared" si="24"/>
        <v>159.28571428571431</v>
      </c>
      <c r="P32" s="48">
        <f t="shared" si="18"/>
        <v>0</v>
      </c>
      <c r="Q32" s="49">
        <f t="shared" si="19"/>
        <v>-17.214285714285694</v>
      </c>
      <c r="R32" s="494">
        <f t="shared" si="20"/>
        <v>0.90246863617968442</v>
      </c>
      <c r="S32" s="681"/>
      <c r="T32" s="89">
        <v>0.21249999999999999</v>
      </c>
      <c r="U32" s="89">
        <v>0.25138888888888888</v>
      </c>
      <c r="V32" s="504">
        <v>7</v>
      </c>
      <c r="W32" s="90">
        <f t="shared" si="25"/>
        <v>56</v>
      </c>
      <c r="X32" s="124"/>
      <c r="Y32" s="124"/>
      <c r="Z32" s="125"/>
      <c r="AA32" s="125"/>
      <c r="AB32" s="658"/>
      <c r="AC32" s="658"/>
      <c r="AD32" s="504"/>
      <c r="AE32" s="504"/>
      <c r="AF32" s="48">
        <f t="shared" si="6"/>
        <v>-206.57142857142844</v>
      </c>
      <c r="AG32" s="494">
        <f t="shared" si="7"/>
        <v>0.90246863617968442</v>
      </c>
      <c r="AH32" s="672"/>
    </row>
    <row r="33" spans="1:34" ht="19.2" customHeight="1">
      <c r="A33" s="689"/>
      <c r="B33" s="122" t="s">
        <v>184</v>
      </c>
      <c r="C33" s="504"/>
      <c r="D33" s="82" t="s">
        <v>82</v>
      </c>
      <c r="E33" s="83"/>
      <c r="F33" s="361">
        <v>36.409999999999997</v>
      </c>
      <c r="G33" s="57">
        <v>2974.05</v>
      </c>
      <c r="H33" s="84">
        <f t="shared" si="22"/>
        <v>108285.1605</v>
      </c>
      <c r="I33" s="504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2230.5375000000013</v>
      </c>
      <c r="O33" s="47">
        <f t="shared" si="24"/>
        <v>223.05375000000012</v>
      </c>
      <c r="P33" s="48">
        <f t="shared" si="18"/>
        <v>0</v>
      </c>
      <c r="Q33" s="49">
        <f t="shared" si="19"/>
        <v>-53.846249999999856</v>
      </c>
      <c r="R33" s="494">
        <f t="shared" si="20"/>
        <v>0.80553900325027139</v>
      </c>
      <c r="S33" s="681"/>
      <c r="T33" s="89">
        <v>0.26666666666666666</v>
      </c>
      <c r="U33" s="89">
        <v>0.32222222222222219</v>
      </c>
      <c r="V33" s="504">
        <v>22</v>
      </c>
      <c r="W33" s="90">
        <f t="shared" si="25"/>
        <v>79.999999999999957</v>
      </c>
      <c r="X33" s="124">
        <v>0.25486111111111109</v>
      </c>
      <c r="Y33" s="124">
        <v>0.2638888888888889</v>
      </c>
      <c r="Z33" s="125"/>
      <c r="AA33" s="125"/>
      <c r="AB33" s="658"/>
      <c r="AC33" s="658"/>
      <c r="AD33" s="504"/>
      <c r="AE33" s="504"/>
      <c r="AF33" s="48">
        <f t="shared" si="6"/>
        <v>-538.46249999999873</v>
      </c>
      <c r="AG33" s="126">
        <f t="shared" si="7"/>
        <v>0.80553900325027128</v>
      </c>
      <c r="AH33" s="672"/>
    </row>
    <row r="34" spans="1:34" ht="19.2" customHeight="1">
      <c r="A34" s="689"/>
      <c r="B34" s="122" t="s">
        <v>182</v>
      </c>
      <c r="C34" s="127"/>
      <c r="D34" s="82" t="s">
        <v>503</v>
      </c>
      <c r="E34" s="83"/>
      <c r="F34" s="361">
        <v>47.6</v>
      </c>
      <c r="G34" s="57">
        <v>4050.75</v>
      </c>
      <c r="H34" s="84">
        <f t="shared" si="22"/>
        <v>192815.7</v>
      </c>
      <c r="I34" s="504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1306.6935483870971</v>
      </c>
      <c r="O34" s="47">
        <f t="shared" si="24"/>
        <v>81.668346774193566</v>
      </c>
      <c r="P34" s="48">
        <f t="shared" si="18"/>
        <v>1</v>
      </c>
      <c r="Q34" s="49">
        <f t="shared" si="19"/>
        <v>-18.331653225806434</v>
      </c>
      <c r="R34" s="494">
        <f t="shared" si="20"/>
        <v>0.81668346774193568</v>
      </c>
      <c r="S34" s="681"/>
      <c r="T34" s="89">
        <v>0.36319444444444438</v>
      </c>
      <c r="U34" s="89">
        <v>0.49236111111111103</v>
      </c>
      <c r="V34" s="504">
        <v>6</v>
      </c>
      <c r="W34" s="90">
        <f t="shared" si="25"/>
        <v>185.99999999999997</v>
      </c>
      <c r="X34" s="124"/>
      <c r="Y34" s="124"/>
      <c r="Z34" s="125"/>
      <c r="AA34" s="125"/>
      <c r="AB34" s="658"/>
      <c r="AC34" s="658"/>
      <c r="AD34" s="504"/>
      <c r="AE34" s="504"/>
      <c r="AF34" s="48">
        <f t="shared" si="6"/>
        <v>-193.30645161290295</v>
      </c>
      <c r="AG34" s="126">
        <f t="shared" si="7"/>
        <v>0.87112903225806471</v>
      </c>
      <c r="AH34" s="672"/>
    </row>
    <row r="35" spans="1:34" ht="19.2" customHeight="1">
      <c r="A35" s="689"/>
      <c r="B35" s="122">
        <v>0</v>
      </c>
      <c r="C35" s="41"/>
      <c r="D35" s="42"/>
      <c r="E35" s="43"/>
      <c r="F35" s="361" t="s">
        <v>186</v>
      </c>
      <c r="G35" s="128"/>
      <c r="H35" s="84">
        <f t="shared" si="22"/>
        <v>0</v>
      </c>
      <c r="I35" s="490"/>
      <c r="J35" s="46"/>
      <c r="K35" s="44"/>
      <c r="L35" s="47"/>
      <c r="M35" s="46"/>
      <c r="N35" s="44"/>
      <c r="O35" s="47"/>
      <c r="P35" s="48"/>
      <c r="Q35" s="49"/>
      <c r="R35" s="494"/>
      <c r="S35" s="681"/>
      <c r="T35" s="89"/>
      <c r="U35" s="89"/>
      <c r="V35" s="504"/>
      <c r="W35" s="90"/>
      <c r="X35" s="124"/>
      <c r="Y35" s="124"/>
      <c r="Z35" s="125"/>
      <c r="AA35" s="125"/>
      <c r="AB35" s="658"/>
      <c r="AC35" s="658"/>
      <c r="AD35" s="504"/>
      <c r="AE35" s="504"/>
      <c r="AF35" s="117">
        <f t="shared" si="6"/>
        <v>0</v>
      </c>
      <c r="AG35" s="121" t="e">
        <f t="shared" si="7"/>
        <v>#DIV/0!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504"/>
      <c r="J36" s="46"/>
      <c r="K36" s="44"/>
      <c r="L36" s="47"/>
      <c r="M36" s="46"/>
      <c r="N36" s="44"/>
      <c r="O36" s="47"/>
      <c r="P36" s="48"/>
      <c r="Q36" s="49"/>
      <c r="R36" s="494"/>
      <c r="S36" s="681"/>
      <c r="T36" s="89"/>
      <c r="U36" s="89"/>
      <c r="V36" s="504"/>
      <c r="W36" s="90">
        <f t="shared" si="25"/>
        <v>0</v>
      </c>
      <c r="X36" s="124"/>
      <c r="Y36" s="124"/>
      <c r="Z36" s="125"/>
      <c r="AA36" s="125"/>
      <c r="AB36" s="658"/>
      <c r="AC36" s="658"/>
      <c r="AD36" s="504"/>
      <c r="AE36" s="504"/>
      <c r="AF36" s="48">
        <f t="shared" si="6"/>
        <v>0</v>
      </c>
      <c r="AG36" s="494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504"/>
      <c r="J37" s="46"/>
      <c r="K37" s="44"/>
      <c r="L37" s="47"/>
      <c r="M37" s="46"/>
      <c r="N37" s="44"/>
      <c r="O37" s="47"/>
      <c r="P37" s="48"/>
      <c r="Q37" s="49"/>
      <c r="R37" s="494"/>
      <c r="S37" s="681"/>
      <c r="T37" s="89"/>
      <c r="U37" s="89"/>
      <c r="V37" s="504"/>
      <c r="W37" s="90">
        <f t="shared" si="25"/>
        <v>0</v>
      </c>
      <c r="X37" s="124"/>
      <c r="Y37" s="124"/>
      <c r="Z37" s="125"/>
      <c r="AA37" s="125"/>
      <c r="AB37" s="658"/>
      <c r="AC37" s="658"/>
      <c r="AD37" s="504"/>
      <c r="AE37" s="504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504"/>
      <c r="J38" s="46"/>
      <c r="K38" s="44"/>
      <c r="L38" s="47"/>
      <c r="M38" s="493"/>
      <c r="N38" s="44"/>
      <c r="O38" s="47"/>
      <c r="P38" s="48"/>
      <c r="Q38" s="49"/>
      <c r="R38" s="494"/>
      <c r="S38" s="681"/>
      <c r="T38" s="89"/>
      <c r="U38" s="89"/>
      <c r="V38" s="504"/>
      <c r="W38" s="90">
        <f t="shared" si="25"/>
        <v>0</v>
      </c>
      <c r="X38" s="124"/>
      <c r="Y38" s="124"/>
      <c r="Z38" s="125"/>
      <c r="AA38" s="125"/>
      <c r="AB38" s="658"/>
      <c r="AC38" s="658"/>
      <c r="AD38" s="504"/>
      <c r="AE38" s="504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504"/>
      <c r="J39" s="46"/>
      <c r="K39" s="44"/>
      <c r="L39" s="47"/>
      <c r="M39" s="493"/>
      <c r="N39" s="44"/>
      <c r="O39" s="47"/>
      <c r="P39" s="48"/>
      <c r="Q39" s="49"/>
      <c r="R39" s="494"/>
      <c r="S39" s="681"/>
      <c r="T39" s="89"/>
      <c r="U39" s="89"/>
      <c r="V39" s="504"/>
      <c r="W39" s="90">
        <f t="shared" si="25"/>
        <v>0</v>
      </c>
      <c r="X39" s="124"/>
      <c r="Y39" s="124"/>
      <c r="Z39" s="125"/>
      <c r="AA39" s="125"/>
      <c r="AB39" s="658"/>
      <c r="AC39" s="658"/>
      <c r="AD39" s="504"/>
      <c r="AE39" s="504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90"/>
      <c r="J40" s="132"/>
      <c r="K40" s="133"/>
      <c r="L40" s="134"/>
      <c r="M40" s="488"/>
      <c r="N40" s="44"/>
      <c r="O40" s="47"/>
      <c r="P40" s="48"/>
      <c r="Q40" s="49"/>
      <c r="R40" s="494"/>
      <c r="S40" s="681"/>
      <c r="T40" s="89"/>
      <c r="U40" s="89"/>
      <c r="V40" s="504"/>
      <c r="W40" s="90">
        <f t="shared" si="25"/>
        <v>0</v>
      </c>
      <c r="X40" s="124"/>
      <c r="Y40" s="124"/>
      <c r="Z40" s="125"/>
      <c r="AA40" s="125"/>
      <c r="AB40" s="658"/>
      <c r="AC40" s="658"/>
      <c r="AD40" s="504"/>
      <c r="AE40" s="504"/>
      <c r="AF40" s="48">
        <f t="shared" si="6"/>
        <v>0</v>
      </c>
      <c r="AG40" s="494" t="e">
        <f t="shared" si="7"/>
        <v>#DIV/0!</v>
      </c>
      <c r="AH40" s="673"/>
    </row>
    <row r="41" spans="1:34" ht="19.2" customHeight="1">
      <c r="A41" s="689"/>
      <c r="B41" s="504">
        <v>0</v>
      </c>
      <c r="C41" s="55"/>
      <c r="D41" s="82"/>
      <c r="E41" s="83"/>
      <c r="F41" s="361" t="s">
        <v>186</v>
      </c>
      <c r="G41" s="57"/>
      <c r="H41" s="84"/>
      <c r="I41" s="504"/>
      <c r="J41" s="87"/>
      <c r="K41" s="57"/>
      <c r="L41" s="86"/>
      <c r="M41" s="493"/>
      <c r="N41" s="57"/>
      <c r="O41" s="86"/>
      <c r="P41" s="54"/>
      <c r="Q41" s="88"/>
      <c r="R41" s="497"/>
      <c r="S41" s="681"/>
      <c r="T41" s="89"/>
      <c r="U41" s="89"/>
      <c r="V41" s="504"/>
      <c r="W41" s="90">
        <f t="shared" si="25"/>
        <v>0</v>
      </c>
      <c r="X41" s="124"/>
      <c r="Y41" s="124"/>
      <c r="Z41" s="125"/>
      <c r="AA41" s="125"/>
      <c r="AB41" s="658"/>
      <c r="AC41" s="658"/>
      <c r="AD41" s="504"/>
      <c r="AE41" s="504"/>
      <c r="AF41" s="48"/>
      <c r="AG41" s="130"/>
      <c r="AH41" s="673"/>
    </row>
    <row r="42" spans="1:34" ht="19.2" customHeight="1">
      <c r="A42" s="689"/>
      <c r="B42" s="504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504"/>
      <c r="J42" s="87"/>
      <c r="K42" s="57"/>
      <c r="L42" s="86"/>
      <c r="M42" s="493"/>
      <c r="N42" s="57"/>
      <c r="O42" s="86"/>
      <c r="P42" s="54"/>
      <c r="Q42" s="88"/>
      <c r="R42" s="497"/>
      <c r="S42" s="681"/>
      <c r="T42" s="89"/>
      <c r="U42" s="89"/>
      <c r="V42" s="504"/>
      <c r="W42" s="90">
        <f t="shared" si="25"/>
        <v>0</v>
      </c>
      <c r="X42" s="124"/>
      <c r="Y42" s="124"/>
      <c r="Z42" s="125"/>
      <c r="AA42" s="125"/>
      <c r="AB42" s="658"/>
      <c r="AC42" s="658"/>
      <c r="AD42" s="504"/>
      <c r="AE42" s="504"/>
      <c r="AF42" s="48"/>
      <c r="AG42" s="130"/>
      <c r="AH42" s="673"/>
    </row>
    <row r="43" spans="1:34" ht="19.2" customHeight="1">
      <c r="A43" s="689"/>
      <c r="B43" s="122">
        <v>0</v>
      </c>
      <c r="C43" s="100" t="s">
        <v>632</v>
      </c>
      <c r="D43" s="687" t="s">
        <v>545</v>
      </c>
      <c r="E43" s="687"/>
      <c r="F43" s="365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J43:O43" si="26">AVERAGE(M31:M42)</f>
        <v>12.5</v>
      </c>
      <c r="N43" s="101">
        <f t="shared" si="26"/>
        <v>1832.503888004765</v>
      </c>
      <c r="O43" s="104">
        <f t="shared" si="26"/>
        <v>155.19686801921429</v>
      </c>
      <c r="P43" s="54">
        <f>M43-J43</f>
        <v>0.25</v>
      </c>
      <c r="Q43" s="88">
        <f>N43-K43</f>
        <v>-293.74611199523497</v>
      </c>
      <c r="R43" s="105">
        <f t="shared" ref="R43:R49" si="27">O43/L43</f>
        <v>0.85051030562660257</v>
      </c>
      <c r="S43" s="681"/>
      <c r="T43" s="89"/>
      <c r="U43" s="89"/>
      <c r="V43" s="504"/>
      <c r="W43" s="504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0</v>
      </c>
      <c r="AE43" s="107">
        <f>SUM(AE31:AE42)</f>
        <v>0</v>
      </c>
      <c r="AF43" s="48">
        <f t="shared" ref="AF43:AF54" si="28">N43-K43</f>
        <v>-293.74611199523497</v>
      </c>
      <c r="AG43" s="495">
        <f t="shared" si="7"/>
        <v>0.86184780153075369</v>
      </c>
      <c r="AH43" s="673"/>
    </row>
    <row r="44" spans="1:34" s="148" customFormat="1" ht="19.2" customHeight="1">
      <c r="A44" s="691" t="s">
        <v>633</v>
      </c>
      <c r="B44" s="97" t="s">
        <v>184</v>
      </c>
      <c r="C44" s="136"/>
      <c r="D44" s="42" t="s">
        <v>98</v>
      </c>
      <c r="E44" s="43"/>
      <c r="F44" s="368">
        <v>24.73</v>
      </c>
      <c r="G44" s="137">
        <v>1789</v>
      </c>
      <c r="H44" s="45">
        <f>F44*G44</f>
        <v>44241.97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2104.7058823529405</v>
      </c>
      <c r="O44" s="141">
        <f t="shared" ref="O44:O49" si="30">N44/M44</f>
        <v>420.94117647058812</v>
      </c>
      <c r="P44" s="51">
        <f t="shared" ref="P44:P49" si="31">M44-J44</f>
        <v>1</v>
      </c>
      <c r="Q44" s="142">
        <f t="shared" ref="Q44:Q49" si="32">O44-L44</f>
        <v>-79.058823529411882</v>
      </c>
      <c r="R44" s="143">
        <f t="shared" si="27"/>
        <v>0.84188235294117619</v>
      </c>
      <c r="S44" s="672">
        <f>R56</f>
        <v>0.89250786138040494</v>
      </c>
      <c r="T44" s="144">
        <v>0.16666666666666666</v>
      </c>
      <c r="U44" s="144">
        <v>0.20208333333333334</v>
      </c>
      <c r="V44" s="145">
        <v>5</v>
      </c>
      <c r="W44" s="146">
        <f t="shared" ref="W44:W56" si="33">(U44-T44)*24*60</f>
        <v>51.000000000000021</v>
      </c>
      <c r="X44" s="124"/>
      <c r="Y44" s="124"/>
      <c r="Z44" s="125"/>
      <c r="AA44" s="125"/>
      <c r="AB44" s="658"/>
      <c r="AC44" s="658"/>
      <c r="AD44" s="504"/>
      <c r="AE44" s="504"/>
      <c r="AF44" s="147">
        <f t="shared" si="28"/>
        <v>104.70588235294053</v>
      </c>
      <c r="AG44" s="499">
        <f t="shared" si="7"/>
        <v>1.0523529411764703</v>
      </c>
      <c r="AH44" s="694">
        <f>AG56</f>
        <v>1.0251170594012429</v>
      </c>
    </row>
    <row r="45" spans="1:34" s="148" customFormat="1" ht="19.2" customHeight="1">
      <c r="A45" s="692"/>
      <c r="B45" s="97" t="s">
        <v>184</v>
      </c>
      <c r="C45" s="136"/>
      <c r="D45" s="42" t="s">
        <v>99</v>
      </c>
      <c r="E45" s="43"/>
      <c r="F45" s="368">
        <v>24.73</v>
      </c>
      <c r="G45" s="137">
        <v>1702</v>
      </c>
      <c r="H45" s="45">
        <f>F45*G45</f>
        <v>42090.46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2172.7659574468089</v>
      </c>
      <c r="O45" s="141">
        <f t="shared" si="30"/>
        <v>434.55319148936178</v>
      </c>
      <c r="P45" s="51">
        <f t="shared" si="31"/>
        <v>1</v>
      </c>
      <c r="Q45" s="142">
        <f t="shared" si="32"/>
        <v>-65.44680851063822</v>
      </c>
      <c r="R45" s="143">
        <f t="shared" si="27"/>
        <v>0.86910638297872356</v>
      </c>
      <c r="S45" s="672"/>
      <c r="T45" s="144">
        <v>0.20555555555555555</v>
      </c>
      <c r="U45" s="144">
        <v>0.23819444444444443</v>
      </c>
      <c r="V45" s="145">
        <v>5</v>
      </c>
      <c r="W45" s="146">
        <f t="shared" si="33"/>
        <v>46.999999999999993</v>
      </c>
      <c r="X45" s="124"/>
      <c r="Y45" s="124"/>
      <c r="Z45" s="125"/>
      <c r="AA45" s="125"/>
      <c r="AB45" s="658"/>
      <c r="AC45" s="658"/>
      <c r="AD45" s="504"/>
      <c r="AE45" s="504"/>
      <c r="AF45" s="147">
        <f t="shared" si="28"/>
        <v>172.7659574468089</v>
      </c>
      <c r="AG45" s="499">
        <f t="shared" si="7"/>
        <v>1.0863829787234045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199</v>
      </c>
      <c r="E46" s="43"/>
      <c r="F46" s="368">
        <v>21.92</v>
      </c>
      <c r="G46" s="137">
        <v>759</v>
      </c>
      <c r="H46" s="45">
        <f t="shared" ref="H46:H50" si="34">F46*G46</f>
        <v>16637.280000000002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2168.571428571428</v>
      </c>
      <c r="O46" s="141">
        <f t="shared" si="30"/>
        <v>433.71428571428561</v>
      </c>
      <c r="P46" s="51">
        <f t="shared" si="31"/>
        <v>1</v>
      </c>
      <c r="Q46" s="142">
        <f t="shared" si="32"/>
        <v>-66.285714285714391</v>
      </c>
      <c r="R46" s="143">
        <f t="shared" si="27"/>
        <v>0.86742857142857122</v>
      </c>
      <c r="S46" s="672"/>
      <c r="T46" s="144">
        <v>0.24166666666666664</v>
      </c>
      <c r="U46" s="144">
        <v>0.25624999999999998</v>
      </c>
      <c r="V46" s="145">
        <v>5</v>
      </c>
      <c r="W46" s="146">
        <f t="shared" si="33"/>
        <v>21.000000000000007</v>
      </c>
      <c r="X46" s="124"/>
      <c r="Y46" s="124"/>
      <c r="Z46" s="125"/>
      <c r="AA46" s="125"/>
      <c r="AB46" s="658"/>
      <c r="AC46" s="658"/>
      <c r="AD46" s="504"/>
      <c r="AE46" s="504"/>
      <c r="AF46" s="147">
        <f t="shared" si="28"/>
        <v>168.57142857142799</v>
      </c>
      <c r="AG46" s="499">
        <f t="shared" si="7"/>
        <v>1.0842857142857141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86</v>
      </c>
      <c r="E47" s="151"/>
      <c r="F47" s="368">
        <v>31.43</v>
      </c>
      <c r="G47" s="140">
        <v>2051</v>
      </c>
      <c r="H47" s="45">
        <f t="shared" si="34"/>
        <v>64462.93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1367.3333333333333</v>
      </c>
      <c r="O47" s="141">
        <f t="shared" si="30"/>
        <v>195.33333333333331</v>
      </c>
      <c r="P47" s="51">
        <f t="shared" si="31"/>
        <v>0</v>
      </c>
      <c r="Q47" s="142">
        <f t="shared" si="32"/>
        <v>-18.952380952380963</v>
      </c>
      <c r="R47" s="143">
        <f t="shared" si="27"/>
        <v>0.91155555555555545</v>
      </c>
      <c r="S47" s="672"/>
      <c r="T47" s="144">
        <v>0.27361111111111108</v>
      </c>
      <c r="U47" s="144">
        <v>0.33611111111111108</v>
      </c>
      <c r="V47" s="140">
        <v>25</v>
      </c>
      <c r="W47" s="146">
        <f t="shared" si="33"/>
        <v>90</v>
      </c>
      <c r="X47" s="124">
        <v>0.25972222222222224</v>
      </c>
      <c r="Y47" s="124">
        <v>0.27083333333333331</v>
      </c>
      <c r="Z47" s="125"/>
      <c r="AA47" s="125"/>
      <c r="AB47" s="658"/>
      <c r="AC47" s="658"/>
      <c r="AD47" s="504"/>
      <c r="AE47" s="504"/>
      <c r="AF47" s="147">
        <f t="shared" si="28"/>
        <v>-132.66666666666674</v>
      </c>
      <c r="AG47" s="499">
        <f t="shared" si="7"/>
        <v>0.91155555555555545</v>
      </c>
      <c r="AH47" s="694"/>
    </row>
    <row r="48" spans="1:34" s="148" customFormat="1" ht="19.2" customHeight="1">
      <c r="A48" s="692"/>
      <c r="B48" s="97" t="s">
        <v>183</v>
      </c>
      <c r="C48" s="136"/>
      <c r="D48" s="153" t="s">
        <v>471</v>
      </c>
      <c r="E48" s="151"/>
      <c r="F48" s="368">
        <v>11.26</v>
      </c>
      <c r="G48" s="140">
        <v>4946</v>
      </c>
      <c r="H48" s="45">
        <f t="shared" si="34"/>
        <v>55691.96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1491.2562814070352</v>
      </c>
      <c r="O48" s="141">
        <f t="shared" si="30"/>
        <v>248.5427135678392</v>
      </c>
      <c r="P48" s="51">
        <f t="shared" si="31"/>
        <v>0</v>
      </c>
      <c r="Q48" s="142">
        <f t="shared" si="32"/>
        <v>-1.4572864321607994</v>
      </c>
      <c r="R48" s="143">
        <f t="shared" si="27"/>
        <v>0.99417085427135676</v>
      </c>
      <c r="S48" s="672"/>
      <c r="T48" s="154">
        <v>0.3569444444444444</v>
      </c>
      <c r="U48" s="154">
        <v>0.49513888888888885</v>
      </c>
      <c r="V48" s="137">
        <v>30</v>
      </c>
      <c r="W48" s="146">
        <f t="shared" si="33"/>
        <v>199</v>
      </c>
      <c r="X48" s="124">
        <v>0.33958333333333335</v>
      </c>
      <c r="Y48" s="124">
        <v>0.35416666666666669</v>
      </c>
      <c r="Z48" s="125"/>
      <c r="AA48" s="125"/>
      <c r="AB48" s="658"/>
      <c r="AC48" s="658"/>
      <c r="AD48" s="504"/>
      <c r="AE48" s="504"/>
      <c r="AF48" s="147">
        <f t="shared" si="28"/>
        <v>-8.7437185929647967</v>
      </c>
      <c r="AG48" s="499">
        <f t="shared" si="7"/>
        <v>0.99417085427135676</v>
      </c>
      <c r="AH48" s="694"/>
    </row>
    <row r="49" spans="1:34" s="148" customFormat="1" ht="19.2" customHeight="1">
      <c r="A49" s="692"/>
      <c r="B49" s="97" t="s">
        <v>185</v>
      </c>
      <c r="C49" s="136"/>
      <c r="D49" s="153" t="s">
        <v>85</v>
      </c>
      <c r="E49" s="151"/>
      <c r="F49" s="368">
        <v>10.09</v>
      </c>
      <c r="G49" s="137">
        <v>3234.3300000000004</v>
      </c>
      <c r="H49" s="45">
        <f t="shared" si="34"/>
        <v>32634.389700000003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1459.096240601504</v>
      </c>
      <c r="O49" s="141">
        <f t="shared" si="30"/>
        <v>243.18270676691733</v>
      </c>
      <c r="P49" s="51">
        <f t="shared" si="31"/>
        <v>0</v>
      </c>
      <c r="Q49" s="142">
        <f t="shared" si="32"/>
        <v>-6.8172932330826654</v>
      </c>
      <c r="R49" s="143">
        <f t="shared" si="27"/>
        <v>0.97273082706766933</v>
      </c>
      <c r="S49" s="672"/>
      <c r="T49" s="154">
        <v>0.51597222222222217</v>
      </c>
      <c r="U49" s="154">
        <v>0.60833333333333328</v>
      </c>
      <c r="V49" s="137">
        <v>30</v>
      </c>
      <c r="W49" s="146">
        <f t="shared" si="33"/>
        <v>133</v>
      </c>
      <c r="X49" s="155">
        <v>0.49861111111111112</v>
      </c>
      <c r="Y49" s="155">
        <v>0.5131944444444444</v>
      </c>
      <c r="Z49" s="156"/>
      <c r="AA49" s="125"/>
      <c r="AB49" s="658"/>
      <c r="AC49" s="658"/>
      <c r="AD49" s="504"/>
      <c r="AE49" s="504"/>
      <c r="AF49" s="147">
        <f t="shared" si="28"/>
        <v>-40.903759398496049</v>
      </c>
      <c r="AG49" s="499">
        <f t="shared" si="7"/>
        <v>0.97273082706766933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504"/>
      <c r="AE50" s="504"/>
      <c r="AF50" s="147">
        <f t="shared" si="28"/>
        <v>0</v>
      </c>
      <c r="AG50" s="499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504"/>
      <c r="AE51" s="504"/>
      <c r="AF51" s="147">
        <f t="shared" si="28"/>
        <v>0</v>
      </c>
      <c r="AG51" s="499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97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504"/>
      <c r="AE52" s="504"/>
      <c r="AF52" s="147">
        <f t="shared" si="28"/>
        <v>0</v>
      </c>
      <c r="AG52" s="499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97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504"/>
      <c r="AE53" s="504"/>
      <c r="AF53" s="147">
        <f t="shared" si="28"/>
        <v>0</v>
      </c>
      <c r="AG53" s="499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97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504"/>
      <c r="AE54" s="504"/>
      <c r="AF54" s="147">
        <f t="shared" si="28"/>
        <v>0</v>
      </c>
      <c r="AG54" s="499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97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504"/>
      <c r="AE55" s="504"/>
      <c r="AF55" s="147"/>
      <c r="AG55" s="499"/>
      <c r="AH55" s="694"/>
    </row>
    <row r="56" spans="1:34" ht="19.2" customHeight="1">
      <c r="A56" s="693"/>
      <c r="B56" s="160">
        <v>0</v>
      </c>
      <c r="C56" s="100" t="s">
        <v>634</v>
      </c>
      <c r="D56" s="687" t="s">
        <v>545</v>
      </c>
      <c r="E56" s="687"/>
      <c r="F56" s="365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J56:O56" si="35">AVERAGE(M44:M55)</f>
        <v>5.666666666666667</v>
      </c>
      <c r="N56" s="101">
        <f t="shared" si="35"/>
        <v>1793.954853952175</v>
      </c>
      <c r="O56" s="104">
        <f t="shared" si="35"/>
        <v>329.37790122372087</v>
      </c>
      <c r="P56" s="161">
        <f>M56-J56</f>
        <v>0.5</v>
      </c>
      <c r="Q56" s="118">
        <f>N56-K56</f>
        <v>43.954853952174972</v>
      </c>
      <c r="R56" s="162">
        <f t="shared" ref="R56:R61" si="36">O56/L56</f>
        <v>0.89250786138040494</v>
      </c>
      <c r="S56" s="672"/>
      <c r="T56" s="163"/>
      <c r="U56" s="163"/>
      <c r="V56" s="492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0</v>
      </c>
      <c r="AE56" s="107">
        <f>SUM(AE44:AE55)</f>
        <v>0</v>
      </c>
      <c r="AF56" s="165">
        <f>N56-K56</f>
        <v>43.954853952174972</v>
      </c>
      <c r="AG56" s="497">
        <f>N56/K56</f>
        <v>1.0251170594012429</v>
      </c>
      <c r="AH56" s="694"/>
    </row>
    <row r="57" spans="1:34" ht="19.2" customHeight="1">
      <c r="A57" s="697" t="s">
        <v>635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1486</v>
      </c>
      <c r="H57" s="84">
        <f t="shared" ref="H57:H66" si="37">F57*G57</f>
        <v>41994.36</v>
      </c>
      <c r="I57" s="504"/>
      <c r="J57" s="87">
        <v>7</v>
      </c>
      <c r="K57" s="57">
        <v>1500</v>
      </c>
      <c r="L57" s="86">
        <v>214.28571428571428</v>
      </c>
      <c r="M57" s="493">
        <v>7</v>
      </c>
      <c r="N57" s="57">
        <f t="shared" ref="N57:N61" si="38">G57/W57*60</f>
        <v>1486.0000000000005</v>
      </c>
      <c r="O57" s="86">
        <f t="shared" ref="O57:O61" si="39">N57/M57</f>
        <v>212.28571428571436</v>
      </c>
      <c r="P57" s="168">
        <f t="shared" ref="P57:P61" si="40">M57-J57</f>
        <v>0</v>
      </c>
      <c r="Q57" s="49">
        <f t="shared" ref="Q57:Q61" si="41">O57-L57</f>
        <v>-1.9999999999999147</v>
      </c>
      <c r="R57" s="494">
        <f t="shared" si="36"/>
        <v>0.99066666666666703</v>
      </c>
      <c r="S57" s="672">
        <f>R69</f>
        <v>0.97981002054087096</v>
      </c>
      <c r="T57" s="144">
        <v>0.16666666666666666</v>
      </c>
      <c r="U57" s="144">
        <v>0.20833333333333331</v>
      </c>
      <c r="V57" s="490">
        <v>5</v>
      </c>
      <c r="W57" s="487">
        <f>(U57-T57)*24*60</f>
        <v>59.999999999999986</v>
      </c>
      <c r="X57" s="53"/>
      <c r="Y57" s="53"/>
      <c r="Z57" s="54"/>
      <c r="AA57" s="54"/>
      <c r="AB57" s="658"/>
      <c r="AC57" s="658"/>
      <c r="AD57" s="504"/>
      <c r="AE57" s="504"/>
      <c r="AF57" s="48">
        <f t="shared" si="6"/>
        <v>-13.999999999999545</v>
      </c>
      <c r="AG57" s="498">
        <f t="shared" si="7"/>
        <v>0.99066666666666692</v>
      </c>
      <c r="AH57" s="686">
        <f>AG69</f>
        <v>0.98018642603730555</v>
      </c>
    </row>
    <row r="58" spans="1:34" ht="19.2" customHeight="1">
      <c r="A58" s="654"/>
      <c r="B58" s="97" t="s">
        <v>183</v>
      </c>
      <c r="C58" s="500"/>
      <c r="D58" s="42" t="s">
        <v>88</v>
      </c>
      <c r="E58" s="43"/>
      <c r="F58" s="361">
        <v>27.88</v>
      </c>
      <c r="G58" s="137">
        <v>2330</v>
      </c>
      <c r="H58" s="45">
        <f t="shared" si="37"/>
        <v>64960.399999999994</v>
      </c>
      <c r="I58" s="490"/>
      <c r="J58" s="46">
        <v>7</v>
      </c>
      <c r="K58" s="44">
        <v>1500</v>
      </c>
      <c r="L58" s="86">
        <v>214.28571428571428</v>
      </c>
      <c r="M58" s="488">
        <v>7</v>
      </c>
      <c r="N58" s="44">
        <f t="shared" si="38"/>
        <v>1471.5789473684213</v>
      </c>
      <c r="O58" s="47">
        <f t="shared" si="39"/>
        <v>210.22556390977448</v>
      </c>
      <c r="P58" s="168">
        <f t="shared" si="40"/>
        <v>0</v>
      </c>
      <c r="Q58" s="49">
        <f t="shared" si="41"/>
        <v>-4.0601503759397986</v>
      </c>
      <c r="R58" s="494">
        <f t="shared" si="36"/>
        <v>0.98105263157894762</v>
      </c>
      <c r="S58" s="672"/>
      <c r="T58" s="169">
        <v>0.22569444444444442</v>
      </c>
      <c r="U58" s="169">
        <v>0.29166666666666663</v>
      </c>
      <c r="V58" s="490">
        <v>25</v>
      </c>
      <c r="W58" s="487">
        <f>(U58-T58)*24*60</f>
        <v>94.999999999999986</v>
      </c>
      <c r="X58" s="53">
        <v>0.21180555555555555</v>
      </c>
      <c r="Y58" s="53">
        <v>0.22291666666666665</v>
      </c>
      <c r="Z58" s="54"/>
      <c r="AA58" s="54"/>
      <c r="AB58" s="695"/>
      <c r="AC58" s="696"/>
      <c r="AD58" s="504"/>
      <c r="AE58" s="504"/>
      <c r="AF58" s="48">
        <f t="shared" si="6"/>
        <v>-28.421052631578732</v>
      </c>
      <c r="AG58" s="494">
        <f t="shared" si="7"/>
        <v>0.98105263157894751</v>
      </c>
      <c r="AH58" s="672"/>
    </row>
    <row r="59" spans="1:34" ht="19.2" customHeight="1">
      <c r="A59" s="654"/>
      <c r="B59" s="97" t="s">
        <v>183</v>
      </c>
      <c r="C59" s="500"/>
      <c r="D59" s="42" t="s">
        <v>89</v>
      </c>
      <c r="E59" s="43"/>
      <c r="F59" s="361">
        <v>28</v>
      </c>
      <c r="G59" s="137">
        <v>2771</v>
      </c>
      <c r="H59" s="45">
        <f t="shared" si="37"/>
        <v>77588</v>
      </c>
      <c r="I59" s="490"/>
      <c r="J59" s="46">
        <v>7</v>
      </c>
      <c r="K59" s="44">
        <v>1500</v>
      </c>
      <c r="L59" s="86">
        <v>214.28571428571428</v>
      </c>
      <c r="M59" s="488">
        <v>7</v>
      </c>
      <c r="N59" s="44">
        <f t="shared" si="38"/>
        <v>1471.3274336283187</v>
      </c>
      <c r="O59" s="47">
        <f t="shared" si="39"/>
        <v>210.1896333754741</v>
      </c>
      <c r="P59" s="168">
        <f t="shared" si="40"/>
        <v>0</v>
      </c>
      <c r="Q59" s="49">
        <f t="shared" si="41"/>
        <v>-4.0960809102401754</v>
      </c>
      <c r="R59" s="494">
        <f t="shared" si="36"/>
        <v>0.98088495575221246</v>
      </c>
      <c r="S59" s="672"/>
      <c r="T59" s="169">
        <v>0.30902777777777773</v>
      </c>
      <c r="U59" s="169">
        <v>0.38749999999999996</v>
      </c>
      <c r="V59" s="145">
        <v>25</v>
      </c>
      <c r="W59" s="487">
        <f t="shared" ref="W59:W69" si="42">(U59-T59)*24*60</f>
        <v>113</v>
      </c>
      <c r="X59" s="53">
        <v>0.2951388888888889</v>
      </c>
      <c r="Y59" s="53">
        <v>0.30624999999999997</v>
      </c>
      <c r="Z59" s="54"/>
      <c r="AA59" s="54"/>
      <c r="AB59" s="658"/>
      <c r="AC59" s="658"/>
      <c r="AD59" s="504"/>
      <c r="AE59" s="504"/>
      <c r="AF59" s="48">
        <f t="shared" si="6"/>
        <v>-28.672566371681341</v>
      </c>
      <c r="AG59" s="494">
        <f t="shared" si="7"/>
        <v>0.98088495575221246</v>
      </c>
      <c r="AH59" s="672"/>
    </row>
    <row r="60" spans="1:34" ht="19.2" customHeight="1">
      <c r="A60" s="654"/>
      <c r="B60" s="97" t="s">
        <v>185</v>
      </c>
      <c r="C60" s="500"/>
      <c r="D60" s="42" t="s">
        <v>85</v>
      </c>
      <c r="E60" s="43"/>
      <c r="F60" s="361">
        <v>10.09</v>
      </c>
      <c r="G60" s="137">
        <v>4192.6499999999996</v>
      </c>
      <c r="H60" s="45">
        <f t="shared" si="37"/>
        <v>42303.838499999998</v>
      </c>
      <c r="I60" s="490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1454.0982658959542</v>
      </c>
      <c r="O60" s="47">
        <f t="shared" si="39"/>
        <v>242.34971098265905</v>
      </c>
      <c r="P60" s="168">
        <f t="shared" si="40"/>
        <v>0</v>
      </c>
      <c r="Q60" s="49">
        <f t="shared" si="41"/>
        <v>-7.6502890173409526</v>
      </c>
      <c r="R60" s="494">
        <f t="shared" si="36"/>
        <v>0.96939884393063624</v>
      </c>
      <c r="S60" s="672"/>
      <c r="T60" s="169">
        <v>0.40833333333333327</v>
      </c>
      <c r="U60" s="169">
        <v>0.52847222222222212</v>
      </c>
      <c r="V60" s="145">
        <v>30</v>
      </c>
      <c r="W60" s="487">
        <f t="shared" si="42"/>
        <v>172.99999999999994</v>
      </c>
      <c r="X60" s="53">
        <v>0.39097222222222222</v>
      </c>
      <c r="Y60" s="53">
        <v>0.4055555555555555</v>
      </c>
      <c r="Z60" s="54"/>
      <c r="AA60" s="54"/>
      <c r="AB60" s="658"/>
      <c r="AC60" s="658"/>
      <c r="AD60" s="504"/>
      <c r="AE60" s="504"/>
      <c r="AF60" s="48">
        <f t="shared" si="6"/>
        <v>-45.901734104045772</v>
      </c>
      <c r="AG60" s="498">
        <f t="shared" si="7"/>
        <v>0.96939884393063613</v>
      </c>
      <c r="AH60" s="672"/>
    </row>
    <row r="61" spans="1:34" ht="19.2" customHeight="1">
      <c r="A61" s="654"/>
      <c r="B61" s="97" t="s">
        <v>185</v>
      </c>
      <c r="C61" s="500"/>
      <c r="D61" s="42" t="s">
        <v>85</v>
      </c>
      <c r="E61" s="43"/>
      <c r="F61" s="361">
        <v>10.09</v>
      </c>
      <c r="G61" s="137">
        <v>4552.0200000000004</v>
      </c>
      <c r="H61" s="45">
        <f t="shared" si="37"/>
        <v>45929.881800000003</v>
      </c>
      <c r="I61" s="490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1468.3935483870971</v>
      </c>
      <c r="O61" s="47">
        <f t="shared" si="39"/>
        <v>244.73225806451617</v>
      </c>
      <c r="P61" s="168">
        <f t="shared" si="40"/>
        <v>0</v>
      </c>
      <c r="Q61" s="49">
        <f t="shared" si="41"/>
        <v>-5.2677419354838264</v>
      </c>
      <c r="R61" s="494">
        <f t="shared" si="36"/>
        <v>0.97892903225806471</v>
      </c>
      <c r="S61" s="672"/>
      <c r="T61" s="169">
        <v>0.54930555555555549</v>
      </c>
      <c r="U61" s="169">
        <v>0.67847222222222214</v>
      </c>
      <c r="V61" s="145">
        <v>30</v>
      </c>
      <c r="W61" s="487">
        <f t="shared" si="42"/>
        <v>185.99999999999997</v>
      </c>
      <c r="X61" s="53">
        <v>0.53194444444444444</v>
      </c>
      <c r="Y61" s="53">
        <v>0.54652777777777783</v>
      </c>
      <c r="Z61" s="54"/>
      <c r="AA61" s="54"/>
      <c r="AB61" s="658"/>
      <c r="AC61" s="658"/>
      <c r="AD61" s="504"/>
      <c r="AE61" s="504"/>
      <c r="AF61" s="48">
        <f t="shared" si="6"/>
        <v>-31.606451612902902</v>
      </c>
      <c r="AG61" s="494">
        <f t="shared" si="7"/>
        <v>0.97892903225806471</v>
      </c>
      <c r="AH61" s="672"/>
    </row>
    <row r="62" spans="1:34" ht="19.2" customHeight="1">
      <c r="A62" s="654"/>
      <c r="B62" s="97">
        <v>0</v>
      </c>
      <c r="C62" s="500"/>
      <c r="D62" s="42"/>
      <c r="E62" s="43"/>
      <c r="F62" s="361" t="s">
        <v>186</v>
      </c>
      <c r="G62" s="137"/>
      <c r="H62" s="45">
        <f t="shared" si="37"/>
        <v>0</v>
      </c>
      <c r="I62" s="490"/>
      <c r="J62" s="170"/>
      <c r="K62" s="61"/>
      <c r="L62" s="86"/>
      <c r="M62" s="62"/>
      <c r="N62" s="44"/>
      <c r="O62" s="47"/>
      <c r="P62" s="168"/>
      <c r="Q62" s="49"/>
      <c r="R62" s="494"/>
      <c r="S62" s="672"/>
      <c r="T62" s="169"/>
      <c r="U62" s="169"/>
      <c r="V62" s="145"/>
      <c r="W62" s="487">
        <f t="shared" si="42"/>
        <v>0</v>
      </c>
      <c r="X62" s="53"/>
      <c r="Y62" s="53"/>
      <c r="Z62" s="54"/>
      <c r="AA62" s="54"/>
      <c r="AB62" s="658"/>
      <c r="AC62" s="658"/>
      <c r="AD62" s="504"/>
      <c r="AE62" s="504"/>
      <c r="AF62" s="48">
        <f t="shared" si="6"/>
        <v>0</v>
      </c>
      <c r="AG62" s="494" t="e">
        <f t="shared" si="7"/>
        <v>#DIV/0!</v>
      </c>
      <c r="AH62" s="672"/>
    </row>
    <row r="63" spans="1:34" ht="19.2" customHeight="1">
      <c r="A63" s="654"/>
      <c r="B63" s="97">
        <v>0</v>
      </c>
      <c r="C63" s="500"/>
      <c r="D63" s="42"/>
      <c r="E63" s="43"/>
      <c r="F63" s="361" t="s">
        <v>186</v>
      </c>
      <c r="G63" s="137"/>
      <c r="H63" s="45">
        <f t="shared" si="37"/>
        <v>0</v>
      </c>
      <c r="I63" s="490"/>
      <c r="J63" s="46"/>
      <c r="K63" s="44"/>
      <c r="L63" s="86"/>
      <c r="M63" s="62"/>
      <c r="N63" s="44"/>
      <c r="O63" s="47"/>
      <c r="P63" s="168"/>
      <c r="Q63" s="49"/>
      <c r="R63" s="494"/>
      <c r="S63" s="672"/>
      <c r="T63" s="169"/>
      <c r="U63" s="169"/>
      <c r="V63" s="145"/>
      <c r="W63" s="487">
        <f t="shared" si="42"/>
        <v>0</v>
      </c>
      <c r="X63" s="53"/>
      <c r="Y63" s="53"/>
      <c r="Z63" s="54"/>
      <c r="AA63" s="54"/>
      <c r="AB63" s="658"/>
      <c r="AC63" s="658"/>
      <c r="AD63" s="504"/>
      <c r="AE63" s="504"/>
      <c r="AF63" s="48">
        <f t="shared" si="6"/>
        <v>0</v>
      </c>
      <c r="AG63" s="498" t="e">
        <f t="shared" si="7"/>
        <v>#DIV/0!</v>
      </c>
      <c r="AH63" s="672"/>
    </row>
    <row r="64" spans="1:34" ht="19.2" customHeight="1">
      <c r="A64" s="654"/>
      <c r="B64" s="97">
        <v>0</v>
      </c>
      <c r="C64" s="500"/>
      <c r="D64" s="42"/>
      <c r="E64" s="43"/>
      <c r="F64" s="361" t="s">
        <v>186</v>
      </c>
      <c r="G64" s="137"/>
      <c r="H64" s="45">
        <f t="shared" si="37"/>
        <v>0</v>
      </c>
      <c r="I64" s="490"/>
      <c r="J64" s="170"/>
      <c r="K64" s="61"/>
      <c r="L64" s="86"/>
      <c r="M64" s="62"/>
      <c r="N64" s="44"/>
      <c r="O64" s="47"/>
      <c r="P64" s="168"/>
      <c r="Q64" s="49"/>
      <c r="R64" s="494"/>
      <c r="S64" s="672"/>
      <c r="T64" s="169"/>
      <c r="U64" s="169"/>
      <c r="V64" s="145"/>
      <c r="W64" s="487">
        <f t="shared" si="42"/>
        <v>0</v>
      </c>
      <c r="X64" s="490"/>
      <c r="Y64" s="490"/>
      <c r="Z64" s="54"/>
      <c r="AA64" s="54"/>
      <c r="AB64" s="658"/>
      <c r="AC64" s="658"/>
      <c r="AD64" s="504"/>
      <c r="AE64" s="504"/>
      <c r="AF64" s="48">
        <f t="shared" si="6"/>
        <v>0</v>
      </c>
      <c r="AG64" s="494" t="e">
        <f t="shared" si="7"/>
        <v>#DIV/0!</v>
      </c>
      <c r="AH64" s="672"/>
    </row>
    <row r="65" spans="1:34" ht="19.2" customHeight="1">
      <c r="A65" s="654"/>
      <c r="B65" s="97">
        <v>0</v>
      </c>
      <c r="C65" s="500"/>
      <c r="D65" s="42"/>
      <c r="E65" s="43"/>
      <c r="F65" s="361" t="s">
        <v>186</v>
      </c>
      <c r="G65" s="137"/>
      <c r="H65" s="45">
        <f t="shared" si="37"/>
        <v>0</v>
      </c>
      <c r="I65" s="490"/>
      <c r="J65" s="170"/>
      <c r="K65" s="61"/>
      <c r="L65" s="86"/>
      <c r="M65" s="62"/>
      <c r="N65" s="61"/>
      <c r="O65" s="77"/>
      <c r="P65" s="48"/>
      <c r="Q65" s="49"/>
      <c r="R65" s="494"/>
      <c r="S65" s="672"/>
      <c r="T65" s="169"/>
      <c r="U65" s="169"/>
      <c r="V65" s="145"/>
      <c r="W65" s="487">
        <f t="shared" si="42"/>
        <v>0</v>
      </c>
      <c r="X65" s="490"/>
      <c r="Y65" s="490"/>
      <c r="Z65" s="54"/>
      <c r="AA65" s="54"/>
      <c r="AB65" s="658"/>
      <c r="AC65" s="658"/>
      <c r="AD65" s="504"/>
      <c r="AE65" s="504"/>
      <c r="AF65" s="48">
        <f t="shared" si="6"/>
        <v>0</v>
      </c>
      <c r="AG65" s="494" t="e">
        <f t="shared" si="7"/>
        <v>#DIV/0!</v>
      </c>
      <c r="AH65" s="672"/>
    </row>
    <row r="66" spans="1:34" ht="19.2" customHeight="1">
      <c r="A66" s="654"/>
      <c r="B66" s="97">
        <v>0</v>
      </c>
      <c r="C66" s="500"/>
      <c r="D66" s="42"/>
      <c r="E66" s="43"/>
      <c r="F66" s="361" t="s">
        <v>186</v>
      </c>
      <c r="G66" s="137"/>
      <c r="H66" s="45">
        <f t="shared" si="37"/>
        <v>0</v>
      </c>
      <c r="I66" s="490"/>
      <c r="J66" s="170"/>
      <c r="K66" s="61"/>
      <c r="L66" s="86"/>
      <c r="M66" s="62"/>
      <c r="N66" s="61"/>
      <c r="O66" s="77"/>
      <c r="P66" s="48"/>
      <c r="Q66" s="49"/>
      <c r="R66" s="494"/>
      <c r="S66" s="672"/>
      <c r="T66" s="169"/>
      <c r="U66" s="169"/>
      <c r="V66" s="145"/>
      <c r="W66" s="487">
        <f t="shared" si="42"/>
        <v>0</v>
      </c>
      <c r="X66" s="490"/>
      <c r="Y66" s="490"/>
      <c r="Z66" s="54"/>
      <c r="AA66" s="54"/>
      <c r="AB66" s="658"/>
      <c r="AC66" s="658"/>
      <c r="AD66" s="504"/>
      <c r="AE66" s="504"/>
      <c r="AF66" s="48">
        <f t="shared" si="6"/>
        <v>0</v>
      </c>
      <c r="AG66" s="498" t="e">
        <f t="shared" si="7"/>
        <v>#DIV/0!</v>
      </c>
      <c r="AH66" s="672"/>
    </row>
    <row r="67" spans="1:34" ht="19.2" customHeight="1">
      <c r="A67" s="654"/>
      <c r="B67" s="97">
        <v>0</v>
      </c>
      <c r="C67" s="500"/>
      <c r="D67" s="42"/>
      <c r="E67" s="43"/>
      <c r="F67" s="361" t="s">
        <v>186</v>
      </c>
      <c r="G67" s="137"/>
      <c r="H67" s="45">
        <f>F67*G67</f>
        <v>0</v>
      </c>
      <c r="I67" s="490"/>
      <c r="J67" s="170"/>
      <c r="K67" s="61"/>
      <c r="L67" s="86"/>
      <c r="M67" s="62"/>
      <c r="N67" s="61"/>
      <c r="O67" s="77"/>
      <c r="P67" s="48"/>
      <c r="Q67" s="49"/>
      <c r="R67" s="494"/>
      <c r="S67" s="672"/>
      <c r="T67" s="169"/>
      <c r="U67" s="169"/>
      <c r="V67" s="145"/>
      <c r="W67" s="487">
        <f t="shared" si="42"/>
        <v>0</v>
      </c>
      <c r="X67" s="490"/>
      <c r="Y67" s="490"/>
      <c r="Z67" s="54"/>
      <c r="AA67" s="54"/>
      <c r="AB67" s="658"/>
      <c r="AC67" s="658"/>
      <c r="AD67" s="504"/>
      <c r="AE67" s="504"/>
      <c r="AF67" s="48">
        <f t="shared" si="6"/>
        <v>0</v>
      </c>
      <c r="AG67" s="494" t="e">
        <f t="shared" si="7"/>
        <v>#DIV/0!</v>
      </c>
      <c r="AH67" s="672"/>
    </row>
    <row r="68" spans="1:34" ht="19.2" customHeight="1">
      <c r="A68" s="654"/>
      <c r="B68" s="490">
        <v>0</v>
      </c>
      <c r="C68" s="500"/>
      <c r="D68" s="42"/>
      <c r="E68" s="43"/>
      <c r="F68" s="368" t="s">
        <v>186</v>
      </c>
      <c r="G68" s="137"/>
      <c r="H68" s="45">
        <f>F68*G68</f>
        <v>0</v>
      </c>
      <c r="I68" s="490"/>
      <c r="J68" s="170"/>
      <c r="K68" s="61"/>
      <c r="L68" s="86"/>
      <c r="M68" s="62"/>
      <c r="N68" s="61"/>
      <c r="O68" s="77"/>
      <c r="P68" s="48"/>
      <c r="Q68" s="49"/>
      <c r="R68" s="494"/>
      <c r="S68" s="672"/>
      <c r="T68" s="169"/>
      <c r="U68" s="169"/>
      <c r="V68" s="145"/>
      <c r="W68" s="487">
        <f t="shared" si="42"/>
        <v>0</v>
      </c>
      <c r="X68" s="490"/>
      <c r="Y68" s="490"/>
      <c r="Z68" s="54"/>
      <c r="AA68" s="54"/>
      <c r="AB68" s="658"/>
      <c r="AC68" s="658"/>
      <c r="AD68" s="504"/>
      <c r="AE68" s="504"/>
      <c r="AF68" s="48"/>
      <c r="AG68" s="494"/>
      <c r="AH68" s="672"/>
    </row>
    <row r="69" spans="1:34" ht="19.2" customHeight="1">
      <c r="A69" s="654"/>
      <c r="B69" s="171">
        <v>0</v>
      </c>
      <c r="C69" s="6" t="s">
        <v>636</v>
      </c>
      <c r="D69" s="687" t="s">
        <v>545</v>
      </c>
      <c r="E69" s="687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1470.2796390559583</v>
      </c>
      <c r="O69" s="73">
        <f t="shared" si="43"/>
        <v>223.95657612362766</v>
      </c>
      <c r="P69" s="48">
        <f>M69-J69</f>
        <v>0</v>
      </c>
      <c r="Q69" s="49">
        <f>N69-K69</f>
        <v>-29.720360944041659</v>
      </c>
      <c r="R69" s="175">
        <f t="shared" ref="R69:R75" si="44">O69/L69</f>
        <v>0.97981002054087096</v>
      </c>
      <c r="S69" s="672"/>
      <c r="T69" s="144"/>
      <c r="U69" s="144"/>
      <c r="V69" s="44"/>
      <c r="W69" s="487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0</v>
      </c>
      <c r="AF69" s="48">
        <f t="shared" si="6"/>
        <v>-29.720360944041659</v>
      </c>
      <c r="AG69" s="494">
        <f t="shared" si="7"/>
        <v>0.98018642603730555</v>
      </c>
      <c r="AH69" s="672"/>
    </row>
    <row r="70" spans="1:34" ht="19.2" customHeight="1">
      <c r="A70" s="656" t="s">
        <v>637</v>
      </c>
      <c r="B70" s="490" t="s">
        <v>182</v>
      </c>
      <c r="C70" s="97"/>
      <c r="D70" s="42" t="s">
        <v>91</v>
      </c>
      <c r="E70" s="43"/>
      <c r="F70" s="361">
        <v>62.13</v>
      </c>
      <c r="G70" s="44">
        <v>389</v>
      </c>
      <c r="H70" s="45">
        <f>F70*G70</f>
        <v>24168.57</v>
      </c>
      <c r="I70" s="490"/>
      <c r="J70" s="46">
        <v>14</v>
      </c>
      <c r="K70" s="44">
        <v>1500</v>
      </c>
      <c r="L70" s="47">
        <v>107.14285714285714</v>
      </c>
      <c r="M70" s="488">
        <v>14</v>
      </c>
      <c r="N70" s="44">
        <f t="shared" ref="N70:N75" si="45">G70/W70*60</f>
        <v>1228.421052631578</v>
      </c>
      <c r="O70" s="47">
        <f t="shared" ref="O70:O75" si="46">N70/M70</f>
        <v>87.744360902255579</v>
      </c>
      <c r="P70" s="48">
        <f t="shared" ref="P70:P75" si="47">M70-J70</f>
        <v>0</v>
      </c>
      <c r="Q70" s="49">
        <f t="shared" ref="Q70:Q75" si="48">O70-L70</f>
        <v>-19.39849624060156</v>
      </c>
      <c r="R70" s="494">
        <f t="shared" si="44"/>
        <v>0.81894736842105209</v>
      </c>
      <c r="S70" s="672">
        <f>R82</f>
        <v>0.86758474369783634</v>
      </c>
      <c r="T70" s="50">
        <v>0.29166666666666669</v>
      </c>
      <c r="U70" s="50">
        <v>0.30486111111111114</v>
      </c>
      <c r="V70" s="490">
        <v>5</v>
      </c>
      <c r="W70" s="487">
        <f>(U70-T70)*24*60</f>
        <v>19.000000000000014</v>
      </c>
      <c r="X70" s="490"/>
      <c r="Y70" s="490"/>
      <c r="Z70" s="54"/>
      <c r="AA70" s="54"/>
      <c r="AB70" s="658"/>
      <c r="AC70" s="658"/>
      <c r="AD70" s="504"/>
      <c r="AE70" s="504"/>
      <c r="AF70" s="48">
        <f t="shared" si="6"/>
        <v>-271.57894736842195</v>
      </c>
      <c r="AG70" s="494">
        <f t="shared" si="7"/>
        <v>0.81894736842105198</v>
      </c>
      <c r="AH70" s="672">
        <f>AG82</f>
        <v>0.87880813299539984</v>
      </c>
    </row>
    <row r="71" spans="1:34" ht="19.2" customHeight="1">
      <c r="A71" s="656"/>
      <c r="B71" s="490" t="s">
        <v>181</v>
      </c>
      <c r="C71" s="41"/>
      <c r="D71" s="176" t="s">
        <v>92</v>
      </c>
      <c r="E71" s="43"/>
      <c r="F71" s="361">
        <v>47.65</v>
      </c>
      <c r="G71" s="44">
        <v>1734</v>
      </c>
      <c r="H71" s="45">
        <f>F71*G71</f>
        <v>82625.099999999991</v>
      </c>
      <c r="I71" s="490"/>
      <c r="J71" s="46">
        <v>18</v>
      </c>
      <c r="K71" s="177">
        <v>1440</v>
      </c>
      <c r="L71" s="47">
        <v>80</v>
      </c>
      <c r="M71" s="493">
        <v>18</v>
      </c>
      <c r="N71" s="44">
        <f t="shared" si="45"/>
        <v>1333.8461538461531</v>
      </c>
      <c r="O71" s="47">
        <f t="shared" si="46"/>
        <v>74.10256410256406</v>
      </c>
      <c r="P71" s="48">
        <f t="shared" si="47"/>
        <v>0</v>
      </c>
      <c r="Q71" s="49">
        <f t="shared" si="48"/>
        <v>-5.8974358974359404</v>
      </c>
      <c r="R71" s="494">
        <f t="shared" si="44"/>
        <v>0.92628205128205077</v>
      </c>
      <c r="S71" s="672"/>
      <c r="T71" s="50">
        <v>0.31041666666666667</v>
      </c>
      <c r="U71" s="50">
        <v>0.36458333333333337</v>
      </c>
      <c r="V71" s="490">
        <v>8</v>
      </c>
      <c r="W71" s="487">
        <f t="shared" ref="W71:W81" si="49">(U71-T71)*24*60</f>
        <v>78.000000000000043</v>
      </c>
      <c r="X71" s="53"/>
      <c r="Y71" s="53"/>
      <c r="Z71" s="54"/>
      <c r="AA71" s="54"/>
      <c r="AB71" s="658"/>
      <c r="AC71" s="658"/>
      <c r="AD71" s="504"/>
      <c r="AE71" s="504"/>
      <c r="AF71" s="48">
        <f>N71-K71</f>
        <v>-106.15384615384687</v>
      </c>
      <c r="AG71" s="494">
        <f>N71/K71</f>
        <v>0.92628205128205077</v>
      </c>
      <c r="AH71" s="672"/>
    </row>
    <row r="72" spans="1:34" ht="19.2" customHeight="1">
      <c r="A72" s="656"/>
      <c r="B72" s="490" t="s">
        <v>185</v>
      </c>
      <c r="C72" s="66"/>
      <c r="D72" s="176" t="s">
        <v>200</v>
      </c>
      <c r="E72" s="43"/>
      <c r="F72" s="361">
        <v>56.85</v>
      </c>
      <c r="G72" s="57">
        <v>2251</v>
      </c>
      <c r="H72" s="45">
        <f t="shared" ref="H72:H80" si="50">F72*G72</f>
        <v>127969.35</v>
      </c>
      <c r="I72" s="490"/>
      <c r="J72" s="87">
        <v>18</v>
      </c>
      <c r="K72" s="57">
        <v>1636</v>
      </c>
      <c r="L72" s="86">
        <v>90.888888888888886</v>
      </c>
      <c r="M72" s="488">
        <v>18</v>
      </c>
      <c r="N72" s="44">
        <f t="shared" si="45"/>
        <v>1311.2621359223297</v>
      </c>
      <c r="O72" s="47">
        <f t="shared" si="46"/>
        <v>72.847896440129432</v>
      </c>
      <c r="P72" s="48">
        <f t="shared" si="47"/>
        <v>0</v>
      </c>
      <c r="Q72" s="49">
        <f t="shared" si="48"/>
        <v>-18.040992448759454</v>
      </c>
      <c r="R72" s="494">
        <f t="shared" si="44"/>
        <v>0.80150497305765878</v>
      </c>
      <c r="S72" s="672"/>
      <c r="T72" s="50">
        <v>0.3888888888888889</v>
      </c>
      <c r="U72" s="50">
        <v>0.4604166666666667</v>
      </c>
      <c r="V72" s="490">
        <v>25</v>
      </c>
      <c r="W72" s="487">
        <f t="shared" si="49"/>
        <v>103.00000000000003</v>
      </c>
      <c r="X72" s="53">
        <v>0.37013888888888885</v>
      </c>
      <c r="Y72" s="53">
        <v>0.38750000000000001</v>
      </c>
      <c r="Z72" s="54"/>
      <c r="AA72" s="54"/>
      <c r="AB72" s="658"/>
      <c r="AC72" s="658"/>
      <c r="AD72" s="504"/>
      <c r="AE72" s="504">
        <v>1</v>
      </c>
      <c r="AF72" s="48">
        <f>N72-K72</f>
        <v>-324.73786407767034</v>
      </c>
      <c r="AG72" s="494">
        <f>N72/K72</f>
        <v>0.80150497305765867</v>
      </c>
      <c r="AH72" s="672"/>
    </row>
    <row r="73" spans="1:34" ht="19.2" customHeight="1">
      <c r="A73" s="656"/>
      <c r="B73" s="490" t="s">
        <v>181</v>
      </c>
      <c r="C73" s="178"/>
      <c r="D73" s="179" t="s">
        <v>94</v>
      </c>
      <c r="E73" s="180"/>
      <c r="F73" s="361">
        <v>53.76</v>
      </c>
      <c r="G73" s="57">
        <v>2300</v>
      </c>
      <c r="H73" s="45">
        <f t="shared" si="50"/>
        <v>123648</v>
      </c>
      <c r="I73" s="504"/>
      <c r="J73" s="181">
        <v>16</v>
      </c>
      <c r="K73" s="182">
        <v>1440</v>
      </c>
      <c r="L73" s="86">
        <v>90</v>
      </c>
      <c r="M73" s="493">
        <v>16</v>
      </c>
      <c r="N73" s="44">
        <f t="shared" si="45"/>
        <v>1339.805825242719</v>
      </c>
      <c r="O73" s="47">
        <f t="shared" si="46"/>
        <v>83.73786407766994</v>
      </c>
      <c r="P73" s="48">
        <f t="shared" si="47"/>
        <v>0</v>
      </c>
      <c r="Q73" s="49">
        <f t="shared" si="48"/>
        <v>-6.2621359223300601</v>
      </c>
      <c r="R73" s="494">
        <f t="shared" si="44"/>
        <v>0.93042071197411047</v>
      </c>
      <c r="S73" s="672"/>
      <c r="T73" s="50">
        <v>0.49791666666666667</v>
      </c>
      <c r="U73" s="50">
        <v>0.56944444444444442</v>
      </c>
      <c r="V73" s="490">
        <v>6</v>
      </c>
      <c r="W73" s="487">
        <f t="shared" si="49"/>
        <v>102.99999999999996</v>
      </c>
      <c r="X73" s="183"/>
      <c r="Y73" s="183"/>
      <c r="Z73" s="125"/>
      <c r="AA73" s="125"/>
      <c r="AB73" s="658"/>
      <c r="AC73" s="658"/>
      <c r="AD73" s="504"/>
      <c r="AE73" s="504"/>
      <c r="AF73" s="48">
        <f>N73-K73</f>
        <v>-100.19417475728096</v>
      </c>
      <c r="AG73" s="494">
        <f>N73/K73</f>
        <v>0.93042071197411047</v>
      </c>
      <c r="AH73" s="672"/>
    </row>
    <row r="74" spans="1:34" ht="19.2" customHeight="1">
      <c r="A74" s="656"/>
      <c r="B74" s="490" t="s">
        <v>181</v>
      </c>
      <c r="C74" s="178"/>
      <c r="D74" s="179" t="s">
        <v>95</v>
      </c>
      <c r="E74" s="180"/>
      <c r="F74" s="361">
        <v>47.51</v>
      </c>
      <c r="G74" s="177">
        <v>2341</v>
      </c>
      <c r="H74" s="45">
        <f t="shared" si="50"/>
        <v>111220.90999999999</v>
      </c>
      <c r="I74" s="490"/>
      <c r="J74" s="46">
        <v>17</v>
      </c>
      <c r="K74" s="177">
        <v>1440</v>
      </c>
      <c r="L74" s="47">
        <v>84.705882352941174</v>
      </c>
      <c r="M74" s="488">
        <v>17</v>
      </c>
      <c r="N74" s="44">
        <f t="shared" si="45"/>
        <v>1350.5769230769238</v>
      </c>
      <c r="O74" s="47">
        <f t="shared" si="46"/>
        <v>79.445701357466106</v>
      </c>
      <c r="P74" s="48">
        <f t="shared" si="47"/>
        <v>0</v>
      </c>
      <c r="Q74" s="49">
        <f t="shared" si="48"/>
        <v>-5.2601809954750678</v>
      </c>
      <c r="R74" s="494">
        <f t="shared" si="44"/>
        <v>0.93790064102564152</v>
      </c>
      <c r="S74" s="672"/>
      <c r="T74" s="50">
        <v>0.58472222222222214</v>
      </c>
      <c r="U74" s="50">
        <v>0.65694444444444433</v>
      </c>
      <c r="V74" s="490">
        <v>22</v>
      </c>
      <c r="W74" s="487">
        <f t="shared" si="49"/>
        <v>103.99999999999994</v>
      </c>
      <c r="X74" s="183">
        <v>0.57291666666666663</v>
      </c>
      <c r="Y74" s="183">
        <v>0.58194444444444449</v>
      </c>
      <c r="Z74" s="125"/>
      <c r="AA74" s="125"/>
      <c r="AB74" s="658"/>
      <c r="AC74" s="658"/>
      <c r="AD74" s="504"/>
      <c r="AE74" s="504"/>
      <c r="AF74" s="48">
        <f t="shared" ref="AF74:AF80" si="51">N74-K74</f>
        <v>-89.423076923076223</v>
      </c>
      <c r="AG74" s="494">
        <f t="shared" ref="AG74:AG80" si="52">N74/K74</f>
        <v>0.93790064102564152</v>
      </c>
      <c r="AH74" s="672"/>
    </row>
    <row r="75" spans="1:34" ht="19.2" customHeight="1">
      <c r="A75" s="656"/>
      <c r="B75" s="490" t="s">
        <v>182</v>
      </c>
      <c r="C75" s="66"/>
      <c r="D75" s="176" t="s">
        <v>503</v>
      </c>
      <c r="E75" s="43"/>
      <c r="F75" s="361">
        <v>47.6</v>
      </c>
      <c r="G75" s="57">
        <v>1350.25</v>
      </c>
      <c r="H75" s="45">
        <f t="shared" si="50"/>
        <v>64271.9</v>
      </c>
      <c r="I75" s="490">
        <v>1</v>
      </c>
      <c r="J75" s="181">
        <v>15</v>
      </c>
      <c r="K75" s="182">
        <v>1500</v>
      </c>
      <c r="L75" s="86">
        <v>100</v>
      </c>
      <c r="M75" s="488">
        <v>16</v>
      </c>
      <c r="N75" s="44">
        <f t="shared" si="45"/>
        <v>1306.693548387098</v>
      </c>
      <c r="O75" s="47">
        <f t="shared" si="46"/>
        <v>81.668346774193623</v>
      </c>
      <c r="P75" s="48">
        <f t="shared" si="47"/>
        <v>1</v>
      </c>
      <c r="Q75" s="49">
        <f t="shared" si="48"/>
        <v>-18.331653225806377</v>
      </c>
      <c r="R75" s="494">
        <f t="shared" si="44"/>
        <v>0.81668346774193623</v>
      </c>
      <c r="S75" s="672"/>
      <c r="T75" s="50">
        <v>0.66180555555555542</v>
      </c>
      <c r="U75" s="50">
        <v>0.70486111111111094</v>
      </c>
      <c r="V75" s="490">
        <v>7</v>
      </c>
      <c r="W75" s="487">
        <f t="shared" si="49"/>
        <v>61.999999999999943</v>
      </c>
      <c r="X75" s="183"/>
      <c r="Y75" s="183"/>
      <c r="Z75" s="125"/>
      <c r="AA75" s="125"/>
      <c r="AB75" s="658"/>
      <c r="AC75" s="658"/>
      <c r="AD75" s="504"/>
      <c r="AE75" s="504"/>
      <c r="AF75" s="48">
        <f t="shared" si="51"/>
        <v>-193.30645161290204</v>
      </c>
      <c r="AG75" s="494">
        <f t="shared" si="52"/>
        <v>0.87112903225806526</v>
      </c>
      <c r="AH75" s="672"/>
    </row>
    <row r="76" spans="1:34" ht="19.2" customHeight="1">
      <c r="A76" s="656"/>
      <c r="B76" s="490">
        <v>0</v>
      </c>
      <c r="C76" s="178"/>
      <c r="D76" s="179"/>
      <c r="E76" s="180"/>
      <c r="F76" s="361" t="s">
        <v>186</v>
      </c>
      <c r="G76" s="177"/>
      <c r="H76" s="45">
        <f t="shared" si="50"/>
        <v>0</v>
      </c>
      <c r="I76" s="490"/>
      <c r="J76" s="181"/>
      <c r="K76" s="182"/>
      <c r="L76" s="86"/>
      <c r="M76" s="493" t="s">
        <v>30</v>
      </c>
      <c r="N76" s="44"/>
      <c r="O76" s="47"/>
      <c r="P76" s="48"/>
      <c r="Q76" s="49"/>
      <c r="R76" s="494"/>
      <c r="S76" s="672"/>
      <c r="T76" s="50"/>
      <c r="U76" s="50"/>
      <c r="V76" s="490"/>
      <c r="W76" s="487"/>
      <c r="X76" s="183"/>
      <c r="Y76" s="183"/>
      <c r="Z76" s="125"/>
      <c r="AA76" s="125"/>
      <c r="AB76" s="658"/>
      <c r="AC76" s="658"/>
      <c r="AD76" s="504"/>
      <c r="AE76" s="504"/>
      <c r="AF76" s="48">
        <f t="shared" si="51"/>
        <v>0</v>
      </c>
      <c r="AG76" s="494" t="e">
        <f t="shared" si="52"/>
        <v>#DIV/0!</v>
      </c>
      <c r="AH76" s="672"/>
    </row>
    <row r="77" spans="1:34" ht="19.2" customHeight="1">
      <c r="A77" s="656"/>
      <c r="B77" s="490">
        <v>0</v>
      </c>
      <c r="C77" s="500"/>
      <c r="D77" s="179"/>
      <c r="E77" s="43"/>
      <c r="F77" s="361" t="s">
        <v>186</v>
      </c>
      <c r="G77" s="177"/>
      <c r="H77" s="45">
        <f t="shared" si="50"/>
        <v>0</v>
      </c>
      <c r="I77" s="504"/>
      <c r="J77" s="181"/>
      <c r="K77" s="182"/>
      <c r="L77" s="86"/>
      <c r="M77" s="493" t="s">
        <v>30</v>
      </c>
      <c r="N77" s="44"/>
      <c r="O77" s="47"/>
      <c r="P77" s="48"/>
      <c r="Q77" s="49"/>
      <c r="R77" s="494"/>
      <c r="S77" s="672"/>
      <c r="T77" s="50"/>
      <c r="U77" s="50"/>
      <c r="V77" s="490"/>
      <c r="W77" s="487"/>
      <c r="X77" s="183"/>
      <c r="Y77" s="183"/>
      <c r="Z77" s="125"/>
      <c r="AA77" s="125"/>
      <c r="AB77" s="658"/>
      <c r="AC77" s="658"/>
      <c r="AD77" s="504"/>
      <c r="AE77" s="504"/>
      <c r="AF77" s="48">
        <f t="shared" si="51"/>
        <v>0</v>
      </c>
      <c r="AG77" s="494" t="e">
        <f t="shared" si="52"/>
        <v>#DIV/0!</v>
      </c>
      <c r="AH77" s="672"/>
    </row>
    <row r="78" spans="1:34" ht="19.2" customHeight="1">
      <c r="A78" s="656"/>
      <c r="B78" s="490">
        <v>0</v>
      </c>
      <c r="C78" s="500"/>
      <c r="D78" s="42"/>
      <c r="E78" s="43"/>
      <c r="F78" s="361" t="s">
        <v>186</v>
      </c>
      <c r="G78" s="57"/>
      <c r="H78" s="45">
        <f t="shared" si="50"/>
        <v>0</v>
      </c>
      <c r="I78" s="504"/>
      <c r="J78" s="87"/>
      <c r="K78" s="57"/>
      <c r="L78" s="86"/>
      <c r="M78" s="493"/>
      <c r="N78" s="44"/>
      <c r="O78" s="47"/>
      <c r="P78" s="48"/>
      <c r="Q78" s="49"/>
      <c r="R78" s="494"/>
      <c r="S78" s="672"/>
      <c r="T78" s="50"/>
      <c r="U78" s="50"/>
      <c r="V78" s="490"/>
      <c r="W78" s="487">
        <f t="shared" si="49"/>
        <v>0</v>
      </c>
      <c r="X78" s="183"/>
      <c r="Y78" s="183"/>
      <c r="Z78" s="125"/>
      <c r="AA78" s="125"/>
      <c r="AB78" s="658"/>
      <c r="AC78" s="658"/>
      <c r="AD78" s="504"/>
      <c r="AE78" s="504"/>
      <c r="AF78" s="48">
        <f t="shared" si="51"/>
        <v>0</v>
      </c>
      <c r="AG78" s="494" t="e">
        <f t="shared" si="52"/>
        <v>#DIV/0!</v>
      </c>
      <c r="AH78" s="672"/>
    </row>
    <row r="79" spans="1:34" ht="19.2" customHeight="1">
      <c r="A79" s="656"/>
      <c r="B79" s="490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504"/>
      <c r="J79" s="87"/>
      <c r="K79" s="57"/>
      <c r="L79" s="86"/>
      <c r="M79" s="493"/>
      <c r="N79" s="57"/>
      <c r="O79" s="184"/>
      <c r="P79" s="108"/>
      <c r="Q79" s="185"/>
      <c r="R79" s="109"/>
      <c r="S79" s="672"/>
      <c r="T79" s="50"/>
      <c r="U79" s="50"/>
      <c r="V79" s="490"/>
      <c r="W79" s="487">
        <f t="shared" si="49"/>
        <v>0</v>
      </c>
      <c r="X79" s="183"/>
      <c r="Y79" s="183"/>
      <c r="Z79" s="125"/>
      <c r="AA79" s="125"/>
      <c r="AB79" s="658"/>
      <c r="AC79" s="658"/>
      <c r="AD79" s="504"/>
      <c r="AE79" s="504"/>
      <c r="AF79" s="48">
        <f t="shared" si="51"/>
        <v>0</v>
      </c>
      <c r="AG79" s="494" t="e">
        <f t="shared" si="52"/>
        <v>#DIV/0!</v>
      </c>
      <c r="AH79" s="672"/>
    </row>
    <row r="80" spans="1:34" ht="19.2" customHeight="1">
      <c r="A80" s="656"/>
      <c r="B80" s="490">
        <v>0</v>
      </c>
      <c r="C80" s="500"/>
      <c r="D80" s="42"/>
      <c r="E80" s="43"/>
      <c r="F80" s="361"/>
      <c r="G80" s="57"/>
      <c r="H80" s="45">
        <f t="shared" si="50"/>
        <v>0</v>
      </c>
      <c r="I80" s="504"/>
      <c r="J80" s="87"/>
      <c r="K80" s="57"/>
      <c r="L80" s="86"/>
      <c r="M80" s="493"/>
      <c r="N80" s="57"/>
      <c r="O80" s="186"/>
      <c r="P80" s="54"/>
      <c r="Q80" s="88"/>
      <c r="R80" s="503"/>
      <c r="S80" s="672"/>
      <c r="T80" s="50"/>
      <c r="U80" s="50"/>
      <c r="V80" s="490"/>
      <c r="W80" s="487">
        <f t="shared" si="49"/>
        <v>0</v>
      </c>
      <c r="X80" s="183"/>
      <c r="Y80" s="183"/>
      <c r="Z80" s="125"/>
      <c r="AA80" s="125"/>
      <c r="AB80" s="658"/>
      <c r="AC80" s="658"/>
      <c r="AD80" s="504"/>
      <c r="AE80" s="504"/>
      <c r="AF80" s="48">
        <f t="shared" si="51"/>
        <v>0</v>
      </c>
      <c r="AG80" s="494" t="e">
        <f t="shared" si="52"/>
        <v>#DIV/0!</v>
      </c>
      <c r="AH80" s="672"/>
    </row>
    <row r="81" spans="1:34" ht="19.2" customHeight="1">
      <c r="A81" s="656"/>
      <c r="B81" s="490">
        <v>0</v>
      </c>
      <c r="C81" s="500"/>
      <c r="D81" s="42"/>
      <c r="E81" s="43"/>
      <c r="F81" s="368"/>
      <c r="G81" s="57"/>
      <c r="H81" s="84"/>
      <c r="I81" s="504"/>
      <c r="J81" s="87"/>
      <c r="K81" s="57"/>
      <c r="L81" s="86"/>
      <c r="M81" s="493"/>
      <c r="N81" s="57"/>
      <c r="O81" s="186"/>
      <c r="P81" s="54"/>
      <c r="Q81" s="88"/>
      <c r="R81" s="503"/>
      <c r="S81" s="672"/>
      <c r="T81" s="50"/>
      <c r="U81" s="50"/>
      <c r="V81" s="490"/>
      <c r="W81" s="487">
        <f t="shared" si="49"/>
        <v>0</v>
      </c>
      <c r="X81" s="183"/>
      <c r="Y81" s="183"/>
      <c r="Z81" s="125"/>
      <c r="AA81" s="125"/>
      <c r="AB81" s="658"/>
      <c r="AC81" s="658"/>
      <c r="AD81" s="504"/>
      <c r="AE81" s="504"/>
      <c r="AF81" s="48"/>
      <c r="AG81" s="126"/>
      <c r="AH81" s="672"/>
    </row>
    <row r="82" spans="1:34" ht="19.2" customHeight="1">
      <c r="A82" s="698"/>
      <c r="B82" s="171">
        <v>0</v>
      </c>
      <c r="C82" s="100" t="s">
        <v>638</v>
      </c>
      <c r="D82" s="687" t="s">
        <v>545</v>
      </c>
      <c r="E82" s="687"/>
      <c r="F82" s="371"/>
      <c r="G82" s="101"/>
      <c r="H82" s="102"/>
      <c r="I82" s="103"/>
      <c r="J82" s="101">
        <v>16.333333333333332</v>
      </c>
      <c r="K82" s="101">
        <v>1492.6666666666667</v>
      </c>
      <c r="L82" s="104">
        <v>92.122938064114535</v>
      </c>
      <c r="M82" s="101">
        <f t="shared" ref="J82:O82" si="53">AVERAGE(M70:M81)</f>
        <v>16.5</v>
      </c>
      <c r="N82" s="101">
        <f t="shared" si="53"/>
        <v>1311.7676065178002</v>
      </c>
      <c r="O82" s="187">
        <f t="shared" si="53"/>
        <v>79.924455609046461</v>
      </c>
      <c r="P82" s="117">
        <f>M82-J82</f>
        <v>0.16666666666666785</v>
      </c>
      <c r="Q82" s="118">
        <f>N82-K82</f>
        <v>-180.89906014886651</v>
      </c>
      <c r="R82" s="175">
        <f>O82/L82</f>
        <v>0.86758474369783634</v>
      </c>
      <c r="S82" s="672"/>
      <c r="T82" s="50"/>
      <c r="U82" s="50"/>
      <c r="V82" s="490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0</v>
      </c>
      <c r="AE82" s="107">
        <f>SUM(AE70:AE81)</f>
        <v>1</v>
      </c>
      <c r="AF82" s="48">
        <f>N82-K82</f>
        <v>-180.89906014886651</v>
      </c>
      <c r="AG82" s="494">
        <f>N82/K82</f>
        <v>0.87880813299539984</v>
      </c>
      <c r="AH82" s="672"/>
    </row>
    <row r="83" spans="1:34" ht="19.2" customHeight="1">
      <c r="A83" s="699" t="s">
        <v>639</v>
      </c>
      <c r="B83" s="110" t="s">
        <v>185</v>
      </c>
      <c r="C83" s="66"/>
      <c r="D83" s="377" t="s">
        <v>270</v>
      </c>
      <c r="E83" s="43"/>
      <c r="F83" s="368">
        <v>54.09</v>
      </c>
      <c r="G83" s="57">
        <v>1650.8700000000001</v>
      </c>
      <c r="H83" s="84">
        <f t="shared" ref="H83:H94" si="54">F83*G83</f>
        <v>89295.558300000019</v>
      </c>
      <c r="I83" s="504"/>
      <c r="J83" s="87">
        <v>18</v>
      </c>
      <c r="K83" s="57">
        <v>1500</v>
      </c>
      <c r="L83" s="86">
        <v>83.333333333333329</v>
      </c>
      <c r="M83" s="493">
        <v>18</v>
      </c>
      <c r="N83" s="57">
        <f t="shared" ref="N83:N87" si="55">G83/W83*60</f>
        <v>1375.7250000000004</v>
      </c>
      <c r="O83" s="186">
        <f t="shared" ref="O83:O87" si="56">N83/M83</f>
        <v>76.429166666666688</v>
      </c>
      <c r="P83" s="54">
        <f t="shared" ref="P83:P87" si="57">M83-J83</f>
        <v>0</v>
      </c>
      <c r="Q83" s="88">
        <f t="shared" ref="Q83:Q87" si="58">O83-L83</f>
        <v>-6.9041666666666401</v>
      </c>
      <c r="R83" s="188">
        <f t="shared" ref="R83:R87" si="59">O83/L83</f>
        <v>0.91715000000000035</v>
      </c>
      <c r="S83" s="672">
        <f>R95</f>
        <v>0.91941606553000543</v>
      </c>
      <c r="T83" s="50">
        <v>0.33333333333333331</v>
      </c>
      <c r="U83" s="50">
        <v>0.3833333333333333</v>
      </c>
      <c r="V83" s="490">
        <v>5</v>
      </c>
      <c r="W83" s="487">
        <f t="shared" ref="W83:W93" si="60">(U83-T83)*24*60</f>
        <v>71.999999999999986</v>
      </c>
      <c r="X83" s="53"/>
      <c r="Y83" s="53"/>
      <c r="Z83" s="54"/>
      <c r="AA83" s="54"/>
      <c r="AB83" s="658"/>
      <c r="AC83" s="658"/>
      <c r="AD83" s="504"/>
      <c r="AE83" s="504"/>
      <c r="AF83" s="48">
        <f t="shared" ref="AF83:AF173" si="61">N83-K83</f>
        <v>-124.27499999999964</v>
      </c>
      <c r="AG83" s="494">
        <f t="shared" ref="AG83:AG173" si="62">N83/K83</f>
        <v>0.91715000000000024</v>
      </c>
      <c r="AH83" s="672">
        <f>AG95</f>
        <v>0.90925215914272062</v>
      </c>
    </row>
    <row r="84" spans="1:34" ht="19.2" customHeight="1">
      <c r="A84" s="700"/>
      <c r="B84" s="110" t="s">
        <v>181</v>
      </c>
      <c r="C84" s="500"/>
      <c r="D84" s="189" t="s">
        <v>93</v>
      </c>
      <c r="E84" s="43"/>
      <c r="F84" s="368">
        <v>53.36</v>
      </c>
      <c r="G84" s="44">
        <v>4002.1800000000003</v>
      </c>
      <c r="H84" s="84">
        <f t="shared" si="54"/>
        <v>213556.3248</v>
      </c>
      <c r="I84" s="490"/>
      <c r="J84" s="87">
        <v>19</v>
      </c>
      <c r="K84" s="57">
        <v>1440</v>
      </c>
      <c r="L84" s="86">
        <v>75.78947368421052</v>
      </c>
      <c r="M84" s="493">
        <v>19</v>
      </c>
      <c r="N84" s="57">
        <f t="shared" si="55"/>
        <v>1349.0494382022466</v>
      </c>
      <c r="O84" s="186">
        <f t="shared" si="56"/>
        <v>71.002602010644566</v>
      </c>
      <c r="P84" s="54">
        <f t="shared" si="57"/>
        <v>0</v>
      </c>
      <c r="Q84" s="88">
        <f t="shared" si="58"/>
        <v>-4.7868716735659547</v>
      </c>
      <c r="R84" s="188">
        <f t="shared" si="59"/>
        <v>0.93683988764044923</v>
      </c>
      <c r="S84" s="672"/>
      <c r="T84" s="50">
        <v>0.39930555555555552</v>
      </c>
      <c r="U84" s="50">
        <v>0.5229166666666667</v>
      </c>
      <c r="V84" s="490">
        <v>23</v>
      </c>
      <c r="W84" s="487">
        <f t="shared" si="60"/>
        <v>178.00000000000009</v>
      </c>
      <c r="X84" s="53">
        <v>0.38680555555555557</v>
      </c>
      <c r="Y84" s="53">
        <v>0.39652777777777781</v>
      </c>
      <c r="Z84" s="54"/>
      <c r="AA84" s="54"/>
      <c r="AB84" s="658"/>
      <c r="AC84" s="658"/>
      <c r="AD84" s="504"/>
      <c r="AE84" s="504"/>
      <c r="AF84" s="48">
        <f t="shared" si="61"/>
        <v>-90.95056179775338</v>
      </c>
      <c r="AG84" s="494">
        <f t="shared" si="62"/>
        <v>0.93683988764044901</v>
      </c>
      <c r="AH84" s="672"/>
    </row>
    <row r="85" spans="1:34" ht="19.2" customHeight="1">
      <c r="A85" s="700"/>
      <c r="B85" s="110" t="s">
        <v>181</v>
      </c>
      <c r="C85" s="123"/>
      <c r="D85" s="189" t="s">
        <v>77</v>
      </c>
      <c r="E85" s="43"/>
      <c r="F85" s="368">
        <v>59.54</v>
      </c>
      <c r="G85" s="44">
        <v>1216</v>
      </c>
      <c r="H85" s="84">
        <f t="shared" si="54"/>
        <v>72400.639999999999</v>
      </c>
      <c r="I85" s="490"/>
      <c r="J85" s="87">
        <v>18</v>
      </c>
      <c r="K85" s="57">
        <v>1385</v>
      </c>
      <c r="L85" s="86">
        <v>76.944444444444443</v>
      </c>
      <c r="M85" s="493">
        <v>18</v>
      </c>
      <c r="N85" s="57">
        <f t="shared" si="55"/>
        <v>1280.0000000000009</v>
      </c>
      <c r="O85" s="186">
        <f t="shared" si="56"/>
        <v>71.111111111111157</v>
      </c>
      <c r="P85" s="54">
        <f t="shared" si="57"/>
        <v>0</v>
      </c>
      <c r="Q85" s="88">
        <f t="shared" si="58"/>
        <v>-5.833333333333286</v>
      </c>
      <c r="R85" s="188">
        <f t="shared" si="59"/>
        <v>0.92418772563176954</v>
      </c>
      <c r="S85" s="672"/>
      <c r="T85" s="50">
        <v>0.56388888888888888</v>
      </c>
      <c r="U85" s="50">
        <v>0.60347222222222219</v>
      </c>
      <c r="V85" s="490">
        <v>6</v>
      </c>
      <c r="W85" s="487">
        <f t="shared" si="60"/>
        <v>56.999999999999957</v>
      </c>
      <c r="X85" s="53"/>
      <c r="Y85" s="53"/>
      <c r="Z85" s="54"/>
      <c r="AA85" s="54"/>
      <c r="AB85" s="658"/>
      <c r="AC85" s="658"/>
      <c r="AD85" s="504"/>
      <c r="AE85" s="504"/>
      <c r="AF85" s="48">
        <f t="shared" si="61"/>
        <v>-104.99999999999909</v>
      </c>
      <c r="AG85" s="494">
        <f t="shared" si="62"/>
        <v>0.92418772563176965</v>
      </c>
      <c r="AH85" s="672"/>
    </row>
    <row r="86" spans="1:34" ht="19.2" customHeight="1">
      <c r="A86" s="700"/>
      <c r="B86" s="110" t="s">
        <v>181</v>
      </c>
      <c r="C86" s="97"/>
      <c r="D86" s="189" t="s">
        <v>360</v>
      </c>
      <c r="E86" s="43"/>
      <c r="F86" s="368">
        <v>73.94</v>
      </c>
      <c r="G86" s="44">
        <v>2082</v>
      </c>
      <c r="H86" s="84">
        <f t="shared" si="54"/>
        <v>153943.07999999999</v>
      </c>
      <c r="I86" s="490"/>
      <c r="J86" s="87">
        <v>19</v>
      </c>
      <c r="K86" s="57">
        <v>1440</v>
      </c>
      <c r="L86" s="86">
        <v>75.78947368421052</v>
      </c>
      <c r="M86" s="493">
        <v>18</v>
      </c>
      <c r="N86" s="57">
        <f t="shared" si="55"/>
        <v>1314.9473684210529</v>
      </c>
      <c r="O86" s="186">
        <f t="shared" si="56"/>
        <v>73.052631578947384</v>
      </c>
      <c r="P86" s="54">
        <f t="shared" si="57"/>
        <v>-1</v>
      </c>
      <c r="Q86" s="88">
        <f t="shared" si="58"/>
        <v>-2.7368421052631362</v>
      </c>
      <c r="R86" s="188">
        <f t="shared" si="59"/>
        <v>0.96388888888888913</v>
      </c>
      <c r="S86" s="672"/>
      <c r="T86" s="50">
        <v>0.60902777777777772</v>
      </c>
      <c r="U86" s="50">
        <v>0.67499999999999993</v>
      </c>
      <c r="V86" s="490">
        <v>8</v>
      </c>
      <c r="W86" s="487">
        <f t="shared" si="60"/>
        <v>94.999999999999986</v>
      </c>
      <c r="X86" s="53"/>
      <c r="Y86" s="53"/>
      <c r="Z86" s="54"/>
      <c r="AA86" s="54"/>
      <c r="AB86" s="658"/>
      <c r="AC86" s="658"/>
      <c r="AD86" s="504"/>
      <c r="AE86" s="504"/>
      <c r="AF86" s="48">
        <f t="shared" si="61"/>
        <v>-125.05263157894706</v>
      </c>
      <c r="AG86" s="494">
        <f t="shared" si="62"/>
        <v>0.91315789473684228</v>
      </c>
      <c r="AH86" s="672"/>
    </row>
    <row r="87" spans="1:34" ht="19.2" customHeight="1">
      <c r="A87" s="700"/>
      <c r="B87" s="110" t="s">
        <v>181</v>
      </c>
      <c r="C87" s="97"/>
      <c r="D87" s="189" t="s">
        <v>93</v>
      </c>
      <c r="E87" s="43"/>
      <c r="F87" s="368">
        <v>53.36</v>
      </c>
      <c r="G87" s="44">
        <v>1128.82</v>
      </c>
      <c r="H87" s="84">
        <f t="shared" si="54"/>
        <v>60233.835199999994</v>
      </c>
      <c r="I87" s="490">
        <v>1</v>
      </c>
      <c r="J87" s="87">
        <v>19</v>
      </c>
      <c r="K87" s="57">
        <v>1440</v>
      </c>
      <c r="L87" s="86">
        <v>75.78947368421052</v>
      </c>
      <c r="M87" s="493">
        <v>19</v>
      </c>
      <c r="N87" s="57">
        <f t="shared" si="55"/>
        <v>1231.4400000000007</v>
      </c>
      <c r="O87" s="186">
        <f t="shared" si="56"/>
        <v>64.812631578947403</v>
      </c>
      <c r="P87" s="54">
        <f t="shared" si="57"/>
        <v>0</v>
      </c>
      <c r="Q87" s="88">
        <f t="shared" si="58"/>
        <v>-10.976842105263117</v>
      </c>
      <c r="R87" s="188">
        <f t="shared" si="59"/>
        <v>0.85516666666666719</v>
      </c>
      <c r="S87" s="672"/>
      <c r="T87" s="50">
        <v>0.69027777777777766</v>
      </c>
      <c r="U87" s="50">
        <v>0.72847222222222208</v>
      </c>
      <c r="V87" s="490">
        <v>22</v>
      </c>
      <c r="W87" s="487">
        <f t="shared" si="60"/>
        <v>54.999999999999964</v>
      </c>
      <c r="X87" s="53">
        <v>0.67847222222222225</v>
      </c>
      <c r="Y87" s="53">
        <v>0.6875</v>
      </c>
      <c r="Z87" s="54"/>
      <c r="AA87" s="54"/>
      <c r="AB87" s="658"/>
      <c r="AC87" s="658"/>
      <c r="AD87" s="504"/>
      <c r="AE87" s="504"/>
      <c r="AF87" s="48">
        <f t="shared" si="61"/>
        <v>-208.55999999999926</v>
      </c>
      <c r="AG87" s="494">
        <f t="shared" si="62"/>
        <v>0.85516666666666719</v>
      </c>
      <c r="AH87" s="672"/>
    </row>
    <row r="88" spans="1:34" ht="19.2" customHeight="1">
      <c r="A88" s="700"/>
      <c r="B88" s="110">
        <v>0</v>
      </c>
      <c r="C88" s="500"/>
      <c r="D88" s="189"/>
      <c r="E88" s="43"/>
      <c r="F88" s="368" t="s">
        <v>186</v>
      </c>
      <c r="G88" s="57"/>
      <c r="H88" s="84">
        <f t="shared" si="54"/>
        <v>0</v>
      </c>
      <c r="I88" s="490"/>
      <c r="J88" s="87"/>
      <c r="K88" s="57"/>
      <c r="L88" s="86"/>
      <c r="M88" s="493"/>
      <c r="N88" s="57"/>
      <c r="O88" s="186"/>
      <c r="P88" s="54"/>
      <c r="Q88" s="88"/>
      <c r="R88" s="188"/>
      <c r="S88" s="672"/>
      <c r="T88" s="50"/>
      <c r="U88" s="50"/>
      <c r="V88" s="490"/>
      <c r="W88" s="487"/>
      <c r="X88" s="53"/>
      <c r="Y88" s="53"/>
      <c r="Z88" s="54"/>
      <c r="AA88" s="54"/>
      <c r="AB88" s="658"/>
      <c r="AC88" s="658"/>
      <c r="AD88" s="504"/>
      <c r="AE88" s="504"/>
      <c r="AF88" s="48">
        <f t="shared" si="61"/>
        <v>0</v>
      </c>
      <c r="AG88" s="494" t="e">
        <f t="shared" si="62"/>
        <v>#DIV/0!</v>
      </c>
      <c r="AH88" s="672"/>
    </row>
    <row r="89" spans="1:34" ht="19.2" customHeight="1">
      <c r="A89" s="700"/>
      <c r="B89" s="110">
        <v>0</v>
      </c>
      <c r="C89" s="500"/>
      <c r="D89" s="42"/>
      <c r="E89" s="43"/>
      <c r="F89" s="368" t="s">
        <v>186</v>
      </c>
      <c r="G89" s="115"/>
      <c r="H89" s="84">
        <f t="shared" si="54"/>
        <v>0</v>
      </c>
      <c r="I89" s="490"/>
      <c r="J89" s="87"/>
      <c r="K89" s="57"/>
      <c r="L89" s="86"/>
      <c r="M89" s="493"/>
      <c r="N89" s="57"/>
      <c r="O89" s="186"/>
      <c r="P89" s="54"/>
      <c r="Q89" s="88"/>
      <c r="R89" s="188"/>
      <c r="S89" s="672"/>
      <c r="T89" s="50"/>
      <c r="U89" s="50"/>
      <c r="V89" s="490"/>
      <c r="W89" s="487"/>
      <c r="X89" s="53"/>
      <c r="Y89" s="53"/>
      <c r="Z89" s="54"/>
      <c r="AA89" s="54"/>
      <c r="AB89" s="658"/>
      <c r="AC89" s="658"/>
      <c r="AD89" s="504"/>
      <c r="AE89" s="504"/>
      <c r="AF89" s="48">
        <f t="shared" si="61"/>
        <v>0</v>
      </c>
      <c r="AG89" s="494" t="e">
        <f t="shared" si="62"/>
        <v>#DIV/0!</v>
      </c>
      <c r="AH89" s="672"/>
    </row>
    <row r="90" spans="1:34" ht="19.2" customHeight="1">
      <c r="A90" s="700"/>
      <c r="B90" s="110">
        <v>0</v>
      </c>
      <c r="C90" s="500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93"/>
      <c r="N90" s="57"/>
      <c r="O90" s="186"/>
      <c r="P90" s="54"/>
      <c r="Q90" s="88"/>
      <c r="R90" s="188"/>
      <c r="S90" s="672"/>
      <c r="T90" s="50"/>
      <c r="U90" s="50"/>
      <c r="V90" s="490"/>
      <c r="W90" s="487"/>
      <c r="X90" s="191"/>
      <c r="Y90" s="191"/>
      <c r="Z90" s="54"/>
      <c r="AA90" s="54"/>
      <c r="AB90" s="658"/>
      <c r="AC90" s="658"/>
      <c r="AD90" s="504"/>
      <c r="AE90" s="504"/>
      <c r="AF90" s="48">
        <f t="shared" si="61"/>
        <v>0</v>
      </c>
      <c r="AG90" s="494" t="e">
        <f t="shared" si="62"/>
        <v>#DIV/0!</v>
      </c>
      <c r="AH90" s="672"/>
    </row>
    <row r="91" spans="1:34" ht="19.2" customHeight="1">
      <c r="A91" s="700"/>
      <c r="B91" s="110">
        <v>0</v>
      </c>
      <c r="C91" s="500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93" t="s">
        <v>30</v>
      </c>
      <c r="N91" s="57"/>
      <c r="O91" s="186"/>
      <c r="P91" s="54"/>
      <c r="Q91" s="88"/>
      <c r="R91" s="188"/>
      <c r="S91" s="673"/>
      <c r="T91" s="50"/>
      <c r="U91" s="50"/>
      <c r="V91" s="490"/>
      <c r="W91" s="487">
        <f t="shared" si="60"/>
        <v>0</v>
      </c>
      <c r="X91" s="116"/>
      <c r="Y91" s="116"/>
      <c r="Z91" s="54"/>
      <c r="AA91" s="54"/>
      <c r="AB91" s="658"/>
      <c r="AC91" s="658"/>
      <c r="AD91" s="504"/>
      <c r="AE91" s="504"/>
      <c r="AF91" s="48">
        <f t="shared" si="61"/>
        <v>0</v>
      </c>
      <c r="AG91" s="494" t="e">
        <f t="shared" si="62"/>
        <v>#DIV/0!</v>
      </c>
      <c r="AH91" s="673"/>
    </row>
    <row r="92" spans="1:34" ht="19.2" customHeight="1">
      <c r="A92" s="700"/>
      <c r="B92" s="110">
        <v>0</v>
      </c>
      <c r="C92" s="500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502"/>
      <c r="S92" s="673"/>
      <c r="T92" s="50"/>
      <c r="U92" s="50"/>
      <c r="V92" s="490"/>
      <c r="W92" s="487"/>
      <c r="X92" s="183"/>
      <c r="Y92" s="183"/>
      <c r="Z92" s="125"/>
      <c r="AA92" s="125"/>
      <c r="AB92" s="658"/>
      <c r="AC92" s="658"/>
      <c r="AD92" s="504"/>
      <c r="AE92" s="504"/>
      <c r="AF92" s="48">
        <f t="shared" si="61"/>
        <v>0</v>
      </c>
      <c r="AG92" s="494" t="e">
        <f t="shared" si="62"/>
        <v>#DIV/0!</v>
      </c>
      <c r="AH92" s="673"/>
    </row>
    <row r="93" spans="1:34" ht="19.2" customHeight="1">
      <c r="A93" s="700"/>
      <c r="B93" s="491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93"/>
      <c r="N93" s="57"/>
      <c r="O93" s="86"/>
      <c r="P93" s="54"/>
      <c r="Q93" s="88"/>
      <c r="R93" s="497"/>
      <c r="S93" s="701"/>
      <c r="T93" s="63"/>
      <c r="U93" s="63"/>
      <c r="V93" s="491"/>
      <c r="W93" s="487">
        <f t="shared" si="60"/>
        <v>0</v>
      </c>
      <c r="X93" s="200"/>
      <c r="Y93" s="200"/>
      <c r="Z93" s="125"/>
      <c r="AA93" s="125"/>
      <c r="AB93" s="658"/>
      <c r="AC93" s="658"/>
      <c r="AD93" s="504"/>
      <c r="AE93" s="504"/>
      <c r="AF93" s="48">
        <f t="shared" si="61"/>
        <v>0</v>
      </c>
      <c r="AG93" s="494" t="e">
        <f t="shared" si="62"/>
        <v>#DIV/0!</v>
      </c>
      <c r="AH93" s="673"/>
    </row>
    <row r="94" spans="1:34" ht="19.2" customHeight="1">
      <c r="A94" s="700"/>
      <c r="B94" s="491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97"/>
      <c r="S94" s="701"/>
      <c r="T94" s="63"/>
      <c r="U94" s="63"/>
      <c r="V94" s="491"/>
      <c r="W94" s="487">
        <f>(U94-T94)*24*60</f>
        <v>0</v>
      </c>
      <c r="X94" s="200"/>
      <c r="Y94" s="200"/>
      <c r="Z94" s="125"/>
      <c r="AA94" s="125"/>
      <c r="AB94" s="658"/>
      <c r="AC94" s="658"/>
      <c r="AD94" s="504"/>
      <c r="AE94" s="504"/>
      <c r="AF94" s="48">
        <f t="shared" si="61"/>
        <v>0</v>
      </c>
      <c r="AG94" s="494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640</v>
      </c>
      <c r="D95" s="687" t="s">
        <v>545</v>
      </c>
      <c r="E95" s="687"/>
      <c r="F95" s="362"/>
      <c r="G95" s="70"/>
      <c r="H95" s="204"/>
      <c r="I95" s="103"/>
      <c r="J95" s="205">
        <v>18.600000000000001</v>
      </c>
      <c r="K95" s="205">
        <v>1441</v>
      </c>
      <c r="L95" s="206">
        <v>77.529239766081872</v>
      </c>
      <c r="M95" s="205">
        <f t="shared" ref="J95:O95" si="63">AVERAGE(M83:M94)</f>
        <v>18.399999999999999</v>
      </c>
      <c r="N95" s="205">
        <f t="shared" si="63"/>
        <v>1310.2323613246604</v>
      </c>
      <c r="O95" s="206">
        <f t="shared" si="63"/>
        <v>71.281628589263434</v>
      </c>
      <c r="P95" s="207">
        <f>M95-J95</f>
        <v>-0.20000000000000284</v>
      </c>
      <c r="Q95" s="208">
        <f t="shared" ref="Q95:Q101" si="64">O95-L95</f>
        <v>-6.2476111768184381</v>
      </c>
      <c r="R95" s="209">
        <f>O95/L95</f>
        <v>0.91941606553000543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0</v>
      </c>
      <c r="AF95" s="65">
        <f t="shared" si="61"/>
        <v>-130.76763867533964</v>
      </c>
      <c r="AG95" s="495">
        <f t="shared" si="62"/>
        <v>0.90925215914272062</v>
      </c>
      <c r="AH95" s="673"/>
    </row>
    <row r="96" spans="1:34" ht="19.2" customHeight="1">
      <c r="A96" s="702" t="s">
        <v>641</v>
      </c>
      <c r="B96" s="490" t="s">
        <v>183</v>
      </c>
      <c r="C96" s="97"/>
      <c r="D96" s="42" t="s">
        <v>250</v>
      </c>
      <c r="E96" s="43"/>
      <c r="F96" s="361">
        <v>36.92</v>
      </c>
      <c r="G96" s="44">
        <v>2354</v>
      </c>
      <c r="H96" s="45">
        <f t="shared" ref="H96:H106" si="65">F96*G96</f>
        <v>86909.680000000008</v>
      </c>
      <c r="I96" s="490"/>
      <c r="J96" s="46">
        <v>6</v>
      </c>
      <c r="K96" s="44">
        <v>1636</v>
      </c>
      <c r="L96" s="47">
        <v>272.66666666666669</v>
      </c>
      <c r="M96" s="488">
        <v>6</v>
      </c>
      <c r="N96" s="44">
        <f t="shared" ref="N96:N101" si="66">G96/W96*60</f>
        <v>1518.7096774193551</v>
      </c>
      <c r="O96" s="47">
        <f t="shared" ref="O96:O101" si="67">N96/M96</f>
        <v>253.11827956989251</v>
      </c>
      <c r="P96" s="48">
        <f t="shared" ref="P96:P101" si="68">M96-J96</f>
        <v>0</v>
      </c>
      <c r="Q96" s="49">
        <f t="shared" si="64"/>
        <v>-19.548387096774178</v>
      </c>
      <c r="R96" s="494">
        <f t="shared" ref="R96:R101" si="69">O96/L96</f>
        <v>0.92830664878933677</v>
      </c>
      <c r="S96" s="672">
        <f>R108</f>
        <v>0.9071510718923802</v>
      </c>
      <c r="T96" s="89">
        <v>0.33333333333333331</v>
      </c>
      <c r="U96" s="89">
        <v>0.39791666666666664</v>
      </c>
      <c r="V96" s="504">
        <v>5</v>
      </c>
      <c r="W96" s="90">
        <f t="shared" ref="W96:W122" si="70">(U96-T96)*24*60</f>
        <v>92.999999999999986</v>
      </c>
      <c r="X96" s="96"/>
      <c r="Y96" s="96"/>
      <c r="Z96" s="54"/>
      <c r="AA96" s="54"/>
      <c r="AB96" s="658"/>
      <c r="AC96" s="658"/>
      <c r="AD96" s="504"/>
      <c r="AE96" s="504"/>
      <c r="AF96" s="54">
        <f t="shared" si="61"/>
        <v>-117.2903225806449</v>
      </c>
      <c r="AG96" s="497">
        <f t="shared" si="62"/>
        <v>0.92830664878933689</v>
      </c>
      <c r="AH96" s="681">
        <f>AG108</f>
        <v>0.90011145112201518</v>
      </c>
    </row>
    <row r="97" spans="1:34" s="218" customFormat="1" ht="19.2" customHeight="1">
      <c r="A97" s="702"/>
      <c r="B97" s="490" t="s">
        <v>183</v>
      </c>
      <c r="C97" s="210"/>
      <c r="D97" s="211" t="s">
        <v>83</v>
      </c>
      <c r="E97" s="56"/>
      <c r="F97" s="372">
        <v>29.113149847094796</v>
      </c>
      <c r="G97" s="212">
        <v>3117</v>
      </c>
      <c r="H97" s="213">
        <f t="shared" si="65"/>
        <v>90745.688073394485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1406.1654135338345</v>
      </c>
      <c r="O97" s="47">
        <f t="shared" si="67"/>
        <v>70.30827067669172</v>
      </c>
      <c r="P97" s="48">
        <f t="shared" si="68"/>
        <v>0</v>
      </c>
      <c r="Q97" s="49">
        <f t="shared" si="64"/>
        <v>-4.6917293233082802</v>
      </c>
      <c r="R97" s="494">
        <f t="shared" si="69"/>
        <v>0.9374436090225563</v>
      </c>
      <c r="S97" s="672"/>
      <c r="T97" s="214">
        <v>0.41388888888888886</v>
      </c>
      <c r="U97" s="214">
        <v>0.50624999999999998</v>
      </c>
      <c r="V97" s="215">
        <v>23</v>
      </c>
      <c r="W97" s="90">
        <f t="shared" si="70"/>
        <v>133</v>
      </c>
      <c r="X97" s="53">
        <v>0.40138888888888885</v>
      </c>
      <c r="Y97" s="53">
        <v>0.41111111111111115</v>
      </c>
      <c r="Z97" s="54"/>
      <c r="AA97" s="54"/>
      <c r="AB97" s="658"/>
      <c r="AC97" s="658"/>
      <c r="AD97" s="215"/>
      <c r="AE97" s="215"/>
      <c r="AF97" s="216">
        <f t="shared" si="61"/>
        <v>-93.834586466165547</v>
      </c>
      <c r="AG97" s="217">
        <f t="shared" si="62"/>
        <v>0.9374436090225563</v>
      </c>
      <c r="AH97" s="681"/>
    </row>
    <row r="98" spans="1:34" s="221" customFormat="1" ht="19.2" customHeight="1">
      <c r="A98" s="702"/>
      <c r="B98" s="490" t="s">
        <v>181</v>
      </c>
      <c r="C98" s="55"/>
      <c r="D98" s="42" t="s">
        <v>76</v>
      </c>
      <c r="E98" s="83"/>
      <c r="F98" s="372">
        <v>77.34</v>
      </c>
      <c r="G98" s="57">
        <v>655</v>
      </c>
      <c r="H98" s="213">
        <f t="shared" si="65"/>
        <v>50657.700000000004</v>
      </c>
      <c r="I98" s="504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1267.7419354838689</v>
      </c>
      <c r="O98" s="47">
        <f t="shared" si="67"/>
        <v>70.430107526881613</v>
      </c>
      <c r="P98" s="48">
        <f t="shared" si="68"/>
        <v>0</v>
      </c>
      <c r="Q98" s="49">
        <f t="shared" si="64"/>
        <v>-9.5698924731183865</v>
      </c>
      <c r="R98" s="494">
        <f t="shared" si="69"/>
        <v>0.88037634408602017</v>
      </c>
      <c r="S98" s="672"/>
      <c r="T98" s="89">
        <v>0.54722222222222217</v>
      </c>
      <c r="U98" s="89">
        <v>0.56874999999999998</v>
      </c>
      <c r="V98" s="504">
        <v>6</v>
      </c>
      <c r="W98" s="90">
        <f t="shared" si="70"/>
        <v>31.00000000000005</v>
      </c>
      <c r="X98" s="219"/>
      <c r="Y98" s="219"/>
      <c r="Z98" s="220"/>
      <c r="AA98" s="220"/>
      <c r="AB98" s="658"/>
      <c r="AC98" s="658"/>
      <c r="AD98" s="504"/>
      <c r="AE98" s="504"/>
      <c r="AF98" s="54">
        <f t="shared" si="61"/>
        <v>-172.25806451613107</v>
      </c>
      <c r="AG98" s="497">
        <f t="shared" si="62"/>
        <v>0.88037634408602006</v>
      </c>
      <c r="AH98" s="681"/>
    </row>
    <row r="99" spans="1:34" ht="19.2" customHeight="1">
      <c r="A99" s="702"/>
      <c r="B99" s="490" t="s">
        <v>181</v>
      </c>
      <c r="C99" s="81"/>
      <c r="D99" s="82" t="s">
        <v>74</v>
      </c>
      <c r="E99" s="83"/>
      <c r="F99" s="372">
        <v>59.34</v>
      </c>
      <c r="G99" s="57">
        <v>742</v>
      </c>
      <c r="H99" s="213">
        <f t="shared" si="65"/>
        <v>44030.280000000006</v>
      </c>
      <c r="I99" s="504"/>
      <c r="J99" s="46">
        <v>17</v>
      </c>
      <c r="K99" s="44">
        <v>1440</v>
      </c>
      <c r="L99" s="47">
        <v>84.705882352941174</v>
      </c>
      <c r="M99" s="488">
        <v>17</v>
      </c>
      <c r="N99" s="44">
        <f t="shared" si="66"/>
        <v>1271.9999999999986</v>
      </c>
      <c r="O99" s="47">
        <f t="shared" si="67"/>
        <v>74.823529411764625</v>
      </c>
      <c r="P99" s="48">
        <f t="shared" si="68"/>
        <v>0</v>
      </c>
      <c r="Q99" s="49">
        <f t="shared" si="64"/>
        <v>-9.8823529411765492</v>
      </c>
      <c r="R99" s="494">
        <f t="shared" si="69"/>
        <v>0.88333333333333242</v>
      </c>
      <c r="S99" s="672"/>
      <c r="T99" s="89">
        <v>0.57361111111111107</v>
      </c>
      <c r="U99" s="89">
        <v>0.59791666666666665</v>
      </c>
      <c r="V99" s="504">
        <v>7</v>
      </c>
      <c r="W99" s="90">
        <f t="shared" si="70"/>
        <v>35.000000000000036</v>
      </c>
      <c r="X99" s="183"/>
      <c r="Y99" s="183"/>
      <c r="Z99" s="125"/>
      <c r="AA99" s="125"/>
      <c r="AB99" s="658"/>
      <c r="AC99" s="658"/>
      <c r="AD99" s="504"/>
      <c r="AE99" s="504"/>
      <c r="AF99" s="216">
        <f t="shared" si="61"/>
        <v>-168.00000000000136</v>
      </c>
      <c r="AG99" s="217">
        <f t="shared" si="62"/>
        <v>0.88333333333333242</v>
      </c>
      <c r="AH99" s="681"/>
    </row>
    <row r="100" spans="1:34" s="221" customFormat="1" ht="19.2" customHeight="1">
      <c r="A100" s="702"/>
      <c r="B100" s="490" t="s">
        <v>181</v>
      </c>
      <c r="C100" s="55"/>
      <c r="D100" s="42" t="s">
        <v>75</v>
      </c>
      <c r="E100" s="83"/>
      <c r="F100" s="372">
        <v>71.55</v>
      </c>
      <c r="G100" s="57">
        <v>817</v>
      </c>
      <c r="H100" s="213">
        <f t="shared" si="65"/>
        <v>58456.35</v>
      </c>
      <c r="I100" s="504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1225.4999999999995</v>
      </c>
      <c r="O100" s="47">
        <f t="shared" si="67"/>
        <v>68.083333333333314</v>
      </c>
      <c r="P100" s="48">
        <f t="shared" si="68"/>
        <v>0</v>
      </c>
      <c r="Q100" s="49">
        <f t="shared" si="64"/>
        <v>-8.8611111111111285</v>
      </c>
      <c r="R100" s="494">
        <f t="shared" si="69"/>
        <v>0.8848375451263536</v>
      </c>
      <c r="S100" s="672"/>
      <c r="T100" s="214">
        <v>0.60347222222222219</v>
      </c>
      <c r="U100" s="214">
        <v>0.63124999999999998</v>
      </c>
      <c r="V100" s="215">
        <v>8</v>
      </c>
      <c r="W100" s="90">
        <f t="shared" si="70"/>
        <v>40.000000000000014</v>
      </c>
      <c r="X100" s="222"/>
      <c r="Y100" s="222"/>
      <c r="Z100" s="220"/>
      <c r="AA100" s="220"/>
      <c r="AB100" s="658"/>
      <c r="AC100" s="658"/>
      <c r="AD100" s="504"/>
      <c r="AE100" s="504"/>
      <c r="AF100" s="54">
        <f t="shared" si="61"/>
        <v>-159.50000000000045</v>
      </c>
      <c r="AG100" s="497">
        <f t="shared" si="62"/>
        <v>0.88483754512635349</v>
      </c>
      <c r="AH100" s="681"/>
    </row>
    <row r="101" spans="1:34" s="221" customFormat="1" ht="19.2" customHeight="1">
      <c r="A101" s="702"/>
      <c r="B101" s="490" t="s">
        <v>185</v>
      </c>
      <c r="C101" s="55"/>
      <c r="D101" s="82" t="s">
        <v>270</v>
      </c>
      <c r="E101" s="83"/>
      <c r="F101" s="372">
        <v>54.09</v>
      </c>
      <c r="G101" s="57">
        <v>1586.1299999999999</v>
      </c>
      <c r="H101" s="213">
        <f t="shared" si="65"/>
        <v>85793.771699999998</v>
      </c>
      <c r="I101" s="504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6"/>
        <v>1321.7749999999987</v>
      </c>
      <c r="O101" s="47">
        <f t="shared" si="67"/>
        <v>73.431944444444369</v>
      </c>
      <c r="P101" s="48">
        <f t="shared" si="68"/>
        <v>0</v>
      </c>
      <c r="Q101" s="49">
        <f t="shared" si="64"/>
        <v>-9.9013888888889596</v>
      </c>
      <c r="R101" s="494">
        <f t="shared" si="69"/>
        <v>0.88118333333333243</v>
      </c>
      <c r="S101" s="672"/>
      <c r="T101" s="214">
        <v>0.63611111111111107</v>
      </c>
      <c r="U101" s="89">
        <v>0.68611111111111112</v>
      </c>
      <c r="V101" s="215">
        <v>7</v>
      </c>
      <c r="W101" s="90">
        <f t="shared" si="70"/>
        <v>72.000000000000057</v>
      </c>
      <c r="X101" s="223"/>
      <c r="Y101" s="223"/>
      <c r="Z101" s="220"/>
      <c r="AA101" s="220"/>
      <c r="AB101" s="658"/>
      <c r="AC101" s="658"/>
      <c r="AD101" s="504"/>
      <c r="AE101" s="504"/>
      <c r="AF101" s="216">
        <f t="shared" si="61"/>
        <v>-178.22500000000127</v>
      </c>
      <c r="AG101" s="217">
        <f t="shared" si="62"/>
        <v>0.88118333333333243</v>
      </c>
      <c r="AH101" s="681"/>
    </row>
    <row r="102" spans="1:34" s="221" customFormat="1" ht="19.2" customHeight="1">
      <c r="A102" s="702"/>
      <c r="B102" s="490">
        <v>0</v>
      </c>
      <c r="C102" s="178"/>
      <c r="D102" s="179"/>
      <c r="E102" s="180"/>
      <c r="F102" s="372" t="s">
        <v>186</v>
      </c>
      <c r="G102" s="57"/>
      <c r="H102" s="213">
        <f t="shared" si="65"/>
        <v>0</v>
      </c>
      <c r="I102" s="490"/>
      <c r="J102" s="46"/>
      <c r="K102" s="44"/>
      <c r="L102" s="47"/>
      <c r="M102" s="87"/>
      <c r="N102" s="44"/>
      <c r="O102" s="47"/>
      <c r="P102" s="48"/>
      <c r="Q102" s="49"/>
      <c r="R102" s="494"/>
      <c r="S102" s="672"/>
      <c r="T102" s="214"/>
      <c r="U102" s="214"/>
      <c r="V102" s="215"/>
      <c r="W102" s="90"/>
      <c r="X102" s="223"/>
      <c r="Y102" s="223"/>
      <c r="Z102" s="220"/>
      <c r="AA102" s="220"/>
      <c r="AB102" s="658"/>
      <c r="AC102" s="658"/>
      <c r="AD102" s="504"/>
      <c r="AE102" s="504"/>
      <c r="AF102" s="54">
        <f t="shared" si="61"/>
        <v>0</v>
      </c>
      <c r="AG102" s="497" t="e">
        <f t="shared" si="62"/>
        <v>#DIV/0!</v>
      </c>
      <c r="AH102" s="681"/>
    </row>
    <row r="103" spans="1:34" s="221" customFormat="1" ht="19.2" customHeight="1">
      <c r="A103" s="702"/>
      <c r="B103" s="490">
        <v>0</v>
      </c>
      <c r="C103" s="224"/>
      <c r="D103" s="82"/>
      <c r="E103" s="83"/>
      <c r="F103" s="372" t="s">
        <v>186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94"/>
      <c r="S103" s="672"/>
      <c r="T103" s="214"/>
      <c r="U103" s="214"/>
      <c r="V103" s="215"/>
      <c r="W103" s="90"/>
      <c r="X103" s="223"/>
      <c r="Y103" s="223"/>
      <c r="Z103" s="220"/>
      <c r="AA103" s="220"/>
      <c r="AB103" s="658"/>
      <c r="AC103" s="658"/>
      <c r="AD103" s="504"/>
      <c r="AE103" s="504"/>
      <c r="AF103" s="216">
        <f t="shared" si="61"/>
        <v>0</v>
      </c>
      <c r="AG103" s="217" t="e">
        <f t="shared" si="62"/>
        <v>#DIV/0!</v>
      </c>
      <c r="AH103" s="681"/>
    </row>
    <row r="104" spans="1:34" s="221" customFormat="1" ht="19.2" customHeight="1">
      <c r="A104" s="702"/>
      <c r="B104" s="490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94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504"/>
      <c r="AE104" s="504"/>
      <c r="AF104" s="54">
        <f t="shared" si="61"/>
        <v>0</v>
      </c>
      <c r="AG104" s="497" t="e">
        <f t="shared" si="62"/>
        <v>#DIV/0!</v>
      </c>
      <c r="AH104" s="681"/>
    </row>
    <row r="105" spans="1:34" s="221" customFormat="1" ht="19.2" customHeight="1">
      <c r="A105" s="702"/>
      <c r="B105" s="490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94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504"/>
      <c r="AE105" s="504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90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97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504"/>
      <c r="AE106" s="504"/>
      <c r="AF106" s="220"/>
      <c r="AG106" s="497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97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504"/>
      <c r="AE107" s="504"/>
      <c r="AF107" s="220"/>
      <c r="AG107" s="497"/>
      <c r="AH107" s="681"/>
    </row>
    <row r="108" spans="1:34" ht="19.2" customHeight="1">
      <c r="A108" s="702"/>
      <c r="B108" s="110">
        <v>0</v>
      </c>
      <c r="C108" s="100" t="s">
        <v>642</v>
      </c>
      <c r="D108" s="687" t="s">
        <v>545</v>
      </c>
      <c r="E108" s="687"/>
      <c r="F108" s="373"/>
      <c r="G108" s="101"/>
      <c r="H108" s="102"/>
      <c r="I108" s="103"/>
      <c r="J108" s="101">
        <v>16.166666666666668</v>
      </c>
      <c r="K108" s="101">
        <v>1483.5</v>
      </c>
      <c r="L108" s="104">
        <v>112.10838779956428</v>
      </c>
      <c r="M108" s="101">
        <f t="shared" ref="J108:O108" si="71">AVERAGE(M96:M107)</f>
        <v>16.166666666666668</v>
      </c>
      <c r="N108" s="101">
        <f t="shared" si="71"/>
        <v>1335.3153377395095</v>
      </c>
      <c r="O108" s="104">
        <f t="shared" si="71"/>
        <v>101.69924416050138</v>
      </c>
      <c r="P108" s="54">
        <f t="shared" ref="P108:P116" si="72">M108-J108</f>
        <v>0</v>
      </c>
      <c r="Q108" s="88">
        <f t="shared" ref="Q108:Q116" si="73">O108-L108</f>
        <v>-10.409143639062904</v>
      </c>
      <c r="R108" s="105">
        <f t="shared" ref="R108:R116" si="74">O108/L108</f>
        <v>0.9071510718923802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0</v>
      </c>
      <c r="AE108" s="107">
        <f>SUM(AE96:AE107)</f>
        <v>0</v>
      </c>
      <c r="AF108" s="54">
        <f t="shared" si="61"/>
        <v>-148.18466226049054</v>
      </c>
      <c r="AG108" s="497">
        <f t="shared" si="62"/>
        <v>0.90011145112201518</v>
      </c>
      <c r="AH108" s="681"/>
    </row>
    <row r="109" spans="1:34" ht="19.2" customHeight="1">
      <c r="A109" s="703" t="s">
        <v>643</v>
      </c>
      <c r="B109" s="490" t="s">
        <v>185</v>
      </c>
      <c r="C109" s="500"/>
      <c r="D109" s="179" t="s">
        <v>104</v>
      </c>
      <c r="E109" s="43"/>
      <c r="F109" s="361">
        <v>51.75</v>
      </c>
      <c r="G109" s="44">
        <v>913</v>
      </c>
      <c r="H109" s="45">
        <f t="shared" ref="H109:H119" si="75">F109*G109</f>
        <v>47247.75</v>
      </c>
      <c r="I109" s="490"/>
      <c r="J109" s="46">
        <v>21</v>
      </c>
      <c r="K109" s="44">
        <v>1500</v>
      </c>
      <c r="L109" s="47">
        <v>71.428571428571431</v>
      </c>
      <c r="M109" s="488">
        <v>21</v>
      </c>
      <c r="N109" s="44">
        <f t="shared" ref="N109:N116" si="76">G109/W109*60</f>
        <v>1336.0975609756094</v>
      </c>
      <c r="O109" s="47">
        <f t="shared" ref="O109:O116" si="77">N109/M109</f>
        <v>63.623693379790929</v>
      </c>
      <c r="P109" s="48">
        <f t="shared" si="72"/>
        <v>0</v>
      </c>
      <c r="Q109" s="49">
        <f t="shared" si="73"/>
        <v>-7.8048780487805018</v>
      </c>
      <c r="R109" s="494">
        <f t="shared" si="74"/>
        <v>0.89073170731707296</v>
      </c>
      <c r="S109" s="706">
        <f>R121</f>
        <v>0.84458853047511262</v>
      </c>
      <c r="T109" s="230">
        <v>0.5</v>
      </c>
      <c r="U109" s="230">
        <v>0.52847222222222223</v>
      </c>
      <c r="V109" s="231">
        <v>5</v>
      </c>
      <c r="W109" s="487">
        <f t="shared" si="70"/>
        <v>41.000000000000014</v>
      </c>
      <c r="X109" s="53"/>
      <c r="Y109" s="53"/>
      <c r="Z109" s="54"/>
      <c r="AA109" s="54"/>
      <c r="AB109" s="658"/>
      <c r="AC109" s="658"/>
      <c r="AD109" s="504"/>
      <c r="AE109" s="504"/>
      <c r="AF109" s="48">
        <f t="shared" si="61"/>
        <v>-163.90243902439056</v>
      </c>
      <c r="AG109" s="126">
        <f t="shared" si="62"/>
        <v>0.89073170731707296</v>
      </c>
      <c r="AH109" s="681">
        <f>AG121</f>
        <v>0.85737710336807971</v>
      </c>
    </row>
    <row r="110" spans="1:34" ht="19.2" customHeight="1">
      <c r="A110" s="704"/>
      <c r="B110" s="490" t="s">
        <v>185</v>
      </c>
      <c r="C110" s="178"/>
      <c r="D110" s="42" t="s">
        <v>103</v>
      </c>
      <c r="E110" s="180"/>
      <c r="F110" s="361">
        <v>56.43</v>
      </c>
      <c r="G110" s="177">
        <v>820</v>
      </c>
      <c r="H110" s="45">
        <f t="shared" si="75"/>
        <v>46272.6</v>
      </c>
      <c r="I110" s="490"/>
      <c r="J110" s="46">
        <v>18</v>
      </c>
      <c r="K110" s="44">
        <v>1500</v>
      </c>
      <c r="L110" s="47">
        <v>83.333333333333329</v>
      </c>
      <c r="M110" s="488">
        <v>18</v>
      </c>
      <c r="N110" s="44">
        <f t="shared" si="76"/>
        <v>1329.7297297297287</v>
      </c>
      <c r="O110" s="47">
        <f t="shared" si="77"/>
        <v>73.873873873873819</v>
      </c>
      <c r="P110" s="48">
        <f t="shared" si="72"/>
        <v>0</v>
      </c>
      <c r="Q110" s="49">
        <f t="shared" si="73"/>
        <v>-9.4594594594595094</v>
      </c>
      <c r="R110" s="494">
        <f t="shared" si="74"/>
        <v>0.88648648648648587</v>
      </c>
      <c r="S110" s="707"/>
      <c r="T110" s="230">
        <v>0.53263888888888888</v>
      </c>
      <c r="U110" s="230">
        <v>0.55833333333333335</v>
      </c>
      <c r="V110" s="231">
        <v>6</v>
      </c>
      <c r="W110" s="487">
        <f t="shared" si="70"/>
        <v>37.000000000000028</v>
      </c>
      <c r="X110" s="191"/>
      <c r="Y110" s="191"/>
      <c r="Z110" s="54"/>
      <c r="AA110" s="54"/>
      <c r="AB110" s="658"/>
      <c r="AC110" s="658"/>
      <c r="AD110" s="504"/>
      <c r="AE110" s="504"/>
      <c r="AF110" s="48">
        <f t="shared" si="61"/>
        <v>-170.27027027027134</v>
      </c>
      <c r="AG110" s="126">
        <f t="shared" si="62"/>
        <v>0.88648648648648576</v>
      </c>
      <c r="AH110" s="681"/>
    </row>
    <row r="111" spans="1:34" ht="19.2" customHeight="1">
      <c r="A111" s="704"/>
      <c r="B111" s="490" t="s">
        <v>185</v>
      </c>
      <c r="C111" s="178"/>
      <c r="D111" s="42" t="s">
        <v>308</v>
      </c>
      <c r="E111" s="180"/>
      <c r="F111" s="361">
        <v>50.67</v>
      </c>
      <c r="G111" s="57">
        <v>1926</v>
      </c>
      <c r="H111" s="45">
        <f t="shared" si="75"/>
        <v>97590.42</v>
      </c>
      <c r="I111" s="490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1359.5294117647059</v>
      </c>
      <c r="O111" s="47">
        <f t="shared" si="77"/>
        <v>75.529411764705884</v>
      </c>
      <c r="P111" s="48">
        <f t="shared" si="72"/>
        <v>0</v>
      </c>
      <c r="Q111" s="49">
        <f t="shared" si="73"/>
        <v>-7.8039215686274446</v>
      </c>
      <c r="R111" s="494">
        <f t="shared" si="74"/>
        <v>0.90635294117647069</v>
      </c>
      <c r="S111" s="707"/>
      <c r="T111" s="230">
        <v>0.57430555555555562</v>
      </c>
      <c r="U111" s="230">
        <v>0.63333333333333341</v>
      </c>
      <c r="V111" s="231">
        <v>23</v>
      </c>
      <c r="W111" s="487">
        <f t="shared" si="70"/>
        <v>85.000000000000014</v>
      </c>
      <c r="X111" s="53">
        <v>0.56180555555555556</v>
      </c>
      <c r="Y111" s="53">
        <v>0.57152777777777775</v>
      </c>
      <c r="Z111" s="54"/>
      <c r="AA111" s="54"/>
      <c r="AB111" s="658"/>
      <c r="AC111" s="658"/>
      <c r="AD111" s="504"/>
      <c r="AE111" s="504"/>
      <c r="AF111" s="48">
        <f t="shared" si="61"/>
        <v>-140.47058823529414</v>
      </c>
      <c r="AG111" s="126">
        <f t="shared" si="62"/>
        <v>0.90635294117647058</v>
      </c>
      <c r="AH111" s="681"/>
    </row>
    <row r="112" spans="1:34" ht="19.2" customHeight="1">
      <c r="A112" s="704"/>
      <c r="B112" s="490" t="s">
        <v>185</v>
      </c>
      <c r="C112" s="178"/>
      <c r="D112" s="179" t="s">
        <v>106</v>
      </c>
      <c r="E112" s="180"/>
      <c r="F112" s="361">
        <v>55.32</v>
      </c>
      <c r="G112" s="57">
        <v>552</v>
      </c>
      <c r="H112" s="45">
        <f t="shared" si="75"/>
        <v>30536.639999999999</v>
      </c>
      <c r="I112" s="504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1103.999999999998</v>
      </c>
      <c r="O112" s="47">
        <f t="shared" si="77"/>
        <v>73.599999999999866</v>
      </c>
      <c r="P112" s="48">
        <f t="shared" si="72"/>
        <v>1</v>
      </c>
      <c r="Q112" s="49">
        <f t="shared" si="73"/>
        <v>-29.257142857142995</v>
      </c>
      <c r="R112" s="494">
        <f t="shared" si="74"/>
        <v>0.71555555555555428</v>
      </c>
      <c r="S112" s="707"/>
      <c r="T112" s="230">
        <v>0.70833333333333337</v>
      </c>
      <c r="U112" s="230">
        <v>0.72916666666666674</v>
      </c>
      <c r="V112" s="231">
        <v>5</v>
      </c>
      <c r="W112" s="487">
        <f t="shared" si="70"/>
        <v>30.000000000000053</v>
      </c>
      <c r="X112" s="53"/>
      <c r="Y112" s="53"/>
      <c r="Z112" s="54"/>
      <c r="AA112" s="54"/>
      <c r="AB112" s="658"/>
      <c r="AC112" s="658"/>
      <c r="AD112" s="504"/>
      <c r="AE112" s="504"/>
      <c r="AF112" s="48">
        <f t="shared" si="61"/>
        <v>-336.00000000000205</v>
      </c>
      <c r="AG112" s="126">
        <f t="shared" si="62"/>
        <v>0.76666666666666528</v>
      </c>
      <c r="AH112" s="681"/>
    </row>
    <row r="113" spans="1:34" s="221" customFormat="1" ht="19.2" customHeight="1">
      <c r="A113" s="704"/>
      <c r="B113" s="490" t="s">
        <v>185</v>
      </c>
      <c r="C113" s="178"/>
      <c r="D113" s="179" t="s">
        <v>107</v>
      </c>
      <c r="E113" s="180"/>
      <c r="F113" s="361">
        <v>55.56</v>
      </c>
      <c r="G113" s="57">
        <v>845</v>
      </c>
      <c r="H113" s="45">
        <f t="shared" si="75"/>
        <v>46948.200000000004</v>
      </c>
      <c r="I113" s="504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1267.4999999999995</v>
      </c>
      <c r="O113" s="47">
        <f t="shared" si="77"/>
        <v>79.218749999999972</v>
      </c>
      <c r="P113" s="48">
        <f t="shared" si="72"/>
        <v>0</v>
      </c>
      <c r="Q113" s="49">
        <f t="shared" si="73"/>
        <v>-10.781250000000028</v>
      </c>
      <c r="R113" s="494">
        <f t="shared" si="74"/>
        <v>0.88020833333333304</v>
      </c>
      <c r="S113" s="707"/>
      <c r="T113" s="230">
        <v>0.73472222222222228</v>
      </c>
      <c r="U113" s="230">
        <v>0.76250000000000007</v>
      </c>
      <c r="V113" s="231">
        <v>8</v>
      </c>
      <c r="W113" s="487">
        <f t="shared" si="70"/>
        <v>40.000000000000014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-172.50000000000045</v>
      </c>
      <c r="AG113" s="126">
        <f t="shared" si="62"/>
        <v>0.88020833333333304</v>
      </c>
      <c r="AH113" s="681"/>
    </row>
    <row r="114" spans="1:34" s="221" customFormat="1" ht="19.2" customHeight="1">
      <c r="A114" s="704"/>
      <c r="B114" s="490" t="s">
        <v>185</v>
      </c>
      <c r="C114" s="178"/>
      <c r="D114" s="179" t="s">
        <v>105</v>
      </c>
      <c r="E114" s="180"/>
      <c r="F114" s="361">
        <v>54.29</v>
      </c>
      <c r="G114" s="57">
        <v>738</v>
      </c>
      <c r="H114" s="45">
        <f t="shared" si="75"/>
        <v>40066.019999999997</v>
      </c>
      <c r="I114" s="504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1265.1428571428557</v>
      </c>
      <c r="O114" s="47">
        <f t="shared" si="77"/>
        <v>84.342857142857056</v>
      </c>
      <c r="P114" s="48">
        <f t="shared" si="72"/>
        <v>0</v>
      </c>
      <c r="Q114" s="49">
        <f t="shared" si="73"/>
        <v>-11.657142857142944</v>
      </c>
      <c r="R114" s="494">
        <f t="shared" si="74"/>
        <v>0.87857142857142767</v>
      </c>
      <c r="S114" s="707"/>
      <c r="T114" s="230">
        <v>0.76666666666666672</v>
      </c>
      <c r="U114" s="230">
        <v>0.7909722222222223</v>
      </c>
      <c r="V114" s="231">
        <v>6</v>
      </c>
      <c r="W114" s="487">
        <f t="shared" si="70"/>
        <v>35.000000000000036</v>
      </c>
      <c r="X114" s="219"/>
      <c r="Y114" s="219"/>
      <c r="Z114" s="220"/>
      <c r="AA114" s="220"/>
      <c r="AB114" s="658"/>
      <c r="AC114" s="658"/>
      <c r="AD114" s="224">
        <v>1</v>
      </c>
      <c r="AE114" s="224"/>
      <c r="AF114" s="48">
        <f t="shared" si="61"/>
        <v>-174.85714285714425</v>
      </c>
      <c r="AG114" s="126">
        <f t="shared" si="62"/>
        <v>0.87857142857142756</v>
      </c>
      <c r="AH114" s="681"/>
    </row>
    <row r="115" spans="1:34" s="221" customFormat="1" ht="19.2" customHeight="1">
      <c r="A115" s="704"/>
      <c r="B115" s="490" t="s">
        <v>184</v>
      </c>
      <c r="C115" s="178"/>
      <c r="D115" s="179" t="s">
        <v>259</v>
      </c>
      <c r="E115" s="180"/>
      <c r="F115" s="361">
        <v>20.170000000000002</v>
      </c>
      <c r="G115" s="177">
        <v>424</v>
      </c>
      <c r="H115" s="45">
        <f t="shared" si="75"/>
        <v>8552.08</v>
      </c>
      <c r="I115" s="504"/>
      <c r="J115" s="46">
        <v>12</v>
      </c>
      <c r="K115" s="44">
        <v>1500</v>
      </c>
      <c r="L115" s="47">
        <v>125</v>
      </c>
      <c r="M115" s="488">
        <v>12</v>
      </c>
      <c r="N115" s="44">
        <f t="shared" si="76"/>
        <v>1211.4285714285757</v>
      </c>
      <c r="O115" s="47">
        <f t="shared" si="77"/>
        <v>100.9523809523813</v>
      </c>
      <c r="P115" s="48">
        <f t="shared" si="72"/>
        <v>0</v>
      </c>
      <c r="Q115" s="49">
        <f t="shared" si="73"/>
        <v>-24.047619047618696</v>
      </c>
      <c r="R115" s="494">
        <f t="shared" si="74"/>
        <v>0.80761904761905046</v>
      </c>
      <c r="S115" s="707"/>
      <c r="T115" s="230">
        <v>0.80625000000000002</v>
      </c>
      <c r="U115" s="230">
        <v>0.8208333333333333</v>
      </c>
      <c r="V115" s="231">
        <v>22</v>
      </c>
      <c r="W115" s="487">
        <f t="shared" si="70"/>
        <v>20.999999999999925</v>
      </c>
      <c r="X115" s="219">
        <v>0.7944444444444444</v>
      </c>
      <c r="Y115" s="219">
        <v>0.80347222222222225</v>
      </c>
      <c r="Z115" s="220"/>
      <c r="AA115" s="220"/>
      <c r="AB115" s="658"/>
      <c r="AC115" s="658"/>
      <c r="AD115" s="224"/>
      <c r="AE115" s="224"/>
      <c r="AF115" s="48">
        <f t="shared" si="61"/>
        <v>-288.57142857142435</v>
      </c>
      <c r="AG115" s="126">
        <f t="shared" si="62"/>
        <v>0.80761904761905046</v>
      </c>
      <c r="AH115" s="681"/>
    </row>
    <row r="116" spans="1:34" s="221" customFormat="1" ht="19.2" customHeight="1">
      <c r="A116" s="704"/>
      <c r="B116" s="490" t="s">
        <v>184</v>
      </c>
      <c r="C116" s="55"/>
      <c r="D116" s="82" t="s">
        <v>309</v>
      </c>
      <c r="E116" s="83"/>
      <c r="F116" s="361">
        <v>19.41</v>
      </c>
      <c r="G116" s="57">
        <v>1639</v>
      </c>
      <c r="H116" s="45">
        <f t="shared" si="75"/>
        <v>31812.99</v>
      </c>
      <c r="I116" s="504"/>
      <c r="J116" s="46">
        <v>12</v>
      </c>
      <c r="K116" s="44">
        <v>1500</v>
      </c>
      <c r="L116" s="47">
        <v>125</v>
      </c>
      <c r="M116" s="493">
        <v>12</v>
      </c>
      <c r="N116" s="44">
        <f t="shared" si="76"/>
        <v>1260.76923076923</v>
      </c>
      <c r="O116" s="47">
        <f t="shared" si="77"/>
        <v>105.0641025641025</v>
      </c>
      <c r="P116" s="48">
        <f t="shared" si="72"/>
        <v>0</v>
      </c>
      <c r="Q116" s="49">
        <f t="shared" si="73"/>
        <v>-19.935897435897502</v>
      </c>
      <c r="R116" s="494">
        <f t="shared" si="74"/>
        <v>0.84051282051281995</v>
      </c>
      <c r="S116" s="707"/>
      <c r="T116" s="230">
        <v>0.82638888888888884</v>
      </c>
      <c r="U116" s="230">
        <v>0.88055555555555554</v>
      </c>
      <c r="V116" s="231">
        <v>8</v>
      </c>
      <c r="W116" s="487">
        <f t="shared" si="70"/>
        <v>78.000000000000043</v>
      </c>
      <c r="X116" s="219"/>
      <c r="Y116" s="219"/>
      <c r="Z116" s="220"/>
      <c r="AA116" s="220"/>
      <c r="AB116" s="658"/>
      <c r="AC116" s="658"/>
      <c r="AD116" s="224"/>
      <c r="AE116" s="224"/>
      <c r="AF116" s="48">
        <f t="shared" si="61"/>
        <v>-239.23076923076997</v>
      </c>
      <c r="AG116" s="126">
        <f t="shared" si="62"/>
        <v>0.84051282051282006</v>
      </c>
      <c r="AH116" s="681"/>
    </row>
    <row r="117" spans="1:34" s="221" customFormat="1" ht="19.2" customHeight="1">
      <c r="A117" s="704"/>
      <c r="B117" s="490">
        <v>0</v>
      </c>
      <c r="C117" s="55"/>
      <c r="D117" s="179"/>
      <c r="E117" s="83"/>
      <c r="F117" s="361" t="s">
        <v>186</v>
      </c>
      <c r="G117" s="57"/>
      <c r="H117" s="45">
        <f t="shared" si="75"/>
        <v>0</v>
      </c>
      <c r="I117" s="504"/>
      <c r="J117" s="46"/>
      <c r="K117" s="44"/>
      <c r="L117" s="47"/>
      <c r="M117" s="493"/>
      <c r="N117" s="44"/>
      <c r="O117" s="47"/>
      <c r="P117" s="48"/>
      <c r="Q117" s="49"/>
      <c r="R117" s="494"/>
      <c r="S117" s="707"/>
      <c r="T117" s="230"/>
      <c r="U117" s="230"/>
      <c r="V117" s="231"/>
      <c r="W117" s="487"/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0</v>
      </c>
      <c r="AG117" s="126" t="e">
        <f t="shared" si="62"/>
        <v>#DIV/0!</v>
      </c>
      <c r="AH117" s="681"/>
    </row>
    <row r="118" spans="1:34" s="221" customFormat="1" ht="19.2" customHeight="1">
      <c r="A118" s="704"/>
      <c r="B118" s="490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504"/>
      <c r="J118" s="46"/>
      <c r="K118" s="44"/>
      <c r="L118" s="47"/>
      <c r="M118" s="493"/>
      <c r="N118" s="44"/>
      <c r="O118" s="47"/>
      <c r="P118" s="48"/>
      <c r="Q118" s="49"/>
      <c r="R118" s="494"/>
      <c r="S118" s="707"/>
      <c r="T118" s="230"/>
      <c r="U118" s="230"/>
      <c r="V118" s="231"/>
      <c r="W118" s="487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504"/>
      <c r="J119" s="181"/>
      <c r="K119" s="235"/>
      <c r="L119" s="47"/>
      <c r="M119" s="493"/>
      <c r="N119" s="182"/>
      <c r="O119" s="228"/>
      <c r="P119" s="168"/>
      <c r="Q119" s="49"/>
      <c r="R119" s="494"/>
      <c r="S119" s="707"/>
      <c r="T119" s="230"/>
      <c r="U119" s="230"/>
      <c r="V119" s="231"/>
      <c r="W119" s="487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504"/>
      <c r="J120" s="181"/>
      <c r="K120" s="235"/>
      <c r="L120" s="47"/>
      <c r="M120" s="493"/>
      <c r="N120" s="182"/>
      <c r="O120" s="228"/>
      <c r="P120" s="168"/>
      <c r="Q120" s="49"/>
      <c r="R120" s="494"/>
      <c r="S120" s="707"/>
      <c r="T120" s="230"/>
      <c r="U120" s="230"/>
      <c r="V120" s="231"/>
      <c r="W120" s="487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644</v>
      </c>
      <c r="D121" s="236" t="s">
        <v>545</v>
      </c>
      <c r="E121" s="237"/>
      <c r="F121" s="370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J121:O121" si="78">AVERAGE(M109:M120)</f>
        <v>15.875</v>
      </c>
      <c r="N121" s="205">
        <f t="shared" si="78"/>
        <v>1266.7746702263378</v>
      </c>
      <c r="O121" s="206">
        <f t="shared" si="78"/>
        <v>82.025633709713915</v>
      </c>
      <c r="P121" s="48">
        <f t="shared" ref="P121:P129" si="79">M121-J121</f>
        <v>0.125</v>
      </c>
      <c r="Q121" s="49">
        <f t="shared" ref="Q121:Q129" si="80">O121-L121</f>
        <v>-15.093413909333705</v>
      </c>
      <c r="R121" s="175">
        <f t="shared" ref="R121:R129" si="81">O121/L121</f>
        <v>0.84458853047511262</v>
      </c>
      <c r="S121" s="686"/>
      <c r="T121" s="50"/>
      <c r="U121" s="50"/>
      <c r="V121" s="44"/>
      <c r="W121" s="487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1</v>
      </c>
      <c r="AE121" s="107">
        <f>SUM(AE109:AE120)</f>
        <v>0</v>
      </c>
      <c r="AF121" s="48">
        <f>N121-K121</f>
        <v>-210.72532977366222</v>
      </c>
      <c r="AG121" s="126">
        <f>N121/K121</f>
        <v>0.85737710336807971</v>
      </c>
      <c r="AH121" s="681"/>
    </row>
    <row r="122" spans="1:34" ht="19.2" customHeight="1">
      <c r="A122" s="708" t="s">
        <v>645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1791</v>
      </c>
      <c r="H122" s="45">
        <f t="shared" ref="H122:H132" si="82">F122*G122</f>
        <v>105077.97</v>
      </c>
      <c r="I122" s="490"/>
      <c r="J122" s="46">
        <v>19</v>
      </c>
      <c r="K122" s="44">
        <v>1440</v>
      </c>
      <c r="L122" s="47">
        <v>75.78947368421052</v>
      </c>
      <c r="M122" s="488">
        <v>19</v>
      </c>
      <c r="N122" s="177">
        <f t="shared" ref="N122:N129" si="83">G122/W122*60</f>
        <v>1360.2531645569613</v>
      </c>
      <c r="O122" s="241">
        <f t="shared" ref="O122:O129" si="84">N122/M122</f>
        <v>71.592271818787438</v>
      </c>
      <c r="P122" s="108">
        <f t="shared" si="79"/>
        <v>0</v>
      </c>
      <c r="Q122" s="185">
        <f t="shared" si="80"/>
        <v>-4.1972018654230823</v>
      </c>
      <c r="R122" s="109">
        <f t="shared" si="81"/>
        <v>0.94462025316455656</v>
      </c>
      <c r="S122" s="672">
        <f>R134</f>
        <v>0.8896409314694862</v>
      </c>
      <c r="T122" s="50">
        <v>0.5</v>
      </c>
      <c r="U122" s="50">
        <v>0.55486111111111114</v>
      </c>
      <c r="V122" s="231">
        <v>5</v>
      </c>
      <c r="W122" s="487">
        <f t="shared" si="70"/>
        <v>79.000000000000043</v>
      </c>
      <c r="X122" s="53"/>
      <c r="Y122" s="53"/>
      <c r="Z122" s="54"/>
      <c r="AA122" s="54"/>
      <c r="AB122" s="658"/>
      <c r="AC122" s="658"/>
      <c r="AD122" s="504"/>
      <c r="AE122" s="504"/>
      <c r="AF122" s="48">
        <f t="shared" si="61"/>
        <v>-79.746835443038663</v>
      </c>
      <c r="AG122" s="494">
        <f t="shared" si="62"/>
        <v>0.94462025316455644</v>
      </c>
      <c r="AH122" s="686">
        <f>AG134</f>
        <v>0.90375642215523577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2026</v>
      </c>
      <c r="H123" s="45">
        <f t="shared" si="82"/>
        <v>120587.52</v>
      </c>
      <c r="I123" s="504"/>
      <c r="J123" s="87">
        <v>21</v>
      </c>
      <c r="K123" s="57">
        <v>1385</v>
      </c>
      <c r="L123" s="86">
        <v>65.952380952380949</v>
      </c>
      <c r="M123" s="493">
        <v>21</v>
      </c>
      <c r="N123" s="57">
        <f t="shared" si="83"/>
        <v>1307.0967741935485</v>
      </c>
      <c r="O123" s="86">
        <f t="shared" si="84"/>
        <v>62.242703533026123</v>
      </c>
      <c r="P123" s="54">
        <f t="shared" si="79"/>
        <v>0</v>
      </c>
      <c r="Q123" s="88">
        <f t="shared" si="80"/>
        <v>-3.7096774193548256</v>
      </c>
      <c r="R123" s="497">
        <f t="shared" si="81"/>
        <v>0.94375218353324808</v>
      </c>
      <c r="S123" s="672"/>
      <c r="T123" s="50">
        <v>0.5708333333333333</v>
      </c>
      <c r="U123" s="50">
        <v>0.63541666666666663</v>
      </c>
      <c r="V123" s="231">
        <v>23</v>
      </c>
      <c r="W123" s="487">
        <f>(U123-T123)*24*60</f>
        <v>92.999999999999986</v>
      </c>
      <c r="X123" s="53">
        <v>0.55833333333333335</v>
      </c>
      <c r="Y123" s="53">
        <v>0.56805555555555554</v>
      </c>
      <c r="Z123" s="54"/>
      <c r="AA123" s="54"/>
      <c r="AB123" s="658"/>
      <c r="AC123" s="658"/>
      <c r="AD123" s="504">
        <v>1</v>
      </c>
      <c r="AE123" s="504"/>
      <c r="AF123" s="48">
        <f t="shared" si="61"/>
        <v>-77.903225806451474</v>
      </c>
      <c r="AG123" s="494">
        <f t="shared" si="62"/>
        <v>0.94375218353324808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1408</v>
      </c>
      <c r="H124" s="45">
        <f t="shared" si="82"/>
        <v>79960.319999999992</v>
      </c>
      <c r="I124" s="242"/>
      <c r="J124" s="87">
        <v>18</v>
      </c>
      <c r="K124" s="57">
        <v>1636</v>
      </c>
      <c r="L124" s="86">
        <v>90.888888888888886</v>
      </c>
      <c r="M124" s="488">
        <v>18</v>
      </c>
      <c r="N124" s="177">
        <f t="shared" si="83"/>
        <v>1508.5714285714298</v>
      </c>
      <c r="O124" s="241">
        <f t="shared" si="84"/>
        <v>83.809523809523881</v>
      </c>
      <c r="P124" s="108">
        <f t="shared" si="79"/>
        <v>0</v>
      </c>
      <c r="Q124" s="185">
        <f t="shared" si="80"/>
        <v>-7.0793650793650045</v>
      </c>
      <c r="R124" s="109">
        <f t="shared" si="81"/>
        <v>0.92210967516591069</v>
      </c>
      <c r="S124" s="709"/>
      <c r="T124" s="50">
        <v>0.70833333333333337</v>
      </c>
      <c r="U124" s="50">
        <v>0.74722222222222223</v>
      </c>
      <c r="V124" s="231">
        <v>5</v>
      </c>
      <c r="W124" s="243">
        <f>(U124-T124)*24*60</f>
        <v>55.999999999999957</v>
      </c>
      <c r="X124" s="191"/>
      <c r="Y124" s="191"/>
      <c r="Z124" s="54"/>
      <c r="AA124" s="54"/>
      <c r="AB124" s="658"/>
      <c r="AC124" s="658"/>
      <c r="AD124" s="504"/>
      <c r="AE124" s="504"/>
      <c r="AF124" s="108">
        <f t="shared" si="61"/>
        <v>-127.42857142857019</v>
      </c>
      <c r="AG124" s="109">
        <f t="shared" si="62"/>
        <v>0.92210967516591069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1033</v>
      </c>
      <c r="H125" s="45">
        <f t="shared" si="82"/>
        <v>58746.71</v>
      </c>
      <c r="I125" s="490"/>
      <c r="J125" s="87">
        <v>18</v>
      </c>
      <c r="K125" s="57">
        <v>1636</v>
      </c>
      <c r="L125" s="86">
        <v>90.888888888888886</v>
      </c>
      <c r="M125" s="488">
        <v>18</v>
      </c>
      <c r="N125" s="57">
        <f t="shared" si="83"/>
        <v>1511.7073170731701</v>
      </c>
      <c r="O125" s="86">
        <f t="shared" si="84"/>
        <v>83.983739837398332</v>
      </c>
      <c r="P125" s="54">
        <f t="shared" si="79"/>
        <v>0</v>
      </c>
      <c r="Q125" s="88">
        <f t="shared" si="80"/>
        <v>-6.9051490514905538</v>
      </c>
      <c r="R125" s="497">
        <f t="shared" si="81"/>
        <v>0.92402647742858801</v>
      </c>
      <c r="S125" s="709"/>
      <c r="T125" s="50">
        <v>0.75208333333333333</v>
      </c>
      <c r="U125" s="50">
        <v>0.78055555555555556</v>
      </c>
      <c r="V125" s="231">
        <v>7</v>
      </c>
      <c r="W125" s="243">
        <f t="shared" ref="W125:W133" si="85">(U125-T125)*24*60</f>
        <v>41.000000000000014</v>
      </c>
      <c r="X125" s="64"/>
      <c r="Y125" s="64"/>
      <c r="Z125" s="54"/>
      <c r="AA125" s="54"/>
      <c r="AB125" s="658"/>
      <c r="AC125" s="658"/>
      <c r="AD125" s="504">
        <v>1</v>
      </c>
      <c r="AE125" s="504"/>
      <c r="AF125" s="48">
        <f t="shared" si="61"/>
        <v>-124.29268292682991</v>
      </c>
      <c r="AG125" s="494">
        <f t="shared" si="62"/>
        <v>0.92402647742858812</v>
      </c>
      <c r="AH125" s="673"/>
    </row>
    <row r="126" spans="1:34" ht="19.2" customHeight="1">
      <c r="A126" s="708"/>
      <c r="B126" s="131" t="s">
        <v>185</v>
      </c>
      <c r="C126" s="504"/>
      <c r="D126" s="42" t="s">
        <v>113</v>
      </c>
      <c r="E126" s="180"/>
      <c r="F126" s="361">
        <v>54.09</v>
      </c>
      <c r="G126" s="57">
        <v>990</v>
      </c>
      <c r="H126" s="45">
        <f t="shared" si="82"/>
        <v>53549.100000000006</v>
      </c>
      <c r="I126" s="504"/>
      <c r="J126" s="87">
        <v>17</v>
      </c>
      <c r="K126" s="57">
        <v>1565</v>
      </c>
      <c r="L126" s="86">
        <v>92.058823529411768</v>
      </c>
      <c r="M126" s="493">
        <v>18</v>
      </c>
      <c r="N126" s="57">
        <f t="shared" si="83"/>
        <v>1381.395348837209</v>
      </c>
      <c r="O126" s="86">
        <f t="shared" si="84"/>
        <v>76.744186046511615</v>
      </c>
      <c r="P126" s="54">
        <f t="shared" si="79"/>
        <v>1</v>
      </c>
      <c r="Q126" s="88">
        <f t="shared" si="80"/>
        <v>-15.314637482900153</v>
      </c>
      <c r="R126" s="497">
        <f t="shared" si="81"/>
        <v>0.83364291552121239</v>
      </c>
      <c r="S126" s="709"/>
      <c r="T126" s="50">
        <v>0.78611111111111109</v>
      </c>
      <c r="U126" s="50">
        <v>0.81597222222222221</v>
      </c>
      <c r="V126" s="231">
        <v>8</v>
      </c>
      <c r="W126" s="243">
        <f t="shared" si="85"/>
        <v>43.000000000000007</v>
      </c>
      <c r="X126" s="64"/>
      <c r="Y126" s="64"/>
      <c r="Z126" s="54"/>
      <c r="AA126" s="54"/>
      <c r="AB126" s="658"/>
      <c r="AC126" s="658"/>
      <c r="AD126" s="504"/>
      <c r="AE126" s="504"/>
      <c r="AF126" s="108">
        <f t="shared" si="61"/>
        <v>-183.60465116279101</v>
      </c>
      <c r="AG126" s="109">
        <f t="shared" si="62"/>
        <v>0.88268073408128367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1340</v>
      </c>
      <c r="H127" s="45">
        <f t="shared" si="82"/>
        <v>63784</v>
      </c>
      <c r="I127" s="224"/>
      <c r="J127" s="87">
        <v>19</v>
      </c>
      <c r="K127" s="57">
        <v>1440</v>
      </c>
      <c r="L127" s="86">
        <v>75.78947368421052</v>
      </c>
      <c r="M127" s="488">
        <v>19</v>
      </c>
      <c r="N127" s="177">
        <f t="shared" si="83"/>
        <v>1318.0327868852471</v>
      </c>
      <c r="O127" s="241">
        <f t="shared" si="84"/>
        <v>69.370146678170897</v>
      </c>
      <c r="P127" s="108">
        <f t="shared" si="79"/>
        <v>0</v>
      </c>
      <c r="Q127" s="185">
        <f t="shared" si="80"/>
        <v>-6.419327006039623</v>
      </c>
      <c r="R127" s="109">
        <f t="shared" si="81"/>
        <v>0.91530054644808834</v>
      </c>
      <c r="S127" s="709"/>
      <c r="T127" s="50">
        <v>0.83055555555555549</v>
      </c>
      <c r="U127" s="50">
        <v>0.87291666666666656</v>
      </c>
      <c r="V127" s="490">
        <v>21</v>
      </c>
      <c r="W127" s="243">
        <f t="shared" si="85"/>
        <v>60.999999999999943</v>
      </c>
      <c r="X127" s="64">
        <v>0.81944444444444453</v>
      </c>
      <c r="Y127" s="64">
        <v>0.82777777777777783</v>
      </c>
      <c r="Z127" s="54"/>
      <c r="AA127" s="54"/>
      <c r="AB127" s="658"/>
      <c r="AC127" s="658"/>
      <c r="AD127" s="504"/>
      <c r="AE127" s="504"/>
      <c r="AF127" s="108">
        <f t="shared" si="61"/>
        <v>-121.96721311475289</v>
      </c>
      <c r="AG127" s="109">
        <f t="shared" si="62"/>
        <v>0.91530054644808823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320</v>
      </c>
      <c r="H128" s="45">
        <f t="shared" si="82"/>
        <v>16214.400000000001</v>
      </c>
      <c r="I128" s="504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1280.0000000000045</v>
      </c>
      <c r="O128" s="86">
        <f t="shared" si="84"/>
        <v>60.952380952381169</v>
      </c>
      <c r="P128" s="54">
        <f t="shared" si="79"/>
        <v>0</v>
      </c>
      <c r="Q128" s="88">
        <f t="shared" si="80"/>
        <v>-16.952380952380729</v>
      </c>
      <c r="R128" s="497">
        <f t="shared" si="81"/>
        <v>0.78239608801956273</v>
      </c>
      <c r="S128" s="709"/>
      <c r="T128" s="50">
        <v>0.8784722222222221</v>
      </c>
      <c r="U128" s="50">
        <v>0.88888888888888873</v>
      </c>
      <c r="V128" s="490">
        <v>8</v>
      </c>
      <c r="W128" s="243">
        <f t="shared" si="85"/>
        <v>14.999999999999947</v>
      </c>
      <c r="X128" s="64"/>
      <c r="Y128" s="64"/>
      <c r="Z128" s="54"/>
      <c r="AA128" s="54"/>
      <c r="AB128" s="658"/>
      <c r="AC128" s="658"/>
      <c r="AD128" s="504"/>
      <c r="AE128" s="504"/>
      <c r="AF128" s="108">
        <f t="shared" si="61"/>
        <v>-355.99999999999545</v>
      </c>
      <c r="AG128" s="109">
        <f t="shared" si="62"/>
        <v>0.78239608801956273</v>
      </c>
      <c r="AH128" s="673"/>
    </row>
    <row r="129" spans="1:34" ht="19.2" customHeight="1">
      <c r="A129" s="708"/>
      <c r="B129" s="131" t="s">
        <v>185</v>
      </c>
      <c r="C129" s="160"/>
      <c r="D129" s="59" t="s">
        <v>121</v>
      </c>
      <c r="E129" s="60"/>
      <c r="F129" s="361">
        <v>50.49</v>
      </c>
      <c r="G129" s="57">
        <v>1205</v>
      </c>
      <c r="H129" s="45">
        <f t="shared" si="82"/>
        <v>60840.450000000004</v>
      </c>
      <c r="I129" s="504"/>
      <c r="J129" s="87">
        <v>14</v>
      </c>
      <c r="K129" s="57">
        <v>1440</v>
      </c>
      <c r="L129" s="86">
        <v>102.85714285714286</v>
      </c>
      <c r="M129" s="493">
        <v>15</v>
      </c>
      <c r="N129" s="57">
        <f t="shared" si="83"/>
        <v>1338.8888888888896</v>
      </c>
      <c r="O129" s="86">
        <f t="shared" si="84"/>
        <v>89.259259259259309</v>
      </c>
      <c r="P129" s="54">
        <f t="shared" si="79"/>
        <v>1</v>
      </c>
      <c r="Q129" s="88">
        <f t="shared" si="80"/>
        <v>-13.597883597883552</v>
      </c>
      <c r="R129" s="497">
        <f t="shared" si="81"/>
        <v>0.86779835390946547</v>
      </c>
      <c r="S129" s="709"/>
      <c r="T129" s="50">
        <v>0.89374999999999982</v>
      </c>
      <c r="U129" s="50">
        <v>0.9312499999999998</v>
      </c>
      <c r="V129" s="490">
        <v>7</v>
      </c>
      <c r="W129" s="243">
        <f t="shared" si="85"/>
        <v>53.999999999999972</v>
      </c>
      <c r="X129" s="64"/>
      <c r="Y129" s="64"/>
      <c r="Z129" s="54"/>
      <c r="AA129" s="54"/>
      <c r="AB129" s="658"/>
      <c r="AC129" s="658"/>
      <c r="AD129" s="504"/>
      <c r="AE129" s="504"/>
      <c r="AF129" s="108"/>
      <c r="AG129" s="109"/>
      <c r="AH129" s="673"/>
    </row>
    <row r="130" spans="1:34" ht="19.2" customHeight="1">
      <c r="A130" s="708"/>
      <c r="B130" s="203">
        <v>0</v>
      </c>
      <c r="C130" s="160"/>
      <c r="D130" s="59"/>
      <c r="E130" s="60"/>
      <c r="F130" s="361" t="s">
        <v>186</v>
      </c>
      <c r="G130" s="57"/>
      <c r="H130" s="45">
        <f t="shared" si="82"/>
        <v>0</v>
      </c>
      <c r="I130" s="504"/>
      <c r="J130" s="87"/>
      <c r="K130" s="57"/>
      <c r="L130" s="86"/>
      <c r="M130" s="493"/>
      <c r="N130" s="177"/>
      <c r="O130" s="241"/>
      <c r="P130" s="108"/>
      <c r="Q130" s="185"/>
      <c r="R130" s="109"/>
      <c r="S130" s="709"/>
      <c r="T130" s="50"/>
      <c r="U130" s="50"/>
      <c r="V130" s="490"/>
      <c r="W130" s="243"/>
      <c r="X130" s="64"/>
      <c r="Y130" s="64"/>
      <c r="Z130" s="54"/>
      <c r="AA130" s="54"/>
      <c r="AB130" s="658"/>
      <c r="AC130" s="658"/>
      <c r="AD130" s="504"/>
      <c r="AE130" s="504"/>
      <c r="AF130" s="65"/>
      <c r="AG130" s="495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97"/>
      <c r="S131" s="709"/>
      <c r="T131" s="50"/>
      <c r="U131" s="50"/>
      <c r="V131" s="490"/>
      <c r="W131" s="243"/>
      <c r="X131" s="64"/>
      <c r="Y131" s="64"/>
      <c r="Z131" s="54"/>
      <c r="AA131" s="54"/>
      <c r="AB131" s="658"/>
      <c r="AC131" s="658"/>
      <c r="AD131" s="504"/>
      <c r="AE131" s="504"/>
      <c r="AF131" s="65"/>
      <c r="AG131" s="495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504"/>
      <c r="J132" s="87"/>
      <c r="K132" s="57"/>
      <c r="L132" s="86"/>
      <c r="M132" s="493"/>
      <c r="N132" s="57"/>
      <c r="O132" s="86"/>
      <c r="P132" s="54"/>
      <c r="Q132" s="88"/>
      <c r="R132" s="497"/>
      <c r="S132" s="709"/>
      <c r="T132" s="50"/>
      <c r="U132" s="50"/>
      <c r="V132" s="490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504"/>
      <c r="AE132" s="504"/>
      <c r="AF132" s="65"/>
      <c r="AG132" s="495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504"/>
      <c r="J133" s="87"/>
      <c r="K133" s="57"/>
      <c r="L133" s="86"/>
      <c r="M133" s="493"/>
      <c r="N133" s="57"/>
      <c r="O133" s="86"/>
      <c r="P133" s="54"/>
      <c r="Q133" s="88"/>
      <c r="R133" s="497"/>
      <c r="S133" s="709"/>
      <c r="T133" s="50"/>
      <c r="U133" s="50"/>
      <c r="V133" s="490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504"/>
      <c r="AE133" s="504"/>
      <c r="AF133" s="65"/>
      <c r="AG133" s="495"/>
      <c r="AH133" s="673"/>
    </row>
    <row r="134" spans="1:34" ht="19.2" customHeight="1">
      <c r="A134" s="708"/>
      <c r="B134" s="171">
        <v>0</v>
      </c>
      <c r="C134" s="100" t="s">
        <v>646</v>
      </c>
      <c r="D134" s="687" t="s">
        <v>545</v>
      </c>
      <c r="E134" s="687"/>
      <c r="F134" s="371"/>
      <c r="G134" s="101"/>
      <c r="H134" s="102"/>
      <c r="I134" s="245"/>
      <c r="J134" s="246">
        <v>18.375</v>
      </c>
      <c r="K134" s="246">
        <v>1522.25</v>
      </c>
      <c r="L134" s="247">
        <v>84.016229298737045</v>
      </c>
      <c r="M134" s="246">
        <f t="shared" ref="J134:O134" si="86">AVERAGE(M122:M133)</f>
        <v>18.625</v>
      </c>
      <c r="N134" s="246">
        <f t="shared" si="86"/>
        <v>1375.7432136258076</v>
      </c>
      <c r="O134" s="247">
        <f t="shared" si="86"/>
        <v>74.74427649188236</v>
      </c>
      <c r="P134" s="51">
        <f t="shared" ref="P134:P142" si="87">M134-J134</f>
        <v>0.25</v>
      </c>
      <c r="Q134" s="142">
        <f t="shared" ref="Q134:Q142" si="88">O134-L134</f>
        <v>-9.271952806854685</v>
      </c>
      <c r="R134" s="248">
        <f t="shared" ref="R134:R142" si="89">O134/L134</f>
        <v>0.8896409314694862</v>
      </c>
      <c r="S134" s="672"/>
      <c r="T134" s="50"/>
      <c r="U134" s="50"/>
      <c r="V134" s="490"/>
      <c r="W134" s="490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2</v>
      </c>
      <c r="AE134" s="107">
        <f>SUM(AE122:AE133)</f>
        <v>0</v>
      </c>
      <c r="AF134" s="48">
        <f t="shared" si="61"/>
        <v>-146.50678637419242</v>
      </c>
      <c r="AG134" s="494">
        <f t="shared" si="62"/>
        <v>0.90375642215523577</v>
      </c>
      <c r="AH134" s="673"/>
    </row>
    <row r="135" spans="1:34" ht="19.2" customHeight="1">
      <c r="A135" s="710" t="s">
        <v>647</v>
      </c>
      <c r="B135" s="490" t="s">
        <v>185</v>
      </c>
      <c r="C135" s="504"/>
      <c r="D135" s="82" t="s">
        <v>101</v>
      </c>
      <c r="E135" s="83"/>
      <c r="F135" s="361">
        <v>53.68</v>
      </c>
      <c r="G135" s="57">
        <v>797</v>
      </c>
      <c r="H135" s="249">
        <f t="shared" ref="H135:H146" si="90">F135*G135</f>
        <v>42782.96</v>
      </c>
      <c r="I135" s="504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1406.4705882352923</v>
      </c>
      <c r="O135" s="116">
        <f t="shared" ref="O135:O142" si="92">N135/M135</f>
        <v>87.90441176470577</v>
      </c>
      <c r="P135" s="54">
        <f t="shared" si="87"/>
        <v>0</v>
      </c>
      <c r="Q135" s="88">
        <f t="shared" si="88"/>
        <v>-5.8455882352942297</v>
      </c>
      <c r="R135" s="497">
        <f t="shared" si="89"/>
        <v>0.93764705882352817</v>
      </c>
      <c r="S135" s="707">
        <f>R147</f>
        <v>0.92641581968565001</v>
      </c>
      <c r="T135" s="250">
        <v>0.5</v>
      </c>
      <c r="U135" s="50">
        <v>0.52361111111111114</v>
      </c>
      <c r="V135" s="145">
        <v>5</v>
      </c>
      <c r="W135" s="251">
        <f t="shared" ref="W135:W147" si="93">(U135-T135)*24*60</f>
        <v>34.000000000000043</v>
      </c>
      <c r="X135" s="492"/>
      <c r="Y135" s="492"/>
      <c r="Z135" s="54"/>
      <c r="AA135" s="54"/>
      <c r="AB135" s="658"/>
      <c r="AC135" s="658"/>
      <c r="AD135" s="504"/>
      <c r="AE135" s="504"/>
      <c r="AF135" s="117">
        <f t="shared" si="61"/>
        <v>-93.529411764707675</v>
      </c>
      <c r="AG135" s="121">
        <f t="shared" si="62"/>
        <v>0.93764705882352817</v>
      </c>
      <c r="AH135" s="681">
        <f>AG147</f>
        <v>0.92682935552066292</v>
      </c>
    </row>
    <row r="136" spans="1:34" ht="19.2" customHeight="1">
      <c r="A136" s="711"/>
      <c r="B136" s="490" t="s">
        <v>185</v>
      </c>
      <c r="C136" s="504"/>
      <c r="D136" s="82" t="s">
        <v>102</v>
      </c>
      <c r="E136" s="252"/>
      <c r="F136" s="361">
        <v>57.734999999999999</v>
      </c>
      <c r="G136" s="57">
        <v>1630</v>
      </c>
      <c r="H136" s="84">
        <f t="shared" si="90"/>
        <v>94108.05</v>
      </c>
      <c r="I136" s="504"/>
      <c r="J136" s="46">
        <v>16</v>
      </c>
      <c r="K136" s="57">
        <v>1565</v>
      </c>
      <c r="L136" s="86">
        <v>97.8125</v>
      </c>
      <c r="M136" s="493">
        <v>16</v>
      </c>
      <c r="N136" s="57">
        <f t="shared" si="91"/>
        <v>1377.4647887323929</v>
      </c>
      <c r="O136" s="86">
        <f t="shared" si="92"/>
        <v>86.091549295774556</v>
      </c>
      <c r="P136" s="54">
        <f t="shared" si="87"/>
        <v>0</v>
      </c>
      <c r="Q136" s="88">
        <f t="shared" si="88"/>
        <v>-11.720950704225444</v>
      </c>
      <c r="R136" s="497">
        <f t="shared" si="89"/>
        <v>0.88016919407820637</v>
      </c>
      <c r="S136" s="707"/>
      <c r="T136" s="250">
        <v>0.52777777777777779</v>
      </c>
      <c r="U136" s="50">
        <v>0.57708333333333339</v>
      </c>
      <c r="V136" s="145">
        <v>6</v>
      </c>
      <c r="W136" s="251">
        <f t="shared" si="93"/>
        <v>71.000000000000071</v>
      </c>
      <c r="X136" s="53"/>
      <c r="Y136" s="53"/>
      <c r="Z136" s="54"/>
      <c r="AA136" s="54"/>
      <c r="AB136" s="658"/>
      <c r="AC136" s="658"/>
      <c r="AD136" s="504"/>
      <c r="AE136" s="504"/>
      <c r="AF136" s="48">
        <f t="shared" si="61"/>
        <v>-187.53521126760711</v>
      </c>
      <c r="AG136" s="126">
        <f t="shared" si="62"/>
        <v>0.88016919407820637</v>
      </c>
      <c r="AH136" s="681"/>
    </row>
    <row r="137" spans="1:34" ht="19.2" customHeight="1">
      <c r="A137" s="711"/>
      <c r="B137" s="490" t="s">
        <v>185</v>
      </c>
      <c r="C137" s="504"/>
      <c r="D137" s="82" t="s">
        <v>116</v>
      </c>
      <c r="E137" s="83"/>
      <c r="F137" s="361">
        <v>50.67</v>
      </c>
      <c r="G137" s="212">
        <v>855</v>
      </c>
      <c r="H137" s="84">
        <f t="shared" si="90"/>
        <v>43322.85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1424.9999999999989</v>
      </c>
      <c r="O137" s="86">
        <f t="shared" si="92"/>
        <v>83.823529411764639</v>
      </c>
      <c r="P137" s="54">
        <f t="shared" si="87"/>
        <v>0</v>
      </c>
      <c r="Q137" s="88">
        <f t="shared" si="88"/>
        <v>-4.411764705882419</v>
      </c>
      <c r="R137" s="497">
        <f t="shared" si="89"/>
        <v>0.94999999999999929</v>
      </c>
      <c r="S137" s="707"/>
      <c r="T137" s="50">
        <v>0.70833333333333337</v>
      </c>
      <c r="U137" s="50">
        <v>0.73333333333333339</v>
      </c>
      <c r="V137" s="253">
        <v>5</v>
      </c>
      <c r="W137" s="251">
        <f t="shared" si="93"/>
        <v>36.000000000000028</v>
      </c>
      <c r="X137" s="53"/>
      <c r="Y137" s="53"/>
      <c r="Z137" s="54"/>
      <c r="AA137" s="54"/>
      <c r="AB137" s="658"/>
      <c r="AC137" s="658"/>
      <c r="AD137" s="504">
        <v>1</v>
      </c>
      <c r="AE137" s="504"/>
      <c r="AF137" s="48">
        <f t="shared" si="61"/>
        <v>-75.000000000001137</v>
      </c>
      <c r="AG137" s="126">
        <f t="shared" si="62"/>
        <v>0.94999999999999929</v>
      </c>
      <c r="AH137" s="681"/>
    </row>
    <row r="138" spans="1:34" ht="19.2" customHeight="1">
      <c r="A138" s="711"/>
      <c r="B138" s="490" t="s">
        <v>185</v>
      </c>
      <c r="C138" s="226"/>
      <c r="D138" s="82" t="s">
        <v>117</v>
      </c>
      <c r="E138" s="83"/>
      <c r="F138" s="361">
        <v>50.98</v>
      </c>
      <c r="G138" s="57">
        <v>1564</v>
      </c>
      <c r="H138" s="84">
        <f t="shared" si="90"/>
        <v>79732.72</v>
      </c>
      <c r="I138" s="504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1321.6901408450692</v>
      </c>
      <c r="O138" s="86">
        <f t="shared" si="92"/>
        <v>66.084507042253463</v>
      </c>
      <c r="P138" s="54">
        <f t="shared" si="87"/>
        <v>0</v>
      </c>
      <c r="Q138" s="88">
        <f t="shared" si="88"/>
        <v>-5.9154929577465367</v>
      </c>
      <c r="R138" s="503">
        <f t="shared" si="89"/>
        <v>0.91784037558685361</v>
      </c>
      <c r="S138" s="707"/>
      <c r="T138" s="50">
        <v>0.73819444444444449</v>
      </c>
      <c r="U138" s="50">
        <v>0.78750000000000009</v>
      </c>
      <c r="V138" s="253">
        <v>7</v>
      </c>
      <c r="W138" s="251">
        <f t="shared" si="93"/>
        <v>71.000000000000071</v>
      </c>
      <c r="X138" s="53"/>
      <c r="Y138" s="53"/>
      <c r="Z138" s="54"/>
      <c r="AA138" s="54"/>
      <c r="AB138" s="658"/>
      <c r="AC138" s="658"/>
      <c r="AD138" s="504"/>
      <c r="AE138" s="504"/>
      <c r="AF138" s="48">
        <f t="shared" si="61"/>
        <v>-118.30985915493079</v>
      </c>
      <c r="AG138" s="126">
        <f t="shared" si="62"/>
        <v>0.91784037558685361</v>
      </c>
      <c r="AH138" s="681"/>
    </row>
    <row r="139" spans="1:34" ht="19.2" customHeight="1">
      <c r="A139" s="711"/>
      <c r="B139" s="490" t="s">
        <v>185</v>
      </c>
      <c r="C139" s="500"/>
      <c r="D139" s="42" t="s">
        <v>118</v>
      </c>
      <c r="E139" s="43"/>
      <c r="F139" s="361">
        <v>54.09</v>
      </c>
      <c r="G139" s="57">
        <v>867</v>
      </c>
      <c r="H139" s="84">
        <f t="shared" si="90"/>
        <v>46896.030000000006</v>
      </c>
      <c r="I139" s="504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1405.9459459459449</v>
      </c>
      <c r="O139" s="86">
        <f t="shared" si="92"/>
        <v>73.997155049786571</v>
      </c>
      <c r="P139" s="54">
        <f t="shared" si="87"/>
        <v>0</v>
      </c>
      <c r="Q139" s="88">
        <f t="shared" si="88"/>
        <v>-4.9502133712660594</v>
      </c>
      <c r="R139" s="497">
        <f t="shared" si="89"/>
        <v>0.93729729729729661</v>
      </c>
      <c r="S139" s="707"/>
      <c r="T139" s="50">
        <v>0.79305555555555562</v>
      </c>
      <c r="U139" s="50">
        <v>0.81875000000000009</v>
      </c>
      <c r="V139" s="254">
        <v>8</v>
      </c>
      <c r="W139" s="251">
        <f t="shared" si="93"/>
        <v>37.000000000000028</v>
      </c>
      <c r="X139" s="53"/>
      <c r="Y139" s="53"/>
      <c r="Z139" s="54"/>
      <c r="AA139" s="54"/>
      <c r="AB139" s="658"/>
      <c r="AC139" s="658"/>
      <c r="AD139" s="504"/>
      <c r="AE139" s="504"/>
      <c r="AF139" s="48">
        <f t="shared" si="61"/>
        <v>-94.054054054055086</v>
      </c>
      <c r="AG139" s="126">
        <f t="shared" si="62"/>
        <v>0.93729729729729661</v>
      </c>
      <c r="AH139" s="681"/>
    </row>
    <row r="140" spans="1:34" ht="19.2" customHeight="1">
      <c r="A140" s="712"/>
      <c r="B140" s="490" t="s">
        <v>185</v>
      </c>
      <c r="C140" s="500"/>
      <c r="D140" s="255" t="s">
        <v>119</v>
      </c>
      <c r="E140" s="83"/>
      <c r="F140" s="361">
        <v>50.92</v>
      </c>
      <c r="G140" s="57">
        <v>1871</v>
      </c>
      <c r="H140" s="84">
        <f t="shared" si="90"/>
        <v>95271.32</v>
      </c>
      <c r="I140" s="504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1352.530120481927</v>
      </c>
      <c r="O140" s="86">
        <f t="shared" si="92"/>
        <v>71.185795814838272</v>
      </c>
      <c r="P140" s="54">
        <f t="shared" si="87"/>
        <v>0</v>
      </c>
      <c r="Q140" s="88">
        <f t="shared" si="88"/>
        <v>-4.6036778693722482</v>
      </c>
      <c r="R140" s="497">
        <f t="shared" si="89"/>
        <v>0.93925702811244949</v>
      </c>
      <c r="S140" s="714"/>
      <c r="T140" s="63">
        <v>0.83472222222222237</v>
      </c>
      <c r="U140" s="256">
        <v>0.89236111111111127</v>
      </c>
      <c r="V140" s="257">
        <v>23</v>
      </c>
      <c r="W140" s="251">
        <f t="shared" si="93"/>
        <v>83.000000000000028</v>
      </c>
      <c r="X140" s="53">
        <v>0.8222222222222223</v>
      </c>
      <c r="Y140" s="53">
        <v>0.83194444444444438</v>
      </c>
      <c r="Z140" s="54"/>
      <c r="AA140" s="54"/>
      <c r="AB140" s="658"/>
      <c r="AC140" s="658"/>
      <c r="AD140" s="504"/>
      <c r="AE140" s="504"/>
      <c r="AF140" s="48">
        <f t="shared" si="61"/>
        <v>-87.469879518072958</v>
      </c>
      <c r="AG140" s="126">
        <f t="shared" si="62"/>
        <v>0.93925702811244938</v>
      </c>
      <c r="AH140" s="681"/>
    </row>
    <row r="141" spans="1:34" ht="19.2" customHeight="1">
      <c r="A141" s="712"/>
      <c r="B141" s="490" t="s">
        <v>185</v>
      </c>
      <c r="C141" s="500"/>
      <c r="D141" s="42" t="s">
        <v>120</v>
      </c>
      <c r="E141" s="258"/>
      <c r="F141" s="361">
        <v>50.67</v>
      </c>
      <c r="G141" s="57">
        <v>1097</v>
      </c>
      <c r="H141" s="84">
        <f t="shared" si="90"/>
        <v>55584.990000000005</v>
      </c>
      <c r="I141" s="504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1343.2653061224494</v>
      </c>
      <c r="O141" s="86">
        <f t="shared" si="92"/>
        <v>79.015606242497029</v>
      </c>
      <c r="P141" s="54">
        <f t="shared" si="87"/>
        <v>0</v>
      </c>
      <c r="Q141" s="88">
        <f t="shared" si="88"/>
        <v>-5.6902761104441453</v>
      </c>
      <c r="R141" s="497">
        <f t="shared" si="89"/>
        <v>0.93282312925170108</v>
      </c>
      <c r="S141" s="714"/>
      <c r="T141" s="63">
        <v>0.89722222222222237</v>
      </c>
      <c r="U141" s="256">
        <v>0.93125000000000013</v>
      </c>
      <c r="V141" s="55">
        <v>7</v>
      </c>
      <c r="W141" s="251">
        <f t="shared" si="93"/>
        <v>48.999999999999986</v>
      </c>
      <c r="X141" s="53"/>
      <c r="Y141" s="53"/>
      <c r="Z141" s="54"/>
      <c r="AA141" s="54"/>
      <c r="AB141" s="658"/>
      <c r="AC141" s="658"/>
      <c r="AD141" s="504"/>
      <c r="AE141" s="504"/>
      <c r="AF141" s="48">
        <f t="shared" si="61"/>
        <v>-96.734693877550626</v>
      </c>
      <c r="AG141" s="126">
        <f t="shared" si="62"/>
        <v>0.93282312925170097</v>
      </c>
      <c r="AH141" s="681"/>
    </row>
    <row r="142" spans="1:34" ht="19.2" customHeight="1">
      <c r="A142" s="712"/>
      <c r="B142" s="490" t="s">
        <v>185</v>
      </c>
      <c r="C142" s="500"/>
      <c r="D142" s="42" t="s">
        <v>123</v>
      </c>
      <c r="E142" s="258"/>
      <c r="F142" s="361">
        <v>57.3</v>
      </c>
      <c r="G142" s="57">
        <v>1383</v>
      </c>
      <c r="H142" s="84">
        <f t="shared" si="90"/>
        <v>79245.899999999994</v>
      </c>
      <c r="I142" s="504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1383.0000000000014</v>
      </c>
      <c r="O142" s="86">
        <f t="shared" si="92"/>
        <v>76.833333333333414</v>
      </c>
      <c r="P142" s="54">
        <f t="shared" si="87"/>
        <v>0</v>
      </c>
      <c r="Q142" s="88">
        <f t="shared" si="88"/>
        <v>-6.4999999999999147</v>
      </c>
      <c r="R142" s="497">
        <f t="shared" si="89"/>
        <v>0.92200000000000104</v>
      </c>
      <c r="S142" s="714"/>
      <c r="T142" s="63">
        <v>0.93541666666666679</v>
      </c>
      <c r="U142" s="256">
        <v>0.97708333333333341</v>
      </c>
      <c r="V142" s="55">
        <v>6</v>
      </c>
      <c r="W142" s="251">
        <f t="shared" si="93"/>
        <v>59.999999999999943</v>
      </c>
      <c r="X142" s="53"/>
      <c r="Y142" s="53"/>
      <c r="Z142" s="54"/>
      <c r="AA142" s="54"/>
      <c r="AB142" s="658"/>
      <c r="AC142" s="658"/>
      <c r="AD142" s="504"/>
      <c r="AE142" s="504"/>
      <c r="AF142" s="48">
        <f t="shared" si="61"/>
        <v>-116.99999999999864</v>
      </c>
      <c r="AG142" s="126">
        <f t="shared" si="62"/>
        <v>0.92200000000000093</v>
      </c>
      <c r="AH142" s="681"/>
    </row>
    <row r="143" spans="1:34" ht="19.2" customHeight="1">
      <c r="A143" s="712"/>
      <c r="B143" s="490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504"/>
      <c r="J143" s="46"/>
      <c r="K143" s="44"/>
      <c r="L143" s="47"/>
      <c r="M143" s="232"/>
      <c r="N143" s="57"/>
      <c r="O143" s="86"/>
      <c r="P143" s="54"/>
      <c r="Q143" s="88"/>
      <c r="R143" s="497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504"/>
      <c r="AE143" s="504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90">
        <v>0</v>
      </c>
      <c r="C144" s="500"/>
      <c r="D144" s="42"/>
      <c r="E144" s="258"/>
      <c r="F144" s="361" t="s">
        <v>186</v>
      </c>
      <c r="G144" s="57"/>
      <c r="H144" s="84">
        <f t="shared" si="90"/>
        <v>0</v>
      </c>
      <c r="I144" s="504"/>
      <c r="J144" s="46"/>
      <c r="K144" s="57"/>
      <c r="L144" s="86"/>
      <c r="M144" s="493"/>
      <c r="N144" s="57"/>
      <c r="O144" s="86"/>
      <c r="P144" s="54"/>
      <c r="Q144" s="88"/>
      <c r="R144" s="503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504"/>
      <c r="AE144" s="504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90">
        <v>0</v>
      </c>
      <c r="C145" s="500"/>
      <c r="D145" s="42"/>
      <c r="E145" s="258"/>
      <c r="F145" s="361" t="s">
        <v>186</v>
      </c>
      <c r="G145" s="57"/>
      <c r="H145" s="84">
        <f t="shared" si="90"/>
        <v>0</v>
      </c>
      <c r="I145" s="504"/>
      <c r="J145" s="87"/>
      <c r="K145" s="57"/>
      <c r="L145" s="86"/>
      <c r="M145" s="493"/>
      <c r="N145" s="57"/>
      <c r="O145" s="86"/>
      <c r="P145" s="54"/>
      <c r="Q145" s="88"/>
      <c r="R145" s="497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504"/>
      <c r="AE145" s="504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92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504"/>
      <c r="J146" s="87"/>
      <c r="K146" s="57"/>
      <c r="L146" s="86"/>
      <c r="M146" s="493"/>
      <c r="N146" s="57"/>
      <c r="O146" s="86"/>
      <c r="P146" s="54"/>
      <c r="Q146" s="88"/>
      <c r="R146" s="497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504"/>
      <c r="AE146" s="504"/>
      <c r="AF146" s="54"/>
      <c r="AG146" s="497"/>
      <c r="AH146" s="681"/>
    </row>
    <row r="147" spans="1:34" ht="19.2" customHeight="1">
      <c r="A147" s="713"/>
      <c r="B147" s="261">
        <v>0</v>
      </c>
      <c r="C147" s="100" t="s">
        <v>648</v>
      </c>
      <c r="D147" s="687" t="s">
        <v>545</v>
      </c>
      <c r="E147" s="687"/>
      <c r="F147" s="375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J147:O147" si="94">AVERAGE(M135:M146)</f>
        <v>17.75</v>
      </c>
      <c r="N147" s="246">
        <f t="shared" si="94"/>
        <v>1376.9208612953848</v>
      </c>
      <c r="O147" s="247">
        <f t="shared" si="94"/>
        <v>78.116985994369216</v>
      </c>
      <c r="P147" s="51">
        <f t="shared" ref="P147:P153" si="95">M147-J147</f>
        <v>0</v>
      </c>
      <c r="Q147" s="142">
        <f t="shared" ref="Q147:Q153" si="96">O147-L147</f>
        <v>-6.2047454942788818</v>
      </c>
      <c r="R147" s="262">
        <f t="shared" ref="R147:R153" si="97">O147/L147</f>
        <v>0.92641581968565001</v>
      </c>
      <c r="S147" s="715"/>
      <c r="T147" s="63"/>
      <c r="U147" s="63"/>
      <c r="V147" s="55"/>
      <c r="W147" s="487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1</v>
      </c>
      <c r="AE147" s="107">
        <f>SUM(AE135:AE146)</f>
        <v>0</v>
      </c>
      <c r="AF147" s="207">
        <f t="shared" si="61"/>
        <v>-108.70413870461516</v>
      </c>
      <c r="AG147" s="263">
        <f t="shared" si="62"/>
        <v>0.92682935552066292</v>
      </c>
      <c r="AH147" s="681"/>
    </row>
    <row r="148" spans="1:34" ht="19.2" customHeight="1">
      <c r="A148" s="717" t="s">
        <v>649</v>
      </c>
      <c r="B148" s="504" t="s">
        <v>185</v>
      </c>
      <c r="C148" s="122"/>
      <c r="D148" s="176" t="s">
        <v>201</v>
      </c>
      <c r="E148" s="43"/>
      <c r="F148" s="368">
        <v>44.98</v>
      </c>
      <c r="G148" s="57">
        <v>1187.8999999999999</v>
      </c>
      <c r="H148" s="84">
        <f t="shared" ref="H148:H172" si="98">F148*G148</f>
        <v>53431.741999999991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3" si="99">G148/W148*60</f>
        <v>1187.900000000001</v>
      </c>
      <c r="O148" s="47">
        <f t="shared" ref="O148:O153" si="100">N148/M148</f>
        <v>62.521052631579003</v>
      </c>
      <c r="P148" s="48">
        <f t="shared" si="95"/>
        <v>0</v>
      </c>
      <c r="Q148" s="49">
        <f t="shared" si="96"/>
        <v>-16.426315789473627</v>
      </c>
      <c r="R148" s="494">
        <f t="shared" si="97"/>
        <v>0.79193333333333404</v>
      </c>
      <c r="S148" s="718">
        <f>R160</f>
        <v>0.80295980542530498</v>
      </c>
      <c r="T148" s="250">
        <v>0.70833333333333337</v>
      </c>
      <c r="U148" s="50">
        <v>0.75</v>
      </c>
      <c r="V148" s="490">
        <v>5</v>
      </c>
      <c r="W148" s="487">
        <f>(U148-T148)*24*60</f>
        <v>59.999999999999943</v>
      </c>
      <c r="X148" s="53"/>
      <c r="Y148" s="53"/>
      <c r="Z148" s="54"/>
      <c r="AA148" s="54"/>
      <c r="AB148" s="658"/>
      <c r="AC148" s="658"/>
      <c r="AD148" s="504"/>
      <c r="AE148" s="504">
        <v>1</v>
      </c>
      <c r="AF148" s="48">
        <f t="shared" si="61"/>
        <v>-312.099999999999</v>
      </c>
      <c r="AG148" s="126">
        <f t="shared" si="62"/>
        <v>0.79193333333333404</v>
      </c>
      <c r="AH148" s="681">
        <f>AG160</f>
        <v>0.81158533235801156</v>
      </c>
    </row>
    <row r="149" spans="1:34" ht="19.2" customHeight="1">
      <c r="A149" s="717"/>
      <c r="B149" s="504" t="s">
        <v>185</v>
      </c>
      <c r="C149" s="224"/>
      <c r="D149" s="255" t="s">
        <v>97</v>
      </c>
      <c r="E149" s="60"/>
      <c r="F149" s="368">
        <v>53.68</v>
      </c>
      <c r="G149" s="57">
        <v>1003</v>
      </c>
      <c r="H149" s="84">
        <f t="shared" si="98"/>
        <v>53841.04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1180.0000000000005</v>
      </c>
      <c r="O149" s="47">
        <f t="shared" si="100"/>
        <v>59.000000000000021</v>
      </c>
      <c r="P149" s="48">
        <f t="shared" si="95"/>
        <v>0</v>
      </c>
      <c r="Q149" s="49">
        <f t="shared" si="96"/>
        <v>-15.999999999999979</v>
      </c>
      <c r="R149" s="494">
        <f t="shared" si="97"/>
        <v>0.78666666666666696</v>
      </c>
      <c r="S149" s="719"/>
      <c r="T149" s="250">
        <v>0.75555555555555554</v>
      </c>
      <c r="U149" s="50">
        <v>0.79097222222222219</v>
      </c>
      <c r="V149" s="490">
        <v>8</v>
      </c>
      <c r="W149" s="487">
        <f t="shared" ref="W149:W159" si="101">(U149-T149)*24*60</f>
        <v>50.999999999999979</v>
      </c>
      <c r="X149" s="53"/>
      <c r="Y149" s="53"/>
      <c r="Z149" s="54"/>
      <c r="AA149" s="54"/>
      <c r="AB149" s="658"/>
      <c r="AC149" s="658"/>
      <c r="AD149" s="504"/>
      <c r="AE149" s="504">
        <v>1</v>
      </c>
      <c r="AF149" s="48">
        <f t="shared" si="61"/>
        <v>-319.99999999999955</v>
      </c>
      <c r="AG149" s="126">
        <f t="shared" si="62"/>
        <v>0.78666666666666696</v>
      </c>
      <c r="AH149" s="721"/>
    </row>
    <row r="150" spans="1:34" ht="19.2" customHeight="1">
      <c r="A150" s="717"/>
      <c r="B150" s="504" t="s">
        <v>185</v>
      </c>
      <c r="C150" s="224"/>
      <c r="D150" s="179" t="s">
        <v>96</v>
      </c>
      <c r="E150" s="60"/>
      <c r="F150" s="368">
        <v>58.17</v>
      </c>
      <c r="G150" s="57">
        <v>876</v>
      </c>
      <c r="H150" s="84">
        <f t="shared" si="98"/>
        <v>50956.92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1168</v>
      </c>
      <c r="O150" s="47">
        <f t="shared" si="100"/>
        <v>61.473684210526315</v>
      </c>
      <c r="P150" s="48">
        <f t="shared" si="95"/>
        <v>0</v>
      </c>
      <c r="Q150" s="49">
        <f t="shared" si="96"/>
        <v>-11.421052631578945</v>
      </c>
      <c r="R150" s="494">
        <f t="shared" si="97"/>
        <v>0.84332129963898916</v>
      </c>
      <c r="S150" s="719"/>
      <c r="T150" s="250">
        <v>0.79583333333333328</v>
      </c>
      <c r="U150" s="50">
        <v>0.82708333333333328</v>
      </c>
      <c r="V150" s="490">
        <v>7</v>
      </c>
      <c r="W150" s="487">
        <f t="shared" si="101"/>
        <v>45</v>
      </c>
      <c r="X150" s="219"/>
      <c r="Y150" s="219"/>
      <c r="Z150" s="220"/>
      <c r="AA150" s="220"/>
      <c r="AB150" s="658"/>
      <c r="AC150" s="658"/>
      <c r="AD150" s="504"/>
      <c r="AE150" s="504"/>
      <c r="AF150" s="48">
        <f t="shared" si="61"/>
        <v>-217</v>
      </c>
      <c r="AG150" s="126">
        <f t="shared" si="62"/>
        <v>0.84332129963898916</v>
      </c>
      <c r="AH150" s="721"/>
    </row>
    <row r="151" spans="1:34" s="221" customFormat="1" ht="19.2" customHeight="1">
      <c r="A151" s="717"/>
      <c r="B151" s="504" t="s">
        <v>185</v>
      </c>
      <c r="C151" s="224"/>
      <c r="D151" s="59" t="s">
        <v>108</v>
      </c>
      <c r="E151" s="60"/>
      <c r="F151" s="368">
        <v>57.73</v>
      </c>
      <c r="G151" s="57">
        <v>923</v>
      </c>
      <c r="H151" s="84">
        <f t="shared" si="98"/>
        <v>53284.789999999994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1130.2040816326535</v>
      </c>
      <c r="O151" s="47">
        <f t="shared" si="100"/>
        <v>66.482593037214912</v>
      </c>
      <c r="P151" s="48">
        <f t="shared" si="95"/>
        <v>1</v>
      </c>
      <c r="Q151" s="49">
        <f t="shared" si="96"/>
        <v>-23.517406962785088</v>
      </c>
      <c r="R151" s="494">
        <f t="shared" si="97"/>
        <v>0.73869547819127679</v>
      </c>
      <c r="S151" s="719"/>
      <c r="T151" s="250">
        <v>0.83124999999999993</v>
      </c>
      <c r="U151" s="50">
        <v>0.8652777777777777</v>
      </c>
      <c r="V151" s="490">
        <v>6</v>
      </c>
      <c r="W151" s="487">
        <f t="shared" si="101"/>
        <v>48.999999999999986</v>
      </c>
      <c r="X151" s="219"/>
      <c r="Y151" s="219"/>
      <c r="Z151" s="220"/>
      <c r="AA151" s="220"/>
      <c r="AB151" s="658"/>
      <c r="AC151" s="658"/>
      <c r="AD151" s="224"/>
      <c r="AE151" s="224"/>
      <c r="AF151" s="48">
        <f t="shared" si="61"/>
        <v>-309.79591836734653</v>
      </c>
      <c r="AG151" s="126">
        <f t="shared" si="62"/>
        <v>0.78486394557823158</v>
      </c>
      <c r="AH151" s="721"/>
    </row>
    <row r="152" spans="1:34" s="221" customFormat="1" ht="19.2" customHeight="1">
      <c r="A152" s="717"/>
      <c r="B152" s="504" t="s">
        <v>185</v>
      </c>
      <c r="C152" s="224"/>
      <c r="D152" s="255" t="s">
        <v>197</v>
      </c>
      <c r="E152" s="60"/>
      <c r="F152" s="368">
        <v>50.67</v>
      </c>
      <c r="G152" s="57">
        <v>2048</v>
      </c>
      <c r="H152" s="84">
        <f t="shared" si="98"/>
        <v>103772.16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1321.2903225806454</v>
      </c>
      <c r="O152" s="47">
        <f t="shared" si="100"/>
        <v>73.405017921146964</v>
      </c>
      <c r="P152" s="48">
        <f t="shared" si="95"/>
        <v>0</v>
      </c>
      <c r="Q152" s="49">
        <f t="shared" si="96"/>
        <v>-9.9283154121863646</v>
      </c>
      <c r="R152" s="494">
        <f t="shared" si="97"/>
        <v>0.88086021505376366</v>
      </c>
      <c r="S152" s="719"/>
      <c r="T152" s="265">
        <v>0.88055555555555542</v>
      </c>
      <c r="U152" s="63">
        <v>0.94513888888888875</v>
      </c>
      <c r="V152" s="491">
        <v>22</v>
      </c>
      <c r="W152" s="487">
        <f t="shared" si="101"/>
        <v>92.999999999999986</v>
      </c>
      <c r="X152" s="222">
        <v>0.86875000000000002</v>
      </c>
      <c r="Y152" s="222">
        <v>0.87777777777777777</v>
      </c>
      <c r="Z152" s="220"/>
      <c r="AA152" s="220"/>
      <c r="AB152" s="658"/>
      <c r="AC152" s="658"/>
      <c r="AD152" s="224"/>
      <c r="AE152" s="224"/>
      <c r="AF152" s="48">
        <f t="shared" si="61"/>
        <v>-178.70967741935465</v>
      </c>
      <c r="AG152" s="126">
        <f t="shared" si="62"/>
        <v>0.88086021505376355</v>
      </c>
      <c r="AH152" s="721"/>
    </row>
    <row r="153" spans="1:34" s="221" customFormat="1" ht="19.2" customHeight="1">
      <c r="A153" s="717"/>
      <c r="B153" s="504" t="s">
        <v>185</v>
      </c>
      <c r="C153" s="224"/>
      <c r="D153" s="255" t="s">
        <v>201</v>
      </c>
      <c r="E153" s="60"/>
      <c r="F153" s="368">
        <v>44.98</v>
      </c>
      <c r="G153" s="57">
        <v>509.09999999999997</v>
      </c>
      <c r="H153" s="84">
        <f t="shared" si="98"/>
        <v>22899.317999999996</v>
      </c>
      <c r="I153" s="264">
        <v>1</v>
      </c>
      <c r="J153" s="87">
        <v>19</v>
      </c>
      <c r="K153" s="57">
        <v>1500</v>
      </c>
      <c r="L153" s="86">
        <v>78.94736842105263</v>
      </c>
      <c r="M153" s="202">
        <v>19</v>
      </c>
      <c r="N153" s="44">
        <f t="shared" si="99"/>
        <v>1174.8461538461506</v>
      </c>
      <c r="O153" s="47">
        <f t="shared" si="100"/>
        <v>61.834008097165821</v>
      </c>
      <c r="P153" s="48">
        <f t="shared" si="95"/>
        <v>0</v>
      </c>
      <c r="Q153" s="49">
        <f t="shared" si="96"/>
        <v>-17.113360323886809</v>
      </c>
      <c r="R153" s="494">
        <f t="shared" si="97"/>
        <v>0.78323076923076707</v>
      </c>
      <c r="S153" s="719"/>
      <c r="T153" s="265">
        <v>0.9493055555555554</v>
      </c>
      <c r="U153" s="63">
        <v>0.96736111111111101</v>
      </c>
      <c r="V153" s="491">
        <v>6</v>
      </c>
      <c r="W153" s="487">
        <f t="shared" si="101"/>
        <v>26.000000000000068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-325.15384615384937</v>
      </c>
      <c r="AG153" s="126">
        <f t="shared" si="62"/>
        <v>0.78323076923076707</v>
      </c>
      <c r="AH153" s="721"/>
    </row>
    <row r="154" spans="1:34" s="221" customFormat="1" ht="19.2" customHeight="1">
      <c r="A154" s="717"/>
      <c r="B154" s="504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91"/>
      <c r="W154" s="487">
        <f t="shared" si="101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504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91"/>
      <c r="W155" s="487">
        <f t="shared" si="101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91"/>
      <c r="W156" s="269">
        <f t="shared" si="101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91"/>
      <c r="W157" s="269">
        <f t="shared" si="101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91"/>
      <c r="W158" s="269">
        <f t="shared" si="101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93"/>
      <c r="N159" s="182"/>
      <c r="O159" s="228"/>
      <c r="P159" s="267"/>
      <c r="Q159" s="74"/>
      <c r="R159" s="130"/>
      <c r="S159" s="719"/>
      <c r="T159" s="265"/>
      <c r="U159" s="63"/>
      <c r="V159" s="491"/>
      <c r="W159" s="270">
        <f t="shared" si="101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650</v>
      </c>
      <c r="D160" s="716" t="s">
        <v>651</v>
      </c>
      <c r="E160" s="678"/>
      <c r="F160" s="362"/>
      <c r="G160" s="205"/>
      <c r="H160" s="204"/>
      <c r="I160" s="72"/>
      <c r="J160" s="273">
        <v>18.5</v>
      </c>
      <c r="K160" s="273">
        <v>1470.8333333333333</v>
      </c>
      <c r="L160" s="274">
        <v>79.853801169590653</v>
      </c>
      <c r="M160" s="273">
        <f t="shared" ref="J160:O160" si="102">AVERAGE(M148:M159)</f>
        <v>18.666666666666668</v>
      </c>
      <c r="N160" s="273">
        <f t="shared" si="102"/>
        <v>1193.7067596765753</v>
      </c>
      <c r="O160" s="274">
        <f t="shared" si="102"/>
        <v>64.119392649605501</v>
      </c>
      <c r="P160" s="65">
        <f t="shared" ref="P160:P165" si="103">M160-J160</f>
        <v>0.16666666666666785</v>
      </c>
      <c r="Q160" s="74">
        <f t="shared" ref="Q160:Q165" si="104">O160-L160</f>
        <v>-15.734408519985152</v>
      </c>
      <c r="R160" s="275">
        <f>O160/L160</f>
        <v>0.80295980542530498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2</v>
      </c>
      <c r="AF160" s="65">
        <f t="shared" si="61"/>
        <v>-277.12657365675796</v>
      </c>
      <c r="AG160" s="130">
        <f t="shared" si="62"/>
        <v>0.81158533235801156</v>
      </c>
      <c r="AH160" s="721"/>
    </row>
    <row r="161" spans="1:36" ht="19.2" customHeight="1">
      <c r="A161" s="680" t="s">
        <v>652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1810</v>
      </c>
      <c r="H161" s="84">
        <f t="shared" ref="H161:H170" si="105">F161*G161</f>
        <v>54237.5431331953</v>
      </c>
      <c r="I161" s="50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1220.2247191011236</v>
      </c>
      <c r="O161" s="86">
        <f t="shared" ref="O161:O165" si="107">N161/M161</f>
        <v>67.790262172284642</v>
      </c>
      <c r="P161" s="54">
        <f t="shared" si="103"/>
        <v>0</v>
      </c>
      <c r="Q161" s="88">
        <f t="shared" si="104"/>
        <v>1.1235955056179705</v>
      </c>
      <c r="R161" s="497">
        <f t="shared" ref="R161:R165" si="108">O161/L161</f>
        <v>1.0168539325842696</v>
      </c>
      <c r="S161" s="681">
        <f>R173</f>
        <v>0.93790093992780732</v>
      </c>
      <c r="T161" s="89">
        <v>0.16666666666666666</v>
      </c>
      <c r="U161" s="89">
        <v>0.22847222222222222</v>
      </c>
      <c r="V161" s="504">
        <v>5</v>
      </c>
      <c r="W161" s="90">
        <f t="shared" ref="W161:W172" si="109">(U161-T161)*24*60</f>
        <v>89</v>
      </c>
      <c r="X161" s="96"/>
      <c r="Y161" s="96"/>
      <c r="Z161" s="54"/>
      <c r="AA161" s="54"/>
      <c r="AB161" s="658"/>
      <c r="AC161" s="658"/>
      <c r="AD161" s="504"/>
      <c r="AE161" s="504"/>
      <c r="AF161" s="54">
        <f t="shared" si="61"/>
        <v>20.224719101123583</v>
      </c>
      <c r="AG161" s="497">
        <f t="shared" si="62"/>
        <v>1.0168539325842696</v>
      </c>
      <c r="AH161" s="681">
        <f>AG173</f>
        <v>0.94464331052412054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2845</v>
      </c>
      <c r="H162" s="84">
        <f t="shared" si="105"/>
        <v>97384.349999999991</v>
      </c>
      <c r="I162" s="50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2188.4615384615395</v>
      </c>
      <c r="O162" s="86">
        <f t="shared" si="107"/>
        <v>168.34319526627226</v>
      </c>
      <c r="P162" s="54">
        <f t="shared" si="103"/>
        <v>0</v>
      </c>
      <c r="Q162" s="88">
        <f t="shared" si="104"/>
        <v>-4.7337278106508052</v>
      </c>
      <c r="R162" s="497">
        <f t="shared" si="108"/>
        <v>0.97264957264957308</v>
      </c>
      <c r="S162" s="681"/>
      <c r="T162" s="89">
        <v>0.2326388888888889</v>
      </c>
      <c r="U162" s="89">
        <v>0.28680555555555554</v>
      </c>
      <c r="V162" s="504">
        <v>6</v>
      </c>
      <c r="W162" s="90">
        <f t="shared" si="109"/>
        <v>77.999999999999957</v>
      </c>
      <c r="X162" s="96"/>
      <c r="Y162" s="96"/>
      <c r="Z162" s="54"/>
      <c r="AA162" s="54"/>
      <c r="AB162" s="658"/>
      <c r="AC162" s="658"/>
      <c r="AD162" s="504"/>
      <c r="AE162" s="504"/>
      <c r="AF162" s="54">
        <f t="shared" si="61"/>
        <v>-61.538461538460524</v>
      </c>
      <c r="AG162" s="497">
        <f t="shared" si="62"/>
        <v>0.97264957264957308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3518</v>
      </c>
      <c r="H163" s="84">
        <f t="shared" si="105"/>
        <v>120421.13999999998</v>
      </c>
      <c r="I163" s="504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2132.1212121212111</v>
      </c>
      <c r="O163" s="86">
        <f t="shared" si="107"/>
        <v>164.00932400932393</v>
      </c>
      <c r="P163" s="54">
        <f t="shared" si="103"/>
        <v>0</v>
      </c>
      <c r="Q163" s="88">
        <f t="shared" si="104"/>
        <v>-9.0675990675991329</v>
      </c>
      <c r="R163" s="497">
        <f t="shared" si="108"/>
        <v>0.94760942760942724</v>
      </c>
      <c r="S163" s="681"/>
      <c r="T163" s="89">
        <v>0.30208333333333331</v>
      </c>
      <c r="U163" s="89">
        <v>0.37083333333333335</v>
      </c>
      <c r="V163" s="504">
        <v>22</v>
      </c>
      <c r="W163" s="90">
        <f t="shared" si="109"/>
        <v>99.000000000000043</v>
      </c>
      <c r="X163" s="96">
        <v>0.2902777777777778</v>
      </c>
      <c r="Y163" s="96">
        <v>0.29930555555555555</v>
      </c>
      <c r="Z163" s="54"/>
      <c r="AA163" s="54"/>
      <c r="AB163" s="658"/>
      <c r="AC163" s="658"/>
      <c r="AD163" s="504"/>
      <c r="AE163" s="504"/>
      <c r="AF163" s="54">
        <f t="shared" si="61"/>
        <v>-117.8787878787889</v>
      </c>
      <c r="AG163" s="497">
        <f t="shared" si="62"/>
        <v>0.94760942760942712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4741</v>
      </c>
      <c r="H164" s="84">
        <f t="shared" si="105"/>
        <v>169870.03</v>
      </c>
      <c r="I164" s="504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2188.1538461538457</v>
      </c>
      <c r="O164" s="86">
        <f t="shared" si="107"/>
        <v>198.92307692307688</v>
      </c>
      <c r="P164" s="54">
        <f t="shared" si="103"/>
        <v>0</v>
      </c>
      <c r="Q164" s="88">
        <f t="shared" si="104"/>
        <v>-5.6223776223776554</v>
      </c>
      <c r="R164" s="497">
        <f t="shared" si="108"/>
        <v>0.9725128205128204</v>
      </c>
      <c r="S164" s="681"/>
      <c r="T164" s="89">
        <v>0.41180555555555554</v>
      </c>
      <c r="U164" s="89">
        <v>0.50208333333333333</v>
      </c>
      <c r="V164" s="504">
        <v>6</v>
      </c>
      <c r="W164" s="90">
        <f t="shared" si="109"/>
        <v>130.00000000000003</v>
      </c>
      <c r="X164" s="96"/>
      <c r="Y164" s="96"/>
      <c r="Z164" s="54"/>
      <c r="AA164" s="54"/>
      <c r="AB164" s="658"/>
      <c r="AC164" s="658"/>
      <c r="AD164" s="504"/>
      <c r="AE164" s="504"/>
      <c r="AF164" s="54">
        <f t="shared" si="61"/>
        <v>-61.846153846154266</v>
      </c>
      <c r="AG164" s="497">
        <f t="shared" si="62"/>
        <v>0.97251282051282029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3634.9500000000003</v>
      </c>
      <c r="H165" s="84">
        <f t="shared" si="105"/>
        <v>132348.5295</v>
      </c>
      <c r="I165" s="504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2396.6703296703299</v>
      </c>
      <c r="O165" s="86">
        <f t="shared" si="107"/>
        <v>239.66703296703298</v>
      </c>
      <c r="P165" s="54">
        <f t="shared" si="103"/>
        <v>0</v>
      </c>
      <c r="Q165" s="88">
        <f t="shared" si="104"/>
        <v>-37.232967032966997</v>
      </c>
      <c r="R165" s="497">
        <f t="shared" si="108"/>
        <v>0.86553641374876489</v>
      </c>
      <c r="S165" s="681"/>
      <c r="T165" s="89">
        <v>0.51666666666666661</v>
      </c>
      <c r="U165" s="89">
        <v>0.57986111111111105</v>
      </c>
      <c r="V165" s="504">
        <v>21</v>
      </c>
      <c r="W165" s="90">
        <f t="shared" si="109"/>
        <v>91</v>
      </c>
      <c r="X165" s="96">
        <v>0.50555555555555554</v>
      </c>
      <c r="Y165" s="96">
        <v>0.51388888888888895</v>
      </c>
      <c r="Z165" s="54"/>
      <c r="AA165" s="54"/>
      <c r="AB165" s="658"/>
      <c r="AC165" s="658"/>
      <c r="AD165" s="504"/>
      <c r="AE165" s="504"/>
      <c r="AF165" s="54">
        <f t="shared" si="61"/>
        <v>-372.32967032967008</v>
      </c>
      <c r="AG165" s="497">
        <f t="shared" si="62"/>
        <v>0.86553641374876489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5"/>
        <v>0</v>
      </c>
      <c r="I166" s="504"/>
      <c r="J166" s="87"/>
      <c r="K166" s="57"/>
      <c r="L166" s="86"/>
      <c r="M166" s="87"/>
      <c r="N166" s="57"/>
      <c r="O166" s="86"/>
      <c r="P166" s="54"/>
      <c r="Q166" s="88"/>
      <c r="R166" s="497"/>
      <c r="S166" s="681"/>
      <c r="T166" s="89"/>
      <c r="U166" s="89"/>
      <c r="V166" s="504"/>
      <c r="W166" s="90">
        <f t="shared" si="109"/>
        <v>0</v>
      </c>
      <c r="X166" s="96"/>
      <c r="Y166" s="96"/>
      <c r="Z166" s="54"/>
      <c r="AA166" s="54"/>
      <c r="AB166" s="658"/>
      <c r="AC166" s="658"/>
      <c r="AD166" s="504"/>
      <c r="AE166" s="504"/>
      <c r="AF166" s="54">
        <f t="shared" si="61"/>
        <v>0</v>
      </c>
      <c r="AG166" s="497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5"/>
        <v>0</v>
      </c>
      <c r="I167" s="504"/>
      <c r="J167" s="87"/>
      <c r="K167" s="57"/>
      <c r="L167" s="86"/>
      <c r="M167" s="87"/>
      <c r="N167" s="57"/>
      <c r="O167" s="86"/>
      <c r="P167" s="54"/>
      <c r="Q167" s="88"/>
      <c r="R167" s="497"/>
      <c r="S167" s="681"/>
      <c r="T167" s="89"/>
      <c r="U167" s="89"/>
      <c r="V167" s="504"/>
      <c r="W167" s="90">
        <f t="shared" si="109"/>
        <v>0</v>
      </c>
      <c r="X167" s="96"/>
      <c r="Y167" s="96"/>
      <c r="Z167" s="54"/>
      <c r="AA167" s="54"/>
      <c r="AB167" s="658"/>
      <c r="AC167" s="658"/>
      <c r="AD167" s="504"/>
      <c r="AE167" s="504"/>
      <c r="AF167" s="54">
        <f t="shared" si="61"/>
        <v>0</v>
      </c>
      <c r="AG167" s="497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5"/>
        <v>0</v>
      </c>
      <c r="I168" s="504"/>
      <c r="J168" s="87"/>
      <c r="K168" s="57"/>
      <c r="L168" s="86"/>
      <c r="M168" s="87"/>
      <c r="N168" s="57"/>
      <c r="O168" s="86"/>
      <c r="P168" s="54"/>
      <c r="Q168" s="88"/>
      <c r="R168" s="497"/>
      <c r="S168" s="681"/>
      <c r="T168" s="89"/>
      <c r="U168" s="89"/>
      <c r="V168" s="504"/>
      <c r="W168" s="90">
        <f t="shared" si="109"/>
        <v>0</v>
      </c>
      <c r="X168" s="96"/>
      <c r="Y168" s="96"/>
      <c r="Z168" s="54"/>
      <c r="AA168" s="54"/>
      <c r="AB168" s="658"/>
      <c r="AC168" s="658"/>
      <c r="AD168" s="504"/>
      <c r="AE168" s="504"/>
      <c r="AF168" s="54">
        <f t="shared" si="61"/>
        <v>0</v>
      </c>
      <c r="AG168" s="497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5"/>
        <v>0</v>
      </c>
      <c r="I169" s="504"/>
      <c r="J169" s="87"/>
      <c r="K169" s="57"/>
      <c r="L169" s="86"/>
      <c r="M169" s="87"/>
      <c r="N169" s="57"/>
      <c r="O169" s="86"/>
      <c r="P169" s="54"/>
      <c r="Q169" s="88"/>
      <c r="R169" s="497"/>
      <c r="S169" s="681"/>
      <c r="T169" s="89"/>
      <c r="U169" s="89"/>
      <c r="V169" s="504" t="s">
        <v>30</v>
      </c>
      <c r="W169" s="90">
        <f t="shared" si="109"/>
        <v>0</v>
      </c>
      <c r="X169" s="96"/>
      <c r="Y169" s="96"/>
      <c r="Z169" s="54"/>
      <c r="AA169" s="54"/>
      <c r="AB169" s="658"/>
      <c r="AC169" s="658"/>
      <c r="AD169" s="504"/>
      <c r="AE169" s="504"/>
      <c r="AF169" s="54">
        <f t="shared" si="61"/>
        <v>0</v>
      </c>
      <c r="AG169" s="497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5"/>
        <v>0</v>
      </c>
      <c r="I170" s="504"/>
      <c r="J170" s="87"/>
      <c r="K170" s="57"/>
      <c r="L170" s="86"/>
      <c r="M170" s="87"/>
      <c r="N170" s="57"/>
      <c r="O170" s="86"/>
      <c r="P170" s="54"/>
      <c r="Q170" s="88"/>
      <c r="R170" s="497"/>
      <c r="S170" s="681"/>
      <c r="T170" s="89"/>
      <c r="U170" s="89"/>
      <c r="V170" s="504"/>
      <c r="W170" s="90">
        <f t="shared" si="109"/>
        <v>0</v>
      </c>
      <c r="X170" s="96"/>
      <c r="Y170" s="96"/>
      <c r="Z170" s="54"/>
      <c r="AA170" s="54"/>
      <c r="AB170" s="658"/>
      <c r="AC170" s="658"/>
      <c r="AD170" s="504"/>
      <c r="AE170" s="504"/>
      <c r="AF170" s="54">
        <f t="shared" si="61"/>
        <v>0</v>
      </c>
      <c r="AG170" s="497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504"/>
      <c r="J171" s="87"/>
      <c r="K171" s="57"/>
      <c r="L171" s="86"/>
      <c r="M171" s="87"/>
      <c r="N171" s="57"/>
      <c r="O171" s="86"/>
      <c r="P171" s="54"/>
      <c r="Q171" s="88"/>
      <c r="R171" s="497"/>
      <c r="S171" s="681"/>
      <c r="T171" s="89"/>
      <c r="U171" s="89"/>
      <c r="V171" s="504"/>
      <c r="W171" s="90">
        <f t="shared" si="109"/>
        <v>0</v>
      </c>
      <c r="X171" s="96"/>
      <c r="Y171" s="96"/>
      <c r="Z171" s="54"/>
      <c r="AA171" s="54"/>
      <c r="AB171" s="658"/>
      <c r="AC171" s="658"/>
      <c r="AD171" s="504"/>
      <c r="AE171" s="504"/>
      <c r="AF171" s="54"/>
      <c r="AG171" s="497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504"/>
      <c r="J172" s="87"/>
      <c r="K172" s="57"/>
      <c r="L172" s="86"/>
      <c r="M172" s="87"/>
      <c r="N172" s="57"/>
      <c r="O172" s="86"/>
      <c r="P172" s="54"/>
      <c r="Q172" s="88"/>
      <c r="R172" s="497"/>
      <c r="S172" s="681"/>
      <c r="T172" s="89"/>
      <c r="U172" s="89"/>
      <c r="V172" s="504"/>
      <c r="W172" s="90">
        <f t="shared" si="109"/>
        <v>0</v>
      </c>
      <c r="X172" s="96"/>
      <c r="Y172" s="96"/>
      <c r="Z172" s="54"/>
      <c r="AA172" s="54"/>
      <c r="AB172" s="658"/>
      <c r="AC172" s="658"/>
      <c r="AD172" s="504"/>
      <c r="AE172" s="504"/>
      <c r="AF172" s="54"/>
      <c r="AG172" s="497"/>
      <c r="AH172" s="681"/>
    </row>
    <row r="173" spans="1:36" ht="19.2" customHeight="1">
      <c r="A173" s="680"/>
      <c r="B173" s="122">
        <v>0</v>
      </c>
      <c r="C173" s="100" t="s">
        <v>653</v>
      </c>
      <c r="D173" s="687" t="s">
        <v>654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J173:O173" si="110">AVERAGE(M161:M172)</f>
        <v>13</v>
      </c>
      <c r="N173" s="101">
        <f t="shared" si="110"/>
        <v>2025.1263291016098</v>
      </c>
      <c r="O173" s="104">
        <f t="shared" si="110"/>
        <v>167.74657826759812</v>
      </c>
      <c r="P173" s="54">
        <f>M173-J173</f>
        <v>0</v>
      </c>
      <c r="Q173" s="88">
        <f>O173-L173</f>
        <v>-11.106615205595347</v>
      </c>
      <c r="R173" s="105">
        <f>O173/L173</f>
        <v>0.93790093992780732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0</v>
      </c>
      <c r="AE173" s="107">
        <f>SUM(AE161:AE172)</f>
        <v>0</v>
      </c>
      <c r="AF173" s="54">
        <f t="shared" si="61"/>
        <v>-118.67367089839036</v>
      </c>
      <c r="AG173" s="497">
        <f t="shared" si="62"/>
        <v>0.94464331052412054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655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656</v>
      </c>
    </row>
    <row r="186" spans="23:36">
      <c r="W186" s="33"/>
      <c r="AJ186" s="279" t="s">
        <v>657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6511" priority="3256" operator="lessThan">
      <formula>0</formula>
    </cfRule>
  </conditionalFormatting>
  <conditionalFormatting sqref="AH57 AH70 S43 S123 S95 AH95 S5:S9 AH5:AH9 S134 AH17:AH18 S17:S18 S32 S82 AH82 S57:S70">
    <cfRule type="cellIs" dxfId="6510" priority="3255" operator="lessThan">
      <formula>0.8</formula>
    </cfRule>
  </conditionalFormatting>
  <conditionalFormatting sqref="R147 R173 R30 R121 R95 R43 R134 R82 R154:R159 R17:R18 R109:R117 R57:R70">
    <cfRule type="cellIs" dxfId="6509" priority="3253" operator="lessThan">
      <formula>0.8</formula>
    </cfRule>
    <cfRule type="cellIs" dxfId="6508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6507" priority="3251" operator="greaterThan">
      <formula>1</formula>
    </cfRule>
    <cfRule type="cellIs" dxfId="6506" priority="3252" operator="lessThan">
      <formula>0.8</formula>
    </cfRule>
  </conditionalFormatting>
  <conditionalFormatting sqref="P147 P30 P121 P95 P43 P134 P82 P154:P159 P17:P18 P109:P117 P57:P70">
    <cfRule type="cellIs" dxfId="6505" priority="3250" operator="greaterThan">
      <formula>0</formula>
    </cfRule>
  </conditionalFormatting>
  <conditionalFormatting sqref="S161">
    <cfRule type="cellIs" dxfId="6504" priority="3249" operator="lessThan">
      <formula>0.8</formula>
    </cfRule>
  </conditionalFormatting>
  <conditionalFormatting sqref="Q161:Q166">
    <cfRule type="cellIs" dxfId="6503" priority="3248" operator="lessThan">
      <formula>0</formula>
    </cfRule>
  </conditionalFormatting>
  <conditionalFormatting sqref="R161:R166">
    <cfRule type="cellIs" dxfId="6502" priority="3246" operator="lessThan">
      <formula>0.8</formula>
    </cfRule>
    <cfRule type="cellIs" dxfId="6501" priority="3247" operator="greaterThan">
      <formula>1</formula>
    </cfRule>
  </conditionalFormatting>
  <conditionalFormatting sqref="R161:R166">
    <cfRule type="cellIs" dxfId="6500" priority="3244" operator="greaterThan">
      <formula>1</formula>
    </cfRule>
    <cfRule type="cellIs" dxfId="6499" priority="3245" operator="lessThan">
      <formula>0.8</formula>
    </cfRule>
  </conditionalFormatting>
  <conditionalFormatting sqref="P161:P166">
    <cfRule type="cellIs" dxfId="6498" priority="3243" operator="greaterThan">
      <formula>0</formula>
    </cfRule>
  </conditionalFormatting>
  <conditionalFormatting sqref="Q169:Q172 AF161:AF172">
    <cfRule type="cellIs" dxfId="6497" priority="3242" operator="lessThan">
      <formula>0</formula>
    </cfRule>
  </conditionalFormatting>
  <conditionalFormatting sqref="R169:R172">
    <cfRule type="cellIs" dxfId="6496" priority="3240" operator="lessThan">
      <formula>0.8</formula>
    </cfRule>
    <cfRule type="cellIs" dxfId="6495" priority="3241" operator="greaterThan">
      <formula>1</formula>
    </cfRule>
  </conditionalFormatting>
  <conditionalFormatting sqref="R169:R172 AG161:AG172">
    <cfRule type="cellIs" dxfId="6494" priority="3238" operator="greaterThan">
      <formula>1</formula>
    </cfRule>
    <cfRule type="cellIs" dxfId="6493" priority="3239" operator="lessThan">
      <formula>0.8</formula>
    </cfRule>
  </conditionalFormatting>
  <conditionalFormatting sqref="P169:P172">
    <cfRule type="cellIs" dxfId="6492" priority="3237" operator="greaterThan">
      <formula>0</formula>
    </cfRule>
  </conditionalFormatting>
  <conditionalFormatting sqref="AF145">
    <cfRule type="cellIs" dxfId="6491" priority="3236" operator="lessThan">
      <formula>0</formula>
    </cfRule>
  </conditionalFormatting>
  <conditionalFormatting sqref="AG145">
    <cfRule type="cellIs" dxfId="6490" priority="3234" operator="greaterThan">
      <formula>1</formula>
    </cfRule>
    <cfRule type="cellIs" dxfId="6489" priority="3235" operator="lessThan">
      <formula>0.8</formula>
    </cfRule>
  </conditionalFormatting>
  <conditionalFormatting sqref="AF44:AF54">
    <cfRule type="cellIs" dxfId="6488" priority="3233" operator="lessThan">
      <formula>0</formula>
    </cfRule>
  </conditionalFormatting>
  <conditionalFormatting sqref="AG44:AG54">
    <cfRule type="cellIs" dxfId="6487" priority="3231" operator="greaterThan">
      <formula>1</formula>
    </cfRule>
    <cfRule type="cellIs" dxfId="6486" priority="3232" operator="lessThan">
      <formula>0.8</formula>
    </cfRule>
  </conditionalFormatting>
  <conditionalFormatting sqref="AF83:AF94">
    <cfRule type="cellIs" dxfId="6485" priority="3230" operator="lessThan">
      <formula>0</formula>
    </cfRule>
  </conditionalFormatting>
  <conditionalFormatting sqref="AH83">
    <cfRule type="cellIs" dxfId="6484" priority="3229" operator="lessThan">
      <formula>0.8</formula>
    </cfRule>
  </conditionalFormatting>
  <conditionalFormatting sqref="AG83:AG94">
    <cfRule type="cellIs" dxfId="6483" priority="3227" operator="greaterThan">
      <formula>1</formula>
    </cfRule>
    <cfRule type="cellIs" dxfId="6482" priority="3228" operator="lessThan">
      <formula>0.8</formula>
    </cfRule>
  </conditionalFormatting>
  <conditionalFormatting sqref="S83">
    <cfRule type="cellIs" dxfId="6481" priority="3226" operator="lessThan">
      <formula>0.8</formula>
    </cfRule>
  </conditionalFormatting>
  <conditionalFormatting sqref="AH84">
    <cfRule type="cellIs" dxfId="6480" priority="3225" operator="lessThan">
      <formula>0.8</formula>
    </cfRule>
  </conditionalFormatting>
  <conditionalFormatting sqref="S84">
    <cfRule type="cellIs" dxfId="6479" priority="3224" operator="lessThan">
      <formula>0.8</formula>
    </cfRule>
  </conditionalFormatting>
  <conditionalFormatting sqref="S90">
    <cfRule type="cellIs" dxfId="6478" priority="3223" operator="lessThan">
      <formula>0.8</formula>
    </cfRule>
  </conditionalFormatting>
  <conditionalFormatting sqref="AH90">
    <cfRule type="cellIs" dxfId="6477" priority="3222" operator="lessThan">
      <formula>0.8</formula>
    </cfRule>
  </conditionalFormatting>
  <conditionalFormatting sqref="AF122">
    <cfRule type="cellIs" dxfId="6476" priority="3221" operator="lessThan">
      <formula>0</formula>
    </cfRule>
  </conditionalFormatting>
  <conditionalFormatting sqref="S122">
    <cfRule type="cellIs" dxfId="6475" priority="3220" operator="lessThan">
      <formula>0.8</formula>
    </cfRule>
  </conditionalFormatting>
  <conditionalFormatting sqref="AG122">
    <cfRule type="cellIs" dxfId="6474" priority="3218" operator="greaterThan">
      <formula>1</formula>
    </cfRule>
    <cfRule type="cellIs" dxfId="6473" priority="3219" operator="lessThan">
      <formula>0.8</formula>
    </cfRule>
  </conditionalFormatting>
  <conditionalFormatting sqref="P162:P168">
    <cfRule type="cellIs" dxfId="6472" priority="3212" operator="greaterThan">
      <formula>0</formula>
    </cfRule>
  </conditionalFormatting>
  <conditionalFormatting sqref="R162:R168">
    <cfRule type="cellIs" dxfId="6471" priority="3215" operator="lessThan">
      <formula>0.8</formula>
    </cfRule>
    <cfRule type="cellIs" dxfId="6470" priority="3216" operator="greaterThan">
      <formula>1</formula>
    </cfRule>
  </conditionalFormatting>
  <conditionalFormatting sqref="R162:R168">
    <cfRule type="cellIs" dxfId="6469" priority="3213" operator="greaterThan">
      <formula>1</formula>
    </cfRule>
    <cfRule type="cellIs" dxfId="6468" priority="3214" operator="lessThan">
      <formula>0.8</formula>
    </cfRule>
  </conditionalFormatting>
  <conditionalFormatting sqref="Q162:Q168">
    <cfRule type="cellIs" dxfId="6467" priority="3217" operator="lessThan">
      <formula>0</formula>
    </cfRule>
  </conditionalFormatting>
  <conditionalFormatting sqref="P132:P133">
    <cfRule type="cellIs" dxfId="6466" priority="3205" operator="greaterThan">
      <formula>0</formula>
    </cfRule>
  </conditionalFormatting>
  <conditionalFormatting sqref="AF124 Q132:Q133 AF126:AF133">
    <cfRule type="cellIs" dxfId="6465" priority="3211" operator="lessThan">
      <formula>0</formula>
    </cfRule>
  </conditionalFormatting>
  <conditionalFormatting sqref="S124:S133">
    <cfRule type="cellIs" dxfId="6464" priority="3210" operator="lessThan">
      <formula>0.8</formula>
    </cfRule>
  </conditionalFormatting>
  <conditionalFormatting sqref="R132:R133">
    <cfRule type="cellIs" dxfId="6463" priority="3208" operator="lessThan">
      <formula>0.8</formula>
    </cfRule>
    <cfRule type="cellIs" dxfId="6462" priority="3209" operator="greaterThan">
      <formula>1</formula>
    </cfRule>
  </conditionalFormatting>
  <conditionalFormatting sqref="AG124 R132:R133 AG126:AG133">
    <cfRule type="cellIs" dxfId="6461" priority="3206" operator="greaterThan">
      <formula>1</formula>
    </cfRule>
    <cfRule type="cellIs" dxfId="6460" priority="3207" operator="lessThan">
      <formula>0.8</formula>
    </cfRule>
  </conditionalFormatting>
  <conditionalFormatting sqref="AH109">
    <cfRule type="cellIs" dxfId="6459" priority="3204" operator="lessThan">
      <formula>0.8</formula>
    </cfRule>
  </conditionalFormatting>
  <conditionalFormatting sqref="R160 AG160">
    <cfRule type="cellIs" dxfId="6458" priority="3199" operator="greaterThan">
      <formula>1</formula>
    </cfRule>
    <cfRule type="cellIs" dxfId="6457" priority="3200" operator="lessThan">
      <formula>0.8</formula>
    </cfRule>
  </conditionalFormatting>
  <conditionalFormatting sqref="R160">
    <cfRule type="cellIs" dxfId="6456" priority="3201" operator="lessThan">
      <formula>0.8</formula>
    </cfRule>
    <cfRule type="cellIs" dxfId="6455" priority="3202" operator="greaterThan">
      <formula>1</formula>
    </cfRule>
  </conditionalFormatting>
  <conditionalFormatting sqref="P160">
    <cfRule type="cellIs" dxfId="6454" priority="3198" operator="greaterThan">
      <formula>0</formula>
    </cfRule>
  </conditionalFormatting>
  <conditionalFormatting sqref="AH148">
    <cfRule type="cellIs" dxfId="6453" priority="3197" operator="lessThan">
      <formula>0.8</formula>
    </cfRule>
  </conditionalFormatting>
  <conditionalFormatting sqref="Q160 AF160">
    <cfRule type="cellIs" dxfId="6452" priority="3203" operator="lessThan">
      <formula>0</formula>
    </cfRule>
  </conditionalFormatting>
  <conditionalFormatting sqref="AF148:AF154">
    <cfRule type="cellIs" dxfId="6451" priority="3196" operator="lessThan">
      <formula>0</formula>
    </cfRule>
  </conditionalFormatting>
  <conditionalFormatting sqref="S148">
    <cfRule type="cellIs" dxfId="6450" priority="3195" operator="lessThan">
      <formula>0.8</formula>
    </cfRule>
  </conditionalFormatting>
  <conditionalFormatting sqref="AG148:AG154">
    <cfRule type="cellIs" dxfId="6449" priority="3193" operator="greaterThan">
      <formula>1</formula>
    </cfRule>
    <cfRule type="cellIs" dxfId="6448" priority="3194" operator="lessThan">
      <formula>0.8</formula>
    </cfRule>
  </conditionalFormatting>
  <conditionalFormatting sqref="S86">
    <cfRule type="cellIs" dxfId="6447" priority="3192" operator="lessThan">
      <formula>0.8</formula>
    </cfRule>
  </conditionalFormatting>
  <conditionalFormatting sqref="S88 AH88">
    <cfRule type="cellIs" dxfId="6446" priority="3187" operator="lessThan">
      <formula>0.8</formula>
    </cfRule>
  </conditionalFormatting>
  <conditionalFormatting sqref="AH86">
    <cfRule type="cellIs" dxfId="6445" priority="3191" operator="lessThan">
      <formula>0.8</formula>
    </cfRule>
  </conditionalFormatting>
  <conditionalFormatting sqref="S87">
    <cfRule type="cellIs" dxfId="6444" priority="3190" operator="lessThan">
      <formula>0.8</formula>
    </cfRule>
  </conditionalFormatting>
  <conditionalFormatting sqref="AH87">
    <cfRule type="cellIs" dxfId="6443" priority="3189" operator="lessThan">
      <formula>0.8</formula>
    </cfRule>
  </conditionalFormatting>
  <conditionalFormatting sqref="S89 AH89">
    <cfRule type="cellIs" dxfId="6442" priority="3188" operator="lessThan">
      <formula>0.8</formula>
    </cfRule>
  </conditionalFormatting>
  <conditionalFormatting sqref="AF31 AF35 AF39">
    <cfRule type="cellIs" dxfId="6441" priority="3186" operator="lessThan">
      <formula>0</formula>
    </cfRule>
  </conditionalFormatting>
  <conditionalFormatting sqref="AH31 S31">
    <cfRule type="cellIs" dxfId="6440" priority="3185" operator="lessThan">
      <formula>0.8</formula>
    </cfRule>
  </conditionalFormatting>
  <conditionalFormatting sqref="AG31 AG35 AG39">
    <cfRule type="cellIs" dxfId="6439" priority="3183" operator="greaterThan">
      <formula>1</formula>
    </cfRule>
    <cfRule type="cellIs" dxfId="6438" priority="3184" operator="lessThan">
      <formula>0.8</formula>
    </cfRule>
  </conditionalFormatting>
  <conditionalFormatting sqref="AF135">
    <cfRule type="cellIs" dxfId="6437" priority="3182" operator="lessThan">
      <formula>0</formula>
    </cfRule>
  </conditionalFormatting>
  <conditionalFormatting sqref="AH135 S135">
    <cfRule type="cellIs" dxfId="6436" priority="3181" operator="lessThan">
      <formula>0.8</formula>
    </cfRule>
  </conditionalFormatting>
  <conditionalFormatting sqref="AG135">
    <cfRule type="cellIs" dxfId="6435" priority="3179" operator="greaterThan">
      <formula>1</formula>
    </cfRule>
    <cfRule type="cellIs" dxfId="6434" priority="3180" operator="lessThan">
      <formula>0.8</formula>
    </cfRule>
  </conditionalFormatting>
  <conditionalFormatting sqref="AF108 Q108">
    <cfRule type="cellIs" dxfId="6433" priority="3178" operator="lessThan">
      <formula>0</formula>
    </cfRule>
  </conditionalFormatting>
  <conditionalFormatting sqref="R108">
    <cfRule type="cellIs" dxfId="6432" priority="3176" operator="lessThan">
      <formula>0.8</formula>
    </cfRule>
    <cfRule type="cellIs" dxfId="6431" priority="3177" operator="greaterThan">
      <formula>1</formula>
    </cfRule>
  </conditionalFormatting>
  <conditionalFormatting sqref="AG108 R108">
    <cfRule type="cellIs" dxfId="6430" priority="3174" operator="greaterThan">
      <formula>1</formula>
    </cfRule>
    <cfRule type="cellIs" dxfId="6429" priority="3175" operator="lessThan">
      <formula>0.8</formula>
    </cfRule>
  </conditionalFormatting>
  <conditionalFormatting sqref="P108">
    <cfRule type="cellIs" dxfId="6428" priority="3173" operator="greaterThan">
      <formula>0</formula>
    </cfRule>
  </conditionalFormatting>
  <conditionalFormatting sqref="AH97">
    <cfRule type="cellIs" dxfId="6427" priority="3168" operator="lessThan">
      <formula>0.8</formula>
    </cfRule>
  </conditionalFormatting>
  <conditionalFormatting sqref="AG96 AG98 AG100 AG102 AG104">
    <cfRule type="cellIs" dxfId="6426" priority="3170" operator="greaterThan">
      <formula>1</formula>
    </cfRule>
    <cfRule type="cellIs" dxfId="6425" priority="3171" operator="lessThan">
      <formula>0.8</formula>
    </cfRule>
  </conditionalFormatting>
  <conditionalFormatting sqref="AF96 AF98 AF100 AF102 AF104">
    <cfRule type="cellIs" dxfId="6424" priority="3172" operator="lessThan">
      <formula>0</formula>
    </cfRule>
  </conditionalFormatting>
  <conditionalFormatting sqref="AG97 AG99 AG101 AG103 AG105">
    <cfRule type="cellIs" dxfId="6423" priority="3166" operator="greaterThan">
      <formula>1</formula>
    </cfRule>
    <cfRule type="cellIs" dxfId="6422" priority="3167" operator="lessThan">
      <formula>0.8</formula>
    </cfRule>
  </conditionalFormatting>
  <conditionalFormatting sqref="AF97 AF99 AF101 AF103 AF105">
    <cfRule type="cellIs" dxfId="6421" priority="3169" operator="lessThan">
      <formula>0</formula>
    </cfRule>
  </conditionalFormatting>
  <conditionalFormatting sqref="AF71 AF73 AF75 AF79 AF77">
    <cfRule type="cellIs" dxfId="6420" priority="3163" operator="lessThan">
      <formula>0</formula>
    </cfRule>
  </conditionalFormatting>
  <conditionalFormatting sqref="S71 AH71">
    <cfRule type="cellIs" dxfId="6419" priority="3162" operator="lessThan">
      <formula>0.8</formula>
    </cfRule>
  </conditionalFormatting>
  <conditionalFormatting sqref="AG71 AG73 AG75 AG79 AG77">
    <cfRule type="cellIs" dxfId="6418" priority="3160" operator="greaterThan">
      <formula>1</formula>
    </cfRule>
    <cfRule type="cellIs" dxfId="6417" priority="3161" operator="lessThan">
      <formula>0.8</formula>
    </cfRule>
  </conditionalFormatting>
  <conditionalFormatting sqref="AF72 AF76 AF80">
    <cfRule type="cellIs" dxfId="6416" priority="3159" operator="lessThan">
      <formula>0</formula>
    </cfRule>
  </conditionalFormatting>
  <conditionalFormatting sqref="S72 AH72">
    <cfRule type="cellIs" dxfId="6415" priority="3158" operator="lessThan">
      <formula>0.8</formula>
    </cfRule>
  </conditionalFormatting>
  <conditionalFormatting sqref="S11">
    <cfRule type="cellIs" dxfId="6414" priority="3165" operator="lessThan">
      <formula>0.8</formula>
    </cfRule>
  </conditionalFormatting>
  <conditionalFormatting sqref="S10">
    <cfRule type="cellIs" dxfId="6413" priority="3164" operator="lessThan">
      <formula>0.8</formula>
    </cfRule>
  </conditionalFormatting>
  <conditionalFormatting sqref="AG72 AG76 AG80">
    <cfRule type="cellIs" dxfId="6412" priority="3156" operator="greaterThan">
      <formula>1</formula>
    </cfRule>
    <cfRule type="cellIs" dxfId="6411" priority="3157" operator="lessThan">
      <formula>0.8</formula>
    </cfRule>
  </conditionalFormatting>
  <conditionalFormatting sqref="AF14:AF16 Q15:Q16">
    <cfRule type="cellIs" dxfId="6410" priority="3155" operator="lessThan">
      <formula>0</formula>
    </cfRule>
  </conditionalFormatting>
  <conditionalFormatting sqref="R15:R16">
    <cfRule type="cellIs" dxfId="6409" priority="3153" operator="lessThan">
      <formula>0.8</formula>
    </cfRule>
    <cfRule type="cellIs" dxfId="6408" priority="3154" operator="greaterThan">
      <formula>1</formula>
    </cfRule>
  </conditionalFormatting>
  <conditionalFormatting sqref="AG14:AG16 R15:R16">
    <cfRule type="cellIs" dxfId="6407" priority="3151" operator="greaterThan">
      <formula>1</formula>
    </cfRule>
    <cfRule type="cellIs" dxfId="6406" priority="3152" operator="lessThan">
      <formula>0.8</formula>
    </cfRule>
  </conditionalFormatting>
  <conditionalFormatting sqref="P15:P16">
    <cfRule type="cellIs" dxfId="6405" priority="3150" operator="greaterThan">
      <formula>0</formula>
    </cfRule>
  </conditionalFormatting>
  <conditionalFormatting sqref="AH98">
    <cfRule type="cellIs" dxfId="6404" priority="3149" operator="lessThan">
      <formula>0.8</formula>
    </cfRule>
  </conditionalFormatting>
  <conditionalFormatting sqref="AF33 AF37">
    <cfRule type="cellIs" dxfId="6403" priority="3148" operator="lessThan">
      <formula>0</formula>
    </cfRule>
  </conditionalFormatting>
  <conditionalFormatting sqref="AG33 AG37">
    <cfRule type="cellIs" dxfId="6402" priority="3146" operator="greaterThan">
      <formula>1</formula>
    </cfRule>
    <cfRule type="cellIs" dxfId="6401" priority="3147" operator="lessThan">
      <formula>0.8</formula>
    </cfRule>
  </conditionalFormatting>
  <conditionalFormatting sqref="P41:P42">
    <cfRule type="cellIs" dxfId="6400" priority="3140" operator="greaterThan">
      <formula>0</formula>
    </cfRule>
  </conditionalFormatting>
  <conditionalFormatting sqref="Q41:Q42 AF34 AF41:AF42 AF38">
    <cfRule type="cellIs" dxfId="6399" priority="3145" operator="lessThan">
      <formula>0</formula>
    </cfRule>
  </conditionalFormatting>
  <conditionalFormatting sqref="R41:R42">
    <cfRule type="cellIs" dxfId="6398" priority="3143" operator="lessThan">
      <formula>0.8</formula>
    </cfRule>
    <cfRule type="cellIs" dxfId="6397" priority="3144" operator="greaterThan">
      <formula>1</formula>
    </cfRule>
  </conditionalFormatting>
  <conditionalFormatting sqref="R41:R42 AG34 AG41:AG42 AG38">
    <cfRule type="cellIs" dxfId="6396" priority="3141" operator="greaterThan">
      <formula>1</formula>
    </cfRule>
    <cfRule type="cellIs" dxfId="6395" priority="3142" operator="lessThan">
      <formula>0.8</formula>
    </cfRule>
  </conditionalFormatting>
  <conditionalFormatting sqref="AF137:AF144">
    <cfRule type="cellIs" dxfId="6394" priority="3139" operator="lessThan">
      <formula>0</formula>
    </cfRule>
  </conditionalFormatting>
  <conditionalFormatting sqref="AH137 S137">
    <cfRule type="cellIs" dxfId="6393" priority="3138" operator="lessThan">
      <formula>0.8</formula>
    </cfRule>
  </conditionalFormatting>
  <conditionalFormatting sqref="AG137:AG144">
    <cfRule type="cellIs" dxfId="6392" priority="3136" operator="greaterThan">
      <formula>1</formula>
    </cfRule>
    <cfRule type="cellIs" dxfId="6391" priority="3137" operator="lessThan">
      <formula>0.8</formula>
    </cfRule>
  </conditionalFormatting>
  <conditionalFormatting sqref="AF55">
    <cfRule type="cellIs" dxfId="6390" priority="3135" operator="lessThan">
      <formula>0</formula>
    </cfRule>
  </conditionalFormatting>
  <conditionalFormatting sqref="AG55">
    <cfRule type="cellIs" dxfId="6389" priority="3133" operator="greaterThan">
      <formula>1</formula>
    </cfRule>
    <cfRule type="cellIs" dxfId="6388" priority="3134" operator="lessThan">
      <formula>0.8</formula>
    </cfRule>
  </conditionalFormatting>
  <conditionalFormatting sqref="AF56 Q56">
    <cfRule type="cellIs" dxfId="6387" priority="3132" operator="lessThan">
      <formula>0</formula>
    </cfRule>
  </conditionalFormatting>
  <conditionalFormatting sqref="R56">
    <cfRule type="cellIs" dxfId="6386" priority="3130" operator="lessThan">
      <formula>0.8</formula>
    </cfRule>
    <cfRule type="cellIs" dxfId="6385" priority="3131" operator="greaterThan">
      <formula>1</formula>
    </cfRule>
  </conditionalFormatting>
  <conditionalFormatting sqref="AG56 R56">
    <cfRule type="cellIs" dxfId="6384" priority="3128" operator="greaterThan">
      <formula>1</formula>
    </cfRule>
    <cfRule type="cellIs" dxfId="6383" priority="3129" operator="lessThan">
      <formula>0.8</formula>
    </cfRule>
  </conditionalFormatting>
  <conditionalFormatting sqref="P56">
    <cfRule type="cellIs" dxfId="6382" priority="3127" operator="greaterThan">
      <formula>0</formula>
    </cfRule>
  </conditionalFormatting>
  <conditionalFormatting sqref="P52:P55">
    <cfRule type="cellIs" dxfId="6381" priority="3121" operator="greaterThan">
      <formula>0</formula>
    </cfRule>
  </conditionalFormatting>
  <conditionalFormatting sqref="Q52:Q55">
    <cfRule type="cellIs" dxfId="6380" priority="3126" operator="lessThan">
      <formula>0</formula>
    </cfRule>
  </conditionalFormatting>
  <conditionalFormatting sqref="R52:R55">
    <cfRule type="cellIs" dxfId="6379" priority="3124" operator="lessThan">
      <formula>0.8</formula>
    </cfRule>
    <cfRule type="cellIs" dxfId="6378" priority="3125" operator="greaterThan">
      <formula>1</formula>
    </cfRule>
  </conditionalFormatting>
  <conditionalFormatting sqref="R52:R55">
    <cfRule type="cellIs" dxfId="6377" priority="3122" operator="greaterThan">
      <formula>1</formula>
    </cfRule>
    <cfRule type="cellIs" dxfId="6376" priority="3123" operator="lessThan">
      <formula>0.8</formula>
    </cfRule>
  </conditionalFormatting>
  <conditionalFormatting sqref="P80:P81">
    <cfRule type="cellIs" dxfId="6375" priority="3115" operator="greaterThan">
      <formula>0</formula>
    </cfRule>
  </conditionalFormatting>
  <conditionalFormatting sqref="AF81 Q80:Q81">
    <cfRule type="cellIs" dxfId="6374" priority="3120" operator="lessThan">
      <formula>0</formula>
    </cfRule>
  </conditionalFormatting>
  <conditionalFormatting sqref="R80:R81">
    <cfRule type="cellIs" dxfId="6373" priority="3118" operator="lessThan">
      <formula>0.8</formula>
    </cfRule>
    <cfRule type="cellIs" dxfId="6372" priority="3119" operator="greaterThan">
      <formula>1</formula>
    </cfRule>
  </conditionalFormatting>
  <conditionalFormatting sqref="AG81 R80:R81">
    <cfRule type="cellIs" dxfId="6371" priority="3116" operator="greaterThan">
      <formula>1</formula>
    </cfRule>
    <cfRule type="cellIs" dxfId="6370" priority="3117" operator="lessThan">
      <formula>0.8</formula>
    </cfRule>
  </conditionalFormatting>
  <conditionalFormatting sqref="AH85">
    <cfRule type="cellIs" dxfId="6369" priority="3114" operator="lessThan">
      <formula>0.8</formula>
    </cfRule>
  </conditionalFormatting>
  <conditionalFormatting sqref="S85">
    <cfRule type="cellIs" dxfId="6368" priority="3113" operator="lessThan">
      <formula>0.8</formula>
    </cfRule>
  </conditionalFormatting>
  <conditionalFormatting sqref="AF106:AF107">
    <cfRule type="cellIs" dxfId="6367" priority="3112" operator="lessThan">
      <formula>0</formula>
    </cfRule>
  </conditionalFormatting>
  <conditionalFormatting sqref="AH100:AH107">
    <cfRule type="cellIs" dxfId="6366" priority="3111" operator="lessThan">
      <formula>0.8</formula>
    </cfRule>
  </conditionalFormatting>
  <conditionalFormatting sqref="AG106:AG107">
    <cfRule type="cellIs" dxfId="6365" priority="3109" operator="greaterThan">
      <formula>1</formula>
    </cfRule>
    <cfRule type="cellIs" dxfId="6364" priority="3110" operator="lessThan">
      <formula>0.8</formula>
    </cfRule>
  </conditionalFormatting>
  <conditionalFormatting sqref="P106:P107">
    <cfRule type="cellIs" dxfId="6363" priority="3103" operator="greaterThan">
      <formula>0</formula>
    </cfRule>
  </conditionalFormatting>
  <conditionalFormatting sqref="Q106:Q107">
    <cfRule type="cellIs" dxfId="6362" priority="3108" operator="lessThan">
      <formula>0</formula>
    </cfRule>
  </conditionalFormatting>
  <conditionalFormatting sqref="R106:R107">
    <cfRule type="cellIs" dxfId="6361" priority="3106" operator="lessThan">
      <formula>0.8</formula>
    </cfRule>
    <cfRule type="cellIs" dxfId="6360" priority="3107" operator="greaterThan">
      <formula>1</formula>
    </cfRule>
  </conditionalFormatting>
  <conditionalFormatting sqref="R106:R107">
    <cfRule type="cellIs" dxfId="6359" priority="3104" operator="greaterThan">
      <formula>1</formula>
    </cfRule>
    <cfRule type="cellIs" dxfId="6358" priority="3105" operator="lessThan">
      <formula>0.8</formula>
    </cfRule>
  </conditionalFormatting>
  <conditionalFormatting sqref="AF109:AF120">
    <cfRule type="cellIs" dxfId="6357" priority="3102" operator="lessThan">
      <formula>0</formula>
    </cfRule>
  </conditionalFormatting>
  <conditionalFormatting sqref="S109">
    <cfRule type="cellIs" dxfId="6356" priority="3101" operator="lessThan">
      <formula>0.8</formula>
    </cfRule>
  </conditionalFormatting>
  <conditionalFormatting sqref="AG109:AG120">
    <cfRule type="cellIs" dxfId="6355" priority="3099" operator="greaterThan">
      <formula>1</formula>
    </cfRule>
    <cfRule type="cellIs" dxfId="6354" priority="3100" operator="lessThan">
      <formula>0.8</formula>
    </cfRule>
  </conditionalFormatting>
  <conditionalFormatting sqref="S150">
    <cfRule type="cellIs" dxfId="6353" priority="3098" operator="lessThan">
      <formula>0.8</formula>
    </cfRule>
  </conditionalFormatting>
  <conditionalFormatting sqref="AH150">
    <cfRule type="cellIs" dxfId="6352" priority="3097" operator="lessThan">
      <formula>0.8</formula>
    </cfRule>
  </conditionalFormatting>
  <conditionalFormatting sqref="S149">
    <cfRule type="cellIs" dxfId="6351" priority="3096" operator="lessThan">
      <formula>0.8</formula>
    </cfRule>
  </conditionalFormatting>
  <conditionalFormatting sqref="Q26:Q29">
    <cfRule type="cellIs" dxfId="6350" priority="3095" operator="lessThan">
      <formula>0</formula>
    </cfRule>
  </conditionalFormatting>
  <conditionalFormatting sqref="S21:S29 AH21:AH29">
    <cfRule type="cellIs" dxfId="6349" priority="3094" operator="lessThan">
      <formula>0.8</formula>
    </cfRule>
  </conditionalFormatting>
  <conditionalFormatting sqref="R26:R29">
    <cfRule type="cellIs" dxfId="6348" priority="3092" operator="lessThan">
      <formula>0.8</formula>
    </cfRule>
    <cfRule type="cellIs" dxfId="6347" priority="3093" operator="greaterThan">
      <formula>1</formula>
    </cfRule>
  </conditionalFormatting>
  <conditionalFormatting sqref="R26:R29">
    <cfRule type="cellIs" dxfId="6346" priority="3090" operator="greaterThan">
      <formula>1</formula>
    </cfRule>
    <cfRule type="cellIs" dxfId="6345" priority="3091" operator="lessThan">
      <formula>0.8</formula>
    </cfRule>
  </conditionalFormatting>
  <conditionalFormatting sqref="P26:P29">
    <cfRule type="cellIs" dxfId="6344" priority="3089" operator="greaterThan">
      <formula>0</formula>
    </cfRule>
  </conditionalFormatting>
  <conditionalFormatting sqref="AH91 S91">
    <cfRule type="cellIs" dxfId="6343" priority="3088" operator="lessThan">
      <formula>0.8</formula>
    </cfRule>
  </conditionalFormatting>
  <conditionalFormatting sqref="P92:P94">
    <cfRule type="cellIs" dxfId="6342" priority="3082" operator="greaterThan">
      <formula>0</formula>
    </cfRule>
  </conditionalFormatting>
  <conditionalFormatting sqref="Q92:Q94">
    <cfRule type="cellIs" dxfId="6341" priority="3087" operator="lessThan">
      <formula>0</formula>
    </cfRule>
  </conditionalFormatting>
  <conditionalFormatting sqref="R92:R94">
    <cfRule type="cellIs" dxfId="6340" priority="3085" operator="lessThan">
      <formula>0.8</formula>
    </cfRule>
    <cfRule type="cellIs" dxfId="6339" priority="3086" operator="greaterThan">
      <formula>1</formula>
    </cfRule>
  </conditionalFormatting>
  <conditionalFormatting sqref="R92:R94">
    <cfRule type="cellIs" dxfId="6338" priority="3083" operator="greaterThan">
      <formula>1</formula>
    </cfRule>
    <cfRule type="cellIs" dxfId="6337" priority="3084" operator="lessThan">
      <formula>0.8</formula>
    </cfRule>
  </conditionalFormatting>
  <conditionalFormatting sqref="AF146 Q145:Q146">
    <cfRule type="cellIs" dxfId="6336" priority="3081" operator="lessThan">
      <formula>0</formula>
    </cfRule>
  </conditionalFormatting>
  <conditionalFormatting sqref="AH139:AH146 S139:S146">
    <cfRule type="cellIs" dxfId="6335" priority="3080" operator="lessThan">
      <formula>0.8</formula>
    </cfRule>
  </conditionalFormatting>
  <conditionalFormatting sqref="R145:R146">
    <cfRule type="cellIs" dxfId="6334" priority="3078" operator="lessThan">
      <formula>0.8</formula>
    </cfRule>
    <cfRule type="cellIs" dxfId="6333" priority="3079" operator="greaterThan">
      <formula>1</formula>
    </cfRule>
  </conditionalFormatting>
  <conditionalFormatting sqref="AG146 R145:R146">
    <cfRule type="cellIs" dxfId="6332" priority="3076" operator="greaterThan">
      <formula>1</formula>
    </cfRule>
    <cfRule type="cellIs" dxfId="6331" priority="3077" operator="lessThan">
      <formula>0.8</formula>
    </cfRule>
  </conditionalFormatting>
  <conditionalFormatting sqref="P145:P146">
    <cfRule type="cellIs" dxfId="6330" priority="3075" operator="greaterThan">
      <formula>0</formula>
    </cfRule>
  </conditionalFormatting>
  <conditionalFormatting sqref="Q119:Q120">
    <cfRule type="cellIs" dxfId="6329" priority="3074" operator="lessThan">
      <formula>0</formula>
    </cfRule>
  </conditionalFormatting>
  <conditionalFormatting sqref="R119:R120">
    <cfRule type="cellIs" dxfId="6328" priority="3072" operator="lessThan">
      <formula>0.8</formula>
    </cfRule>
    <cfRule type="cellIs" dxfId="6327" priority="3073" operator="greaterThan">
      <formula>1</formula>
    </cfRule>
  </conditionalFormatting>
  <conditionalFormatting sqref="R119:R120">
    <cfRule type="cellIs" dxfId="6326" priority="3070" operator="greaterThan">
      <formula>1</formula>
    </cfRule>
    <cfRule type="cellIs" dxfId="6325" priority="3071" operator="lessThan">
      <formula>0.8</formula>
    </cfRule>
  </conditionalFormatting>
  <conditionalFormatting sqref="P119:P120">
    <cfRule type="cellIs" dxfId="6324" priority="3069" operator="greaterThan">
      <formula>0</formula>
    </cfRule>
  </conditionalFormatting>
  <conditionalFormatting sqref="S44:S56">
    <cfRule type="cellIs" dxfId="6323" priority="3068" operator="lessThan">
      <formula>0.8</formula>
    </cfRule>
  </conditionalFormatting>
  <conditionalFormatting sqref="S108">
    <cfRule type="cellIs" dxfId="6322" priority="3067" operator="lessThan">
      <formula>0.8</formula>
    </cfRule>
  </conditionalFormatting>
  <conditionalFormatting sqref="S96">
    <cfRule type="cellIs" dxfId="6321" priority="3066" operator="lessThan">
      <formula>0.8</formula>
    </cfRule>
  </conditionalFormatting>
  <conditionalFormatting sqref="S97">
    <cfRule type="cellIs" dxfId="6320" priority="3065" operator="lessThan">
      <formula>0.8</formula>
    </cfRule>
  </conditionalFormatting>
  <conditionalFormatting sqref="S103">
    <cfRule type="cellIs" dxfId="6319" priority="3064" operator="lessThan">
      <formula>0.8</formula>
    </cfRule>
  </conditionalFormatting>
  <conditionalFormatting sqref="S99">
    <cfRule type="cellIs" dxfId="6318" priority="3063" operator="lessThan">
      <formula>0.8</formula>
    </cfRule>
  </conditionalFormatting>
  <conditionalFormatting sqref="S101">
    <cfRule type="cellIs" dxfId="6317" priority="3060" operator="lessThan">
      <formula>0.8</formula>
    </cfRule>
  </conditionalFormatting>
  <conditionalFormatting sqref="S100">
    <cfRule type="cellIs" dxfId="6316" priority="3062" operator="lessThan">
      <formula>0.8</formula>
    </cfRule>
  </conditionalFormatting>
  <conditionalFormatting sqref="S102">
    <cfRule type="cellIs" dxfId="6315" priority="3061" operator="lessThan">
      <formula>0.8</formula>
    </cfRule>
  </conditionalFormatting>
  <conditionalFormatting sqref="S98">
    <cfRule type="cellIs" dxfId="6314" priority="3059" operator="lessThan">
      <formula>0.8</formula>
    </cfRule>
  </conditionalFormatting>
  <conditionalFormatting sqref="S104">
    <cfRule type="cellIs" dxfId="6313" priority="3058" operator="lessThan">
      <formula>0.8</formula>
    </cfRule>
  </conditionalFormatting>
  <conditionalFormatting sqref="P118">
    <cfRule type="cellIs" dxfId="6312" priority="3052" operator="greaterThan">
      <formula>0</formula>
    </cfRule>
  </conditionalFormatting>
  <conditionalFormatting sqref="Q118">
    <cfRule type="cellIs" dxfId="6311" priority="3057" operator="lessThan">
      <formula>0</formula>
    </cfRule>
  </conditionalFormatting>
  <conditionalFormatting sqref="R118">
    <cfRule type="cellIs" dxfId="6310" priority="3055" operator="lessThan">
      <formula>0.8</formula>
    </cfRule>
    <cfRule type="cellIs" dxfId="6309" priority="3056" operator="greaterThan">
      <formula>1</formula>
    </cfRule>
  </conditionalFormatting>
  <conditionalFormatting sqref="R118">
    <cfRule type="cellIs" dxfId="6308" priority="3053" operator="greaterThan">
      <formula>1</formula>
    </cfRule>
    <cfRule type="cellIs" dxfId="6307" priority="3054" operator="lessThan">
      <formula>0.8</formula>
    </cfRule>
  </conditionalFormatting>
  <conditionalFormatting sqref="Q162:Q166">
    <cfRule type="cellIs" dxfId="6306" priority="3051" operator="lessThan">
      <formula>0</formula>
    </cfRule>
  </conditionalFormatting>
  <conditionalFormatting sqref="R162:R166">
    <cfRule type="cellIs" dxfId="6305" priority="3049" operator="lessThan">
      <formula>0.8</formula>
    </cfRule>
    <cfRule type="cellIs" dxfId="6304" priority="3050" operator="greaterThan">
      <formula>1</formula>
    </cfRule>
  </conditionalFormatting>
  <conditionalFormatting sqref="R162:R166">
    <cfRule type="cellIs" dxfId="6303" priority="3047" operator="greaterThan">
      <formula>1</formula>
    </cfRule>
    <cfRule type="cellIs" dxfId="6302" priority="3048" operator="lessThan">
      <formula>0.8</formula>
    </cfRule>
  </conditionalFormatting>
  <conditionalFormatting sqref="P162:P166">
    <cfRule type="cellIs" dxfId="6301" priority="3046" operator="greaterThan">
      <formula>0</formula>
    </cfRule>
  </conditionalFormatting>
  <conditionalFormatting sqref="P167:P168">
    <cfRule type="cellIs" dxfId="6300" priority="3040" operator="greaterThan">
      <formula>0</formula>
    </cfRule>
  </conditionalFormatting>
  <conditionalFormatting sqref="R167:R168">
    <cfRule type="cellIs" dxfId="6299" priority="3043" operator="lessThan">
      <formula>0.8</formula>
    </cfRule>
    <cfRule type="cellIs" dxfId="6298" priority="3044" operator="greaterThan">
      <formula>1</formula>
    </cfRule>
  </conditionalFormatting>
  <conditionalFormatting sqref="R167:R168">
    <cfRule type="cellIs" dxfId="6297" priority="3041" operator="greaterThan">
      <formula>1</formula>
    </cfRule>
    <cfRule type="cellIs" dxfId="6296" priority="3042" operator="lessThan">
      <formula>0.8</formula>
    </cfRule>
  </conditionalFormatting>
  <conditionalFormatting sqref="Q167:Q168">
    <cfRule type="cellIs" dxfId="6295" priority="3045" operator="lessThan">
      <formula>0</formula>
    </cfRule>
  </conditionalFormatting>
  <conditionalFormatting sqref="Q83">
    <cfRule type="cellIs" dxfId="6294" priority="3039" operator="lessThan">
      <formula>0</formula>
    </cfRule>
  </conditionalFormatting>
  <conditionalFormatting sqref="R83">
    <cfRule type="cellIs" dxfId="6293" priority="3037" operator="lessThan">
      <formula>0.8</formula>
    </cfRule>
    <cfRule type="cellIs" dxfId="6292" priority="3038" operator="greaterThan">
      <formula>1</formula>
    </cfRule>
  </conditionalFormatting>
  <conditionalFormatting sqref="R83">
    <cfRule type="cellIs" dxfId="6291" priority="3035" operator="greaterThan">
      <formula>1</formula>
    </cfRule>
    <cfRule type="cellIs" dxfId="6290" priority="3036" operator="lessThan">
      <formula>0.8</formula>
    </cfRule>
  </conditionalFormatting>
  <conditionalFormatting sqref="P83">
    <cfRule type="cellIs" dxfId="6289" priority="3034" operator="greaterThan">
      <formula>0</formula>
    </cfRule>
  </conditionalFormatting>
  <conditionalFormatting sqref="Q83">
    <cfRule type="cellIs" dxfId="6288" priority="3033" operator="lessThan">
      <formula>0</formula>
    </cfRule>
  </conditionalFormatting>
  <conditionalFormatting sqref="R83">
    <cfRule type="cellIs" dxfId="6287" priority="3031" operator="lessThan">
      <formula>0.8</formula>
    </cfRule>
    <cfRule type="cellIs" dxfId="6286" priority="3032" operator="greaterThan">
      <formula>1</formula>
    </cfRule>
  </conditionalFormatting>
  <conditionalFormatting sqref="R83">
    <cfRule type="cellIs" dxfId="6285" priority="3029" operator="greaterThan">
      <formula>1</formula>
    </cfRule>
    <cfRule type="cellIs" dxfId="6284" priority="3030" operator="lessThan">
      <formula>0.8</formula>
    </cfRule>
  </conditionalFormatting>
  <conditionalFormatting sqref="P83">
    <cfRule type="cellIs" dxfId="6283" priority="3028" operator="greaterThan">
      <formula>0</formula>
    </cfRule>
  </conditionalFormatting>
  <conditionalFormatting sqref="Q83">
    <cfRule type="cellIs" dxfId="6282" priority="3027" operator="lessThan">
      <formula>0</formula>
    </cfRule>
  </conditionalFormatting>
  <conditionalFormatting sqref="R83">
    <cfRule type="cellIs" dxfId="6281" priority="3025" operator="lessThan">
      <formula>0.8</formula>
    </cfRule>
    <cfRule type="cellIs" dxfId="6280" priority="3026" operator="greaterThan">
      <formula>1</formula>
    </cfRule>
  </conditionalFormatting>
  <conditionalFormatting sqref="R83">
    <cfRule type="cellIs" dxfId="6279" priority="3023" operator="greaterThan">
      <formula>1</formula>
    </cfRule>
    <cfRule type="cellIs" dxfId="6278" priority="3024" operator="lessThan">
      <formula>0.8</formula>
    </cfRule>
  </conditionalFormatting>
  <conditionalFormatting sqref="P83">
    <cfRule type="cellIs" dxfId="6277" priority="3022" operator="greaterThan">
      <formula>0</formula>
    </cfRule>
  </conditionalFormatting>
  <conditionalFormatting sqref="Q83">
    <cfRule type="cellIs" dxfId="6276" priority="3021" operator="lessThan">
      <formula>0</formula>
    </cfRule>
  </conditionalFormatting>
  <conditionalFormatting sqref="R83">
    <cfRule type="cellIs" dxfId="6275" priority="3019" operator="lessThan">
      <formula>0.8</formula>
    </cfRule>
    <cfRule type="cellIs" dxfId="6274" priority="3020" operator="greaterThan">
      <formula>1</formula>
    </cfRule>
  </conditionalFormatting>
  <conditionalFormatting sqref="R83">
    <cfRule type="cellIs" dxfId="6273" priority="3017" operator="greaterThan">
      <formula>1</formula>
    </cfRule>
    <cfRule type="cellIs" dxfId="6272" priority="3018" operator="lessThan">
      <formula>0.8</formula>
    </cfRule>
  </conditionalFormatting>
  <conditionalFormatting sqref="P83">
    <cfRule type="cellIs" dxfId="6271" priority="3016" operator="greaterThan">
      <formula>0</formula>
    </cfRule>
  </conditionalFormatting>
  <conditionalFormatting sqref="P83">
    <cfRule type="cellIs" dxfId="6270" priority="3010" operator="greaterThan">
      <formula>0</formula>
    </cfRule>
  </conditionalFormatting>
  <conditionalFormatting sqref="Q83">
    <cfRule type="cellIs" dxfId="6269" priority="3015" operator="lessThan">
      <formula>0</formula>
    </cfRule>
  </conditionalFormatting>
  <conditionalFormatting sqref="R83">
    <cfRule type="cellIs" dxfId="6268" priority="3013" operator="lessThan">
      <formula>0.8</formula>
    </cfRule>
    <cfRule type="cellIs" dxfId="6267" priority="3014" operator="greaterThan">
      <formula>1</formula>
    </cfRule>
  </conditionalFormatting>
  <conditionalFormatting sqref="R83">
    <cfRule type="cellIs" dxfId="6266" priority="3011" operator="greaterThan">
      <formula>1</formula>
    </cfRule>
    <cfRule type="cellIs" dxfId="6265" priority="3012" operator="lessThan">
      <formula>0.8</formula>
    </cfRule>
  </conditionalFormatting>
  <conditionalFormatting sqref="P83">
    <cfRule type="cellIs" dxfId="6264" priority="3004" operator="greaterThan">
      <formula>0</formula>
    </cfRule>
  </conditionalFormatting>
  <conditionalFormatting sqref="Q83">
    <cfRule type="cellIs" dxfId="6263" priority="3009" operator="lessThan">
      <formula>0</formula>
    </cfRule>
  </conditionalFormatting>
  <conditionalFormatting sqref="R83">
    <cfRule type="cellIs" dxfId="6262" priority="3007" operator="lessThan">
      <formula>0.8</formula>
    </cfRule>
    <cfRule type="cellIs" dxfId="6261" priority="3008" operator="greaterThan">
      <formula>1</formula>
    </cfRule>
  </conditionalFormatting>
  <conditionalFormatting sqref="R83">
    <cfRule type="cellIs" dxfId="6260" priority="3005" operator="greaterThan">
      <formula>1</formula>
    </cfRule>
    <cfRule type="cellIs" dxfId="6259" priority="3006" operator="lessThan">
      <formula>0.8</formula>
    </cfRule>
  </conditionalFormatting>
  <conditionalFormatting sqref="R83">
    <cfRule type="cellIs" dxfId="6258" priority="3001" operator="lessThan">
      <formula>0.8</formula>
    </cfRule>
    <cfRule type="cellIs" dxfId="6257" priority="3002" operator="greaterThan">
      <formula>1</formula>
    </cfRule>
  </conditionalFormatting>
  <conditionalFormatting sqref="R83">
    <cfRule type="cellIs" dxfId="6256" priority="2999" operator="greaterThan">
      <formula>1</formula>
    </cfRule>
    <cfRule type="cellIs" dxfId="6255" priority="3000" operator="lessThan">
      <formula>0.8</formula>
    </cfRule>
  </conditionalFormatting>
  <conditionalFormatting sqref="P83">
    <cfRule type="cellIs" dxfId="6254" priority="2998" operator="greaterThan">
      <formula>0</formula>
    </cfRule>
  </conditionalFormatting>
  <conditionalFormatting sqref="Q83">
    <cfRule type="cellIs" dxfId="6253" priority="3003" operator="lessThan">
      <formula>0</formula>
    </cfRule>
  </conditionalFormatting>
  <conditionalFormatting sqref="Q83">
    <cfRule type="cellIs" dxfId="6252" priority="2997" operator="lessThan">
      <formula>0</formula>
    </cfRule>
  </conditionalFormatting>
  <conditionalFormatting sqref="R83">
    <cfRule type="cellIs" dxfId="6251" priority="2995" operator="lessThan">
      <formula>0.8</formula>
    </cfRule>
    <cfRule type="cellIs" dxfId="6250" priority="2996" operator="greaterThan">
      <formula>1</formula>
    </cfRule>
  </conditionalFormatting>
  <conditionalFormatting sqref="R83">
    <cfRule type="cellIs" dxfId="6249" priority="2993" operator="greaterThan">
      <formula>1</formula>
    </cfRule>
    <cfRule type="cellIs" dxfId="6248" priority="2994" operator="lessThan">
      <formula>0.8</formula>
    </cfRule>
  </conditionalFormatting>
  <conditionalFormatting sqref="P83">
    <cfRule type="cellIs" dxfId="6247" priority="2992" operator="greaterThan">
      <formula>0</formula>
    </cfRule>
  </conditionalFormatting>
  <conditionalFormatting sqref="P83">
    <cfRule type="cellIs" dxfId="6246" priority="2986" operator="greaterThan">
      <formula>0</formula>
    </cfRule>
  </conditionalFormatting>
  <conditionalFormatting sqref="Q83">
    <cfRule type="cellIs" dxfId="6245" priority="2991" operator="lessThan">
      <formula>0</formula>
    </cfRule>
  </conditionalFormatting>
  <conditionalFormatting sqref="R83">
    <cfRule type="cellIs" dxfId="6244" priority="2989" operator="lessThan">
      <formula>0.8</formula>
    </cfRule>
    <cfRule type="cellIs" dxfId="6243" priority="2990" operator="greaterThan">
      <formula>1</formula>
    </cfRule>
  </conditionalFormatting>
  <conditionalFormatting sqref="R83">
    <cfRule type="cellIs" dxfId="6242" priority="2987" operator="greaterThan">
      <formula>1</formula>
    </cfRule>
    <cfRule type="cellIs" dxfId="6241" priority="2988" operator="lessThan">
      <formula>0.8</formula>
    </cfRule>
  </conditionalFormatting>
  <conditionalFormatting sqref="P83">
    <cfRule type="cellIs" dxfId="6240" priority="2980" operator="greaterThan">
      <formula>0</formula>
    </cfRule>
  </conditionalFormatting>
  <conditionalFormatting sqref="Q83">
    <cfRule type="cellIs" dxfId="6239" priority="2985" operator="lessThan">
      <formula>0</formula>
    </cfRule>
  </conditionalFormatting>
  <conditionalFormatting sqref="R83">
    <cfRule type="cellIs" dxfId="6238" priority="2983" operator="lessThan">
      <formula>0.8</formula>
    </cfRule>
    <cfRule type="cellIs" dxfId="6237" priority="2984" operator="greaterThan">
      <formula>1</formula>
    </cfRule>
  </conditionalFormatting>
  <conditionalFormatting sqref="R83">
    <cfRule type="cellIs" dxfId="6236" priority="2981" operator="greaterThan">
      <formula>1</formula>
    </cfRule>
    <cfRule type="cellIs" dxfId="6235" priority="2982" operator="lessThan">
      <formula>0.8</formula>
    </cfRule>
  </conditionalFormatting>
  <conditionalFormatting sqref="R83">
    <cfRule type="cellIs" dxfId="6234" priority="2977" operator="lessThan">
      <formula>0.8</formula>
    </cfRule>
    <cfRule type="cellIs" dxfId="6233" priority="2978" operator="greaterThan">
      <formula>1</formula>
    </cfRule>
  </conditionalFormatting>
  <conditionalFormatting sqref="R83">
    <cfRule type="cellIs" dxfId="6232" priority="2975" operator="greaterThan">
      <formula>1</formula>
    </cfRule>
    <cfRule type="cellIs" dxfId="6231" priority="2976" operator="lessThan">
      <formula>0.8</formula>
    </cfRule>
  </conditionalFormatting>
  <conditionalFormatting sqref="P83">
    <cfRule type="cellIs" dxfId="6230" priority="2974" operator="greaterThan">
      <formula>0</formula>
    </cfRule>
  </conditionalFormatting>
  <conditionalFormatting sqref="Q83">
    <cfRule type="cellIs" dxfId="6229" priority="2979" operator="lessThan">
      <formula>0</formula>
    </cfRule>
  </conditionalFormatting>
  <conditionalFormatting sqref="P83">
    <cfRule type="cellIs" dxfId="6228" priority="2968" operator="greaterThan">
      <formula>0</formula>
    </cfRule>
  </conditionalFormatting>
  <conditionalFormatting sqref="Q83">
    <cfRule type="cellIs" dxfId="6227" priority="2973" operator="lessThan">
      <formula>0</formula>
    </cfRule>
  </conditionalFormatting>
  <conditionalFormatting sqref="R83">
    <cfRule type="cellIs" dxfId="6226" priority="2971" operator="lessThan">
      <formula>0.8</formula>
    </cfRule>
    <cfRule type="cellIs" dxfId="6225" priority="2972" operator="greaterThan">
      <formula>1</formula>
    </cfRule>
  </conditionalFormatting>
  <conditionalFormatting sqref="R83">
    <cfRule type="cellIs" dxfId="6224" priority="2969" operator="greaterThan">
      <formula>1</formula>
    </cfRule>
    <cfRule type="cellIs" dxfId="6223" priority="2970" operator="lessThan">
      <formula>0.8</formula>
    </cfRule>
  </conditionalFormatting>
  <conditionalFormatting sqref="R83">
    <cfRule type="cellIs" dxfId="6222" priority="2965" operator="lessThan">
      <formula>0.8</formula>
    </cfRule>
    <cfRule type="cellIs" dxfId="6221" priority="2966" operator="greaterThan">
      <formula>1</formula>
    </cfRule>
  </conditionalFormatting>
  <conditionalFormatting sqref="R83">
    <cfRule type="cellIs" dxfId="6220" priority="2963" operator="greaterThan">
      <formula>1</formula>
    </cfRule>
    <cfRule type="cellIs" dxfId="6219" priority="2964" operator="lessThan">
      <formula>0.8</formula>
    </cfRule>
  </conditionalFormatting>
  <conditionalFormatting sqref="P83">
    <cfRule type="cellIs" dxfId="6218" priority="2962" operator="greaterThan">
      <formula>0</formula>
    </cfRule>
  </conditionalFormatting>
  <conditionalFormatting sqref="Q83">
    <cfRule type="cellIs" dxfId="6217" priority="2967" operator="lessThan">
      <formula>0</formula>
    </cfRule>
  </conditionalFormatting>
  <conditionalFormatting sqref="R83">
    <cfRule type="cellIs" dxfId="6216" priority="2959" operator="lessThan">
      <formula>0.8</formula>
    </cfRule>
    <cfRule type="cellIs" dxfId="6215" priority="2960" operator="greaterThan">
      <formula>1</formula>
    </cfRule>
  </conditionalFormatting>
  <conditionalFormatting sqref="R83">
    <cfRule type="cellIs" dxfId="6214" priority="2957" operator="greaterThan">
      <formula>1</formula>
    </cfRule>
    <cfRule type="cellIs" dxfId="6213" priority="2958" operator="lessThan">
      <formula>0.8</formula>
    </cfRule>
  </conditionalFormatting>
  <conditionalFormatting sqref="P83">
    <cfRule type="cellIs" dxfId="6212" priority="2956" operator="greaterThan">
      <formula>0</formula>
    </cfRule>
  </conditionalFormatting>
  <conditionalFormatting sqref="Q83">
    <cfRule type="cellIs" dxfId="6211" priority="2961" operator="lessThan">
      <formula>0</formula>
    </cfRule>
  </conditionalFormatting>
  <conditionalFormatting sqref="Q83">
    <cfRule type="cellIs" dxfId="6210" priority="2955" operator="lessThan">
      <formula>0</formula>
    </cfRule>
  </conditionalFormatting>
  <conditionalFormatting sqref="R83">
    <cfRule type="cellIs" dxfId="6209" priority="2953" operator="lessThan">
      <formula>0.8</formula>
    </cfRule>
    <cfRule type="cellIs" dxfId="6208" priority="2954" operator="greaterThan">
      <formula>1</formula>
    </cfRule>
  </conditionalFormatting>
  <conditionalFormatting sqref="R83">
    <cfRule type="cellIs" dxfId="6207" priority="2951" operator="greaterThan">
      <formula>1</formula>
    </cfRule>
    <cfRule type="cellIs" dxfId="6206" priority="2952" operator="lessThan">
      <formula>0.8</formula>
    </cfRule>
  </conditionalFormatting>
  <conditionalFormatting sqref="P83">
    <cfRule type="cellIs" dxfId="6205" priority="2950" operator="greaterThan">
      <formula>0</formula>
    </cfRule>
  </conditionalFormatting>
  <conditionalFormatting sqref="Q83">
    <cfRule type="cellIs" dxfId="6204" priority="2944" operator="lessThan">
      <formula>0</formula>
    </cfRule>
  </conditionalFormatting>
  <conditionalFormatting sqref="R83">
    <cfRule type="cellIs" dxfId="6203" priority="2948" operator="lessThan">
      <formula>0.8</formula>
    </cfRule>
    <cfRule type="cellIs" dxfId="6202" priority="2949" operator="greaterThan">
      <formula>1</formula>
    </cfRule>
  </conditionalFormatting>
  <conditionalFormatting sqref="R83">
    <cfRule type="cellIs" dxfId="6201" priority="2946" operator="greaterThan">
      <formula>1</formula>
    </cfRule>
    <cfRule type="cellIs" dxfId="6200" priority="2947" operator="lessThan">
      <formula>0.8</formula>
    </cfRule>
  </conditionalFormatting>
  <conditionalFormatting sqref="P83">
    <cfRule type="cellIs" dxfId="6199" priority="2945" operator="greaterThan">
      <formula>0</formula>
    </cfRule>
  </conditionalFormatting>
  <conditionalFormatting sqref="Q83">
    <cfRule type="cellIs" dxfId="6198" priority="2943" operator="lessThan">
      <formula>0</formula>
    </cfRule>
  </conditionalFormatting>
  <conditionalFormatting sqref="R83">
    <cfRule type="cellIs" dxfId="6197" priority="2941" operator="lessThan">
      <formula>0.8</formula>
    </cfRule>
    <cfRule type="cellIs" dxfId="6196" priority="2942" operator="greaterThan">
      <formula>1</formula>
    </cfRule>
  </conditionalFormatting>
  <conditionalFormatting sqref="R83">
    <cfRule type="cellIs" dxfId="6195" priority="2939" operator="greaterThan">
      <formula>1</formula>
    </cfRule>
    <cfRule type="cellIs" dxfId="6194" priority="2940" operator="lessThan">
      <formula>0.8</formula>
    </cfRule>
  </conditionalFormatting>
  <conditionalFormatting sqref="P83">
    <cfRule type="cellIs" dxfId="6193" priority="2938" operator="greaterThan">
      <formula>0</formula>
    </cfRule>
  </conditionalFormatting>
  <conditionalFormatting sqref="Q83">
    <cfRule type="cellIs" dxfId="6192" priority="2937" operator="lessThan">
      <formula>0</formula>
    </cfRule>
  </conditionalFormatting>
  <conditionalFormatting sqref="R83">
    <cfRule type="cellIs" dxfId="6191" priority="2935" operator="lessThan">
      <formula>0.8</formula>
    </cfRule>
    <cfRule type="cellIs" dxfId="6190" priority="2936" operator="greaterThan">
      <formula>1</formula>
    </cfRule>
  </conditionalFormatting>
  <conditionalFormatting sqref="R83">
    <cfRule type="cellIs" dxfId="6189" priority="2933" operator="greaterThan">
      <formula>1</formula>
    </cfRule>
    <cfRule type="cellIs" dxfId="6188" priority="2934" operator="lessThan">
      <formula>0.8</formula>
    </cfRule>
  </conditionalFormatting>
  <conditionalFormatting sqref="P83">
    <cfRule type="cellIs" dxfId="6187" priority="2932" operator="greaterThan">
      <formula>0</formula>
    </cfRule>
  </conditionalFormatting>
  <conditionalFormatting sqref="Q83">
    <cfRule type="cellIs" dxfId="6186" priority="2931" operator="lessThan">
      <formula>0</formula>
    </cfRule>
  </conditionalFormatting>
  <conditionalFormatting sqref="R83">
    <cfRule type="cellIs" dxfId="6185" priority="2929" operator="lessThan">
      <formula>0.8</formula>
    </cfRule>
    <cfRule type="cellIs" dxfId="6184" priority="2930" operator="greaterThan">
      <formula>1</formula>
    </cfRule>
  </conditionalFormatting>
  <conditionalFormatting sqref="R83">
    <cfRule type="cellIs" dxfId="6183" priority="2927" operator="greaterThan">
      <formula>1</formula>
    </cfRule>
    <cfRule type="cellIs" dxfId="6182" priority="2928" operator="lessThan">
      <formula>0.8</formula>
    </cfRule>
  </conditionalFormatting>
  <conditionalFormatting sqref="P83">
    <cfRule type="cellIs" dxfId="6181" priority="2926" operator="greaterThan">
      <formula>0</formula>
    </cfRule>
  </conditionalFormatting>
  <conditionalFormatting sqref="Q83">
    <cfRule type="cellIs" dxfId="6180" priority="2925" operator="lessThan">
      <formula>0</formula>
    </cfRule>
  </conditionalFormatting>
  <conditionalFormatting sqref="R83">
    <cfRule type="cellIs" dxfId="6179" priority="2923" operator="lessThan">
      <formula>0.8</formula>
    </cfRule>
    <cfRule type="cellIs" dxfId="6178" priority="2924" operator="greaterThan">
      <formula>1</formula>
    </cfRule>
  </conditionalFormatting>
  <conditionalFormatting sqref="R83">
    <cfRule type="cellIs" dxfId="6177" priority="2921" operator="greaterThan">
      <formula>1</formula>
    </cfRule>
    <cfRule type="cellIs" dxfId="6176" priority="2922" operator="lessThan">
      <formula>0.8</formula>
    </cfRule>
  </conditionalFormatting>
  <conditionalFormatting sqref="P83">
    <cfRule type="cellIs" dxfId="6175" priority="2920" operator="greaterThan">
      <formula>0</formula>
    </cfRule>
  </conditionalFormatting>
  <conditionalFormatting sqref="Q83">
    <cfRule type="cellIs" dxfId="6174" priority="2919" operator="lessThan">
      <formula>0</formula>
    </cfRule>
  </conditionalFormatting>
  <conditionalFormatting sqref="R83">
    <cfRule type="cellIs" dxfId="6173" priority="2917" operator="lessThan">
      <formula>0.8</formula>
    </cfRule>
    <cfRule type="cellIs" dxfId="6172" priority="2918" operator="greaterThan">
      <formula>1</formula>
    </cfRule>
  </conditionalFormatting>
  <conditionalFormatting sqref="R83">
    <cfRule type="cellIs" dxfId="6171" priority="2915" operator="greaterThan">
      <formula>1</formula>
    </cfRule>
    <cfRule type="cellIs" dxfId="6170" priority="2916" operator="lessThan">
      <formula>0.8</formula>
    </cfRule>
  </conditionalFormatting>
  <conditionalFormatting sqref="P83">
    <cfRule type="cellIs" dxfId="6169" priority="2914" operator="greaterThan">
      <formula>0</formula>
    </cfRule>
  </conditionalFormatting>
  <conditionalFormatting sqref="P83">
    <cfRule type="cellIs" dxfId="6168" priority="2908" operator="greaterThan">
      <formula>0</formula>
    </cfRule>
  </conditionalFormatting>
  <conditionalFormatting sqref="Q83">
    <cfRule type="cellIs" dxfId="6167" priority="2913" operator="lessThan">
      <formula>0</formula>
    </cfRule>
  </conditionalFormatting>
  <conditionalFormatting sqref="R83">
    <cfRule type="cellIs" dxfId="6166" priority="2911" operator="lessThan">
      <formula>0.8</formula>
    </cfRule>
    <cfRule type="cellIs" dxfId="6165" priority="2912" operator="greaterThan">
      <formula>1</formula>
    </cfRule>
  </conditionalFormatting>
  <conditionalFormatting sqref="R83">
    <cfRule type="cellIs" dxfId="6164" priority="2909" operator="greaterThan">
      <formula>1</formula>
    </cfRule>
    <cfRule type="cellIs" dxfId="6163" priority="2910" operator="lessThan">
      <formula>0.8</formula>
    </cfRule>
  </conditionalFormatting>
  <conditionalFormatting sqref="P83">
    <cfRule type="cellIs" dxfId="6162" priority="2902" operator="greaterThan">
      <formula>0</formula>
    </cfRule>
  </conditionalFormatting>
  <conditionalFormatting sqref="Q83">
    <cfRule type="cellIs" dxfId="6161" priority="2907" operator="lessThan">
      <formula>0</formula>
    </cfRule>
  </conditionalFormatting>
  <conditionalFormatting sqref="R83">
    <cfRule type="cellIs" dxfId="6160" priority="2905" operator="lessThan">
      <formula>0.8</formula>
    </cfRule>
    <cfRule type="cellIs" dxfId="6159" priority="2906" operator="greaterThan">
      <formula>1</formula>
    </cfRule>
  </conditionalFormatting>
  <conditionalFormatting sqref="R83">
    <cfRule type="cellIs" dxfId="6158" priority="2903" operator="greaterThan">
      <formula>1</formula>
    </cfRule>
    <cfRule type="cellIs" dxfId="6157" priority="2904" operator="lessThan">
      <formula>0.8</formula>
    </cfRule>
  </conditionalFormatting>
  <conditionalFormatting sqref="R83">
    <cfRule type="cellIs" dxfId="6156" priority="2899" operator="lessThan">
      <formula>0.8</formula>
    </cfRule>
    <cfRule type="cellIs" dxfId="6155" priority="2900" operator="greaterThan">
      <formula>1</formula>
    </cfRule>
  </conditionalFormatting>
  <conditionalFormatting sqref="R83">
    <cfRule type="cellIs" dxfId="6154" priority="2897" operator="greaterThan">
      <formula>1</formula>
    </cfRule>
    <cfRule type="cellIs" dxfId="6153" priority="2898" operator="lessThan">
      <formula>0.8</formula>
    </cfRule>
  </conditionalFormatting>
  <conditionalFormatting sqref="P83">
    <cfRule type="cellIs" dxfId="6152" priority="2896" operator="greaterThan">
      <formula>0</formula>
    </cfRule>
  </conditionalFormatting>
  <conditionalFormatting sqref="Q83">
    <cfRule type="cellIs" dxfId="6151" priority="2901" operator="lessThan">
      <formula>0</formula>
    </cfRule>
  </conditionalFormatting>
  <conditionalFormatting sqref="Q83">
    <cfRule type="cellIs" dxfId="6150" priority="2895" operator="lessThan">
      <formula>0</formula>
    </cfRule>
  </conditionalFormatting>
  <conditionalFormatting sqref="R83">
    <cfRule type="cellIs" dxfId="6149" priority="2893" operator="lessThan">
      <formula>0.8</formula>
    </cfRule>
    <cfRule type="cellIs" dxfId="6148" priority="2894" operator="greaterThan">
      <formula>1</formula>
    </cfRule>
  </conditionalFormatting>
  <conditionalFormatting sqref="R83">
    <cfRule type="cellIs" dxfId="6147" priority="2891" operator="greaterThan">
      <formula>1</formula>
    </cfRule>
    <cfRule type="cellIs" dxfId="6146" priority="2892" operator="lessThan">
      <formula>0.8</formula>
    </cfRule>
  </conditionalFormatting>
  <conditionalFormatting sqref="P83">
    <cfRule type="cellIs" dxfId="6145" priority="2890" operator="greaterThan">
      <formula>0</formula>
    </cfRule>
  </conditionalFormatting>
  <conditionalFormatting sqref="Q83">
    <cfRule type="cellIs" dxfId="6144" priority="2889" operator="lessThan">
      <formula>0</formula>
    </cfRule>
  </conditionalFormatting>
  <conditionalFormatting sqref="R83">
    <cfRule type="cellIs" dxfId="6143" priority="2887" operator="lessThan">
      <formula>0.8</formula>
    </cfRule>
    <cfRule type="cellIs" dxfId="6142" priority="2888" operator="greaterThan">
      <formula>1</formula>
    </cfRule>
  </conditionalFormatting>
  <conditionalFormatting sqref="R83">
    <cfRule type="cellIs" dxfId="6141" priority="2885" operator="greaterThan">
      <formula>1</formula>
    </cfRule>
    <cfRule type="cellIs" dxfId="6140" priority="2886" operator="lessThan">
      <formula>0.8</formula>
    </cfRule>
  </conditionalFormatting>
  <conditionalFormatting sqref="P83">
    <cfRule type="cellIs" dxfId="6139" priority="2884" operator="greaterThan">
      <formula>0</formula>
    </cfRule>
  </conditionalFormatting>
  <conditionalFormatting sqref="Q83">
    <cfRule type="cellIs" dxfId="6138" priority="2883" operator="lessThan">
      <formula>0</formula>
    </cfRule>
  </conditionalFormatting>
  <conditionalFormatting sqref="R83">
    <cfRule type="cellIs" dxfId="6137" priority="2881" operator="lessThan">
      <formula>0.8</formula>
    </cfRule>
    <cfRule type="cellIs" dxfId="6136" priority="2882" operator="greaterThan">
      <formula>1</formula>
    </cfRule>
  </conditionalFormatting>
  <conditionalFormatting sqref="R83">
    <cfRule type="cellIs" dxfId="6135" priority="2879" operator="greaterThan">
      <formula>1</formula>
    </cfRule>
    <cfRule type="cellIs" dxfId="6134" priority="2880" operator="lessThan">
      <formula>0.8</formula>
    </cfRule>
  </conditionalFormatting>
  <conditionalFormatting sqref="P83">
    <cfRule type="cellIs" dxfId="6133" priority="2878" operator="greaterThan">
      <formula>0</formula>
    </cfRule>
  </conditionalFormatting>
  <conditionalFormatting sqref="Q83">
    <cfRule type="cellIs" dxfId="6132" priority="2877" operator="lessThan">
      <formula>0</formula>
    </cfRule>
  </conditionalFormatting>
  <conditionalFormatting sqref="R83">
    <cfRule type="cellIs" dxfId="6131" priority="2875" operator="lessThan">
      <formula>0.8</formula>
    </cfRule>
    <cfRule type="cellIs" dxfId="6130" priority="2876" operator="greaterThan">
      <formula>1</formula>
    </cfRule>
  </conditionalFormatting>
  <conditionalFormatting sqref="R83">
    <cfRule type="cellIs" dxfId="6129" priority="2873" operator="greaterThan">
      <formula>1</formula>
    </cfRule>
    <cfRule type="cellIs" dxfId="6128" priority="2874" operator="lessThan">
      <formula>0.8</formula>
    </cfRule>
  </conditionalFormatting>
  <conditionalFormatting sqref="P83">
    <cfRule type="cellIs" dxfId="6127" priority="2872" operator="greaterThan">
      <formula>0</formula>
    </cfRule>
  </conditionalFormatting>
  <conditionalFormatting sqref="P83">
    <cfRule type="cellIs" dxfId="6126" priority="2866" operator="greaterThan">
      <formula>0</formula>
    </cfRule>
  </conditionalFormatting>
  <conditionalFormatting sqref="Q83">
    <cfRule type="cellIs" dxfId="6125" priority="2871" operator="lessThan">
      <formula>0</formula>
    </cfRule>
  </conditionalFormatting>
  <conditionalFormatting sqref="R83">
    <cfRule type="cellIs" dxfId="6124" priority="2869" operator="lessThan">
      <formula>0.8</formula>
    </cfRule>
    <cfRule type="cellIs" dxfId="6123" priority="2870" operator="greaterThan">
      <formula>1</formula>
    </cfRule>
  </conditionalFormatting>
  <conditionalFormatting sqref="R83">
    <cfRule type="cellIs" dxfId="6122" priority="2867" operator="greaterThan">
      <formula>1</formula>
    </cfRule>
    <cfRule type="cellIs" dxfId="6121" priority="2868" operator="lessThan">
      <formula>0.8</formula>
    </cfRule>
  </conditionalFormatting>
  <conditionalFormatting sqref="P83">
    <cfRule type="cellIs" dxfId="6120" priority="2860" operator="greaterThan">
      <formula>0</formula>
    </cfRule>
  </conditionalFormatting>
  <conditionalFormatting sqref="Q83">
    <cfRule type="cellIs" dxfId="6119" priority="2865" operator="lessThan">
      <formula>0</formula>
    </cfRule>
  </conditionalFormatting>
  <conditionalFormatting sqref="R83">
    <cfRule type="cellIs" dxfId="6118" priority="2863" operator="lessThan">
      <formula>0.8</formula>
    </cfRule>
    <cfRule type="cellIs" dxfId="6117" priority="2864" operator="greaterThan">
      <formula>1</formula>
    </cfRule>
  </conditionalFormatting>
  <conditionalFormatting sqref="R83">
    <cfRule type="cellIs" dxfId="6116" priority="2861" operator="greaterThan">
      <formula>1</formula>
    </cfRule>
    <cfRule type="cellIs" dxfId="6115" priority="2862" operator="lessThan">
      <formula>0.8</formula>
    </cfRule>
  </conditionalFormatting>
  <conditionalFormatting sqref="R83">
    <cfRule type="cellIs" dxfId="6114" priority="2857" operator="lessThan">
      <formula>0.8</formula>
    </cfRule>
    <cfRule type="cellIs" dxfId="6113" priority="2858" operator="greaterThan">
      <formula>1</formula>
    </cfRule>
  </conditionalFormatting>
  <conditionalFormatting sqref="R83">
    <cfRule type="cellIs" dxfId="6112" priority="2855" operator="greaterThan">
      <formula>1</formula>
    </cfRule>
    <cfRule type="cellIs" dxfId="6111" priority="2856" operator="lessThan">
      <formula>0.8</formula>
    </cfRule>
  </conditionalFormatting>
  <conditionalFormatting sqref="P83">
    <cfRule type="cellIs" dxfId="6110" priority="2854" operator="greaterThan">
      <formula>0</formula>
    </cfRule>
  </conditionalFormatting>
  <conditionalFormatting sqref="Q83">
    <cfRule type="cellIs" dxfId="6109" priority="2859" operator="lessThan">
      <formula>0</formula>
    </cfRule>
  </conditionalFormatting>
  <conditionalFormatting sqref="Q83">
    <cfRule type="cellIs" dxfId="6108" priority="2853" operator="lessThan">
      <formula>0</formula>
    </cfRule>
  </conditionalFormatting>
  <conditionalFormatting sqref="R83">
    <cfRule type="cellIs" dxfId="6107" priority="2851" operator="lessThan">
      <formula>0.8</formula>
    </cfRule>
    <cfRule type="cellIs" dxfId="6106" priority="2852" operator="greaterThan">
      <formula>1</formula>
    </cfRule>
  </conditionalFormatting>
  <conditionalFormatting sqref="R83">
    <cfRule type="cellIs" dxfId="6105" priority="2849" operator="greaterThan">
      <formula>1</formula>
    </cfRule>
    <cfRule type="cellIs" dxfId="6104" priority="2850" operator="lessThan">
      <formula>0.8</formula>
    </cfRule>
  </conditionalFormatting>
  <conditionalFormatting sqref="P83">
    <cfRule type="cellIs" dxfId="6103" priority="2848" operator="greaterThan">
      <formula>0</formula>
    </cfRule>
  </conditionalFormatting>
  <conditionalFormatting sqref="P83">
    <cfRule type="cellIs" dxfId="6102" priority="2842" operator="greaterThan">
      <formula>0</formula>
    </cfRule>
  </conditionalFormatting>
  <conditionalFormatting sqref="Q83">
    <cfRule type="cellIs" dxfId="6101" priority="2847" operator="lessThan">
      <formula>0</formula>
    </cfRule>
  </conditionalFormatting>
  <conditionalFormatting sqref="R83">
    <cfRule type="cellIs" dxfId="6100" priority="2845" operator="lessThan">
      <formula>0.8</formula>
    </cfRule>
    <cfRule type="cellIs" dxfId="6099" priority="2846" operator="greaterThan">
      <formula>1</formula>
    </cfRule>
  </conditionalFormatting>
  <conditionalFormatting sqref="R83">
    <cfRule type="cellIs" dxfId="6098" priority="2843" operator="greaterThan">
      <formula>1</formula>
    </cfRule>
    <cfRule type="cellIs" dxfId="6097" priority="2844" operator="lessThan">
      <formula>0.8</formula>
    </cfRule>
  </conditionalFormatting>
  <conditionalFormatting sqref="P83">
    <cfRule type="cellIs" dxfId="6096" priority="2836" operator="greaterThan">
      <formula>0</formula>
    </cfRule>
  </conditionalFormatting>
  <conditionalFormatting sqref="Q83">
    <cfRule type="cellIs" dxfId="6095" priority="2841" operator="lessThan">
      <formula>0</formula>
    </cfRule>
  </conditionalFormatting>
  <conditionalFormatting sqref="R83">
    <cfRule type="cellIs" dxfId="6094" priority="2839" operator="lessThan">
      <formula>0.8</formula>
    </cfRule>
    <cfRule type="cellIs" dxfId="6093" priority="2840" operator="greaterThan">
      <formula>1</formula>
    </cfRule>
  </conditionalFormatting>
  <conditionalFormatting sqref="R83">
    <cfRule type="cellIs" dxfId="6092" priority="2837" operator="greaterThan">
      <formula>1</formula>
    </cfRule>
    <cfRule type="cellIs" dxfId="6091" priority="2838" operator="lessThan">
      <formula>0.8</formula>
    </cfRule>
  </conditionalFormatting>
  <conditionalFormatting sqref="R83">
    <cfRule type="cellIs" dxfId="6090" priority="2833" operator="lessThan">
      <formula>0.8</formula>
    </cfRule>
    <cfRule type="cellIs" dxfId="6089" priority="2834" operator="greaterThan">
      <formula>1</formula>
    </cfRule>
  </conditionalFormatting>
  <conditionalFormatting sqref="R83">
    <cfRule type="cellIs" dxfId="6088" priority="2831" operator="greaterThan">
      <formula>1</formula>
    </cfRule>
    <cfRule type="cellIs" dxfId="6087" priority="2832" operator="lessThan">
      <formula>0.8</formula>
    </cfRule>
  </conditionalFormatting>
  <conditionalFormatting sqref="P83">
    <cfRule type="cellIs" dxfId="6086" priority="2830" operator="greaterThan">
      <formula>0</formula>
    </cfRule>
  </conditionalFormatting>
  <conditionalFormatting sqref="Q83">
    <cfRule type="cellIs" dxfId="6085" priority="2835" operator="lessThan">
      <formula>0</formula>
    </cfRule>
  </conditionalFormatting>
  <conditionalFormatting sqref="P83">
    <cfRule type="cellIs" dxfId="6084" priority="2824" operator="greaterThan">
      <formula>0</formula>
    </cfRule>
  </conditionalFormatting>
  <conditionalFormatting sqref="Q83">
    <cfRule type="cellIs" dxfId="6083" priority="2829" operator="lessThan">
      <formula>0</formula>
    </cfRule>
  </conditionalFormatting>
  <conditionalFormatting sqref="R83">
    <cfRule type="cellIs" dxfId="6082" priority="2827" operator="lessThan">
      <formula>0.8</formula>
    </cfRule>
    <cfRule type="cellIs" dxfId="6081" priority="2828" operator="greaterThan">
      <formula>1</formula>
    </cfRule>
  </conditionalFormatting>
  <conditionalFormatting sqref="R83">
    <cfRule type="cellIs" dxfId="6080" priority="2825" operator="greaterThan">
      <formula>1</formula>
    </cfRule>
    <cfRule type="cellIs" dxfId="6079" priority="2826" operator="lessThan">
      <formula>0.8</formula>
    </cfRule>
  </conditionalFormatting>
  <conditionalFormatting sqref="R83">
    <cfRule type="cellIs" dxfId="6078" priority="2821" operator="lessThan">
      <formula>0.8</formula>
    </cfRule>
    <cfRule type="cellIs" dxfId="6077" priority="2822" operator="greaterThan">
      <formula>1</formula>
    </cfRule>
  </conditionalFormatting>
  <conditionalFormatting sqref="R83">
    <cfRule type="cellIs" dxfId="6076" priority="2819" operator="greaterThan">
      <formula>1</formula>
    </cfRule>
    <cfRule type="cellIs" dxfId="6075" priority="2820" operator="lessThan">
      <formula>0.8</formula>
    </cfRule>
  </conditionalFormatting>
  <conditionalFormatting sqref="P83">
    <cfRule type="cellIs" dxfId="6074" priority="2818" operator="greaterThan">
      <formula>0</formula>
    </cfRule>
  </conditionalFormatting>
  <conditionalFormatting sqref="Q83">
    <cfRule type="cellIs" dxfId="6073" priority="2823" operator="lessThan">
      <formula>0</formula>
    </cfRule>
  </conditionalFormatting>
  <conditionalFormatting sqref="R83">
    <cfRule type="cellIs" dxfId="6072" priority="2815" operator="lessThan">
      <formula>0.8</formula>
    </cfRule>
    <cfRule type="cellIs" dxfId="6071" priority="2816" operator="greaterThan">
      <formula>1</formula>
    </cfRule>
  </conditionalFormatting>
  <conditionalFormatting sqref="R83">
    <cfRule type="cellIs" dxfId="6070" priority="2813" operator="greaterThan">
      <formula>1</formula>
    </cfRule>
    <cfRule type="cellIs" dxfId="6069" priority="2814" operator="lessThan">
      <formula>0.8</formula>
    </cfRule>
  </conditionalFormatting>
  <conditionalFormatting sqref="P83">
    <cfRule type="cellIs" dxfId="6068" priority="2812" operator="greaterThan">
      <formula>0</formula>
    </cfRule>
  </conditionalFormatting>
  <conditionalFormatting sqref="Q83">
    <cfRule type="cellIs" dxfId="6067" priority="2817" operator="lessThan">
      <formula>0</formula>
    </cfRule>
  </conditionalFormatting>
  <conditionalFormatting sqref="Q83">
    <cfRule type="cellIs" dxfId="6066" priority="2811" operator="lessThan">
      <formula>0</formula>
    </cfRule>
  </conditionalFormatting>
  <conditionalFormatting sqref="R83">
    <cfRule type="cellIs" dxfId="6065" priority="2809" operator="lessThan">
      <formula>0.8</formula>
    </cfRule>
    <cfRule type="cellIs" dxfId="6064" priority="2810" operator="greaterThan">
      <formula>1</formula>
    </cfRule>
  </conditionalFormatting>
  <conditionalFormatting sqref="R83">
    <cfRule type="cellIs" dxfId="6063" priority="2807" operator="greaterThan">
      <formula>1</formula>
    </cfRule>
    <cfRule type="cellIs" dxfId="6062" priority="2808" operator="lessThan">
      <formula>0.8</formula>
    </cfRule>
  </conditionalFormatting>
  <conditionalFormatting sqref="P83">
    <cfRule type="cellIs" dxfId="6061" priority="2806" operator="greaterThan">
      <formula>0</formula>
    </cfRule>
  </conditionalFormatting>
  <conditionalFormatting sqref="Q83">
    <cfRule type="cellIs" dxfId="6060" priority="2800" operator="lessThan">
      <formula>0</formula>
    </cfRule>
  </conditionalFormatting>
  <conditionalFormatting sqref="R83">
    <cfRule type="cellIs" dxfId="6059" priority="2804" operator="lessThan">
      <formula>0.8</formula>
    </cfRule>
    <cfRule type="cellIs" dxfId="6058" priority="2805" operator="greaterThan">
      <formula>1</formula>
    </cfRule>
  </conditionalFormatting>
  <conditionalFormatting sqref="R83">
    <cfRule type="cellIs" dxfId="6057" priority="2802" operator="greaterThan">
      <formula>1</formula>
    </cfRule>
    <cfRule type="cellIs" dxfId="6056" priority="2803" operator="lessThan">
      <formula>0.8</formula>
    </cfRule>
  </conditionalFormatting>
  <conditionalFormatting sqref="P83">
    <cfRule type="cellIs" dxfId="6055" priority="2801" operator="greaterThan">
      <formula>0</formula>
    </cfRule>
  </conditionalFormatting>
  <conditionalFormatting sqref="Q83">
    <cfRule type="cellIs" dxfId="6054" priority="2799" operator="lessThan">
      <formula>0</formula>
    </cfRule>
  </conditionalFormatting>
  <conditionalFormatting sqref="R83">
    <cfRule type="cellIs" dxfId="6053" priority="2797" operator="lessThan">
      <formula>0.8</formula>
    </cfRule>
    <cfRule type="cellIs" dxfId="6052" priority="2798" operator="greaterThan">
      <formula>1</formula>
    </cfRule>
  </conditionalFormatting>
  <conditionalFormatting sqref="R83">
    <cfRule type="cellIs" dxfId="6051" priority="2795" operator="greaterThan">
      <formula>1</formula>
    </cfRule>
    <cfRule type="cellIs" dxfId="6050" priority="2796" operator="lessThan">
      <formula>0.8</formula>
    </cfRule>
  </conditionalFormatting>
  <conditionalFormatting sqref="P83">
    <cfRule type="cellIs" dxfId="6049" priority="2794" operator="greaterThan">
      <formula>0</formula>
    </cfRule>
  </conditionalFormatting>
  <conditionalFormatting sqref="Q83">
    <cfRule type="cellIs" dxfId="6048" priority="2793" operator="lessThan">
      <formula>0</formula>
    </cfRule>
  </conditionalFormatting>
  <conditionalFormatting sqref="R83">
    <cfRule type="cellIs" dxfId="6047" priority="2791" operator="lessThan">
      <formula>0.8</formula>
    </cfRule>
    <cfRule type="cellIs" dxfId="6046" priority="2792" operator="greaterThan">
      <formula>1</formula>
    </cfRule>
  </conditionalFormatting>
  <conditionalFormatting sqref="R83">
    <cfRule type="cellIs" dxfId="6045" priority="2789" operator="greaterThan">
      <formula>1</formula>
    </cfRule>
    <cfRule type="cellIs" dxfId="6044" priority="2790" operator="lessThan">
      <formula>0.8</formula>
    </cfRule>
  </conditionalFormatting>
  <conditionalFormatting sqref="P83">
    <cfRule type="cellIs" dxfId="6043" priority="2788" operator="greaterThan">
      <formula>0</formula>
    </cfRule>
  </conditionalFormatting>
  <conditionalFormatting sqref="Q83">
    <cfRule type="cellIs" dxfId="6042" priority="2787" operator="lessThan">
      <formula>0</formula>
    </cfRule>
  </conditionalFormatting>
  <conditionalFormatting sqref="R83">
    <cfRule type="cellIs" dxfId="6041" priority="2785" operator="lessThan">
      <formula>0.8</formula>
    </cfRule>
    <cfRule type="cellIs" dxfId="6040" priority="2786" operator="greaterThan">
      <formula>1</formula>
    </cfRule>
  </conditionalFormatting>
  <conditionalFormatting sqref="R83">
    <cfRule type="cellIs" dxfId="6039" priority="2783" operator="greaterThan">
      <formula>1</formula>
    </cfRule>
    <cfRule type="cellIs" dxfId="6038" priority="2784" operator="lessThan">
      <formula>0.8</formula>
    </cfRule>
  </conditionalFormatting>
  <conditionalFormatting sqref="P83">
    <cfRule type="cellIs" dxfId="6037" priority="2782" operator="greaterThan">
      <formula>0</formula>
    </cfRule>
  </conditionalFormatting>
  <conditionalFormatting sqref="Q83">
    <cfRule type="cellIs" dxfId="6036" priority="2781" operator="lessThan">
      <formula>0</formula>
    </cfRule>
  </conditionalFormatting>
  <conditionalFormatting sqref="R83">
    <cfRule type="cellIs" dxfId="6035" priority="2779" operator="lessThan">
      <formula>0.8</formula>
    </cfRule>
    <cfRule type="cellIs" dxfId="6034" priority="2780" operator="greaterThan">
      <formula>1</formula>
    </cfRule>
  </conditionalFormatting>
  <conditionalFormatting sqref="R83">
    <cfRule type="cellIs" dxfId="6033" priority="2777" operator="greaterThan">
      <formula>1</formula>
    </cfRule>
    <cfRule type="cellIs" dxfId="6032" priority="2778" operator="lessThan">
      <formula>0.8</formula>
    </cfRule>
  </conditionalFormatting>
  <conditionalFormatting sqref="P83">
    <cfRule type="cellIs" dxfId="6031" priority="2776" operator="greaterThan">
      <formula>0</formula>
    </cfRule>
  </conditionalFormatting>
  <conditionalFormatting sqref="Q83">
    <cfRule type="cellIs" dxfId="6030" priority="2775" operator="lessThan">
      <formula>0</formula>
    </cfRule>
  </conditionalFormatting>
  <conditionalFormatting sqref="R83">
    <cfRule type="cellIs" dxfId="6029" priority="2773" operator="lessThan">
      <formula>0.8</formula>
    </cfRule>
    <cfRule type="cellIs" dxfId="6028" priority="2774" operator="greaterThan">
      <formula>1</formula>
    </cfRule>
  </conditionalFormatting>
  <conditionalFormatting sqref="R83">
    <cfRule type="cellIs" dxfId="6027" priority="2771" operator="greaterThan">
      <formula>1</formula>
    </cfRule>
    <cfRule type="cellIs" dxfId="6026" priority="2772" operator="lessThan">
      <formula>0.8</formula>
    </cfRule>
  </conditionalFormatting>
  <conditionalFormatting sqref="P83">
    <cfRule type="cellIs" dxfId="6025" priority="2770" operator="greaterThan">
      <formula>0</formula>
    </cfRule>
  </conditionalFormatting>
  <conditionalFormatting sqref="P83">
    <cfRule type="cellIs" dxfId="6024" priority="2764" operator="greaterThan">
      <formula>0</formula>
    </cfRule>
  </conditionalFormatting>
  <conditionalFormatting sqref="Q83">
    <cfRule type="cellIs" dxfId="6023" priority="2769" operator="lessThan">
      <formula>0</formula>
    </cfRule>
  </conditionalFormatting>
  <conditionalFormatting sqref="R83">
    <cfRule type="cellIs" dxfId="6022" priority="2767" operator="lessThan">
      <formula>0.8</formula>
    </cfRule>
    <cfRule type="cellIs" dxfId="6021" priority="2768" operator="greaterThan">
      <formula>1</formula>
    </cfRule>
  </conditionalFormatting>
  <conditionalFormatting sqref="R83">
    <cfRule type="cellIs" dxfId="6020" priority="2765" operator="greaterThan">
      <formula>1</formula>
    </cfRule>
    <cfRule type="cellIs" dxfId="6019" priority="2766" operator="lessThan">
      <formula>0.8</formula>
    </cfRule>
  </conditionalFormatting>
  <conditionalFormatting sqref="P83">
    <cfRule type="cellIs" dxfId="6018" priority="2758" operator="greaterThan">
      <formula>0</formula>
    </cfRule>
  </conditionalFormatting>
  <conditionalFormatting sqref="Q83">
    <cfRule type="cellIs" dxfId="6017" priority="2763" operator="lessThan">
      <formula>0</formula>
    </cfRule>
  </conditionalFormatting>
  <conditionalFormatting sqref="R83">
    <cfRule type="cellIs" dxfId="6016" priority="2761" operator="lessThan">
      <formula>0.8</formula>
    </cfRule>
    <cfRule type="cellIs" dxfId="6015" priority="2762" operator="greaterThan">
      <formula>1</formula>
    </cfRule>
  </conditionalFormatting>
  <conditionalFormatting sqref="R83">
    <cfRule type="cellIs" dxfId="6014" priority="2759" operator="greaterThan">
      <formula>1</formula>
    </cfRule>
    <cfRule type="cellIs" dxfId="6013" priority="2760" operator="lessThan">
      <formula>0.8</formula>
    </cfRule>
  </conditionalFormatting>
  <conditionalFormatting sqref="R83">
    <cfRule type="cellIs" dxfId="6012" priority="2755" operator="lessThan">
      <formula>0.8</formula>
    </cfRule>
    <cfRule type="cellIs" dxfId="6011" priority="2756" operator="greaterThan">
      <formula>1</formula>
    </cfRule>
  </conditionalFormatting>
  <conditionalFormatting sqref="R83">
    <cfRule type="cellIs" dxfId="6010" priority="2753" operator="greaterThan">
      <formula>1</formula>
    </cfRule>
    <cfRule type="cellIs" dxfId="6009" priority="2754" operator="lessThan">
      <formula>0.8</formula>
    </cfRule>
  </conditionalFormatting>
  <conditionalFormatting sqref="P83">
    <cfRule type="cellIs" dxfId="6008" priority="2752" operator="greaterThan">
      <formula>0</formula>
    </cfRule>
  </conditionalFormatting>
  <conditionalFormatting sqref="Q83">
    <cfRule type="cellIs" dxfId="6007" priority="2757" operator="lessThan">
      <formula>0</formula>
    </cfRule>
  </conditionalFormatting>
  <conditionalFormatting sqref="Q83">
    <cfRule type="cellIs" dxfId="6006" priority="2746" operator="lessThan">
      <formula>0</formula>
    </cfRule>
  </conditionalFormatting>
  <conditionalFormatting sqref="P83">
    <cfRule type="cellIs" dxfId="6005" priority="2747" operator="greaterThan">
      <formula>0</formula>
    </cfRule>
  </conditionalFormatting>
  <conditionalFormatting sqref="R83">
    <cfRule type="cellIs" dxfId="6004" priority="2750" operator="lessThan">
      <formula>0.8</formula>
    </cfRule>
    <cfRule type="cellIs" dxfId="6003" priority="2751" operator="greaterThan">
      <formula>1</formula>
    </cfRule>
  </conditionalFormatting>
  <conditionalFormatting sqref="R83">
    <cfRule type="cellIs" dxfId="6002" priority="2748" operator="greaterThan">
      <formula>1</formula>
    </cfRule>
    <cfRule type="cellIs" dxfId="6001" priority="2749" operator="lessThan">
      <formula>0.8</formula>
    </cfRule>
  </conditionalFormatting>
  <conditionalFormatting sqref="Q83">
    <cfRule type="cellIs" dxfId="6000" priority="2740" operator="lessThan">
      <formula>0</formula>
    </cfRule>
  </conditionalFormatting>
  <conditionalFormatting sqref="R83">
    <cfRule type="cellIs" dxfId="5999" priority="2744" operator="lessThan">
      <formula>0.8</formula>
    </cfRule>
    <cfRule type="cellIs" dxfId="5998" priority="2745" operator="greaterThan">
      <formula>1</formula>
    </cfRule>
  </conditionalFormatting>
  <conditionalFormatting sqref="R83">
    <cfRule type="cellIs" dxfId="5997" priority="2742" operator="greaterThan">
      <formula>1</formula>
    </cfRule>
    <cfRule type="cellIs" dxfId="5996" priority="2743" operator="lessThan">
      <formula>0.8</formula>
    </cfRule>
  </conditionalFormatting>
  <conditionalFormatting sqref="P83">
    <cfRule type="cellIs" dxfId="5995" priority="2741" operator="greaterThan">
      <formula>0</formula>
    </cfRule>
  </conditionalFormatting>
  <conditionalFormatting sqref="Q83">
    <cfRule type="cellIs" dxfId="5994" priority="2739" operator="lessThan">
      <formula>0</formula>
    </cfRule>
  </conditionalFormatting>
  <conditionalFormatting sqref="R83">
    <cfRule type="cellIs" dxfId="5993" priority="2737" operator="lessThan">
      <formula>0.8</formula>
    </cfRule>
    <cfRule type="cellIs" dxfId="5992" priority="2738" operator="greaterThan">
      <formula>1</formula>
    </cfRule>
  </conditionalFormatting>
  <conditionalFormatting sqref="R83">
    <cfRule type="cellIs" dxfId="5991" priority="2735" operator="greaterThan">
      <formula>1</formula>
    </cfRule>
    <cfRule type="cellIs" dxfId="5990" priority="2736" operator="lessThan">
      <formula>0.8</formula>
    </cfRule>
  </conditionalFormatting>
  <conditionalFormatting sqref="P83">
    <cfRule type="cellIs" dxfId="5989" priority="2734" operator="greaterThan">
      <formula>0</formula>
    </cfRule>
  </conditionalFormatting>
  <conditionalFormatting sqref="Q83">
    <cfRule type="cellIs" dxfId="5988" priority="2733" operator="lessThan">
      <formula>0</formula>
    </cfRule>
  </conditionalFormatting>
  <conditionalFormatting sqref="R83">
    <cfRule type="cellIs" dxfId="5987" priority="2731" operator="lessThan">
      <formula>0.8</formula>
    </cfRule>
    <cfRule type="cellIs" dxfId="5986" priority="2732" operator="greaterThan">
      <formula>1</formula>
    </cfRule>
  </conditionalFormatting>
  <conditionalFormatting sqref="R83">
    <cfRule type="cellIs" dxfId="5985" priority="2729" operator="greaterThan">
      <formula>1</formula>
    </cfRule>
    <cfRule type="cellIs" dxfId="5984" priority="2730" operator="lessThan">
      <formula>0.8</formula>
    </cfRule>
  </conditionalFormatting>
  <conditionalFormatting sqref="P83">
    <cfRule type="cellIs" dxfId="5983" priority="2728" operator="greaterThan">
      <formula>0</formula>
    </cfRule>
  </conditionalFormatting>
  <conditionalFormatting sqref="Q83">
    <cfRule type="cellIs" dxfId="5982" priority="2727" operator="lessThan">
      <formula>0</formula>
    </cfRule>
  </conditionalFormatting>
  <conditionalFormatting sqref="R83">
    <cfRule type="cellIs" dxfId="5981" priority="2725" operator="lessThan">
      <formula>0.8</formula>
    </cfRule>
    <cfRule type="cellIs" dxfId="5980" priority="2726" operator="greaterThan">
      <formula>1</formula>
    </cfRule>
  </conditionalFormatting>
  <conditionalFormatting sqref="R83">
    <cfRule type="cellIs" dxfId="5979" priority="2723" operator="greaterThan">
      <formula>1</formula>
    </cfRule>
    <cfRule type="cellIs" dxfId="5978" priority="2724" operator="lessThan">
      <formula>0.8</formula>
    </cfRule>
  </conditionalFormatting>
  <conditionalFormatting sqref="P83">
    <cfRule type="cellIs" dxfId="5977" priority="2722" operator="greaterThan">
      <formula>0</formula>
    </cfRule>
  </conditionalFormatting>
  <conditionalFormatting sqref="Q83">
    <cfRule type="cellIs" dxfId="5976" priority="2721" operator="lessThan">
      <formula>0</formula>
    </cfRule>
  </conditionalFormatting>
  <conditionalFormatting sqref="R83">
    <cfRule type="cellIs" dxfId="5975" priority="2719" operator="lessThan">
      <formula>0.8</formula>
    </cfRule>
    <cfRule type="cellIs" dxfId="5974" priority="2720" operator="greaterThan">
      <formula>1</formula>
    </cfRule>
  </conditionalFormatting>
  <conditionalFormatting sqref="R83">
    <cfRule type="cellIs" dxfId="5973" priority="2717" operator="greaterThan">
      <formula>1</formula>
    </cfRule>
    <cfRule type="cellIs" dxfId="5972" priority="2718" operator="lessThan">
      <formula>0.8</formula>
    </cfRule>
  </conditionalFormatting>
  <conditionalFormatting sqref="P83">
    <cfRule type="cellIs" dxfId="5971" priority="2716" operator="greaterThan">
      <formula>0</formula>
    </cfRule>
  </conditionalFormatting>
  <conditionalFormatting sqref="Q83">
    <cfRule type="cellIs" dxfId="5970" priority="2715" operator="lessThan">
      <formula>0</formula>
    </cfRule>
  </conditionalFormatting>
  <conditionalFormatting sqref="R83">
    <cfRule type="cellIs" dxfId="5969" priority="2713" operator="lessThan">
      <formula>0.8</formula>
    </cfRule>
    <cfRule type="cellIs" dxfId="5968" priority="2714" operator="greaterThan">
      <formula>1</formula>
    </cfRule>
  </conditionalFormatting>
  <conditionalFormatting sqref="R83">
    <cfRule type="cellIs" dxfId="5967" priority="2711" operator="greaterThan">
      <formula>1</formula>
    </cfRule>
    <cfRule type="cellIs" dxfId="5966" priority="2712" operator="lessThan">
      <formula>0.8</formula>
    </cfRule>
  </conditionalFormatting>
  <conditionalFormatting sqref="P83">
    <cfRule type="cellIs" dxfId="5965" priority="2710" operator="greaterThan">
      <formula>0</formula>
    </cfRule>
  </conditionalFormatting>
  <conditionalFormatting sqref="Q83">
    <cfRule type="cellIs" dxfId="5964" priority="2709" operator="lessThan">
      <formula>0</formula>
    </cfRule>
  </conditionalFormatting>
  <conditionalFormatting sqref="R83">
    <cfRule type="cellIs" dxfId="5963" priority="2707" operator="lessThan">
      <formula>0.8</formula>
    </cfRule>
    <cfRule type="cellIs" dxfId="5962" priority="2708" operator="greaterThan">
      <formula>1</formula>
    </cfRule>
  </conditionalFormatting>
  <conditionalFormatting sqref="R83">
    <cfRule type="cellIs" dxfId="5961" priority="2705" operator="greaterThan">
      <formula>1</formula>
    </cfRule>
    <cfRule type="cellIs" dxfId="5960" priority="2706" operator="lessThan">
      <formula>0.8</formula>
    </cfRule>
  </conditionalFormatting>
  <conditionalFormatting sqref="P83">
    <cfRule type="cellIs" dxfId="5959" priority="2704" operator="greaterThan">
      <formula>0</formula>
    </cfRule>
  </conditionalFormatting>
  <conditionalFormatting sqref="Q83">
    <cfRule type="cellIs" dxfId="5958" priority="2703" operator="lessThan">
      <formula>0</formula>
    </cfRule>
  </conditionalFormatting>
  <conditionalFormatting sqref="R83">
    <cfRule type="cellIs" dxfId="5957" priority="2701" operator="lessThan">
      <formula>0.8</formula>
    </cfRule>
    <cfRule type="cellIs" dxfId="5956" priority="2702" operator="greaterThan">
      <formula>1</formula>
    </cfRule>
  </conditionalFormatting>
  <conditionalFormatting sqref="R83">
    <cfRule type="cellIs" dxfId="5955" priority="2699" operator="greaterThan">
      <formula>1</formula>
    </cfRule>
    <cfRule type="cellIs" dxfId="5954" priority="2700" operator="lessThan">
      <formula>0.8</formula>
    </cfRule>
  </conditionalFormatting>
  <conditionalFormatting sqref="P83">
    <cfRule type="cellIs" dxfId="5953" priority="2698" operator="greaterThan">
      <formula>0</formula>
    </cfRule>
  </conditionalFormatting>
  <conditionalFormatting sqref="P83">
    <cfRule type="cellIs" dxfId="5952" priority="2692" operator="greaterThan">
      <formula>0</formula>
    </cfRule>
  </conditionalFormatting>
  <conditionalFormatting sqref="Q83">
    <cfRule type="cellIs" dxfId="5951" priority="2697" operator="lessThan">
      <formula>0</formula>
    </cfRule>
  </conditionalFormatting>
  <conditionalFormatting sqref="R83">
    <cfRule type="cellIs" dxfId="5950" priority="2695" operator="lessThan">
      <formula>0.8</formula>
    </cfRule>
    <cfRule type="cellIs" dxfId="5949" priority="2696" operator="greaterThan">
      <formula>1</formula>
    </cfRule>
  </conditionalFormatting>
  <conditionalFormatting sqref="R83">
    <cfRule type="cellIs" dxfId="5948" priority="2693" operator="greaterThan">
      <formula>1</formula>
    </cfRule>
    <cfRule type="cellIs" dxfId="5947" priority="2694" operator="lessThan">
      <formula>0.8</formula>
    </cfRule>
  </conditionalFormatting>
  <conditionalFormatting sqref="P83">
    <cfRule type="cellIs" dxfId="5946" priority="2686" operator="greaterThan">
      <formula>0</formula>
    </cfRule>
  </conditionalFormatting>
  <conditionalFormatting sqref="Q83">
    <cfRule type="cellIs" dxfId="5945" priority="2691" operator="lessThan">
      <formula>0</formula>
    </cfRule>
  </conditionalFormatting>
  <conditionalFormatting sqref="R83">
    <cfRule type="cellIs" dxfId="5944" priority="2689" operator="lessThan">
      <formula>0.8</formula>
    </cfRule>
    <cfRule type="cellIs" dxfId="5943" priority="2690" operator="greaterThan">
      <formula>1</formula>
    </cfRule>
  </conditionalFormatting>
  <conditionalFormatting sqref="R83">
    <cfRule type="cellIs" dxfId="5942" priority="2687" operator="greaterThan">
      <formula>1</formula>
    </cfRule>
    <cfRule type="cellIs" dxfId="5941" priority="2688" operator="lessThan">
      <formula>0.8</formula>
    </cfRule>
  </conditionalFormatting>
  <conditionalFormatting sqref="R83">
    <cfRule type="cellIs" dxfId="5940" priority="2683" operator="lessThan">
      <formula>0.8</formula>
    </cfRule>
    <cfRule type="cellIs" dxfId="5939" priority="2684" operator="greaterThan">
      <formula>1</formula>
    </cfRule>
  </conditionalFormatting>
  <conditionalFormatting sqref="R83">
    <cfRule type="cellIs" dxfId="5938" priority="2681" operator="greaterThan">
      <formula>1</formula>
    </cfRule>
    <cfRule type="cellIs" dxfId="5937" priority="2682" operator="lessThan">
      <formula>0.8</formula>
    </cfRule>
  </conditionalFormatting>
  <conditionalFormatting sqref="P83">
    <cfRule type="cellIs" dxfId="5936" priority="2680" operator="greaterThan">
      <formula>0</formula>
    </cfRule>
  </conditionalFormatting>
  <conditionalFormatting sqref="Q83">
    <cfRule type="cellIs" dxfId="5935" priority="2685" operator="lessThan">
      <formula>0</formula>
    </cfRule>
  </conditionalFormatting>
  <conditionalFormatting sqref="Q83">
    <cfRule type="cellIs" dxfId="5934" priority="2679" operator="lessThan">
      <formula>0</formula>
    </cfRule>
  </conditionalFormatting>
  <conditionalFormatting sqref="R83">
    <cfRule type="cellIs" dxfId="5933" priority="2677" operator="lessThan">
      <formula>0.8</formula>
    </cfRule>
    <cfRule type="cellIs" dxfId="5932" priority="2678" operator="greaterThan">
      <formula>1</formula>
    </cfRule>
  </conditionalFormatting>
  <conditionalFormatting sqref="R83">
    <cfRule type="cellIs" dxfId="5931" priority="2675" operator="greaterThan">
      <formula>1</formula>
    </cfRule>
    <cfRule type="cellIs" dxfId="5930" priority="2676" operator="lessThan">
      <formula>0.8</formula>
    </cfRule>
  </conditionalFormatting>
  <conditionalFormatting sqref="P83">
    <cfRule type="cellIs" dxfId="5929" priority="2674" operator="greaterThan">
      <formula>0</formula>
    </cfRule>
  </conditionalFormatting>
  <conditionalFormatting sqref="P83">
    <cfRule type="cellIs" dxfId="5928" priority="2668" operator="greaterThan">
      <formula>0</formula>
    </cfRule>
  </conditionalFormatting>
  <conditionalFormatting sqref="Q83">
    <cfRule type="cellIs" dxfId="5927" priority="2673" operator="lessThan">
      <formula>0</formula>
    </cfRule>
  </conditionalFormatting>
  <conditionalFormatting sqref="R83">
    <cfRule type="cellIs" dxfId="5926" priority="2671" operator="lessThan">
      <formula>0.8</formula>
    </cfRule>
    <cfRule type="cellIs" dxfId="5925" priority="2672" operator="greaterThan">
      <formula>1</formula>
    </cfRule>
  </conditionalFormatting>
  <conditionalFormatting sqref="R83">
    <cfRule type="cellIs" dxfId="5924" priority="2669" operator="greaterThan">
      <formula>1</formula>
    </cfRule>
    <cfRule type="cellIs" dxfId="5923" priority="2670" operator="lessThan">
      <formula>0.8</formula>
    </cfRule>
  </conditionalFormatting>
  <conditionalFormatting sqref="P83">
    <cfRule type="cellIs" dxfId="5922" priority="2662" operator="greaterThan">
      <formula>0</formula>
    </cfRule>
  </conditionalFormatting>
  <conditionalFormatting sqref="Q83">
    <cfRule type="cellIs" dxfId="5921" priority="2667" operator="lessThan">
      <formula>0</formula>
    </cfRule>
  </conditionalFormatting>
  <conditionalFormatting sqref="R83">
    <cfRule type="cellIs" dxfId="5920" priority="2665" operator="lessThan">
      <formula>0.8</formula>
    </cfRule>
    <cfRule type="cellIs" dxfId="5919" priority="2666" operator="greaterThan">
      <formula>1</formula>
    </cfRule>
  </conditionalFormatting>
  <conditionalFormatting sqref="R83">
    <cfRule type="cellIs" dxfId="5918" priority="2663" operator="greaterThan">
      <formula>1</formula>
    </cfRule>
    <cfRule type="cellIs" dxfId="5917" priority="2664" operator="lessThan">
      <formula>0.8</formula>
    </cfRule>
  </conditionalFormatting>
  <conditionalFormatting sqref="R83">
    <cfRule type="cellIs" dxfId="5916" priority="2659" operator="lessThan">
      <formula>0.8</formula>
    </cfRule>
    <cfRule type="cellIs" dxfId="5915" priority="2660" operator="greaterThan">
      <formula>1</formula>
    </cfRule>
  </conditionalFormatting>
  <conditionalFormatting sqref="R83">
    <cfRule type="cellIs" dxfId="5914" priority="2657" operator="greaterThan">
      <formula>1</formula>
    </cfRule>
    <cfRule type="cellIs" dxfId="5913" priority="2658" operator="lessThan">
      <formula>0.8</formula>
    </cfRule>
  </conditionalFormatting>
  <conditionalFormatting sqref="P83">
    <cfRule type="cellIs" dxfId="5912" priority="2656" operator="greaterThan">
      <formula>0</formula>
    </cfRule>
  </conditionalFormatting>
  <conditionalFormatting sqref="Q83">
    <cfRule type="cellIs" dxfId="5911" priority="2661" operator="lessThan">
      <formula>0</formula>
    </cfRule>
  </conditionalFormatting>
  <conditionalFormatting sqref="P83">
    <cfRule type="cellIs" dxfId="5910" priority="2650" operator="greaterThan">
      <formula>0</formula>
    </cfRule>
  </conditionalFormatting>
  <conditionalFormatting sqref="Q83">
    <cfRule type="cellIs" dxfId="5909" priority="2655" operator="lessThan">
      <formula>0</formula>
    </cfRule>
  </conditionalFormatting>
  <conditionalFormatting sqref="R83">
    <cfRule type="cellIs" dxfId="5908" priority="2653" operator="lessThan">
      <formula>0.8</formula>
    </cfRule>
    <cfRule type="cellIs" dxfId="5907" priority="2654" operator="greaterThan">
      <formula>1</formula>
    </cfRule>
  </conditionalFormatting>
  <conditionalFormatting sqref="R83">
    <cfRule type="cellIs" dxfId="5906" priority="2651" operator="greaterThan">
      <formula>1</formula>
    </cfRule>
    <cfRule type="cellIs" dxfId="5905" priority="2652" operator="lessThan">
      <formula>0.8</formula>
    </cfRule>
  </conditionalFormatting>
  <conditionalFormatting sqref="R83">
    <cfRule type="cellIs" dxfId="5904" priority="2647" operator="lessThan">
      <formula>0.8</formula>
    </cfRule>
    <cfRule type="cellIs" dxfId="5903" priority="2648" operator="greaterThan">
      <formula>1</formula>
    </cfRule>
  </conditionalFormatting>
  <conditionalFormatting sqref="R83">
    <cfRule type="cellIs" dxfId="5902" priority="2645" operator="greaterThan">
      <formula>1</formula>
    </cfRule>
    <cfRule type="cellIs" dxfId="5901" priority="2646" operator="lessThan">
      <formula>0.8</formula>
    </cfRule>
  </conditionalFormatting>
  <conditionalFormatting sqref="P83">
    <cfRule type="cellIs" dxfId="5900" priority="2644" operator="greaterThan">
      <formula>0</formula>
    </cfRule>
  </conditionalFormatting>
  <conditionalFormatting sqref="Q83">
    <cfRule type="cellIs" dxfId="5899" priority="2649" operator="lessThan">
      <formula>0</formula>
    </cfRule>
  </conditionalFormatting>
  <conditionalFormatting sqref="R83">
    <cfRule type="cellIs" dxfId="5898" priority="2641" operator="lessThan">
      <formula>0.8</formula>
    </cfRule>
    <cfRule type="cellIs" dxfId="5897" priority="2642" operator="greaterThan">
      <formula>1</formula>
    </cfRule>
  </conditionalFormatting>
  <conditionalFormatting sqref="R83">
    <cfRule type="cellIs" dxfId="5896" priority="2639" operator="greaterThan">
      <formula>1</formula>
    </cfRule>
    <cfRule type="cellIs" dxfId="5895" priority="2640" operator="lessThan">
      <formula>0.8</formula>
    </cfRule>
  </conditionalFormatting>
  <conditionalFormatting sqref="P83">
    <cfRule type="cellIs" dxfId="5894" priority="2638" operator="greaterThan">
      <formula>0</formula>
    </cfRule>
  </conditionalFormatting>
  <conditionalFormatting sqref="Q83">
    <cfRule type="cellIs" dxfId="5893" priority="2643" operator="lessThan">
      <formula>0</formula>
    </cfRule>
  </conditionalFormatting>
  <conditionalFormatting sqref="Q83">
    <cfRule type="cellIs" dxfId="5892" priority="2637" operator="lessThan">
      <formula>0</formula>
    </cfRule>
  </conditionalFormatting>
  <conditionalFormatting sqref="R83">
    <cfRule type="cellIs" dxfId="5891" priority="2635" operator="lessThan">
      <formula>0.8</formula>
    </cfRule>
    <cfRule type="cellIs" dxfId="5890" priority="2636" operator="greaterThan">
      <formula>1</formula>
    </cfRule>
  </conditionalFormatting>
  <conditionalFormatting sqref="R83">
    <cfRule type="cellIs" dxfId="5889" priority="2633" operator="greaterThan">
      <formula>1</formula>
    </cfRule>
    <cfRule type="cellIs" dxfId="5888" priority="2634" operator="lessThan">
      <formula>0.8</formula>
    </cfRule>
  </conditionalFormatting>
  <conditionalFormatting sqref="P83">
    <cfRule type="cellIs" dxfId="5887" priority="2632" operator="greaterThan">
      <formula>0</formula>
    </cfRule>
  </conditionalFormatting>
  <conditionalFormatting sqref="Q83">
    <cfRule type="cellIs" dxfId="5886" priority="2626" operator="lessThan">
      <formula>0</formula>
    </cfRule>
  </conditionalFormatting>
  <conditionalFormatting sqref="R83">
    <cfRule type="cellIs" dxfId="5885" priority="2630" operator="lessThan">
      <formula>0.8</formula>
    </cfRule>
    <cfRule type="cellIs" dxfId="5884" priority="2631" operator="greaterThan">
      <formula>1</formula>
    </cfRule>
  </conditionalFormatting>
  <conditionalFormatting sqref="R83">
    <cfRule type="cellIs" dxfId="5883" priority="2628" operator="greaterThan">
      <formula>1</formula>
    </cfRule>
    <cfRule type="cellIs" dxfId="5882" priority="2629" operator="lessThan">
      <formula>0.8</formula>
    </cfRule>
  </conditionalFormatting>
  <conditionalFormatting sqref="P83">
    <cfRule type="cellIs" dxfId="5881" priority="2627" operator="greaterThan">
      <formula>0</formula>
    </cfRule>
  </conditionalFormatting>
  <conditionalFormatting sqref="Q83">
    <cfRule type="cellIs" dxfId="5880" priority="2625" operator="lessThan">
      <formula>0</formula>
    </cfRule>
  </conditionalFormatting>
  <conditionalFormatting sqref="R83">
    <cfRule type="cellIs" dxfId="5879" priority="2623" operator="lessThan">
      <formula>0.8</formula>
    </cfRule>
    <cfRule type="cellIs" dxfId="5878" priority="2624" operator="greaterThan">
      <formula>1</formula>
    </cfRule>
  </conditionalFormatting>
  <conditionalFormatting sqref="R83">
    <cfRule type="cellIs" dxfId="5877" priority="2621" operator="greaterThan">
      <formula>1</formula>
    </cfRule>
    <cfRule type="cellIs" dxfId="5876" priority="2622" operator="lessThan">
      <formula>0.8</formula>
    </cfRule>
  </conditionalFormatting>
  <conditionalFormatting sqref="P83">
    <cfRule type="cellIs" dxfId="5875" priority="2620" operator="greaterThan">
      <formula>0</formula>
    </cfRule>
  </conditionalFormatting>
  <conditionalFormatting sqref="Q83">
    <cfRule type="cellIs" dxfId="5874" priority="2619" operator="lessThan">
      <formula>0</formula>
    </cfRule>
  </conditionalFormatting>
  <conditionalFormatting sqref="R83">
    <cfRule type="cellIs" dxfId="5873" priority="2617" operator="lessThan">
      <formula>0.8</formula>
    </cfRule>
    <cfRule type="cellIs" dxfId="5872" priority="2618" operator="greaterThan">
      <formula>1</formula>
    </cfRule>
  </conditionalFormatting>
  <conditionalFormatting sqref="R83">
    <cfRule type="cellIs" dxfId="5871" priority="2615" operator="greaterThan">
      <formula>1</formula>
    </cfRule>
    <cfRule type="cellIs" dxfId="5870" priority="2616" operator="lessThan">
      <formula>0.8</formula>
    </cfRule>
  </conditionalFormatting>
  <conditionalFormatting sqref="P83">
    <cfRule type="cellIs" dxfId="5869" priority="2614" operator="greaterThan">
      <formula>0</formula>
    </cfRule>
  </conditionalFormatting>
  <conditionalFormatting sqref="Q83">
    <cfRule type="cellIs" dxfId="5868" priority="2613" operator="lessThan">
      <formula>0</formula>
    </cfRule>
  </conditionalFormatting>
  <conditionalFormatting sqref="R83">
    <cfRule type="cellIs" dxfId="5867" priority="2611" operator="lessThan">
      <formula>0.8</formula>
    </cfRule>
    <cfRule type="cellIs" dxfId="5866" priority="2612" operator="greaterThan">
      <formula>1</formula>
    </cfRule>
  </conditionalFormatting>
  <conditionalFormatting sqref="R83">
    <cfRule type="cellIs" dxfId="5865" priority="2609" operator="greaterThan">
      <formula>1</formula>
    </cfRule>
    <cfRule type="cellIs" dxfId="5864" priority="2610" operator="lessThan">
      <formula>0.8</formula>
    </cfRule>
  </conditionalFormatting>
  <conditionalFormatting sqref="P83">
    <cfRule type="cellIs" dxfId="5863" priority="2608" operator="greaterThan">
      <formula>0</formula>
    </cfRule>
  </conditionalFormatting>
  <conditionalFormatting sqref="Q83">
    <cfRule type="cellIs" dxfId="5862" priority="2607" operator="lessThan">
      <formula>0</formula>
    </cfRule>
  </conditionalFormatting>
  <conditionalFormatting sqref="R83">
    <cfRule type="cellIs" dxfId="5861" priority="2605" operator="lessThan">
      <formula>0.8</formula>
    </cfRule>
    <cfRule type="cellIs" dxfId="5860" priority="2606" operator="greaterThan">
      <formula>1</formula>
    </cfRule>
  </conditionalFormatting>
  <conditionalFormatting sqref="R83">
    <cfRule type="cellIs" dxfId="5859" priority="2603" operator="greaterThan">
      <formula>1</formula>
    </cfRule>
    <cfRule type="cellIs" dxfId="5858" priority="2604" operator="lessThan">
      <formula>0.8</formula>
    </cfRule>
  </conditionalFormatting>
  <conditionalFormatting sqref="P83">
    <cfRule type="cellIs" dxfId="5857" priority="2602" operator="greaterThan">
      <formula>0</formula>
    </cfRule>
  </conditionalFormatting>
  <conditionalFormatting sqref="Q83">
    <cfRule type="cellIs" dxfId="5856" priority="2601" operator="lessThan">
      <formula>0</formula>
    </cfRule>
  </conditionalFormatting>
  <conditionalFormatting sqref="R83">
    <cfRule type="cellIs" dxfId="5855" priority="2599" operator="lessThan">
      <formula>0.8</formula>
    </cfRule>
    <cfRule type="cellIs" dxfId="5854" priority="2600" operator="greaterThan">
      <formula>1</formula>
    </cfRule>
  </conditionalFormatting>
  <conditionalFormatting sqref="R83">
    <cfRule type="cellIs" dxfId="5853" priority="2597" operator="greaterThan">
      <formula>1</formula>
    </cfRule>
    <cfRule type="cellIs" dxfId="5852" priority="2598" operator="lessThan">
      <formula>0.8</formula>
    </cfRule>
  </conditionalFormatting>
  <conditionalFormatting sqref="P83">
    <cfRule type="cellIs" dxfId="5851" priority="2596" operator="greaterThan">
      <formula>0</formula>
    </cfRule>
  </conditionalFormatting>
  <conditionalFormatting sqref="P83">
    <cfRule type="cellIs" dxfId="5850" priority="2590" operator="greaterThan">
      <formula>0</formula>
    </cfRule>
  </conditionalFormatting>
  <conditionalFormatting sqref="Q83">
    <cfRule type="cellIs" dxfId="5849" priority="2595" operator="lessThan">
      <formula>0</formula>
    </cfRule>
  </conditionalFormatting>
  <conditionalFormatting sqref="R83">
    <cfRule type="cellIs" dxfId="5848" priority="2593" operator="lessThan">
      <formula>0.8</formula>
    </cfRule>
    <cfRule type="cellIs" dxfId="5847" priority="2594" operator="greaterThan">
      <formula>1</formula>
    </cfRule>
  </conditionalFormatting>
  <conditionalFormatting sqref="R83">
    <cfRule type="cellIs" dxfId="5846" priority="2591" operator="greaterThan">
      <formula>1</formula>
    </cfRule>
    <cfRule type="cellIs" dxfId="5845" priority="2592" operator="lessThan">
      <formula>0.8</formula>
    </cfRule>
  </conditionalFormatting>
  <conditionalFormatting sqref="P83">
    <cfRule type="cellIs" dxfId="5844" priority="2584" operator="greaterThan">
      <formula>0</formula>
    </cfRule>
  </conditionalFormatting>
  <conditionalFormatting sqref="Q83">
    <cfRule type="cellIs" dxfId="5843" priority="2589" operator="lessThan">
      <formula>0</formula>
    </cfRule>
  </conditionalFormatting>
  <conditionalFormatting sqref="R83">
    <cfRule type="cellIs" dxfId="5842" priority="2587" operator="lessThan">
      <formula>0.8</formula>
    </cfRule>
    <cfRule type="cellIs" dxfId="5841" priority="2588" operator="greaterThan">
      <formula>1</formula>
    </cfRule>
  </conditionalFormatting>
  <conditionalFormatting sqref="R83">
    <cfRule type="cellIs" dxfId="5840" priority="2585" operator="greaterThan">
      <formula>1</formula>
    </cfRule>
    <cfRule type="cellIs" dxfId="5839" priority="2586" operator="lessThan">
      <formula>0.8</formula>
    </cfRule>
  </conditionalFormatting>
  <conditionalFormatting sqref="R83">
    <cfRule type="cellIs" dxfId="5838" priority="2581" operator="lessThan">
      <formula>0.8</formula>
    </cfRule>
    <cfRule type="cellIs" dxfId="5837" priority="2582" operator="greaterThan">
      <formula>1</formula>
    </cfRule>
  </conditionalFormatting>
  <conditionalFormatting sqref="R83">
    <cfRule type="cellIs" dxfId="5836" priority="2579" operator="greaterThan">
      <formula>1</formula>
    </cfRule>
    <cfRule type="cellIs" dxfId="5835" priority="2580" operator="lessThan">
      <formula>0.8</formula>
    </cfRule>
  </conditionalFormatting>
  <conditionalFormatting sqref="P83">
    <cfRule type="cellIs" dxfId="5834" priority="2578" operator="greaterThan">
      <formula>0</formula>
    </cfRule>
  </conditionalFormatting>
  <conditionalFormatting sqref="Q83">
    <cfRule type="cellIs" dxfId="5833" priority="2583" operator="lessThan">
      <formula>0</formula>
    </cfRule>
  </conditionalFormatting>
  <conditionalFormatting sqref="P123 P125:P126 P131 P128:P129">
    <cfRule type="cellIs" dxfId="5832" priority="2572" operator="greaterThan">
      <formula>0</formula>
    </cfRule>
  </conditionalFormatting>
  <conditionalFormatting sqref="Q123 Q125:Q126 Q131 Q128:Q129">
    <cfRule type="cellIs" dxfId="5831" priority="2577" operator="lessThan">
      <formula>0</formula>
    </cfRule>
  </conditionalFormatting>
  <conditionalFormatting sqref="R123 R125:R126 R131 R128:R129">
    <cfRule type="cellIs" dxfId="5830" priority="2575" operator="lessThan">
      <formula>0.8</formula>
    </cfRule>
    <cfRule type="cellIs" dxfId="5829" priority="2576" operator="greaterThan">
      <formula>1</formula>
    </cfRule>
  </conditionalFormatting>
  <conditionalFormatting sqref="R123 R125:R126 R131 R128:R129">
    <cfRule type="cellIs" dxfId="5828" priority="2573" operator="greaterThan">
      <formula>1</formula>
    </cfRule>
    <cfRule type="cellIs" dxfId="5827" priority="2574" operator="lessThan">
      <formula>0.8</formula>
    </cfRule>
  </conditionalFormatting>
  <conditionalFormatting sqref="Q123 Q125:Q126 Q131 Q128:Q129">
    <cfRule type="cellIs" dxfId="5826" priority="2571" operator="lessThan">
      <formula>0</formula>
    </cfRule>
  </conditionalFormatting>
  <conditionalFormatting sqref="R123 R125:R126 R131 R128:R129">
    <cfRule type="cellIs" dxfId="5825" priority="2569" operator="lessThan">
      <formula>0.8</formula>
    </cfRule>
    <cfRule type="cellIs" dxfId="5824" priority="2570" operator="greaterThan">
      <formula>1</formula>
    </cfRule>
  </conditionalFormatting>
  <conditionalFormatting sqref="R123 R125:R126 R131 R128:R129">
    <cfRule type="cellIs" dxfId="5823" priority="2567" operator="greaterThan">
      <formula>1</formula>
    </cfRule>
    <cfRule type="cellIs" dxfId="5822" priority="2568" operator="lessThan">
      <formula>0.8</formula>
    </cfRule>
  </conditionalFormatting>
  <conditionalFormatting sqref="P123 P125:P126 P131 P128:P129">
    <cfRule type="cellIs" dxfId="5821" priority="2566" operator="greaterThan">
      <formula>0</formula>
    </cfRule>
  </conditionalFormatting>
  <conditionalFormatting sqref="Q31">
    <cfRule type="cellIs" dxfId="5820" priority="2565" operator="lessThan">
      <formula>0</formula>
    </cfRule>
  </conditionalFormatting>
  <conditionalFormatting sqref="R31">
    <cfRule type="cellIs" dxfId="5819" priority="2563" operator="lessThan">
      <formula>0.8</formula>
    </cfRule>
    <cfRule type="cellIs" dxfId="5818" priority="2564" operator="greaterThan">
      <formula>1</formula>
    </cfRule>
  </conditionalFormatting>
  <conditionalFormatting sqref="R31">
    <cfRule type="cellIs" dxfId="5817" priority="2561" operator="greaterThan">
      <formula>1</formula>
    </cfRule>
    <cfRule type="cellIs" dxfId="5816" priority="2562" operator="lessThan">
      <formula>0.8</formula>
    </cfRule>
  </conditionalFormatting>
  <conditionalFormatting sqref="P31">
    <cfRule type="cellIs" dxfId="5815" priority="2560" operator="greaterThan">
      <formula>0</formula>
    </cfRule>
  </conditionalFormatting>
  <conditionalFormatting sqref="Q31">
    <cfRule type="cellIs" dxfId="5814" priority="2559" operator="lessThan">
      <formula>0</formula>
    </cfRule>
  </conditionalFormatting>
  <conditionalFormatting sqref="R31">
    <cfRule type="cellIs" dxfId="5813" priority="2557" operator="lessThan">
      <formula>0.8</formula>
    </cfRule>
    <cfRule type="cellIs" dxfId="5812" priority="2558" operator="greaterThan">
      <formula>1</formula>
    </cfRule>
  </conditionalFormatting>
  <conditionalFormatting sqref="R31">
    <cfRule type="cellIs" dxfId="5811" priority="2555" operator="greaterThan">
      <formula>1</formula>
    </cfRule>
    <cfRule type="cellIs" dxfId="5810" priority="2556" operator="lessThan">
      <formula>0.8</formula>
    </cfRule>
  </conditionalFormatting>
  <conditionalFormatting sqref="P31">
    <cfRule type="cellIs" dxfId="5809" priority="2554" operator="greaterThan">
      <formula>0</formula>
    </cfRule>
  </conditionalFormatting>
  <conditionalFormatting sqref="Q31">
    <cfRule type="cellIs" dxfId="5808" priority="2553" operator="lessThan">
      <formula>0</formula>
    </cfRule>
  </conditionalFormatting>
  <conditionalFormatting sqref="R31">
    <cfRule type="cellIs" dxfId="5807" priority="2551" operator="lessThan">
      <formula>0.8</formula>
    </cfRule>
    <cfRule type="cellIs" dxfId="5806" priority="2552" operator="greaterThan">
      <formula>1</formula>
    </cfRule>
  </conditionalFormatting>
  <conditionalFormatting sqref="R31">
    <cfRule type="cellIs" dxfId="5805" priority="2549" operator="greaterThan">
      <formula>1</formula>
    </cfRule>
    <cfRule type="cellIs" dxfId="5804" priority="2550" operator="lessThan">
      <formula>0.8</formula>
    </cfRule>
  </conditionalFormatting>
  <conditionalFormatting sqref="P31">
    <cfRule type="cellIs" dxfId="5803" priority="2548" operator="greaterThan">
      <formula>0</formula>
    </cfRule>
  </conditionalFormatting>
  <conditionalFormatting sqref="Q31">
    <cfRule type="cellIs" dxfId="5802" priority="2547" operator="lessThan">
      <formula>0</formula>
    </cfRule>
  </conditionalFormatting>
  <conditionalFormatting sqref="R31">
    <cfRule type="cellIs" dxfId="5801" priority="2545" operator="lessThan">
      <formula>0.8</formula>
    </cfRule>
    <cfRule type="cellIs" dxfId="5800" priority="2546" operator="greaterThan">
      <formula>1</formula>
    </cfRule>
  </conditionalFormatting>
  <conditionalFormatting sqref="R31">
    <cfRule type="cellIs" dxfId="5799" priority="2543" operator="greaterThan">
      <formula>1</formula>
    </cfRule>
    <cfRule type="cellIs" dxfId="5798" priority="2544" operator="lessThan">
      <formula>0.8</formula>
    </cfRule>
  </conditionalFormatting>
  <conditionalFormatting sqref="P31">
    <cfRule type="cellIs" dxfId="5797" priority="2542" operator="greaterThan">
      <formula>0</formula>
    </cfRule>
  </conditionalFormatting>
  <conditionalFormatting sqref="P31">
    <cfRule type="cellIs" dxfId="5796" priority="2536" operator="greaterThan">
      <formula>0</formula>
    </cfRule>
  </conditionalFormatting>
  <conditionalFormatting sqref="Q31">
    <cfRule type="cellIs" dxfId="5795" priority="2541" operator="lessThan">
      <formula>0</formula>
    </cfRule>
  </conditionalFormatting>
  <conditionalFormatting sqref="R31">
    <cfRule type="cellIs" dxfId="5794" priority="2539" operator="lessThan">
      <formula>0.8</formula>
    </cfRule>
    <cfRule type="cellIs" dxfId="5793" priority="2540" operator="greaterThan">
      <formula>1</formula>
    </cfRule>
  </conditionalFormatting>
  <conditionalFormatting sqref="R31">
    <cfRule type="cellIs" dxfId="5792" priority="2537" operator="greaterThan">
      <formula>1</formula>
    </cfRule>
    <cfRule type="cellIs" dxfId="5791" priority="2538" operator="lessThan">
      <formula>0.8</formula>
    </cfRule>
  </conditionalFormatting>
  <conditionalFormatting sqref="P31">
    <cfRule type="cellIs" dxfId="5790" priority="2530" operator="greaterThan">
      <formula>0</formula>
    </cfRule>
  </conditionalFormatting>
  <conditionalFormatting sqref="Q31">
    <cfRule type="cellIs" dxfId="5789" priority="2535" operator="lessThan">
      <formula>0</formula>
    </cfRule>
  </conditionalFormatting>
  <conditionalFormatting sqref="R31">
    <cfRule type="cellIs" dxfId="5788" priority="2533" operator="lessThan">
      <formula>0.8</formula>
    </cfRule>
    <cfRule type="cellIs" dxfId="5787" priority="2534" operator="greaterThan">
      <formula>1</formula>
    </cfRule>
  </conditionalFormatting>
  <conditionalFormatting sqref="R31">
    <cfRule type="cellIs" dxfId="5786" priority="2531" operator="greaterThan">
      <formula>1</formula>
    </cfRule>
    <cfRule type="cellIs" dxfId="5785" priority="2532" operator="lessThan">
      <formula>0.8</formula>
    </cfRule>
  </conditionalFormatting>
  <conditionalFormatting sqref="R31">
    <cfRule type="cellIs" dxfId="5784" priority="2527" operator="lessThan">
      <formula>0.8</formula>
    </cfRule>
    <cfRule type="cellIs" dxfId="5783" priority="2528" operator="greaterThan">
      <formula>1</formula>
    </cfRule>
  </conditionalFormatting>
  <conditionalFormatting sqref="R31">
    <cfRule type="cellIs" dxfId="5782" priority="2525" operator="greaterThan">
      <formula>1</formula>
    </cfRule>
    <cfRule type="cellIs" dxfId="5781" priority="2526" operator="lessThan">
      <formula>0.8</formula>
    </cfRule>
  </conditionalFormatting>
  <conditionalFormatting sqref="P31">
    <cfRule type="cellIs" dxfId="5780" priority="2524" operator="greaterThan">
      <formula>0</formula>
    </cfRule>
  </conditionalFormatting>
  <conditionalFormatting sqref="Q31">
    <cfRule type="cellIs" dxfId="5779" priority="2529" operator="lessThan">
      <formula>0</formula>
    </cfRule>
  </conditionalFormatting>
  <conditionalFormatting sqref="Q31">
    <cfRule type="cellIs" dxfId="5778" priority="2523" operator="lessThan">
      <formula>0</formula>
    </cfRule>
  </conditionalFormatting>
  <conditionalFormatting sqref="R31">
    <cfRule type="cellIs" dxfId="5777" priority="2521" operator="lessThan">
      <formula>0.8</formula>
    </cfRule>
    <cfRule type="cellIs" dxfId="5776" priority="2522" operator="greaterThan">
      <formula>1</formula>
    </cfRule>
  </conditionalFormatting>
  <conditionalFormatting sqref="R31">
    <cfRule type="cellIs" dxfId="5775" priority="2519" operator="greaterThan">
      <formula>1</formula>
    </cfRule>
    <cfRule type="cellIs" dxfId="5774" priority="2520" operator="lessThan">
      <formula>0.8</formula>
    </cfRule>
  </conditionalFormatting>
  <conditionalFormatting sqref="P31">
    <cfRule type="cellIs" dxfId="5773" priority="2518" operator="greaterThan">
      <formula>0</formula>
    </cfRule>
  </conditionalFormatting>
  <conditionalFormatting sqref="P31">
    <cfRule type="cellIs" dxfId="5772" priority="2512" operator="greaterThan">
      <formula>0</formula>
    </cfRule>
  </conditionalFormatting>
  <conditionalFormatting sqref="Q31">
    <cfRule type="cellIs" dxfId="5771" priority="2517" operator="lessThan">
      <formula>0</formula>
    </cfRule>
  </conditionalFormatting>
  <conditionalFormatting sqref="R31">
    <cfRule type="cellIs" dxfId="5770" priority="2515" operator="lessThan">
      <formula>0.8</formula>
    </cfRule>
    <cfRule type="cellIs" dxfId="5769" priority="2516" operator="greaterThan">
      <formula>1</formula>
    </cfRule>
  </conditionalFormatting>
  <conditionalFormatting sqref="R31">
    <cfRule type="cellIs" dxfId="5768" priority="2513" operator="greaterThan">
      <formula>1</formula>
    </cfRule>
    <cfRule type="cellIs" dxfId="5767" priority="2514" operator="lessThan">
      <formula>0.8</formula>
    </cfRule>
  </conditionalFormatting>
  <conditionalFormatting sqref="P31">
    <cfRule type="cellIs" dxfId="5766" priority="2506" operator="greaterThan">
      <formula>0</formula>
    </cfRule>
  </conditionalFormatting>
  <conditionalFormatting sqref="Q31">
    <cfRule type="cellIs" dxfId="5765" priority="2511" operator="lessThan">
      <formula>0</formula>
    </cfRule>
  </conditionalFormatting>
  <conditionalFormatting sqref="R31">
    <cfRule type="cellIs" dxfId="5764" priority="2509" operator="lessThan">
      <formula>0.8</formula>
    </cfRule>
    <cfRule type="cellIs" dxfId="5763" priority="2510" operator="greaterThan">
      <formula>1</formula>
    </cfRule>
  </conditionalFormatting>
  <conditionalFormatting sqref="R31">
    <cfRule type="cellIs" dxfId="5762" priority="2507" operator="greaterThan">
      <formula>1</formula>
    </cfRule>
    <cfRule type="cellIs" dxfId="5761" priority="2508" operator="lessThan">
      <formula>0.8</formula>
    </cfRule>
  </conditionalFormatting>
  <conditionalFormatting sqref="R31">
    <cfRule type="cellIs" dxfId="5760" priority="2503" operator="lessThan">
      <formula>0.8</formula>
    </cfRule>
    <cfRule type="cellIs" dxfId="5759" priority="2504" operator="greaterThan">
      <formula>1</formula>
    </cfRule>
  </conditionalFormatting>
  <conditionalFormatting sqref="R31">
    <cfRule type="cellIs" dxfId="5758" priority="2501" operator="greaterThan">
      <formula>1</formula>
    </cfRule>
    <cfRule type="cellIs" dxfId="5757" priority="2502" operator="lessThan">
      <formula>0.8</formula>
    </cfRule>
  </conditionalFormatting>
  <conditionalFormatting sqref="P31">
    <cfRule type="cellIs" dxfId="5756" priority="2500" operator="greaterThan">
      <formula>0</formula>
    </cfRule>
  </conditionalFormatting>
  <conditionalFormatting sqref="Q31">
    <cfRule type="cellIs" dxfId="5755" priority="2505" operator="lessThan">
      <formula>0</formula>
    </cfRule>
  </conditionalFormatting>
  <conditionalFormatting sqref="P31">
    <cfRule type="cellIs" dxfId="5754" priority="2494" operator="greaterThan">
      <formula>0</formula>
    </cfRule>
  </conditionalFormatting>
  <conditionalFormatting sqref="Q31">
    <cfRule type="cellIs" dxfId="5753" priority="2499" operator="lessThan">
      <formula>0</formula>
    </cfRule>
  </conditionalFormatting>
  <conditionalFormatting sqref="R31">
    <cfRule type="cellIs" dxfId="5752" priority="2497" operator="lessThan">
      <formula>0.8</formula>
    </cfRule>
    <cfRule type="cellIs" dxfId="5751" priority="2498" operator="greaterThan">
      <formula>1</formula>
    </cfRule>
  </conditionalFormatting>
  <conditionalFormatting sqref="R31">
    <cfRule type="cellIs" dxfId="5750" priority="2495" operator="greaterThan">
      <formula>1</formula>
    </cfRule>
    <cfRule type="cellIs" dxfId="5749" priority="2496" operator="lessThan">
      <formula>0.8</formula>
    </cfRule>
  </conditionalFormatting>
  <conditionalFormatting sqref="R31">
    <cfRule type="cellIs" dxfId="5748" priority="2491" operator="lessThan">
      <formula>0.8</formula>
    </cfRule>
    <cfRule type="cellIs" dxfId="5747" priority="2492" operator="greaterThan">
      <formula>1</formula>
    </cfRule>
  </conditionalFormatting>
  <conditionalFormatting sqref="R31">
    <cfRule type="cellIs" dxfId="5746" priority="2489" operator="greaterThan">
      <formula>1</formula>
    </cfRule>
    <cfRule type="cellIs" dxfId="5745" priority="2490" operator="lessThan">
      <formula>0.8</formula>
    </cfRule>
  </conditionalFormatting>
  <conditionalFormatting sqref="P31">
    <cfRule type="cellIs" dxfId="5744" priority="2488" operator="greaterThan">
      <formula>0</formula>
    </cfRule>
  </conditionalFormatting>
  <conditionalFormatting sqref="Q31">
    <cfRule type="cellIs" dxfId="5743" priority="2493" operator="lessThan">
      <formula>0</formula>
    </cfRule>
  </conditionalFormatting>
  <conditionalFormatting sqref="R31">
    <cfRule type="cellIs" dxfId="5742" priority="2485" operator="lessThan">
      <formula>0.8</formula>
    </cfRule>
    <cfRule type="cellIs" dxfId="5741" priority="2486" operator="greaterThan">
      <formula>1</formula>
    </cfRule>
  </conditionalFormatting>
  <conditionalFormatting sqref="R31">
    <cfRule type="cellIs" dxfId="5740" priority="2483" operator="greaterThan">
      <formula>1</formula>
    </cfRule>
    <cfRule type="cellIs" dxfId="5739" priority="2484" operator="lessThan">
      <formula>0.8</formula>
    </cfRule>
  </conditionalFormatting>
  <conditionalFormatting sqref="P31">
    <cfRule type="cellIs" dxfId="5738" priority="2482" operator="greaterThan">
      <formula>0</formula>
    </cfRule>
  </conditionalFormatting>
  <conditionalFormatting sqref="Q31">
    <cfRule type="cellIs" dxfId="5737" priority="2487" operator="lessThan">
      <formula>0</formula>
    </cfRule>
  </conditionalFormatting>
  <conditionalFormatting sqref="Q31">
    <cfRule type="cellIs" dxfId="5736" priority="2481" operator="lessThan">
      <formula>0</formula>
    </cfRule>
  </conditionalFormatting>
  <conditionalFormatting sqref="R31">
    <cfRule type="cellIs" dxfId="5735" priority="2479" operator="lessThan">
      <formula>0.8</formula>
    </cfRule>
    <cfRule type="cellIs" dxfId="5734" priority="2480" operator="greaterThan">
      <formula>1</formula>
    </cfRule>
  </conditionalFormatting>
  <conditionalFormatting sqref="R31">
    <cfRule type="cellIs" dxfId="5733" priority="2477" operator="greaterThan">
      <formula>1</formula>
    </cfRule>
    <cfRule type="cellIs" dxfId="5732" priority="2478" operator="lessThan">
      <formula>0.8</formula>
    </cfRule>
  </conditionalFormatting>
  <conditionalFormatting sqref="P31">
    <cfRule type="cellIs" dxfId="5731" priority="2476" operator="greaterThan">
      <formula>0</formula>
    </cfRule>
  </conditionalFormatting>
  <conditionalFormatting sqref="Q31">
    <cfRule type="cellIs" dxfId="5730" priority="2470" operator="lessThan">
      <formula>0</formula>
    </cfRule>
  </conditionalFormatting>
  <conditionalFormatting sqref="R31">
    <cfRule type="cellIs" dxfId="5729" priority="2474" operator="lessThan">
      <formula>0.8</formula>
    </cfRule>
    <cfRule type="cellIs" dxfId="5728" priority="2475" operator="greaterThan">
      <formula>1</formula>
    </cfRule>
  </conditionalFormatting>
  <conditionalFormatting sqref="R31">
    <cfRule type="cellIs" dxfId="5727" priority="2472" operator="greaterThan">
      <formula>1</formula>
    </cfRule>
    <cfRule type="cellIs" dxfId="5726" priority="2473" operator="lessThan">
      <formula>0.8</formula>
    </cfRule>
  </conditionalFormatting>
  <conditionalFormatting sqref="P31">
    <cfRule type="cellIs" dxfId="5725" priority="2471" operator="greaterThan">
      <formula>0</formula>
    </cfRule>
  </conditionalFormatting>
  <conditionalFormatting sqref="Q31">
    <cfRule type="cellIs" dxfId="5724" priority="2469" operator="lessThan">
      <formula>0</formula>
    </cfRule>
  </conditionalFormatting>
  <conditionalFormatting sqref="R31">
    <cfRule type="cellIs" dxfId="5723" priority="2467" operator="lessThan">
      <formula>0.8</formula>
    </cfRule>
    <cfRule type="cellIs" dxfId="5722" priority="2468" operator="greaterThan">
      <formula>1</formula>
    </cfRule>
  </conditionalFormatting>
  <conditionalFormatting sqref="R31">
    <cfRule type="cellIs" dxfId="5721" priority="2465" operator="greaterThan">
      <formula>1</formula>
    </cfRule>
    <cfRule type="cellIs" dxfId="5720" priority="2466" operator="lessThan">
      <formula>0.8</formula>
    </cfRule>
  </conditionalFormatting>
  <conditionalFormatting sqref="P31">
    <cfRule type="cellIs" dxfId="5719" priority="2464" operator="greaterThan">
      <formula>0</formula>
    </cfRule>
  </conditionalFormatting>
  <conditionalFormatting sqref="Q31">
    <cfRule type="cellIs" dxfId="5718" priority="2463" operator="lessThan">
      <formula>0</formula>
    </cfRule>
  </conditionalFormatting>
  <conditionalFormatting sqref="R31">
    <cfRule type="cellIs" dxfId="5717" priority="2461" operator="lessThan">
      <formula>0.8</formula>
    </cfRule>
    <cfRule type="cellIs" dxfId="5716" priority="2462" operator="greaterThan">
      <formula>1</formula>
    </cfRule>
  </conditionalFormatting>
  <conditionalFormatting sqref="R31">
    <cfRule type="cellIs" dxfId="5715" priority="2459" operator="greaterThan">
      <formula>1</formula>
    </cfRule>
    <cfRule type="cellIs" dxfId="5714" priority="2460" operator="lessThan">
      <formula>0.8</formula>
    </cfRule>
  </conditionalFormatting>
  <conditionalFormatting sqref="P31">
    <cfRule type="cellIs" dxfId="5713" priority="2458" operator="greaterThan">
      <formula>0</formula>
    </cfRule>
  </conditionalFormatting>
  <conditionalFormatting sqref="Q31">
    <cfRule type="cellIs" dxfId="5712" priority="2457" operator="lessThan">
      <formula>0</formula>
    </cfRule>
  </conditionalFormatting>
  <conditionalFormatting sqref="R31">
    <cfRule type="cellIs" dxfId="5711" priority="2455" operator="lessThan">
      <formula>0.8</formula>
    </cfRule>
    <cfRule type="cellIs" dxfId="5710" priority="2456" operator="greaterThan">
      <formula>1</formula>
    </cfRule>
  </conditionalFormatting>
  <conditionalFormatting sqref="R31">
    <cfRule type="cellIs" dxfId="5709" priority="2453" operator="greaterThan">
      <formula>1</formula>
    </cfRule>
    <cfRule type="cellIs" dxfId="5708" priority="2454" operator="lessThan">
      <formula>0.8</formula>
    </cfRule>
  </conditionalFormatting>
  <conditionalFormatting sqref="P31">
    <cfRule type="cellIs" dxfId="5707" priority="2452" operator="greaterThan">
      <formula>0</formula>
    </cfRule>
  </conditionalFormatting>
  <conditionalFormatting sqref="Q31">
    <cfRule type="cellIs" dxfId="5706" priority="2451" operator="lessThan">
      <formula>0</formula>
    </cfRule>
  </conditionalFormatting>
  <conditionalFormatting sqref="R31">
    <cfRule type="cellIs" dxfId="5705" priority="2449" operator="lessThan">
      <formula>0.8</formula>
    </cfRule>
    <cfRule type="cellIs" dxfId="5704" priority="2450" operator="greaterThan">
      <formula>1</formula>
    </cfRule>
  </conditionalFormatting>
  <conditionalFormatting sqref="R31">
    <cfRule type="cellIs" dxfId="5703" priority="2447" operator="greaterThan">
      <formula>1</formula>
    </cfRule>
    <cfRule type="cellIs" dxfId="5702" priority="2448" operator="lessThan">
      <formula>0.8</formula>
    </cfRule>
  </conditionalFormatting>
  <conditionalFormatting sqref="P31">
    <cfRule type="cellIs" dxfId="5701" priority="2446" operator="greaterThan">
      <formula>0</formula>
    </cfRule>
  </conditionalFormatting>
  <conditionalFormatting sqref="Q31">
    <cfRule type="cellIs" dxfId="5700" priority="2445" operator="lessThan">
      <formula>0</formula>
    </cfRule>
  </conditionalFormatting>
  <conditionalFormatting sqref="R31">
    <cfRule type="cellIs" dxfId="5699" priority="2443" operator="lessThan">
      <formula>0.8</formula>
    </cfRule>
    <cfRule type="cellIs" dxfId="5698" priority="2444" operator="greaterThan">
      <formula>1</formula>
    </cfRule>
  </conditionalFormatting>
  <conditionalFormatting sqref="R31">
    <cfRule type="cellIs" dxfId="5697" priority="2441" operator="greaterThan">
      <formula>1</formula>
    </cfRule>
    <cfRule type="cellIs" dxfId="5696" priority="2442" operator="lessThan">
      <formula>0.8</formula>
    </cfRule>
  </conditionalFormatting>
  <conditionalFormatting sqref="P31">
    <cfRule type="cellIs" dxfId="5695" priority="2440" operator="greaterThan">
      <formula>0</formula>
    </cfRule>
  </conditionalFormatting>
  <conditionalFormatting sqref="P31">
    <cfRule type="cellIs" dxfId="5694" priority="2434" operator="greaterThan">
      <formula>0</formula>
    </cfRule>
  </conditionalFormatting>
  <conditionalFormatting sqref="Q31">
    <cfRule type="cellIs" dxfId="5693" priority="2439" operator="lessThan">
      <formula>0</formula>
    </cfRule>
  </conditionalFormatting>
  <conditionalFormatting sqref="R31">
    <cfRule type="cellIs" dxfId="5692" priority="2437" operator="lessThan">
      <formula>0.8</formula>
    </cfRule>
    <cfRule type="cellIs" dxfId="5691" priority="2438" operator="greaterThan">
      <formula>1</formula>
    </cfRule>
  </conditionalFormatting>
  <conditionalFormatting sqref="R31">
    <cfRule type="cellIs" dxfId="5690" priority="2435" operator="greaterThan">
      <formula>1</formula>
    </cfRule>
    <cfRule type="cellIs" dxfId="5689" priority="2436" operator="lessThan">
      <formula>0.8</formula>
    </cfRule>
  </conditionalFormatting>
  <conditionalFormatting sqref="P31">
    <cfRule type="cellIs" dxfId="5688" priority="2428" operator="greaterThan">
      <formula>0</formula>
    </cfRule>
  </conditionalFormatting>
  <conditionalFormatting sqref="Q31">
    <cfRule type="cellIs" dxfId="5687" priority="2433" operator="lessThan">
      <formula>0</formula>
    </cfRule>
  </conditionalFormatting>
  <conditionalFormatting sqref="R31">
    <cfRule type="cellIs" dxfId="5686" priority="2431" operator="lessThan">
      <formula>0.8</formula>
    </cfRule>
    <cfRule type="cellIs" dxfId="5685" priority="2432" operator="greaterThan">
      <formula>1</formula>
    </cfRule>
  </conditionalFormatting>
  <conditionalFormatting sqref="R31">
    <cfRule type="cellIs" dxfId="5684" priority="2429" operator="greaterThan">
      <formula>1</formula>
    </cfRule>
    <cfRule type="cellIs" dxfId="5683" priority="2430" operator="lessThan">
      <formula>0.8</formula>
    </cfRule>
  </conditionalFormatting>
  <conditionalFormatting sqref="R31">
    <cfRule type="cellIs" dxfId="5682" priority="2425" operator="lessThan">
      <formula>0.8</formula>
    </cfRule>
    <cfRule type="cellIs" dxfId="5681" priority="2426" operator="greaterThan">
      <formula>1</formula>
    </cfRule>
  </conditionalFormatting>
  <conditionalFormatting sqref="R31">
    <cfRule type="cellIs" dxfId="5680" priority="2423" operator="greaterThan">
      <formula>1</formula>
    </cfRule>
    <cfRule type="cellIs" dxfId="5679" priority="2424" operator="lessThan">
      <formula>0.8</formula>
    </cfRule>
  </conditionalFormatting>
  <conditionalFormatting sqref="P31">
    <cfRule type="cellIs" dxfId="5678" priority="2422" operator="greaterThan">
      <formula>0</formula>
    </cfRule>
  </conditionalFormatting>
  <conditionalFormatting sqref="Q31">
    <cfRule type="cellIs" dxfId="5677" priority="2427" operator="lessThan">
      <formula>0</formula>
    </cfRule>
  </conditionalFormatting>
  <conditionalFormatting sqref="Q31">
    <cfRule type="cellIs" dxfId="5676" priority="2421" operator="lessThan">
      <formula>0</formula>
    </cfRule>
  </conditionalFormatting>
  <conditionalFormatting sqref="R31">
    <cfRule type="cellIs" dxfId="5675" priority="2419" operator="lessThan">
      <formula>0.8</formula>
    </cfRule>
    <cfRule type="cellIs" dxfId="5674" priority="2420" operator="greaterThan">
      <formula>1</formula>
    </cfRule>
  </conditionalFormatting>
  <conditionalFormatting sqref="R31">
    <cfRule type="cellIs" dxfId="5673" priority="2417" operator="greaterThan">
      <formula>1</formula>
    </cfRule>
    <cfRule type="cellIs" dxfId="5672" priority="2418" operator="lessThan">
      <formula>0.8</formula>
    </cfRule>
  </conditionalFormatting>
  <conditionalFormatting sqref="P31">
    <cfRule type="cellIs" dxfId="5671" priority="2416" operator="greaterThan">
      <formula>0</formula>
    </cfRule>
  </conditionalFormatting>
  <conditionalFormatting sqref="Q31">
    <cfRule type="cellIs" dxfId="5670" priority="2415" operator="lessThan">
      <formula>0</formula>
    </cfRule>
  </conditionalFormatting>
  <conditionalFormatting sqref="R31">
    <cfRule type="cellIs" dxfId="5669" priority="2413" operator="lessThan">
      <formula>0.8</formula>
    </cfRule>
    <cfRule type="cellIs" dxfId="5668" priority="2414" operator="greaterThan">
      <formula>1</formula>
    </cfRule>
  </conditionalFormatting>
  <conditionalFormatting sqref="R31">
    <cfRule type="cellIs" dxfId="5667" priority="2411" operator="greaterThan">
      <formula>1</formula>
    </cfRule>
    <cfRule type="cellIs" dxfId="5666" priority="2412" operator="lessThan">
      <formula>0.8</formula>
    </cfRule>
  </conditionalFormatting>
  <conditionalFormatting sqref="P31">
    <cfRule type="cellIs" dxfId="5665" priority="2410" operator="greaterThan">
      <formula>0</formula>
    </cfRule>
  </conditionalFormatting>
  <conditionalFormatting sqref="Q31">
    <cfRule type="cellIs" dxfId="5664" priority="2409" operator="lessThan">
      <formula>0</formula>
    </cfRule>
  </conditionalFormatting>
  <conditionalFormatting sqref="R31">
    <cfRule type="cellIs" dxfId="5663" priority="2407" operator="lessThan">
      <formula>0.8</formula>
    </cfRule>
    <cfRule type="cellIs" dxfId="5662" priority="2408" operator="greaterThan">
      <formula>1</formula>
    </cfRule>
  </conditionalFormatting>
  <conditionalFormatting sqref="R31">
    <cfRule type="cellIs" dxfId="5661" priority="2405" operator="greaterThan">
      <formula>1</formula>
    </cfRule>
    <cfRule type="cellIs" dxfId="5660" priority="2406" operator="lessThan">
      <formula>0.8</formula>
    </cfRule>
  </conditionalFormatting>
  <conditionalFormatting sqref="P31">
    <cfRule type="cellIs" dxfId="5659" priority="2404" operator="greaterThan">
      <formula>0</formula>
    </cfRule>
  </conditionalFormatting>
  <conditionalFormatting sqref="Q31">
    <cfRule type="cellIs" dxfId="5658" priority="2403" operator="lessThan">
      <formula>0</formula>
    </cfRule>
  </conditionalFormatting>
  <conditionalFormatting sqref="R31">
    <cfRule type="cellIs" dxfId="5657" priority="2401" operator="lessThan">
      <formula>0.8</formula>
    </cfRule>
    <cfRule type="cellIs" dxfId="5656" priority="2402" operator="greaterThan">
      <formula>1</formula>
    </cfRule>
  </conditionalFormatting>
  <conditionalFormatting sqref="R31">
    <cfRule type="cellIs" dxfId="5655" priority="2399" operator="greaterThan">
      <formula>1</formula>
    </cfRule>
    <cfRule type="cellIs" dxfId="5654" priority="2400" operator="lessThan">
      <formula>0.8</formula>
    </cfRule>
  </conditionalFormatting>
  <conditionalFormatting sqref="P31">
    <cfRule type="cellIs" dxfId="5653" priority="2398" operator="greaterThan">
      <formula>0</formula>
    </cfRule>
  </conditionalFormatting>
  <conditionalFormatting sqref="P31">
    <cfRule type="cellIs" dxfId="5652" priority="2392" operator="greaterThan">
      <formula>0</formula>
    </cfRule>
  </conditionalFormatting>
  <conditionalFormatting sqref="Q31">
    <cfRule type="cellIs" dxfId="5651" priority="2397" operator="lessThan">
      <formula>0</formula>
    </cfRule>
  </conditionalFormatting>
  <conditionalFormatting sqref="R31">
    <cfRule type="cellIs" dxfId="5650" priority="2395" operator="lessThan">
      <formula>0.8</formula>
    </cfRule>
    <cfRule type="cellIs" dxfId="5649" priority="2396" operator="greaterThan">
      <formula>1</formula>
    </cfRule>
  </conditionalFormatting>
  <conditionalFormatting sqref="R31">
    <cfRule type="cellIs" dxfId="5648" priority="2393" operator="greaterThan">
      <formula>1</formula>
    </cfRule>
    <cfRule type="cellIs" dxfId="5647" priority="2394" operator="lessThan">
      <formula>0.8</formula>
    </cfRule>
  </conditionalFormatting>
  <conditionalFormatting sqref="P31">
    <cfRule type="cellIs" dxfId="5646" priority="2386" operator="greaterThan">
      <formula>0</formula>
    </cfRule>
  </conditionalFormatting>
  <conditionalFormatting sqref="Q31">
    <cfRule type="cellIs" dxfId="5645" priority="2391" operator="lessThan">
      <formula>0</formula>
    </cfRule>
  </conditionalFormatting>
  <conditionalFormatting sqref="R31">
    <cfRule type="cellIs" dxfId="5644" priority="2389" operator="lessThan">
      <formula>0.8</formula>
    </cfRule>
    <cfRule type="cellIs" dxfId="5643" priority="2390" operator="greaterThan">
      <formula>1</formula>
    </cfRule>
  </conditionalFormatting>
  <conditionalFormatting sqref="R31">
    <cfRule type="cellIs" dxfId="5642" priority="2387" operator="greaterThan">
      <formula>1</formula>
    </cfRule>
    <cfRule type="cellIs" dxfId="5641" priority="2388" operator="lessThan">
      <formula>0.8</formula>
    </cfRule>
  </conditionalFormatting>
  <conditionalFormatting sqref="R31">
    <cfRule type="cellIs" dxfId="5640" priority="2383" operator="lessThan">
      <formula>0.8</formula>
    </cfRule>
    <cfRule type="cellIs" dxfId="5639" priority="2384" operator="greaterThan">
      <formula>1</formula>
    </cfRule>
  </conditionalFormatting>
  <conditionalFormatting sqref="R31">
    <cfRule type="cellIs" dxfId="5638" priority="2381" operator="greaterThan">
      <formula>1</formula>
    </cfRule>
    <cfRule type="cellIs" dxfId="5637" priority="2382" operator="lessThan">
      <formula>0.8</formula>
    </cfRule>
  </conditionalFormatting>
  <conditionalFormatting sqref="P31">
    <cfRule type="cellIs" dxfId="5636" priority="2380" operator="greaterThan">
      <formula>0</formula>
    </cfRule>
  </conditionalFormatting>
  <conditionalFormatting sqref="Q31">
    <cfRule type="cellIs" dxfId="5635" priority="2385" operator="lessThan">
      <formula>0</formula>
    </cfRule>
  </conditionalFormatting>
  <conditionalFormatting sqref="Q31">
    <cfRule type="cellIs" dxfId="5634" priority="2379" operator="lessThan">
      <formula>0</formula>
    </cfRule>
  </conditionalFormatting>
  <conditionalFormatting sqref="R31">
    <cfRule type="cellIs" dxfId="5633" priority="2377" operator="lessThan">
      <formula>0.8</formula>
    </cfRule>
    <cfRule type="cellIs" dxfId="5632" priority="2378" operator="greaterThan">
      <formula>1</formula>
    </cfRule>
  </conditionalFormatting>
  <conditionalFormatting sqref="R31">
    <cfRule type="cellIs" dxfId="5631" priority="2375" operator="greaterThan">
      <formula>1</formula>
    </cfRule>
    <cfRule type="cellIs" dxfId="5630" priority="2376" operator="lessThan">
      <formula>0.8</formula>
    </cfRule>
  </conditionalFormatting>
  <conditionalFormatting sqref="P31">
    <cfRule type="cellIs" dxfId="5629" priority="2374" operator="greaterThan">
      <formula>0</formula>
    </cfRule>
  </conditionalFormatting>
  <conditionalFormatting sqref="P31">
    <cfRule type="cellIs" dxfId="5628" priority="2368" operator="greaterThan">
      <formula>0</formula>
    </cfRule>
  </conditionalFormatting>
  <conditionalFormatting sqref="Q31">
    <cfRule type="cellIs" dxfId="5627" priority="2373" operator="lessThan">
      <formula>0</formula>
    </cfRule>
  </conditionalFormatting>
  <conditionalFormatting sqref="R31">
    <cfRule type="cellIs" dxfId="5626" priority="2371" operator="lessThan">
      <formula>0.8</formula>
    </cfRule>
    <cfRule type="cellIs" dxfId="5625" priority="2372" operator="greaterThan">
      <formula>1</formula>
    </cfRule>
  </conditionalFormatting>
  <conditionalFormatting sqref="R31">
    <cfRule type="cellIs" dxfId="5624" priority="2369" operator="greaterThan">
      <formula>1</formula>
    </cfRule>
    <cfRule type="cellIs" dxfId="5623" priority="2370" operator="lessThan">
      <formula>0.8</formula>
    </cfRule>
  </conditionalFormatting>
  <conditionalFormatting sqref="P31">
    <cfRule type="cellIs" dxfId="5622" priority="2362" operator="greaterThan">
      <formula>0</formula>
    </cfRule>
  </conditionalFormatting>
  <conditionalFormatting sqref="Q31">
    <cfRule type="cellIs" dxfId="5621" priority="2367" operator="lessThan">
      <formula>0</formula>
    </cfRule>
  </conditionalFormatting>
  <conditionalFormatting sqref="R31">
    <cfRule type="cellIs" dxfId="5620" priority="2365" operator="lessThan">
      <formula>0.8</formula>
    </cfRule>
    <cfRule type="cellIs" dxfId="5619" priority="2366" operator="greaterThan">
      <formula>1</formula>
    </cfRule>
  </conditionalFormatting>
  <conditionalFormatting sqref="R31">
    <cfRule type="cellIs" dxfId="5618" priority="2363" operator="greaterThan">
      <formula>1</formula>
    </cfRule>
    <cfRule type="cellIs" dxfId="5617" priority="2364" operator="lessThan">
      <formula>0.8</formula>
    </cfRule>
  </conditionalFormatting>
  <conditionalFormatting sqref="R31">
    <cfRule type="cellIs" dxfId="5616" priority="2359" operator="lessThan">
      <formula>0.8</formula>
    </cfRule>
    <cfRule type="cellIs" dxfId="5615" priority="2360" operator="greaterThan">
      <formula>1</formula>
    </cfRule>
  </conditionalFormatting>
  <conditionalFormatting sqref="R31">
    <cfRule type="cellIs" dxfId="5614" priority="2357" operator="greaterThan">
      <formula>1</formula>
    </cfRule>
    <cfRule type="cellIs" dxfId="5613" priority="2358" operator="lessThan">
      <formula>0.8</formula>
    </cfRule>
  </conditionalFormatting>
  <conditionalFormatting sqref="P31">
    <cfRule type="cellIs" dxfId="5612" priority="2356" operator="greaterThan">
      <formula>0</formula>
    </cfRule>
  </conditionalFormatting>
  <conditionalFormatting sqref="Q31">
    <cfRule type="cellIs" dxfId="5611" priority="2361" operator="lessThan">
      <formula>0</formula>
    </cfRule>
  </conditionalFormatting>
  <conditionalFormatting sqref="P31">
    <cfRule type="cellIs" dxfId="5610" priority="2350" operator="greaterThan">
      <formula>0</formula>
    </cfRule>
  </conditionalFormatting>
  <conditionalFormatting sqref="Q31">
    <cfRule type="cellIs" dxfId="5609" priority="2355" operator="lessThan">
      <formula>0</formula>
    </cfRule>
  </conditionalFormatting>
  <conditionalFormatting sqref="R31">
    <cfRule type="cellIs" dxfId="5608" priority="2353" operator="lessThan">
      <formula>0.8</formula>
    </cfRule>
    <cfRule type="cellIs" dxfId="5607" priority="2354" operator="greaterThan">
      <formula>1</formula>
    </cfRule>
  </conditionalFormatting>
  <conditionalFormatting sqref="R31">
    <cfRule type="cellIs" dxfId="5606" priority="2351" operator="greaterThan">
      <formula>1</formula>
    </cfRule>
    <cfRule type="cellIs" dxfId="5605" priority="2352" operator="lessThan">
      <formula>0.8</formula>
    </cfRule>
  </conditionalFormatting>
  <conditionalFormatting sqref="R31">
    <cfRule type="cellIs" dxfId="5604" priority="2347" operator="lessThan">
      <formula>0.8</formula>
    </cfRule>
    <cfRule type="cellIs" dxfId="5603" priority="2348" operator="greaterThan">
      <formula>1</formula>
    </cfRule>
  </conditionalFormatting>
  <conditionalFormatting sqref="R31">
    <cfRule type="cellIs" dxfId="5602" priority="2345" operator="greaterThan">
      <formula>1</formula>
    </cfRule>
    <cfRule type="cellIs" dxfId="5601" priority="2346" operator="lessThan">
      <formula>0.8</formula>
    </cfRule>
  </conditionalFormatting>
  <conditionalFormatting sqref="P31">
    <cfRule type="cellIs" dxfId="5600" priority="2344" operator="greaterThan">
      <formula>0</formula>
    </cfRule>
  </conditionalFormatting>
  <conditionalFormatting sqref="Q31">
    <cfRule type="cellIs" dxfId="5599" priority="2349" operator="lessThan">
      <formula>0</formula>
    </cfRule>
  </conditionalFormatting>
  <conditionalFormatting sqref="R31">
    <cfRule type="cellIs" dxfId="5598" priority="2341" operator="lessThan">
      <formula>0.8</formula>
    </cfRule>
    <cfRule type="cellIs" dxfId="5597" priority="2342" operator="greaterThan">
      <formula>1</formula>
    </cfRule>
  </conditionalFormatting>
  <conditionalFormatting sqref="R31">
    <cfRule type="cellIs" dxfId="5596" priority="2339" operator="greaterThan">
      <formula>1</formula>
    </cfRule>
    <cfRule type="cellIs" dxfId="5595" priority="2340" operator="lessThan">
      <formula>0.8</formula>
    </cfRule>
  </conditionalFormatting>
  <conditionalFormatting sqref="P31">
    <cfRule type="cellIs" dxfId="5594" priority="2338" operator="greaterThan">
      <formula>0</formula>
    </cfRule>
  </conditionalFormatting>
  <conditionalFormatting sqref="Q31">
    <cfRule type="cellIs" dxfId="5593" priority="2343" operator="lessThan">
      <formula>0</formula>
    </cfRule>
  </conditionalFormatting>
  <conditionalFormatting sqref="Q31">
    <cfRule type="cellIs" dxfId="5592" priority="2337" operator="lessThan">
      <formula>0</formula>
    </cfRule>
  </conditionalFormatting>
  <conditionalFormatting sqref="R31">
    <cfRule type="cellIs" dxfId="5591" priority="2335" operator="lessThan">
      <formula>0.8</formula>
    </cfRule>
    <cfRule type="cellIs" dxfId="5590" priority="2336" operator="greaterThan">
      <formula>1</formula>
    </cfRule>
  </conditionalFormatting>
  <conditionalFormatting sqref="R31">
    <cfRule type="cellIs" dxfId="5589" priority="2333" operator="greaterThan">
      <formula>1</formula>
    </cfRule>
    <cfRule type="cellIs" dxfId="5588" priority="2334" operator="lessThan">
      <formula>0.8</formula>
    </cfRule>
  </conditionalFormatting>
  <conditionalFormatting sqref="P31">
    <cfRule type="cellIs" dxfId="5587" priority="2332" operator="greaterThan">
      <formula>0</formula>
    </cfRule>
  </conditionalFormatting>
  <conditionalFormatting sqref="Q31">
    <cfRule type="cellIs" dxfId="5586" priority="2326" operator="lessThan">
      <formula>0</formula>
    </cfRule>
  </conditionalFormatting>
  <conditionalFormatting sqref="R31">
    <cfRule type="cellIs" dxfId="5585" priority="2330" operator="lessThan">
      <formula>0.8</formula>
    </cfRule>
    <cfRule type="cellIs" dxfId="5584" priority="2331" operator="greaterThan">
      <formula>1</formula>
    </cfRule>
  </conditionalFormatting>
  <conditionalFormatting sqref="R31">
    <cfRule type="cellIs" dxfId="5583" priority="2328" operator="greaterThan">
      <formula>1</formula>
    </cfRule>
    <cfRule type="cellIs" dxfId="5582" priority="2329" operator="lessThan">
      <formula>0.8</formula>
    </cfRule>
  </conditionalFormatting>
  <conditionalFormatting sqref="P31">
    <cfRule type="cellIs" dxfId="5581" priority="2327" operator="greaterThan">
      <formula>0</formula>
    </cfRule>
  </conditionalFormatting>
  <conditionalFormatting sqref="Q31">
    <cfRule type="cellIs" dxfId="5580" priority="2325" operator="lessThan">
      <formula>0</formula>
    </cfRule>
  </conditionalFormatting>
  <conditionalFormatting sqref="R31">
    <cfRule type="cellIs" dxfId="5579" priority="2323" operator="lessThan">
      <formula>0.8</formula>
    </cfRule>
    <cfRule type="cellIs" dxfId="5578" priority="2324" operator="greaterThan">
      <formula>1</formula>
    </cfRule>
  </conditionalFormatting>
  <conditionalFormatting sqref="R31">
    <cfRule type="cellIs" dxfId="5577" priority="2321" operator="greaterThan">
      <formula>1</formula>
    </cfRule>
    <cfRule type="cellIs" dxfId="5576" priority="2322" operator="lessThan">
      <formula>0.8</formula>
    </cfRule>
  </conditionalFormatting>
  <conditionalFormatting sqref="P31">
    <cfRule type="cellIs" dxfId="5575" priority="2320" operator="greaterThan">
      <formula>0</formula>
    </cfRule>
  </conditionalFormatting>
  <conditionalFormatting sqref="Q31">
    <cfRule type="cellIs" dxfId="5574" priority="2319" operator="lessThan">
      <formula>0</formula>
    </cfRule>
  </conditionalFormatting>
  <conditionalFormatting sqref="R31">
    <cfRule type="cellIs" dxfId="5573" priority="2317" operator="lessThan">
      <formula>0.8</formula>
    </cfRule>
    <cfRule type="cellIs" dxfId="5572" priority="2318" operator="greaterThan">
      <formula>1</formula>
    </cfRule>
  </conditionalFormatting>
  <conditionalFormatting sqref="R31">
    <cfRule type="cellIs" dxfId="5571" priority="2315" operator="greaterThan">
      <formula>1</formula>
    </cfRule>
    <cfRule type="cellIs" dxfId="5570" priority="2316" operator="lessThan">
      <formula>0.8</formula>
    </cfRule>
  </conditionalFormatting>
  <conditionalFormatting sqref="P31">
    <cfRule type="cellIs" dxfId="5569" priority="2314" operator="greaterThan">
      <formula>0</formula>
    </cfRule>
  </conditionalFormatting>
  <conditionalFormatting sqref="Q31">
    <cfRule type="cellIs" dxfId="5568" priority="2313" operator="lessThan">
      <formula>0</formula>
    </cfRule>
  </conditionalFormatting>
  <conditionalFormatting sqref="R31">
    <cfRule type="cellIs" dxfId="5567" priority="2311" operator="lessThan">
      <formula>0.8</formula>
    </cfRule>
    <cfRule type="cellIs" dxfId="5566" priority="2312" operator="greaterThan">
      <formula>1</formula>
    </cfRule>
  </conditionalFormatting>
  <conditionalFormatting sqref="R31">
    <cfRule type="cellIs" dxfId="5565" priority="2309" operator="greaterThan">
      <formula>1</formula>
    </cfRule>
    <cfRule type="cellIs" dxfId="5564" priority="2310" operator="lessThan">
      <formula>0.8</formula>
    </cfRule>
  </conditionalFormatting>
  <conditionalFormatting sqref="P31">
    <cfRule type="cellIs" dxfId="5563" priority="2308" operator="greaterThan">
      <formula>0</formula>
    </cfRule>
  </conditionalFormatting>
  <conditionalFormatting sqref="Q31">
    <cfRule type="cellIs" dxfId="5562" priority="2307" operator="lessThan">
      <formula>0</formula>
    </cfRule>
  </conditionalFormatting>
  <conditionalFormatting sqref="R31">
    <cfRule type="cellIs" dxfId="5561" priority="2305" operator="lessThan">
      <formula>0.8</formula>
    </cfRule>
    <cfRule type="cellIs" dxfId="5560" priority="2306" operator="greaterThan">
      <formula>1</formula>
    </cfRule>
  </conditionalFormatting>
  <conditionalFormatting sqref="R31">
    <cfRule type="cellIs" dxfId="5559" priority="2303" operator="greaterThan">
      <formula>1</formula>
    </cfRule>
    <cfRule type="cellIs" dxfId="5558" priority="2304" operator="lessThan">
      <formula>0.8</formula>
    </cfRule>
  </conditionalFormatting>
  <conditionalFormatting sqref="P31">
    <cfRule type="cellIs" dxfId="5557" priority="2302" operator="greaterThan">
      <formula>0</formula>
    </cfRule>
  </conditionalFormatting>
  <conditionalFormatting sqref="Q31">
    <cfRule type="cellIs" dxfId="5556" priority="2301" operator="lessThan">
      <formula>0</formula>
    </cfRule>
  </conditionalFormatting>
  <conditionalFormatting sqref="R31">
    <cfRule type="cellIs" dxfId="5555" priority="2299" operator="lessThan">
      <formula>0.8</formula>
    </cfRule>
    <cfRule type="cellIs" dxfId="5554" priority="2300" operator="greaterThan">
      <formula>1</formula>
    </cfRule>
  </conditionalFormatting>
  <conditionalFormatting sqref="R31">
    <cfRule type="cellIs" dxfId="5553" priority="2297" operator="greaterThan">
      <formula>1</formula>
    </cfRule>
    <cfRule type="cellIs" dxfId="5552" priority="2298" operator="lessThan">
      <formula>0.8</formula>
    </cfRule>
  </conditionalFormatting>
  <conditionalFormatting sqref="P31">
    <cfRule type="cellIs" dxfId="5551" priority="2296" operator="greaterThan">
      <formula>0</formula>
    </cfRule>
  </conditionalFormatting>
  <conditionalFormatting sqref="P31">
    <cfRule type="cellIs" dxfId="5550" priority="2290" operator="greaterThan">
      <formula>0</formula>
    </cfRule>
  </conditionalFormatting>
  <conditionalFormatting sqref="Q31">
    <cfRule type="cellIs" dxfId="5549" priority="2295" operator="lessThan">
      <formula>0</formula>
    </cfRule>
  </conditionalFormatting>
  <conditionalFormatting sqref="R31">
    <cfRule type="cellIs" dxfId="5548" priority="2293" operator="lessThan">
      <formula>0.8</formula>
    </cfRule>
    <cfRule type="cellIs" dxfId="5547" priority="2294" operator="greaterThan">
      <formula>1</formula>
    </cfRule>
  </conditionalFormatting>
  <conditionalFormatting sqref="R31">
    <cfRule type="cellIs" dxfId="5546" priority="2291" operator="greaterThan">
      <formula>1</formula>
    </cfRule>
    <cfRule type="cellIs" dxfId="5545" priority="2292" operator="lessThan">
      <formula>0.8</formula>
    </cfRule>
  </conditionalFormatting>
  <conditionalFormatting sqref="P31">
    <cfRule type="cellIs" dxfId="5544" priority="2284" operator="greaterThan">
      <formula>0</formula>
    </cfRule>
  </conditionalFormatting>
  <conditionalFormatting sqref="Q31">
    <cfRule type="cellIs" dxfId="5543" priority="2289" operator="lessThan">
      <formula>0</formula>
    </cfRule>
  </conditionalFormatting>
  <conditionalFormatting sqref="R31">
    <cfRule type="cellIs" dxfId="5542" priority="2287" operator="lessThan">
      <formula>0.8</formula>
    </cfRule>
    <cfRule type="cellIs" dxfId="5541" priority="2288" operator="greaterThan">
      <formula>1</formula>
    </cfRule>
  </conditionalFormatting>
  <conditionalFormatting sqref="R31">
    <cfRule type="cellIs" dxfId="5540" priority="2285" operator="greaterThan">
      <formula>1</formula>
    </cfRule>
    <cfRule type="cellIs" dxfId="5539" priority="2286" operator="lessThan">
      <formula>0.8</formula>
    </cfRule>
  </conditionalFormatting>
  <conditionalFormatting sqref="R31">
    <cfRule type="cellIs" dxfId="5538" priority="2281" operator="lessThan">
      <formula>0.8</formula>
    </cfRule>
    <cfRule type="cellIs" dxfId="5537" priority="2282" operator="greaterThan">
      <formula>1</formula>
    </cfRule>
  </conditionalFormatting>
  <conditionalFormatting sqref="R31">
    <cfRule type="cellIs" dxfId="5536" priority="2279" operator="greaterThan">
      <formula>1</formula>
    </cfRule>
    <cfRule type="cellIs" dxfId="5535" priority="2280" operator="lessThan">
      <formula>0.8</formula>
    </cfRule>
  </conditionalFormatting>
  <conditionalFormatting sqref="P31">
    <cfRule type="cellIs" dxfId="5534" priority="2278" operator="greaterThan">
      <formula>0</formula>
    </cfRule>
  </conditionalFormatting>
  <conditionalFormatting sqref="Q31">
    <cfRule type="cellIs" dxfId="5533" priority="2283" operator="lessThan">
      <formula>0</formula>
    </cfRule>
  </conditionalFormatting>
  <conditionalFormatting sqref="P79">
    <cfRule type="cellIs" dxfId="5532" priority="2272" operator="greaterThan">
      <formula>0</formula>
    </cfRule>
  </conditionalFormatting>
  <conditionalFormatting sqref="Q79">
    <cfRule type="cellIs" dxfId="5531" priority="2277" operator="lessThan">
      <formula>0</formula>
    </cfRule>
  </conditionalFormatting>
  <conditionalFormatting sqref="R79">
    <cfRule type="cellIs" dxfId="5530" priority="2275" operator="lessThan">
      <formula>0.8</formula>
    </cfRule>
    <cfRule type="cellIs" dxfId="5529" priority="2276" operator="greaterThan">
      <formula>1</formula>
    </cfRule>
  </conditionalFormatting>
  <conditionalFormatting sqref="R79">
    <cfRule type="cellIs" dxfId="5528" priority="2273" operator="greaterThan">
      <formula>1</formula>
    </cfRule>
    <cfRule type="cellIs" dxfId="5527" priority="2274" operator="lessThan">
      <formula>0.8</formula>
    </cfRule>
  </conditionalFormatting>
  <conditionalFormatting sqref="Q79">
    <cfRule type="cellIs" dxfId="5526" priority="2271" operator="lessThan">
      <formula>0</formula>
    </cfRule>
  </conditionalFormatting>
  <conditionalFormatting sqref="R79">
    <cfRule type="cellIs" dxfId="5525" priority="2269" operator="lessThan">
      <formula>0.8</formula>
    </cfRule>
    <cfRule type="cellIs" dxfId="5524" priority="2270" operator="greaterThan">
      <formula>1</formula>
    </cfRule>
  </conditionalFormatting>
  <conditionalFormatting sqref="R79">
    <cfRule type="cellIs" dxfId="5523" priority="2267" operator="greaterThan">
      <formula>1</formula>
    </cfRule>
    <cfRule type="cellIs" dxfId="5522" priority="2268" operator="lessThan">
      <formula>0.8</formula>
    </cfRule>
  </conditionalFormatting>
  <conditionalFormatting sqref="P79">
    <cfRule type="cellIs" dxfId="5521" priority="2266" operator="greaterThan">
      <formula>0</formula>
    </cfRule>
  </conditionalFormatting>
  <conditionalFormatting sqref="P79">
    <cfRule type="cellIs" dxfId="5520" priority="2260" operator="greaterThan">
      <formula>0</formula>
    </cfRule>
  </conditionalFormatting>
  <conditionalFormatting sqref="Q79">
    <cfRule type="cellIs" dxfId="5519" priority="2265" operator="lessThan">
      <formula>0</formula>
    </cfRule>
  </conditionalFormatting>
  <conditionalFormatting sqref="R79">
    <cfRule type="cellIs" dxfId="5518" priority="2263" operator="lessThan">
      <formula>0.8</formula>
    </cfRule>
    <cfRule type="cellIs" dxfId="5517" priority="2264" operator="greaterThan">
      <formula>1</formula>
    </cfRule>
  </conditionalFormatting>
  <conditionalFormatting sqref="R79">
    <cfRule type="cellIs" dxfId="5516" priority="2261" operator="greaterThan">
      <formula>1</formula>
    </cfRule>
    <cfRule type="cellIs" dxfId="5515" priority="2262" operator="lessThan">
      <formula>0.8</formula>
    </cfRule>
  </conditionalFormatting>
  <conditionalFormatting sqref="Q79">
    <cfRule type="cellIs" dxfId="5514" priority="2254" operator="lessThan">
      <formula>0</formula>
    </cfRule>
  </conditionalFormatting>
  <conditionalFormatting sqref="P79">
    <cfRule type="cellIs" dxfId="5513" priority="2255" operator="greaterThan">
      <formula>0</formula>
    </cfRule>
  </conditionalFormatting>
  <conditionalFormatting sqref="R79">
    <cfRule type="cellIs" dxfId="5512" priority="2258" operator="lessThan">
      <formula>0.8</formula>
    </cfRule>
    <cfRule type="cellIs" dxfId="5511" priority="2259" operator="greaterThan">
      <formula>1</formula>
    </cfRule>
  </conditionalFormatting>
  <conditionalFormatting sqref="R79">
    <cfRule type="cellIs" dxfId="5510" priority="2256" operator="greaterThan">
      <formula>1</formula>
    </cfRule>
    <cfRule type="cellIs" dxfId="5509" priority="2257" operator="lessThan">
      <formula>0.8</formula>
    </cfRule>
  </conditionalFormatting>
  <conditionalFormatting sqref="Q79">
    <cfRule type="cellIs" dxfId="5508" priority="2248" operator="lessThan">
      <formula>0</formula>
    </cfRule>
  </conditionalFormatting>
  <conditionalFormatting sqref="R79">
    <cfRule type="cellIs" dxfId="5507" priority="2252" operator="lessThan">
      <formula>0.8</formula>
    </cfRule>
    <cfRule type="cellIs" dxfId="5506" priority="2253" operator="greaterThan">
      <formula>1</formula>
    </cfRule>
  </conditionalFormatting>
  <conditionalFormatting sqref="R79">
    <cfRule type="cellIs" dxfId="5505" priority="2250" operator="greaterThan">
      <formula>1</formula>
    </cfRule>
    <cfRule type="cellIs" dxfId="5504" priority="2251" operator="lessThan">
      <formula>0.8</formula>
    </cfRule>
  </conditionalFormatting>
  <conditionalFormatting sqref="P79">
    <cfRule type="cellIs" dxfId="5503" priority="2249" operator="greaterThan">
      <formula>0</formula>
    </cfRule>
  </conditionalFormatting>
  <conditionalFormatting sqref="Q79">
    <cfRule type="cellIs" dxfId="5502" priority="2247" operator="lessThan">
      <formula>0</formula>
    </cfRule>
  </conditionalFormatting>
  <conditionalFormatting sqref="R79">
    <cfRule type="cellIs" dxfId="5501" priority="2245" operator="lessThan">
      <formula>0.8</formula>
    </cfRule>
    <cfRule type="cellIs" dxfId="5500" priority="2246" operator="greaterThan">
      <formula>1</formula>
    </cfRule>
  </conditionalFormatting>
  <conditionalFormatting sqref="R79">
    <cfRule type="cellIs" dxfId="5499" priority="2243" operator="greaterThan">
      <formula>1</formula>
    </cfRule>
    <cfRule type="cellIs" dxfId="5498" priority="2244" operator="lessThan">
      <formula>0.8</formula>
    </cfRule>
  </conditionalFormatting>
  <conditionalFormatting sqref="P79">
    <cfRule type="cellIs" dxfId="5497" priority="2242" operator="greaterThan">
      <formula>0</formula>
    </cfRule>
  </conditionalFormatting>
  <conditionalFormatting sqref="Q79">
    <cfRule type="cellIs" dxfId="5496" priority="2241" operator="lessThan">
      <formula>0</formula>
    </cfRule>
  </conditionalFormatting>
  <conditionalFormatting sqref="R79">
    <cfRule type="cellIs" dxfId="5495" priority="2239" operator="lessThan">
      <formula>0.8</formula>
    </cfRule>
    <cfRule type="cellIs" dxfId="5494" priority="2240" operator="greaterThan">
      <formula>1</formula>
    </cfRule>
  </conditionalFormatting>
  <conditionalFormatting sqref="R79">
    <cfRule type="cellIs" dxfId="5493" priority="2237" operator="greaterThan">
      <formula>1</formula>
    </cfRule>
    <cfRule type="cellIs" dxfId="5492" priority="2238" operator="lessThan">
      <formula>0.8</formula>
    </cfRule>
  </conditionalFormatting>
  <conditionalFormatting sqref="P79">
    <cfRule type="cellIs" dxfId="5491" priority="2236" operator="greaterThan">
      <formula>0</formula>
    </cfRule>
  </conditionalFormatting>
  <conditionalFormatting sqref="P79">
    <cfRule type="cellIs" dxfId="5490" priority="2230" operator="greaterThan">
      <formula>0</formula>
    </cfRule>
  </conditionalFormatting>
  <conditionalFormatting sqref="Q79">
    <cfRule type="cellIs" dxfId="5489" priority="2235" operator="lessThan">
      <formula>0</formula>
    </cfRule>
  </conditionalFormatting>
  <conditionalFormatting sqref="R79">
    <cfRule type="cellIs" dxfId="5488" priority="2233" operator="lessThan">
      <formula>0.8</formula>
    </cfRule>
    <cfRule type="cellIs" dxfId="5487" priority="2234" operator="greaterThan">
      <formula>1</formula>
    </cfRule>
  </conditionalFormatting>
  <conditionalFormatting sqref="R79">
    <cfRule type="cellIs" dxfId="5486" priority="2231" operator="greaterThan">
      <formula>1</formula>
    </cfRule>
    <cfRule type="cellIs" dxfId="5485" priority="2232" operator="lessThan">
      <formula>0.8</formula>
    </cfRule>
  </conditionalFormatting>
  <conditionalFormatting sqref="P71:P78">
    <cfRule type="cellIs" dxfId="5484" priority="2224" operator="greaterThan">
      <formula>0</formula>
    </cfRule>
  </conditionalFormatting>
  <conditionalFormatting sqref="Q71:Q78">
    <cfRule type="cellIs" dxfId="5483" priority="2229" operator="lessThan">
      <formula>0</formula>
    </cfRule>
  </conditionalFormatting>
  <conditionalFormatting sqref="R71:R78">
    <cfRule type="cellIs" dxfId="5482" priority="2227" operator="lessThan">
      <formula>0.8</formula>
    </cfRule>
    <cfRule type="cellIs" dxfId="5481" priority="2228" operator="greaterThan">
      <formula>1</formula>
    </cfRule>
  </conditionalFormatting>
  <conditionalFormatting sqref="R71:R78">
    <cfRule type="cellIs" dxfId="5480" priority="2225" operator="greaterThan">
      <formula>1</formula>
    </cfRule>
    <cfRule type="cellIs" dxfId="5479" priority="2226" operator="lessThan">
      <formula>0.8</formula>
    </cfRule>
  </conditionalFormatting>
  <conditionalFormatting sqref="Q148:Q153">
    <cfRule type="cellIs" dxfId="5478" priority="2223" operator="lessThan">
      <formula>0</formula>
    </cfRule>
  </conditionalFormatting>
  <conditionalFormatting sqref="R148:R153">
    <cfRule type="cellIs" dxfId="5477" priority="2221" operator="lessThan">
      <formula>0.8</formula>
    </cfRule>
    <cfRule type="cellIs" dxfId="5476" priority="2222" operator="greaterThan">
      <formula>1</formula>
    </cfRule>
  </conditionalFormatting>
  <conditionalFormatting sqref="R148:R153">
    <cfRule type="cellIs" dxfId="5475" priority="2219" operator="greaterThan">
      <formula>1</formula>
    </cfRule>
    <cfRule type="cellIs" dxfId="5474" priority="2220" operator="lessThan">
      <formula>0.8</formula>
    </cfRule>
  </conditionalFormatting>
  <conditionalFormatting sqref="P148:P153">
    <cfRule type="cellIs" dxfId="5473" priority="2218" operator="greaterThan">
      <formula>0</formula>
    </cfRule>
  </conditionalFormatting>
  <conditionalFormatting sqref="Q148:Q153">
    <cfRule type="cellIs" dxfId="5472" priority="2217" operator="lessThan">
      <formula>0</formula>
    </cfRule>
  </conditionalFormatting>
  <conditionalFormatting sqref="R148:R153">
    <cfRule type="cellIs" dxfId="5471" priority="2215" operator="lessThan">
      <formula>0.8</formula>
    </cfRule>
    <cfRule type="cellIs" dxfId="5470" priority="2216" operator="greaterThan">
      <formula>1</formula>
    </cfRule>
  </conditionalFormatting>
  <conditionalFormatting sqref="R148:R153">
    <cfRule type="cellIs" dxfId="5469" priority="2213" operator="greaterThan">
      <formula>1</formula>
    </cfRule>
    <cfRule type="cellIs" dxfId="5468" priority="2214" operator="lessThan">
      <formula>0.8</formula>
    </cfRule>
  </conditionalFormatting>
  <conditionalFormatting sqref="P148:P153">
    <cfRule type="cellIs" dxfId="5467" priority="2212" operator="greaterThan">
      <formula>0</formula>
    </cfRule>
  </conditionalFormatting>
  <conditionalFormatting sqref="Q148:Q153">
    <cfRule type="cellIs" dxfId="5466" priority="2211" operator="lessThan">
      <formula>0</formula>
    </cfRule>
  </conditionalFormatting>
  <conditionalFormatting sqref="R148:R153">
    <cfRule type="cellIs" dxfId="5465" priority="2209" operator="lessThan">
      <formula>0.8</formula>
    </cfRule>
    <cfRule type="cellIs" dxfId="5464" priority="2210" operator="greaterThan">
      <formula>1</formula>
    </cfRule>
  </conditionalFormatting>
  <conditionalFormatting sqref="R148:R153">
    <cfRule type="cellIs" dxfId="5463" priority="2207" operator="greaterThan">
      <formula>1</formula>
    </cfRule>
    <cfRule type="cellIs" dxfId="5462" priority="2208" operator="lessThan">
      <formula>0.8</formula>
    </cfRule>
  </conditionalFormatting>
  <conditionalFormatting sqref="P148:P153">
    <cfRule type="cellIs" dxfId="5461" priority="2206" operator="greaterThan">
      <formula>0</formula>
    </cfRule>
  </conditionalFormatting>
  <conditionalFormatting sqref="Q148:Q153">
    <cfRule type="cellIs" dxfId="5460" priority="2205" operator="lessThan">
      <formula>0</formula>
    </cfRule>
  </conditionalFormatting>
  <conditionalFormatting sqref="R148:R153">
    <cfRule type="cellIs" dxfId="5459" priority="2203" operator="lessThan">
      <formula>0.8</formula>
    </cfRule>
    <cfRule type="cellIs" dxfId="5458" priority="2204" operator="greaterThan">
      <formula>1</formula>
    </cfRule>
  </conditionalFormatting>
  <conditionalFormatting sqref="R148:R153">
    <cfRule type="cellIs" dxfId="5457" priority="2201" operator="greaterThan">
      <formula>1</formula>
    </cfRule>
    <cfRule type="cellIs" dxfId="5456" priority="2202" operator="lessThan">
      <formula>0.8</formula>
    </cfRule>
  </conditionalFormatting>
  <conditionalFormatting sqref="P148:P153">
    <cfRule type="cellIs" dxfId="5455" priority="2200" operator="greaterThan">
      <formula>0</formula>
    </cfRule>
  </conditionalFormatting>
  <conditionalFormatting sqref="P148:P153">
    <cfRule type="cellIs" dxfId="5454" priority="2194" operator="greaterThan">
      <formula>0</formula>
    </cfRule>
  </conditionalFormatting>
  <conditionalFormatting sqref="Q148:Q153">
    <cfRule type="cellIs" dxfId="5453" priority="2199" operator="lessThan">
      <formula>0</formula>
    </cfRule>
  </conditionalFormatting>
  <conditionalFormatting sqref="R148:R153">
    <cfRule type="cellIs" dxfId="5452" priority="2197" operator="lessThan">
      <formula>0.8</formula>
    </cfRule>
    <cfRule type="cellIs" dxfId="5451" priority="2198" operator="greaterThan">
      <formula>1</formula>
    </cfRule>
  </conditionalFormatting>
  <conditionalFormatting sqref="R148:R153">
    <cfRule type="cellIs" dxfId="5450" priority="2195" operator="greaterThan">
      <formula>1</formula>
    </cfRule>
    <cfRule type="cellIs" dxfId="5449" priority="2196" operator="lessThan">
      <formula>0.8</formula>
    </cfRule>
  </conditionalFormatting>
  <conditionalFormatting sqref="P148:P153">
    <cfRule type="cellIs" dxfId="5448" priority="2188" operator="greaterThan">
      <formula>0</formula>
    </cfRule>
  </conditionalFormatting>
  <conditionalFormatting sqref="Q148:Q153">
    <cfRule type="cellIs" dxfId="5447" priority="2193" operator="lessThan">
      <formula>0</formula>
    </cfRule>
  </conditionalFormatting>
  <conditionalFormatting sqref="R148:R153">
    <cfRule type="cellIs" dxfId="5446" priority="2191" operator="lessThan">
      <formula>0.8</formula>
    </cfRule>
    <cfRule type="cellIs" dxfId="5445" priority="2192" operator="greaterThan">
      <formula>1</formula>
    </cfRule>
  </conditionalFormatting>
  <conditionalFormatting sqref="R148:R153">
    <cfRule type="cellIs" dxfId="5444" priority="2189" operator="greaterThan">
      <formula>1</formula>
    </cfRule>
    <cfRule type="cellIs" dxfId="5443" priority="2190" operator="lessThan">
      <formula>0.8</formula>
    </cfRule>
  </conditionalFormatting>
  <conditionalFormatting sqref="R148:R153">
    <cfRule type="cellIs" dxfId="5442" priority="2185" operator="lessThan">
      <formula>0.8</formula>
    </cfRule>
    <cfRule type="cellIs" dxfId="5441" priority="2186" operator="greaterThan">
      <formula>1</formula>
    </cfRule>
  </conditionalFormatting>
  <conditionalFormatting sqref="R148:R153">
    <cfRule type="cellIs" dxfId="5440" priority="2183" operator="greaterThan">
      <formula>1</formula>
    </cfRule>
    <cfRule type="cellIs" dxfId="5439" priority="2184" operator="lessThan">
      <formula>0.8</formula>
    </cfRule>
  </conditionalFormatting>
  <conditionalFormatting sqref="P148:P153">
    <cfRule type="cellIs" dxfId="5438" priority="2182" operator="greaterThan">
      <formula>0</formula>
    </cfRule>
  </conditionalFormatting>
  <conditionalFormatting sqref="Q148:Q153">
    <cfRule type="cellIs" dxfId="5437" priority="2187" operator="lessThan">
      <formula>0</formula>
    </cfRule>
  </conditionalFormatting>
  <conditionalFormatting sqref="Q148:Q153">
    <cfRule type="cellIs" dxfId="5436" priority="2181" operator="lessThan">
      <formula>0</formula>
    </cfRule>
  </conditionalFormatting>
  <conditionalFormatting sqref="R148:R153">
    <cfRule type="cellIs" dxfId="5435" priority="2179" operator="lessThan">
      <formula>0.8</formula>
    </cfRule>
    <cfRule type="cellIs" dxfId="5434" priority="2180" operator="greaterThan">
      <formula>1</formula>
    </cfRule>
  </conditionalFormatting>
  <conditionalFormatting sqref="R148:R153">
    <cfRule type="cellIs" dxfId="5433" priority="2177" operator="greaterThan">
      <formula>1</formula>
    </cfRule>
    <cfRule type="cellIs" dxfId="5432" priority="2178" operator="lessThan">
      <formula>0.8</formula>
    </cfRule>
  </conditionalFormatting>
  <conditionalFormatting sqref="P148:P153">
    <cfRule type="cellIs" dxfId="5431" priority="2176" operator="greaterThan">
      <formula>0</formula>
    </cfRule>
  </conditionalFormatting>
  <conditionalFormatting sqref="P148:P153">
    <cfRule type="cellIs" dxfId="5430" priority="2170" operator="greaterThan">
      <formula>0</formula>
    </cfRule>
  </conditionalFormatting>
  <conditionalFormatting sqref="Q148:Q153">
    <cfRule type="cellIs" dxfId="5429" priority="2175" operator="lessThan">
      <formula>0</formula>
    </cfRule>
  </conditionalFormatting>
  <conditionalFormatting sqref="R148:R153">
    <cfRule type="cellIs" dxfId="5428" priority="2173" operator="lessThan">
      <formula>0.8</formula>
    </cfRule>
    <cfRule type="cellIs" dxfId="5427" priority="2174" operator="greaterThan">
      <formula>1</formula>
    </cfRule>
  </conditionalFormatting>
  <conditionalFormatting sqref="R148:R153">
    <cfRule type="cellIs" dxfId="5426" priority="2171" operator="greaterThan">
      <formula>1</formula>
    </cfRule>
    <cfRule type="cellIs" dxfId="5425" priority="2172" operator="lessThan">
      <formula>0.8</formula>
    </cfRule>
  </conditionalFormatting>
  <conditionalFormatting sqref="P148:P153">
    <cfRule type="cellIs" dxfId="5424" priority="2164" operator="greaterThan">
      <formula>0</formula>
    </cfRule>
  </conditionalFormatting>
  <conditionalFormatting sqref="Q148:Q153">
    <cfRule type="cellIs" dxfId="5423" priority="2169" operator="lessThan">
      <formula>0</formula>
    </cfRule>
  </conditionalFormatting>
  <conditionalFormatting sqref="R148:R153">
    <cfRule type="cellIs" dxfId="5422" priority="2167" operator="lessThan">
      <formula>0.8</formula>
    </cfRule>
    <cfRule type="cellIs" dxfId="5421" priority="2168" operator="greaterThan">
      <formula>1</formula>
    </cfRule>
  </conditionalFormatting>
  <conditionalFormatting sqref="R148:R153">
    <cfRule type="cellIs" dxfId="5420" priority="2165" operator="greaterThan">
      <formula>1</formula>
    </cfRule>
    <cfRule type="cellIs" dxfId="5419" priority="2166" operator="lessThan">
      <formula>0.8</formula>
    </cfRule>
  </conditionalFormatting>
  <conditionalFormatting sqref="R148:R153">
    <cfRule type="cellIs" dxfId="5418" priority="2161" operator="lessThan">
      <formula>0.8</formula>
    </cfRule>
    <cfRule type="cellIs" dxfId="5417" priority="2162" operator="greaterThan">
      <formula>1</formula>
    </cfRule>
  </conditionalFormatting>
  <conditionalFormatting sqref="R148:R153">
    <cfRule type="cellIs" dxfId="5416" priority="2159" operator="greaterThan">
      <formula>1</formula>
    </cfRule>
    <cfRule type="cellIs" dxfId="5415" priority="2160" operator="lessThan">
      <formula>0.8</formula>
    </cfRule>
  </conditionalFormatting>
  <conditionalFormatting sqref="P148:P153">
    <cfRule type="cellIs" dxfId="5414" priority="2158" operator="greaterThan">
      <formula>0</formula>
    </cfRule>
  </conditionalFormatting>
  <conditionalFormatting sqref="Q148:Q153">
    <cfRule type="cellIs" dxfId="5413" priority="2163" operator="lessThan">
      <formula>0</formula>
    </cfRule>
  </conditionalFormatting>
  <conditionalFormatting sqref="P148:P153">
    <cfRule type="cellIs" dxfId="5412" priority="2152" operator="greaterThan">
      <formula>0</formula>
    </cfRule>
  </conditionalFormatting>
  <conditionalFormatting sqref="Q148:Q153">
    <cfRule type="cellIs" dxfId="5411" priority="2157" operator="lessThan">
      <formula>0</formula>
    </cfRule>
  </conditionalFormatting>
  <conditionalFormatting sqref="R148:R153">
    <cfRule type="cellIs" dxfId="5410" priority="2155" operator="lessThan">
      <formula>0.8</formula>
    </cfRule>
    <cfRule type="cellIs" dxfId="5409" priority="2156" operator="greaterThan">
      <formula>1</formula>
    </cfRule>
  </conditionalFormatting>
  <conditionalFormatting sqref="R148:R153">
    <cfRule type="cellIs" dxfId="5408" priority="2153" operator="greaterThan">
      <formula>1</formula>
    </cfRule>
    <cfRule type="cellIs" dxfId="5407" priority="2154" operator="lessThan">
      <formula>0.8</formula>
    </cfRule>
  </conditionalFormatting>
  <conditionalFormatting sqref="R148:R153">
    <cfRule type="cellIs" dxfId="5406" priority="2149" operator="lessThan">
      <formula>0.8</formula>
    </cfRule>
    <cfRule type="cellIs" dxfId="5405" priority="2150" operator="greaterThan">
      <formula>1</formula>
    </cfRule>
  </conditionalFormatting>
  <conditionalFormatting sqref="R148:R153">
    <cfRule type="cellIs" dxfId="5404" priority="2147" operator="greaterThan">
      <formula>1</formula>
    </cfRule>
    <cfRule type="cellIs" dxfId="5403" priority="2148" operator="lessThan">
      <formula>0.8</formula>
    </cfRule>
  </conditionalFormatting>
  <conditionalFormatting sqref="P148:P153">
    <cfRule type="cellIs" dxfId="5402" priority="2146" operator="greaterThan">
      <formula>0</formula>
    </cfRule>
  </conditionalFormatting>
  <conditionalFormatting sqref="Q148:Q153">
    <cfRule type="cellIs" dxfId="5401" priority="2151" operator="lessThan">
      <formula>0</formula>
    </cfRule>
  </conditionalFormatting>
  <conditionalFormatting sqref="R148:R153">
    <cfRule type="cellIs" dxfId="5400" priority="2143" operator="lessThan">
      <formula>0.8</formula>
    </cfRule>
    <cfRule type="cellIs" dxfId="5399" priority="2144" operator="greaterThan">
      <formula>1</formula>
    </cfRule>
  </conditionalFormatting>
  <conditionalFormatting sqref="R148:R153">
    <cfRule type="cellIs" dxfId="5398" priority="2141" operator="greaterThan">
      <formula>1</formula>
    </cfRule>
    <cfRule type="cellIs" dxfId="5397" priority="2142" operator="lessThan">
      <formula>0.8</formula>
    </cfRule>
  </conditionalFormatting>
  <conditionalFormatting sqref="P148:P153">
    <cfRule type="cellIs" dxfId="5396" priority="2140" operator="greaterThan">
      <formula>0</formula>
    </cfRule>
  </conditionalFormatting>
  <conditionalFormatting sqref="Q148:Q153">
    <cfRule type="cellIs" dxfId="5395" priority="2145" operator="lessThan">
      <formula>0</formula>
    </cfRule>
  </conditionalFormatting>
  <conditionalFormatting sqref="Q148:Q153">
    <cfRule type="cellIs" dxfId="5394" priority="2139" operator="lessThan">
      <formula>0</formula>
    </cfRule>
  </conditionalFormatting>
  <conditionalFormatting sqref="R148:R153">
    <cfRule type="cellIs" dxfId="5393" priority="2137" operator="lessThan">
      <formula>0.8</formula>
    </cfRule>
    <cfRule type="cellIs" dxfId="5392" priority="2138" operator="greaterThan">
      <formula>1</formula>
    </cfRule>
  </conditionalFormatting>
  <conditionalFormatting sqref="R148:R153">
    <cfRule type="cellIs" dxfId="5391" priority="2135" operator="greaterThan">
      <formula>1</formula>
    </cfRule>
    <cfRule type="cellIs" dxfId="5390" priority="2136" operator="lessThan">
      <formula>0.8</formula>
    </cfRule>
  </conditionalFormatting>
  <conditionalFormatting sqref="P148:P153">
    <cfRule type="cellIs" dxfId="5389" priority="2134" operator="greaterThan">
      <formula>0</formula>
    </cfRule>
  </conditionalFormatting>
  <conditionalFormatting sqref="Q148:Q153">
    <cfRule type="cellIs" dxfId="5388" priority="2128" operator="lessThan">
      <formula>0</formula>
    </cfRule>
  </conditionalFormatting>
  <conditionalFormatting sqref="R148:R153">
    <cfRule type="cellIs" dxfId="5387" priority="2132" operator="lessThan">
      <formula>0.8</formula>
    </cfRule>
    <cfRule type="cellIs" dxfId="5386" priority="2133" operator="greaterThan">
      <formula>1</formula>
    </cfRule>
  </conditionalFormatting>
  <conditionalFormatting sqref="R148:R153">
    <cfRule type="cellIs" dxfId="5385" priority="2130" operator="greaterThan">
      <formula>1</formula>
    </cfRule>
    <cfRule type="cellIs" dxfId="5384" priority="2131" operator="lessThan">
      <formula>0.8</formula>
    </cfRule>
  </conditionalFormatting>
  <conditionalFormatting sqref="P148:P153">
    <cfRule type="cellIs" dxfId="5383" priority="2129" operator="greaterThan">
      <formula>0</formula>
    </cfRule>
  </conditionalFormatting>
  <conditionalFormatting sqref="Q148:Q153">
    <cfRule type="cellIs" dxfId="5382" priority="2127" operator="lessThan">
      <formula>0</formula>
    </cfRule>
  </conditionalFormatting>
  <conditionalFormatting sqref="R148:R153">
    <cfRule type="cellIs" dxfId="5381" priority="2125" operator="lessThan">
      <formula>0.8</formula>
    </cfRule>
    <cfRule type="cellIs" dxfId="5380" priority="2126" operator="greaterThan">
      <formula>1</formula>
    </cfRule>
  </conditionalFormatting>
  <conditionalFormatting sqref="R148:R153">
    <cfRule type="cellIs" dxfId="5379" priority="2123" operator="greaterThan">
      <formula>1</formula>
    </cfRule>
    <cfRule type="cellIs" dxfId="5378" priority="2124" operator="lessThan">
      <formula>0.8</formula>
    </cfRule>
  </conditionalFormatting>
  <conditionalFormatting sqref="P148:P153">
    <cfRule type="cellIs" dxfId="5377" priority="2122" operator="greaterThan">
      <formula>0</formula>
    </cfRule>
  </conditionalFormatting>
  <conditionalFormatting sqref="Q148:Q153">
    <cfRule type="cellIs" dxfId="5376" priority="2121" operator="lessThan">
      <formula>0</formula>
    </cfRule>
  </conditionalFormatting>
  <conditionalFormatting sqref="R148:R153">
    <cfRule type="cellIs" dxfId="5375" priority="2119" operator="lessThan">
      <formula>0.8</formula>
    </cfRule>
    <cfRule type="cellIs" dxfId="5374" priority="2120" operator="greaterThan">
      <formula>1</formula>
    </cfRule>
  </conditionalFormatting>
  <conditionalFormatting sqref="R148:R153">
    <cfRule type="cellIs" dxfId="5373" priority="2117" operator="greaterThan">
      <formula>1</formula>
    </cfRule>
    <cfRule type="cellIs" dxfId="5372" priority="2118" operator="lessThan">
      <formula>0.8</formula>
    </cfRule>
  </conditionalFormatting>
  <conditionalFormatting sqref="P148:P153">
    <cfRule type="cellIs" dxfId="5371" priority="2116" operator="greaterThan">
      <formula>0</formula>
    </cfRule>
  </conditionalFormatting>
  <conditionalFormatting sqref="Q148:Q153">
    <cfRule type="cellIs" dxfId="5370" priority="2115" operator="lessThan">
      <formula>0</formula>
    </cfRule>
  </conditionalFormatting>
  <conditionalFormatting sqref="R148:R153">
    <cfRule type="cellIs" dxfId="5369" priority="2113" operator="lessThan">
      <formula>0.8</formula>
    </cfRule>
    <cfRule type="cellIs" dxfId="5368" priority="2114" operator="greaterThan">
      <formula>1</formula>
    </cfRule>
  </conditionalFormatting>
  <conditionalFormatting sqref="R148:R153">
    <cfRule type="cellIs" dxfId="5367" priority="2111" operator="greaterThan">
      <formula>1</formula>
    </cfRule>
    <cfRule type="cellIs" dxfId="5366" priority="2112" operator="lessThan">
      <formula>0.8</formula>
    </cfRule>
  </conditionalFormatting>
  <conditionalFormatting sqref="P148:P153">
    <cfRule type="cellIs" dxfId="5365" priority="2110" operator="greaterThan">
      <formula>0</formula>
    </cfRule>
  </conditionalFormatting>
  <conditionalFormatting sqref="Q148:Q153">
    <cfRule type="cellIs" dxfId="5364" priority="2109" operator="lessThan">
      <formula>0</formula>
    </cfRule>
  </conditionalFormatting>
  <conditionalFormatting sqref="R148:R153">
    <cfRule type="cellIs" dxfId="5363" priority="2107" operator="lessThan">
      <formula>0.8</formula>
    </cfRule>
    <cfRule type="cellIs" dxfId="5362" priority="2108" operator="greaterThan">
      <formula>1</formula>
    </cfRule>
  </conditionalFormatting>
  <conditionalFormatting sqref="R148:R153">
    <cfRule type="cellIs" dxfId="5361" priority="2105" operator="greaterThan">
      <formula>1</formula>
    </cfRule>
    <cfRule type="cellIs" dxfId="5360" priority="2106" operator="lessThan">
      <formula>0.8</formula>
    </cfRule>
  </conditionalFormatting>
  <conditionalFormatting sqref="P148:P153">
    <cfRule type="cellIs" dxfId="5359" priority="2104" operator="greaterThan">
      <formula>0</formula>
    </cfRule>
  </conditionalFormatting>
  <conditionalFormatting sqref="Q148:Q153">
    <cfRule type="cellIs" dxfId="5358" priority="2103" operator="lessThan">
      <formula>0</formula>
    </cfRule>
  </conditionalFormatting>
  <conditionalFormatting sqref="R148:R153">
    <cfRule type="cellIs" dxfId="5357" priority="2101" operator="lessThan">
      <formula>0.8</formula>
    </cfRule>
    <cfRule type="cellIs" dxfId="5356" priority="2102" operator="greaterThan">
      <formula>1</formula>
    </cfRule>
  </conditionalFormatting>
  <conditionalFormatting sqref="R148:R153">
    <cfRule type="cellIs" dxfId="5355" priority="2099" operator="greaterThan">
      <formula>1</formula>
    </cfRule>
    <cfRule type="cellIs" dxfId="5354" priority="2100" operator="lessThan">
      <formula>0.8</formula>
    </cfRule>
  </conditionalFormatting>
  <conditionalFormatting sqref="P148:P153">
    <cfRule type="cellIs" dxfId="5353" priority="2098" operator="greaterThan">
      <formula>0</formula>
    </cfRule>
  </conditionalFormatting>
  <conditionalFormatting sqref="P148:P153">
    <cfRule type="cellIs" dxfId="5352" priority="2092" operator="greaterThan">
      <formula>0</formula>
    </cfRule>
  </conditionalFormatting>
  <conditionalFormatting sqref="Q148:Q153">
    <cfRule type="cellIs" dxfId="5351" priority="2097" operator="lessThan">
      <formula>0</formula>
    </cfRule>
  </conditionalFormatting>
  <conditionalFormatting sqref="R148:R153">
    <cfRule type="cellIs" dxfId="5350" priority="2095" operator="lessThan">
      <formula>0.8</formula>
    </cfRule>
    <cfRule type="cellIs" dxfId="5349" priority="2096" operator="greaterThan">
      <formula>1</formula>
    </cfRule>
  </conditionalFormatting>
  <conditionalFormatting sqref="R148:R153">
    <cfRule type="cellIs" dxfId="5348" priority="2093" operator="greaterThan">
      <formula>1</formula>
    </cfRule>
    <cfRule type="cellIs" dxfId="5347" priority="2094" operator="lessThan">
      <formula>0.8</formula>
    </cfRule>
  </conditionalFormatting>
  <conditionalFormatting sqref="P148:P153">
    <cfRule type="cellIs" dxfId="5346" priority="2086" operator="greaterThan">
      <formula>0</formula>
    </cfRule>
  </conditionalFormatting>
  <conditionalFormatting sqref="Q148:Q153">
    <cfRule type="cellIs" dxfId="5345" priority="2091" operator="lessThan">
      <formula>0</formula>
    </cfRule>
  </conditionalFormatting>
  <conditionalFormatting sqref="R148:R153">
    <cfRule type="cellIs" dxfId="5344" priority="2089" operator="lessThan">
      <formula>0.8</formula>
    </cfRule>
    <cfRule type="cellIs" dxfId="5343" priority="2090" operator="greaterThan">
      <formula>1</formula>
    </cfRule>
  </conditionalFormatting>
  <conditionalFormatting sqref="R148:R153">
    <cfRule type="cellIs" dxfId="5342" priority="2087" operator="greaterThan">
      <formula>1</formula>
    </cfRule>
    <cfRule type="cellIs" dxfId="5341" priority="2088" operator="lessThan">
      <formula>0.8</formula>
    </cfRule>
  </conditionalFormatting>
  <conditionalFormatting sqref="R148:R153">
    <cfRule type="cellIs" dxfId="5340" priority="2083" operator="lessThan">
      <formula>0.8</formula>
    </cfRule>
    <cfRule type="cellIs" dxfId="5339" priority="2084" operator="greaterThan">
      <formula>1</formula>
    </cfRule>
  </conditionalFormatting>
  <conditionalFormatting sqref="R148:R153">
    <cfRule type="cellIs" dxfId="5338" priority="2081" operator="greaterThan">
      <formula>1</formula>
    </cfRule>
    <cfRule type="cellIs" dxfId="5337" priority="2082" operator="lessThan">
      <formula>0.8</formula>
    </cfRule>
  </conditionalFormatting>
  <conditionalFormatting sqref="P148:P153">
    <cfRule type="cellIs" dxfId="5336" priority="2080" operator="greaterThan">
      <formula>0</formula>
    </cfRule>
  </conditionalFormatting>
  <conditionalFormatting sqref="Q148:Q153">
    <cfRule type="cellIs" dxfId="5335" priority="2085" operator="lessThan">
      <formula>0</formula>
    </cfRule>
  </conditionalFormatting>
  <conditionalFormatting sqref="Q148:Q153">
    <cfRule type="cellIs" dxfId="5334" priority="2074" operator="lessThan">
      <formula>0</formula>
    </cfRule>
  </conditionalFormatting>
  <conditionalFormatting sqref="P148:P153">
    <cfRule type="cellIs" dxfId="5333" priority="2075" operator="greaterThan">
      <formula>0</formula>
    </cfRule>
  </conditionalFormatting>
  <conditionalFormatting sqref="R148:R153">
    <cfRule type="cellIs" dxfId="5332" priority="2078" operator="lessThan">
      <formula>0.8</formula>
    </cfRule>
    <cfRule type="cellIs" dxfId="5331" priority="2079" operator="greaterThan">
      <formula>1</formula>
    </cfRule>
  </conditionalFormatting>
  <conditionalFormatting sqref="R148:R153">
    <cfRule type="cellIs" dxfId="5330" priority="2076" operator="greaterThan">
      <formula>1</formula>
    </cfRule>
    <cfRule type="cellIs" dxfId="5329" priority="2077" operator="lessThan">
      <formula>0.8</formula>
    </cfRule>
  </conditionalFormatting>
  <conditionalFormatting sqref="Q148:Q153">
    <cfRule type="cellIs" dxfId="5328" priority="2068" operator="lessThan">
      <formula>0</formula>
    </cfRule>
  </conditionalFormatting>
  <conditionalFormatting sqref="R148:R153">
    <cfRule type="cellIs" dxfId="5327" priority="2072" operator="lessThan">
      <formula>0.8</formula>
    </cfRule>
    <cfRule type="cellIs" dxfId="5326" priority="2073" operator="greaterThan">
      <formula>1</formula>
    </cfRule>
  </conditionalFormatting>
  <conditionalFormatting sqref="R148:R153">
    <cfRule type="cellIs" dxfId="5325" priority="2070" operator="greaterThan">
      <formula>1</formula>
    </cfRule>
    <cfRule type="cellIs" dxfId="5324" priority="2071" operator="lessThan">
      <formula>0.8</formula>
    </cfRule>
  </conditionalFormatting>
  <conditionalFormatting sqref="P148:P153">
    <cfRule type="cellIs" dxfId="5323" priority="2069" operator="greaterThan">
      <formula>0</formula>
    </cfRule>
  </conditionalFormatting>
  <conditionalFormatting sqref="Q148:Q153">
    <cfRule type="cellIs" dxfId="5322" priority="2067" operator="lessThan">
      <formula>0</formula>
    </cfRule>
  </conditionalFormatting>
  <conditionalFormatting sqref="R148:R153">
    <cfRule type="cellIs" dxfId="5321" priority="2065" operator="lessThan">
      <formula>0.8</formula>
    </cfRule>
    <cfRule type="cellIs" dxfId="5320" priority="2066" operator="greaterThan">
      <formula>1</formula>
    </cfRule>
  </conditionalFormatting>
  <conditionalFormatting sqref="R148:R153">
    <cfRule type="cellIs" dxfId="5319" priority="2063" operator="greaterThan">
      <formula>1</formula>
    </cfRule>
    <cfRule type="cellIs" dxfId="5318" priority="2064" operator="lessThan">
      <formula>0.8</formula>
    </cfRule>
  </conditionalFormatting>
  <conditionalFormatting sqref="P148:P153">
    <cfRule type="cellIs" dxfId="5317" priority="2062" operator="greaterThan">
      <formula>0</formula>
    </cfRule>
  </conditionalFormatting>
  <conditionalFormatting sqref="Q148:Q153">
    <cfRule type="cellIs" dxfId="5316" priority="2061" operator="lessThan">
      <formula>0</formula>
    </cfRule>
  </conditionalFormatting>
  <conditionalFormatting sqref="R148:R153">
    <cfRule type="cellIs" dxfId="5315" priority="2059" operator="lessThan">
      <formula>0.8</formula>
    </cfRule>
    <cfRule type="cellIs" dxfId="5314" priority="2060" operator="greaterThan">
      <formula>1</formula>
    </cfRule>
  </conditionalFormatting>
  <conditionalFormatting sqref="R148:R153">
    <cfRule type="cellIs" dxfId="5313" priority="2057" operator="greaterThan">
      <formula>1</formula>
    </cfRule>
    <cfRule type="cellIs" dxfId="5312" priority="2058" operator="lessThan">
      <formula>0.8</formula>
    </cfRule>
  </conditionalFormatting>
  <conditionalFormatting sqref="P148:P153">
    <cfRule type="cellIs" dxfId="5311" priority="2056" operator="greaterThan">
      <formula>0</formula>
    </cfRule>
  </conditionalFormatting>
  <conditionalFormatting sqref="Q148:Q153">
    <cfRule type="cellIs" dxfId="5310" priority="2055" operator="lessThan">
      <formula>0</formula>
    </cfRule>
  </conditionalFormatting>
  <conditionalFormatting sqref="R148:R153">
    <cfRule type="cellIs" dxfId="5309" priority="2053" operator="lessThan">
      <formula>0.8</formula>
    </cfRule>
    <cfRule type="cellIs" dxfId="5308" priority="2054" operator="greaterThan">
      <formula>1</formula>
    </cfRule>
  </conditionalFormatting>
  <conditionalFormatting sqref="R148:R153">
    <cfRule type="cellIs" dxfId="5307" priority="2051" operator="greaterThan">
      <formula>1</formula>
    </cfRule>
    <cfRule type="cellIs" dxfId="5306" priority="2052" operator="lessThan">
      <formula>0.8</formula>
    </cfRule>
  </conditionalFormatting>
  <conditionalFormatting sqref="P148:P153">
    <cfRule type="cellIs" dxfId="5305" priority="2050" operator="greaterThan">
      <formula>0</formula>
    </cfRule>
  </conditionalFormatting>
  <conditionalFormatting sqref="Q148:Q153">
    <cfRule type="cellIs" dxfId="5304" priority="2049" operator="lessThan">
      <formula>0</formula>
    </cfRule>
  </conditionalFormatting>
  <conditionalFormatting sqref="R148:R153">
    <cfRule type="cellIs" dxfId="5303" priority="2047" operator="lessThan">
      <formula>0.8</formula>
    </cfRule>
    <cfRule type="cellIs" dxfId="5302" priority="2048" operator="greaterThan">
      <formula>1</formula>
    </cfRule>
  </conditionalFormatting>
  <conditionalFormatting sqref="R148:R153">
    <cfRule type="cellIs" dxfId="5301" priority="2045" operator="greaterThan">
      <formula>1</formula>
    </cfRule>
    <cfRule type="cellIs" dxfId="5300" priority="2046" operator="lessThan">
      <formula>0.8</formula>
    </cfRule>
  </conditionalFormatting>
  <conditionalFormatting sqref="P148:P153">
    <cfRule type="cellIs" dxfId="5299" priority="2044" operator="greaterThan">
      <formula>0</formula>
    </cfRule>
  </conditionalFormatting>
  <conditionalFormatting sqref="Q124 Q127 Q130">
    <cfRule type="cellIs" dxfId="5298" priority="2038" operator="lessThan">
      <formula>0</formula>
    </cfRule>
  </conditionalFormatting>
  <conditionalFormatting sqref="P124 P127 P130">
    <cfRule type="cellIs" dxfId="5297" priority="2039" operator="greaterThan">
      <formula>0</formula>
    </cfRule>
  </conditionalFormatting>
  <conditionalFormatting sqref="R124 R127 R130">
    <cfRule type="cellIs" dxfId="5296" priority="2042" operator="lessThan">
      <formula>0.8</formula>
    </cfRule>
    <cfRule type="cellIs" dxfId="5295" priority="2043" operator="greaterThan">
      <formula>1</formula>
    </cfRule>
  </conditionalFormatting>
  <conditionalFormatting sqref="R124 R127 R130">
    <cfRule type="cellIs" dxfId="5294" priority="2040" operator="greaterThan">
      <formula>1</formula>
    </cfRule>
    <cfRule type="cellIs" dxfId="5293" priority="2041" operator="lessThan">
      <formula>0.8</formula>
    </cfRule>
  </conditionalFormatting>
  <conditionalFormatting sqref="Q124 Q127 Q130">
    <cfRule type="cellIs" dxfId="5292" priority="2032" operator="lessThan">
      <formula>0</formula>
    </cfRule>
  </conditionalFormatting>
  <conditionalFormatting sqref="R124 R127 R130">
    <cfRule type="cellIs" dxfId="5291" priority="2036" operator="lessThan">
      <formula>0.8</formula>
    </cfRule>
    <cfRule type="cellIs" dxfId="5290" priority="2037" operator="greaterThan">
      <formula>1</formula>
    </cfRule>
  </conditionalFormatting>
  <conditionalFormatting sqref="R124 R127 R130">
    <cfRule type="cellIs" dxfId="5289" priority="2034" operator="greaterThan">
      <formula>1</formula>
    </cfRule>
    <cfRule type="cellIs" dxfId="5288" priority="2035" operator="lessThan">
      <formula>0.8</formula>
    </cfRule>
  </conditionalFormatting>
  <conditionalFormatting sqref="P124 P127 P130">
    <cfRule type="cellIs" dxfId="5287" priority="2033" operator="greaterThan">
      <formula>0</formula>
    </cfRule>
  </conditionalFormatting>
  <conditionalFormatting sqref="Q124 Q127 Q130">
    <cfRule type="cellIs" dxfId="5286" priority="2031" operator="lessThan">
      <formula>0</formula>
    </cfRule>
  </conditionalFormatting>
  <conditionalFormatting sqref="R124 R127 R130">
    <cfRule type="cellIs" dxfId="5285" priority="2029" operator="lessThan">
      <formula>0.8</formula>
    </cfRule>
    <cfRule type="cellIs" dxfId="5284" priority="2030" operator="greaterThan">
      <formula>1</formula>
    </cfRule>
  </conditionalFormatting>
  <conditionalFormatting sqref="R124 R127 R130">
    <cfRule type="cellIs" dxfId="5283" priority="2027" operator="greaterThan">
      <formula>1</formula>
    </cfRule>
    <cfRule type="cellIs" dxfId="5282" priority="2028" operator="lessThan">
      <formula>0.8</formula>
    </cfRule>
  </conditionalFormatting>
  <conditionalFormatting sqref="P124 P127 P130">
    <cfRule type="cellIs" dxfId="5281" priority="2026" operator="greaterThan">
      <formula>0</formula>
    </cfRule>
  </conditionalFormatting>
  <conditionalFormatting sqref="Q124 Q127 Q130">
    <cfRule type="cellIs" dxfId="5280" priority="2025" operator="lessThan">
      <formula>0</formula>
    </cfRule>
  </conditionalFormatting>
  <conditionalFormatting sqref="R124 R127 R130">
    <cfRule type="cellIs" dxfId="5279" priority="2023" operator="lessThan">
      <formula>0.8</formula>
    </cfRule>
    <cfRule type="cellIs" dxfId="5278" priority="2024" operator="greaterThan">
      <formula>1</formula>
    </cfRule>
  </conditionalFormatting>
  <conditionalFormatting sqref="R124 R127 R130">
    <cfRule type="cellIs" dxfId="5277" priority="2021" operator="greaterThan">
      <formula>1</formula>
    </cfRule>
    <cfRule type="cellIs" dxfId="5276" priority="2022" operator="lessThan">
      <formula>0.8</formula>
    </cfRule>
  </conditionalFormatting>
  <conditionalFormatting sqref="P124 P127 P130">
    <cfRule type="cellIs" dxfId="5275" priority="2020" operator="greaterThan">
      <formula>0</formula>
    </cfRule>
  </conditionalFormatting>
  <conditionalFormatting sqref="Q124 Q127 Q130">
    <cfRule type="cellIs" dxfId="5274" priority="2019" operator="lessThan">
      <formula>0</formula>
    </cfRule>
  </conditionalFormatting>
  <conditionalFormatting sqref="R124 R127 R130">
    <cfRule type="cellIs" dxfId="5273" priority="2017" operator="lessThan">
      <formula>0.8</formula>
    </cfRule>
    <cfRule type="cellIs" dxfId="5272" priority="2018" operator="greaterThan">
      <formula>1</formula>
    </cfRule>
  </conditionalFormatting>
  <conditionalFormatting sqref="R124 R127 R130">
    <cfRule type="cellIs" dxfId="5271" priority="2015" operator="greaterThan">
      <formula>1</formula>
    </cfRule>
    <cfRule type="cellIs" dxfId="5270" priority="2016" operator="lessThan">
      <formula>0.8</formula>
    </cfRule>
  </conditionalFormatting>
  <conditionalFormatting sqref="P124 P127 P130">
    <cfRule type="cellIs" dxfId="5269" priority="2014" operator="greaterThan">
      <formula>0</formula>
    </cfRule>
  </conditionalFormatting>
  <conditionalFormatting sqref="Q124 Q127 Q130">
    <cfRule type="cellIs" dxfId="5268" priority="2013" operator="lessThan">
      <formula>0</formula>
    </cfRule>
  </conditionalFormatting>
  <conditionalFormatting sqref="R124 R127 R130">
    <cfRule type="cellIs" dxfId="5267" priority="2011" operator="lessThan">
      <formula>0.8</formula>
    </cfRule>
    <cfRule type="cellIs" dxfId="5266" priority="2012" operator="greaterThan">
      <formula>1</formula>
    </cfRule>
  </conditionalFormatting>
  <conditionalFormatting sqref="R124 R127 R130">
    <cfRule type="cellIs" dxfId="5265" priority="2009" operator="greaterThan">
      <formula>1</formula>
    </cfRule>
    <cfRule type="cellIs" dxfId="5264" priority="2010" operator="lessThan">
      <formula>0.8</formula>
    </cfRule>
  </conditionalFormatting>
  <conditionalFormatting sqref="P124 P127 P130">
    <cfRule type="cellIs" dxfId="5263" priority="2008" operator="greaterThan">
      <formula>0</formula>
    </cfRule>
  </conditionalFormatting>
  <conditionalFormatting sqref="Q124 Q127 Q130">
    <cfRule type="cellIs" dxfId="5262" priority="2007" operator="lessThan">
      <formula>0</formula>
    </cfRule>
  </conditionalFormatting>
  <conditionalFormatting sqref="R124 R127 R130">
    <cfRule type="cellIs" dxfId="5261" priority="2005" operator="lessThan">
      <formula>0.8</formula>
    </cfRule>
    <cfRule type="cellIs" dxfId="5260" priority="2006" operator="greaterThan">
      <formula>1</formula>
    </cfRule>
  </conditionalFormatting>
  <conditionalFormatting sqref="R124 R127 R130">
    <cfRule type="cellIs" dxfId="5259" priority="2003" operator="greaterThan">
      <formula>1</formula>
    </cfRule>
    <cfRule type="cellIs" dxfId="5258" priority="2004" operator="lessThan">
      <formula>0.8</formula>
    </cfRule>
  </conditionalFormatting>
  <conditionalFormatting sqref="P124 P127 P130">
    <cfRule type="cellIs" dxfId="5257" priority="2002" operator="greaterThan">
      <formula>0</formula>
    </cfRule>
  </conditionalFormatting>
  <conditionalFormatting sqref="Q124 Q127 Q130">
    <cfRule type="cellIs" dxfId="5256" priority="2001" operator="lessThan">
      <formula>0</formula>
    </cfRule>
  </conditionalFormatting>
  <conditionalFormatting sqref="R124 R127 R130">
    <cfRule type="cellIs" dxfId="5255" priority="1999" operator="lessThan">
      <formula>0.8</formula>
    </cfRule>
    <cfRule type="cellIs" dxfId="5254" priority="2000" operator="greaterThan">
      <formula>1</formula>
    </cfRule>
  </conditionalFormatting>
  <conditionalFormatting sqref="R124 R127 R130">
    <cfRule type="cellIs" dxfId="5253" priority="1997" operator="greaterThan">
      <formula>1</formula>
    </cfRule>
    <cfRule type="cellIs" dxfId="5252" priority="1998" operator="lessThan">
      <formula>0.8</formula>
    </cfRule>
  </conditionalFormatting>
  <conditionalFormatting sqref="P124 P127 P130">
    <cfRule type="cellIs" dxfId="5251" priority="1996" operator="greaterThan">
      <formula>0</formula>
    </cfRule>
  </conditionalFormatting>
  <conditionalFormatting sqref="Q124 Q127 Q130">
    <cfRule type="cellIs" dxfId="5250" priority="1995" operator="lessThan">
      <formula>0</formula>
    </cfRule>
  </conditionalFormatting>
  <conditionalFormatting sqref="R124 R127 R130">
    <cfRule type="cellIs" dxfId="5249" priority="1993" operator="lessThan">
      <formula>0.8</formula>
    </cfRule>
    <cfRule type="cellIs" dxfId="5248" priority="1994" operator="greaterThan">
      <formula>1</formula>
    </cfRule>
  </conditionalFormatting>
  <conditionalFormatting sqref="R124 R127 R130">
    <cfRule type="cellIs" dxfId="5247" priority="1991" operator="greaterThan">
      <formula>1</formula>
    </cfRule>
    <cfRule type="cellIs" dxfId="5246" priority="1992" operator="lessThan">
      <formula>0.8</formula>
    </cfRule>
  </conditionalFormatting>
  <conditionalFormatting sqref="P124 P127 P130">
    <cfRule type="cellIs" dxfId="5245" priority="1990" operator="greaterThan">
      <formula>0</formula>
    </cfRule>
  </conditionalFormatting>
  <conditionalFormatting sqref="P124 P127 P130">
    <cfRule type="cellIs" dxfId="5244" priority="1984" operator="greaterThan">
      <formula>0</formula>
    </cfRule>
  </conditionalFormatting>
  <conditionalFormatting sqref="Q124 Q127 Q130">
    <cfRule type="cellIs" dxfId="5243" priority="1989" operator="lessThan">
      <formula>0</formula>
    </cfRule>
  </conditionalFormatting>
  <conditionalFormatting sqref="R124 R127 R130">
    <cfRule type="cellIs" dxfId="5242" priority="1987" operator="lessThan">
      <formula>0.8</formula>
    </cfRule>
    <cfRule type="cellIs" dxfId="5241" priority="1988" operator="greaterThan">
      <formula>1</formula>
    </cfRule>
  </conditionalFormatting>
  <conditionalFormatting sqref="R124 R127 R130">
    <cfRule type="cellIs" dxfId="5240" priority="1985" operator="greaterThan">
      <formula>1</formula>
    </cfRule>
    <cfRule type="cellIs" dxfId="5239" priority="1986" operator="lessThan">
      <formula>0.8</formula>
    </cfRule>
  </conditionalFormatting>
  <conditionalFormatting sqref="P124 P127 P130">
    <cfRule type="cellIs" dxfId="5238" priority="1978" operator="greaterThan">
      <formula>0</formula>
    </cfRule>
  </conditionalFormatting>
  <conditionalFormatting sqref="Q124 Q127 Q130">
    <cfRule type="cellIs" dxfId="5237" priority="1983" operator="lessThan">
      <formula>0</formula>
    </cfRule>
  </conditionalFormatting>
  <conditionalFormatting sqref="R124 R127 R130">
    <cfRule type="cellIs" dxfId="5236" priority="1981" operator="lessThan">
      <formula>0.8</formula>
    </cfRule>
    <cfRule type="cellIs" dxfId="5235" priority="1982" operator="greaterThan">
      <formula>1</formula>
    </cfRule>
  </conditionalFormatting>
  <conditionalFormatting sqref="R124 R127 R130">
    <cfRule type="cellIs" dxfId="5234" priority="1979" operator="greaterThan">
      <formula>1</formula>
    </cfRule>
    <cfRule type="cellIs" dxfId="5233" priority="1980" operator="lessThan">
      <formula>0.8</formula>
    </cfRule>
  </conditionalFormatting>
  <conditionalFormatting sqref="R124 R127 R130">
    <cfRule type="cellIs" dxfId="5232" priority="1975" operator="lessThan">
      <formula>0.8</formula>
    </cfRule>
    <cfRule type="cellIs" dxfId="5231" priority="1976" operator="greaterThan">
      <formula>1</formula>
    </cfRule>
  </conditionalFormatting>
  <conditionalFormatting sqref="R124 R127 R130">
    <cfRule type="cellIs" dxfId="5230" priority="1973" operator="greaterThan">
      <formula>1</formula>
    </cfRule>
    <cfRule type="cellIs" dxfId="5229" priority="1974" operator="lessThan">
      <formula>0.8</formula>
    </cfRule>
  </conditionalFormatting>
  <conditionalFormatting sqref="P124 P127 P130">
    <cfRule type="cellIs" dxfId="5228" priority="1972" operator="greaterThan">
      <formula>0</formula>
    </cfRule>
  </conditionalFormatting>
  <conditionalFormatting sqref="Q124 Q127 Q130">
    <cfRule type="cellIs" dxfId="5227" priority="1977" operator="lessThan">
      <formula>0</formula>
    </cfRule>
  </conditionalFormatting>
  <conditionalFormatting sqref="Q124 Q127 Q130">
    <cfRule type="cellIs" dxfId="5226" priority="1971" operator="lessThan">
      <formula>0</formula>
    </cfRule>
  </conditionalFormatting>
  <conditionalFormatting sqref="R124 R127 R130">
    <cfRule type="cellIs" dxfId="5225" priority="1969" operator="lessThan">
      <formula>0.8</formula>
    </cfRule>
    <cfRule type="cellIs" dxfId="5224" priority="1970" operator="greaterThan">
      <formula>1</formula>
    </cfRule>
  </conditionalFormatting>
  <conditionalFormatting sqref="R124 R127 R130">
    <cfRule type="cellIs" dxfId="5223" priority="1967" operator="greaterThan">
      <formula>1</formula>
    </cfRule>
    <cfRule type="cellIs" dxfId="5222" priority="1968" operator="lessThan">
      <formula>0.8</formula>
    </cfRule>
  </conditionalFormatting>
  <conditionalFormatting sqref="P124 P127 P130">
    <cfRule type="cellIs" dxfId="5221" priority="1966" operator="greaterThan">
      <formula>0</formula>
    </cfRule>
  </conditionalFormatting>
  <conditionalFormatting sqref="P124 P127 P130">
    <cfRule type="cellIs" dxfId="5220" priority="1960" operator="greaterThan">
      <formula>0</formula>
    </cfRule>
  </conditionalFormatting>
  <conditionalFormatting sqref="Q124 Q127 Q130">
    <cfRule type="cellIs" dxfId="5219" priority="1965" operator="lessThan">
      <formula>0</formula>
    </cfRule>
  </conditionalFormatting>
  <conditionalFormatting sqref="R124 R127 R130">
    <cfRule type="cellIs" dxfId="5218" priority="1963" operator="lessThan">
      <formula>0.8</formula>
    </cfRule>
    <cfRule type="cellIs" dxfId="5217" priority="1964" operator="greaterThan">
      <formula>1</formula>
    </cfRule>
  </conditionalFormatting>
  <conditionalFormatting sqref="R124 R127 R130">
    <cfRule type="cellIs" dxfId="5216" priority="1961" operator="greaterThan">
      <formula>1</formula>
    </cfRule>
    <cfRule type="cellIs" dxfId="5215" priority="1962" operator="lessThan">
      <formula>0.8</formula>
    </cfRule>
  </conditionalFormatting>
  <conditionalFormatting sqref="P124 P127 P130">
    <cfRule type="cellIs" dxfId="5214" priority="1954" operator="greaterThan">
      <formula>0</formula>
    </cfRule>
  </conditionalFormatting>
  <conditionalFormatting sqref="Q124 Q127 Q130">
    <cfRule type="cellIs" dxfId="5213" priority="1959" operator="lessThan">
      <formula>0</formula>
    </cfRule>
  </conditionalFormatting>
  <conditionalFormatting sqref="R124 R127 R130">
    <cfRule type="cellIs" dxfId="5212" priority="1957" operator="lessThan">
      <formula>0.8</formula>
    </cfRule>
    <cfRule type="cellIs" dxfId="5211" priority="1958" operator="greaterThan">
      <formula>1</formula>
    </cfRule>
  </conditionalFormatting>
  <conditionalFormatting sqref="R124 R127 R130">
    <cfRule type="cellIs" dxfId="5210" priority="1955" operator="greaterThan">
      <formula>1</formula>
    </cfRule>
    <cfRule type="cellIs" dxfId="5209" priority="1956" operator="lessThan">
      <formula>0.8</formula>
    </cfRule>
  </conditionalFormatting>
  <conditionalFormatting sqref="R124 R127 R130">
    <cfRule type="cellIs" dxfId="5208" priority="1951" operator="lessThan">
      <formula>0.8</formula>
    </cfRule>
    <cfRule type="cellIs" dxfId="5207" priority="1952" operator="greaterThan">
      <formula>1</formula>
    </cfRule>
  </conditionalFormatting>
  <conditionalFormatting sqref="R124 R127 R130">
    <cfRule type="cellIs" dxfId="5206" priority="1949" operator="greaterThan">
      <formula>1</formula>
    </cfRule>
    <cfRule type="cellIs" dxfId="5205" priority="1950" operator="lessThan">
      <formula>0.8</formula>
    </cfRule>
  </conditionalFormatting>
  <conditionalFormatting sqref="P124 P127 P130">
    <cfRule type="cellIs" dxfId="5204" priority="1948" operator="greaterThan">
      <formula>0</formula>
    </cfRule>
  </conditionalFormatting>
  <conditionalFormatting sqref="Q124 Q127 Q130">
    <cfRule type="cellIs" dxfId="5203" priority="1953" operator="lessThan">
      <formula>0</formula>
    </cfRule>
  </conditionalFormatting>
  <conditionalFormatting sqref="P124 P127 P130">
    <cfRule type="cellIs" dxfId="5202" priority="1942" operator="greaterThan">
      <formula>0</formula>
    </cfRule>
  </conditionalFormatting>
  <conditionalFormatting sqref="Q124 Q127 Q130">
    <cfRule type="cellIs" dxfId="5201" priority="1947" operator="lessThan">
      <formula>0</formula>
    </cfRule>
  </conditionalFormatting>
  <conditionalFormatting sqref="R124 R127 R130">
    <cfRule type="cellIs" dxfId="5200" priority="1945" operator="lessThan">
      <formula>0.8</formula>
    </cfRule>
    <cfRule type="cellIs" dxfId="5199" priority="1946" operator="greaterThan">
      <formula>1</formula>
    </cfRule>
  </conditionalFormatting>
  <conditionalFormatting sqref="R124 R127 R130">
    <cfRule type="cellIs" dxfId="5198" priority="1943" operator="greaterThan">
      <formula>1</formula>
    </cfRule>
    <cfRule type="cellIs" dxfId="5197" priority="1944" operator="lessThan">
      <formula>0.8</formula>
    </cfRule>
  </conditionalFormatting>
  <conditionalFormatting sqref="R124 R127 R130">
    <cfRule type="cellIs" dxfId="5196" priority="1939" operator="lessThan">
      <formula>0.8</formula>
    </cfRule>
    <cfRule type="cellIs" dxfId="5195" priority="1940" operator="greaterThan">
      <formula>1</formula>
    </cfRule>
  </conditionalFormatting>
  <conditionalFormatting sqref="R124 R127 R130">
    <cfRule type="cellIs" dxfId="5194" priority="1937" operator="greaterThan">
      <formula>1</formula>
    </cfRule>
    <cfRule type="cellIs" dxfId="5193" priority="1938" operator="lessThan">
      <formula>0.8</formula>
    </cfRule>
  </conditionalFormatting>
  <conditionalFormatting sqref="P124 P127 P130">
    <cfRule type="cellIs" dxfId="5192" priority="1936" operator="greaterThan">
      <formula>0</formula>
    </cfRule>
  </conditionalFormatting>
  <conditionalFormatting sqref="Q124 Q127 Q130">
    <cfRule type="cellIs" dxfId="5191" priority="1941" operator="lessThan">
      <formula>0</formula>
    </cfRule>
  </conditionalFormatting>
  <conditionalFormatting sqref="R124 R127 R130">
    <cfRule type="cellIs" dxfId="5190" priority="1933" operator="lessThan">
      <formula>0.8</formula>
    </cfRule>
    <cfRule type="cellIs" dxfId="5189" priority="1934" operator="greaterThan">
      <formula>1</formula>
    </cfRule>
  </conditionalFormatting>
  <conditionalFormatting sqref="R124 R127 R130">
    <cfRule type="cellIs" dxfId="5188" priority="1931" operator="greaterThan">
      <formula>1</formula>
    </cfRule>
    <cfRule type="cellIs" dxfId="5187" priority="1932" operator="lessThan">
      <formula>0.8</formula>
    </cfRule>
  </conditionalFormatting>
  <conditionalFormatting sqref="P124 P127 P130">
    <cfRule type="cellIs" dxfId="5186" priority="1930" operator="greaterThan">
      <formula>0</formula>
    </cfRule>
  </conditionalFormatting>
  <conditionalFormatting sqref="Q124 Q127 Q130">
    <cfRule type="cellIs" dxfId="5185" priority="1935" operator="lessThan">
      <formula>0</formula>
    </cfRule>
  </conditionalFormatting>
  <conditionalFormatting sqref="Q124 Q127 Q130">
    <cfRule type="cellIs" dxfId="5184" priority="1929" operator="lessThan">
      <formula>0</formula>
    </cfRule>
  </conditionalFormatting>
  <conditionalFormatting sqref="R124 R127 R130">
    <cfRule type="cellIs" dxfId="5183" priority="1927" operator="lessThan">
      <formula>0.8</formula>
    </cfRule>
    <cfRule type="cellIs" dxfId="5182" priority="1928" operator="greaterThan">
      <formula>1</formula>
    </cfRule>
  </conditionalFormatting>
  <conditionalFormatting sqref="R124 R127 R130">
    <cfRule type="cellIs" dxfId="5181" priority="1925" operator="greaterThan">
      <formula>1</formula>
    </cfRule>
    <cfRule type="cellIs" dxfId="5180" priority="1926" operator="lessThan">
      <formula>0.8</formula>
    </cfRule>
  </conditionalFormatting>
  <conditionalFormatting sqref="P124 P127 P130">
    <cfRule type="cellIs" dxfId="5179" priority="1924" operator="greaterThan">
      <formula>0</formula>
    </cfRule>
  </conditionalFormatting>
  <conditionalFormatting sqref="Q124 Q127 Q130">
    <cfRule type="cellIs" dxfId="5178" priority="1918" operator="lessThan">
      <formula>0</formula>
    </cfRule>
  </conditionalFormatting>
  <conditionalFormatting sqref="R124 R127 R130">
    <cfRule type="cellIs" dxfId="5177" priority="1922" operator="lessThan">
      <formula>0.8</formula>
    </cfRule>
    <cfRule type="cellIs" dxfId="5176" priority="1923" operator="greaterThan">
      <formula>1</formula>
    </cfRule>
  </conditionalFormatting>
  <conditionalFormatting sqref="R124 R127 R130">
    <cfRule type="cellIs" dxfId="5175" priority="1920" operator="greaterThan">
      <formula>1</formula>
    </cfRule>
    <cfRule type="cellIs" dxfId="5174" priority="1921" operator="lessThan">
      <formula>0.8</formula>
    </cfRule>
  </conditionalFormatting>
  <conditionalFormatting sqref="P124 P127 P130">
    <cfRule type="cellIs" dxfId="5173" priority="1919" operator="greaterThan">
      <formula>0</formula>
    </cfRule>
  </conditionalFormatting>
  <conditionalFormatting sqref="Q124 Q127 Q130">
    <cfRule type="cellIs" dxfId="5172" priority="1917" operator="lessThan">
      <formula>0</formula>
    </cfRule>
  </conditionalFormatting>
  <conditionalFormatting sqref="R124 R127 R130">
    <cfRule type="cellIs" dxfId="5171" priority="1915" operator="lessThan">
      <formula>0.8</formula>
    </cfRule>
    <cfRule type="cellIs" dxfId="5170" priority="1916" operator="greaterThan">
      <formula>1</formula>
    </cfRule>
  </conditionalFormatting>
  <conditionalFormatting sqref="R124 R127 R130">
    <cfRule type="cellIs" dxfId="5169" priority="1913" operator="greaterThan">
      <formula>1</formula>
    </cfRule>
    <cfRule type="cellIs" dxfId="5168" priority="1914" operator="lessThan">
      <formula>0.8</formula>
    </cfRule>
  </conditionalFormatting>
  <conditionalFormatting sqref="P124 P127 P130">
    <cfRule type="cellIs" dxfId="5167" priority="1912" operator="greaterThan">
      <formula>0</formula>
    </cfRule>
  </conditionalFormatting>
  <conditionalFormatting sqref="Q124 Q127 Q130">
    <cfRule type="cellIs" dxfId="5166" priority="1911" operator="lessThan">
      <formula>0</formula>
    </cfRule>
  </conditionalFormatting>
  <conditionalFormatting sqref="R124 R127 R130">
    <cfRule type="cellIs" dxfId="5165" priority="1909" operator="lessThan">
      <formula>0.8</formula>
    </cfRule>
    <cfRule type="cellIs" dxfId="5164" priority="1910" operator="greaterThan">
      <formula>1</formula>
    </cfRule>
  </conditionalFormatting>
  <conditionalFormatting sqref="R124 R127 R130">
    <cfRule type="cellIs" dxfId="5163" priority="1907" operator="greaterThan">
      <formula>1</formula>
    </cfRule>
    <cfRule type="cellIs" dxfId="5162" priority="1908" operator="lessThan">
      <formula>0.8</formula>
    </cfRule>
  </conditionalFormatting>
  <conditionalFormatting sqref="P124 P127 P130">
    <cfRule type="cellIs" dxfId="5161" priority="1906" operator="greaterThan">
      <formula>0</formula>
    </cfRule>
  </conditionalFormatting>
  <conditionalFormatting sqref="Q124 Q127 Q130">
    <cfRule type="cellIs" dxfId="5160" priority="1905" operator="lessThan">
      <formula>0</formula>
    </cfRule>
  </conditionalFormatting>
  <conditionalFormatting sqref="R124 R127 R130">
    <cfRule type="cellIs" dxfId="5159" priority="1903" operator="lessThan">
      <formula>0.8</formula>
    </cfRule>
    <cfRule type="cellIs" dxfId="5158" priority="1904" operator="greaterThan">
      <formula>1</formula>
    </cfRule>
  </conditionalFormatting>
  <conditionalFormatting sqref="R124 R127 R130">
    <cfRule type="cellIs" dxfId="5157" priority="1901" operator="greaterThan">
      <formula>1</formula>
    </cfRule>
    <cfRule type="cellIs" dxfId="5156" priority="1902" operator="lessThan">
      <formula>0.8</formula>
    </cfRule>
  </conditionalFormatting>
  <conditionalFormatting sqref="P124 P127 P130">
    <cfRule type="cellIs" dxfId="5155" priority="1900" operator="greaterThan">
      <formula>0</formula>
    </cfRule>
  </conditionalFormatting>
  <conditionalFormatting sqref="Q124 Q127 Q130">
    <cfRule type="cellIs" dxfId="5154" priority="1899" operator="lessThan">
      <formula>0</formula>
    </cfRule>
  </conditionalFormatting>
  <conditionalFormatting sqref="R124 R127 R130">
    <cfRule type="cellIs" dxfId="5153" priority="1897" operator="lessThan">
      <formula>0.8</formula>
    </cfRule>
    <cfRule type="cellIs" dxfId="5152" priority="1898" operator="greaterThan">
      <formula>1</formula>
    </cfRule>
  </conditionalFormatting>
  <conditionalFormatting sqref="R124 R127 R130">
    <cfRule type="cellIs" dxfId="5151" priority="1895" operator="greaterThan">
      <formula>1</formula>
    </cfRule>
    <cfRule type="cellIs" dxfId="5150" priority="1896" operator="lessThan">
      <formula>0.8</formula>
    </cfRule>
  </conditionalFormatting>
  <conditionalFormatting sqref="P124 P127 P130">
    <cfRule type="cellIs" dxfId="5149" priority="1894" operator="greaterThan">
      <formula>0</formula>
    </cfRule>
  </conditionalFormatting>
  <conditionalFormatting sqref="Q124 Q127 Q130">
    <cfRule type="cellIs" dxfId="5148" priority="1893" operator="lessThan">
      <formula>0</formula>
    </cfRule>
  </conditionalFormatting>
  <conditionalFormatting sqref="R124 R127 R130">
    <cfRule type="cellIs" dxfId="5147" priority="1891" operator="lessThan">
      <formula>0.8</formula>
    </cfRule>
    <cfRule type="cellIs" dxfId="5146" priority="1892" operator="greaterThan">
      <formula>1</formula>
    </cfRule>
  </conditionalFormatting>
  <conditionalFormatting sqref="R124 R127 R130">
    <cfRule type="cellIs" dxfId="5145" priority="1889" operator="greaterThan">
      <formula>1</formula>
    </cfRule>
    <cfRule type="cellIs" dxfId="5144" priority="1890" operator="lessThan">
      <formula>0.8</formula>
    </cfRule>
  </conditionalFormatting>
  <conditionalFormatting sqref="P124 P127 P130">
    <cfRule type="cellIs" dxfId="5143" priority="1888" operator="greaterThan">
      <formula>0</formula>
    </cfRule>
  </conditionalFormatting>
  <conditionalFormatting sqref="P124 P127 P130">
    <cfRule type="cellIs" dxfId="5142" priority="1882" operator="greaterThan">
      <formula>0</formula>
    </cfRule>
  </conditionalFormatting>
  <conditionalFormatting sqref="Q124 Q127 Q130">
    <cfRule type="cellIs" dxfId="5141" priority="1887" operator="lessThan">
      <formula>0</formula>
    </cfRule>
  </conditionalFormatting>
  <conditionalFormatting sqref="R124 R127 R130">
    <cfRule type="cellIs" dxfId="5140" priority="1885" operator="lessThan">
      <formula>0.8</formula>
    </cfRule>
    <cfRule type="cellIs" dxfId="5139" priority="1886" operator="greaterThan">
      <formula>1</formula>
    </cfRule>
  </conditionalFormatting>
  <conditionalFormatting sqref="R124 R127 R130">
    <cfRule type="cellIs" dxfId="5138" priority="1883" operator="greaterThan">
      <formula>1</formula>
    </cfRule>
    <cfRule type="cellIs" dxfId="5137" priority="1884" operator="lessThan">
      <formula>0.8</formula>
    </cfRule>
  </conditionalFormatting>
  <conditionalFormatting sqref="P124 P127 P130">
    <cfRule type="cellIs" dxfId="5136" priority="1876" operator="greaterThan">
      <formula>0</formula>
    </cfRule>
  </conditionalFormatting>
  <conditionalFormatting sqref="Q124 Q127 Q130">
    <cfRule type="cellIs" dxfId="5135" priority="1881" operator="lessThan">
      <formula>0</formula>
    </cfRule>
  </conditionalFormatting>
  <conditionalFormatting sqref="R124 R127 R130">
    <cfRule type="cellIs" dxfId="5134" priority="1879" operator="lessThan">
      <formula>0.8</formula>
    </cfRule>
    <cfRule type="cellIs" dxfId="5133" priority="1880" operator="greaterThan">
      <formula>1</formula>
    </cfRule>
  </conditionalFormatting>
  <conditionalFormatting sqref="R124 R127 R130">
    <cfRule type="cellIs" dxfId="5132" priority="1877" operator="greaterThan">
      <formula>1</formula>
    </cfRule>
    <cfRule type="cellIs" dxfId="5131" priority="1878" operator="lessThan">
      <formula>0.8</formula>
    </cfRule>
  </conditionalFormatting>
  <conditionalFormatting sqref="R124 R127 R130">
    <cfRule type="cellIs" dxfId="5130" priority="1873" operator="lessThan">
      <formula>0.8</formula>
    </cfRule>
    <cfRule type="cellIs" dxfId="5129" priority="1874" operator="greaterThan">
      <formula>1</formula>
    </cfRule>
  </conditionalFormatting>
  <conditionalFormatting sqref="R124 R127 R130">
    <cfRule type="cellIs" dxfId="5128" priority="1871" operator="greaterThan">
      <formula>1</formula>
    </cfRule>
    <cfRule type="cellIs" dxfId="5127" priority="1872" operator="lessThan">
      <formula>0.8</formula>
    </cfRule>
  </conditionalFormatting>
  <conditionalFormatting sqref="P124 P127 P130">
    <cfRule type="cellIs" dxfId="5126" priority="1870" operator="greaterThan">
      <formula>0</formula>
    </cfRule>
  </conditionalFormatting>
  <conditionalFormatting sqref="Q124 Q127 Q130">
    <cfRule type="cellIs" dxfId="5125" priority="1875" operator="lessThan">
      <formula>0</formula>
    </cfRule>
  </conditionalFormatting>
  <conditionalFormatting sqref="Q5:Q14">
    <cfRule type="cellIs" dxfId="5124" priority="1869" operator="lessThan">
      <formula>0</formula>
    </cfRule>
  </conditionalFormatting>
  <conditionalFormatting sqref="R5:R14">
    <cfRule type="cellIs" dxfId="5123" priority="1867" operator="lessThan">
      <formula>0.8</formula>
    </cfRule>
    <cfRule type="cellIs" dxfId="5122" priority="1868" operator="greaterThan">
      <formula>1</formula>
    </cfRule>
  </conditionalFormatting>
  <conditionalFormatting sqref="R5:R14">
    <cfRule type="cellIs" dxfId="5121" priority="1865" operator="greaterThan">
      <formula>1</formula>
    </cfRule>
    <cfRule type="cellIs" dxfId="5120" priority="1866" operator="lessThan">
      <formula>0.8</formula>
    </cfRule>
  </conditionalFormatting>
  <conditionalFormatting sqref="P5:P14">
    <cfRule type="cellIs" dxfId="5119" priority="1864" operator="greaterThan">
      <formula>0</formula>
    </cfRule>
  </conditionalFormatting>
  <conditionalFormatting sqref="Q83">
    <cfRule type="cellIs" dxfId="5118" priority="1863" operator="lessThan">
      <formula>0</formula>
    </cfRule>
  </conditionalFormatting>
  <conditionalFormatting sqref="R83">
    <cfRule type="cellIs" dxfId="5117" priority="1861" operator="lessThan">
      <formula>0.8</formula>
    </cfRule>
    <cfRule type="cellIs" dxfId="5116" priority="1862" operator="greaterThan">
      <formula>1</formula>
    </cfRule>
  </conditionalFormatting>
  <conditionalFormatting sqref="R83">
    <cfRule type="cellIs" dxfId="5115" priority="1859" operator="greaterThan">
      <formula>1</formula>
    </cfRule>
    <cfRule type="cellIs" dxfId="5114" priority="1860" operator="lessThan">
      <formula>0.8</formula>
    </cfRule>
  </conditionalFormatting>
  <conditionalFormatting sqref="P83">
    <cfRule type="cellIs" dxfId="5113" priority="1858" operator="greaterThan">
      <formula>0</formula>
    </cfRule>
  </conditionalFormatting>
  <conditionalFormatting sqref="Q83">
    <cfRule type="cellIs" dxfId="5112" priority="1857" operator="lessThan">
      <formula>0</formula>
    </cfRule>
  </conditionalFormatting>
  <conditionalFormatting sqref="R83">
    <cfRule type="cellIs" dxfId="5111" priority="1855" operator="lessThan">
      <formula>0.8</formula>
    </cfRule>
    <cfRule type="cellIs" dxfId="5110" priority="1856" operator="greaterThan">
      <formula>1</formula>
    </cfRule>
  </conditionalFormatting>
  <conditionalFormatting sqref="R83">
    <cfRule type="cellIs" dxfId="5109" priority="1853" operator="greaterThan">
      <formula>1</formula>
    </cfRule>
    <cfRule type="cellIs" dxfId="5108" priority="1854" operator="lessThan">
      <formula>0.8</formula>
    </cfRule>
  </conditionalFormatting>
  <conditionalFormatting sqref="P83">
    <cfRule type="cellIs" dxfId="5107" priority="1852" operator="greaterThan">
      <formula>0</formula>
    </cfRule>
  </conditionalFormatting>
  <conditionalFormatting sqref="Q83">
    <cfRule type="cellIs" dxfId="5106" priority="1851" operator="lessThan">
      <formula>0</formula>
    </cfRule>
  </conditionalFormatting>
  <conditionalFormatting sqref="R83">
    <cfRule type="cellIs" dxfId="5105" priority="1849" operator="lessThan">
      <formula>0.8</formula>
    </cfRule>
    <cfRule type="cellIs" dxfId="5104" priority="1850" operator="greaterThan">
      <formula>1</formula>
    </cfRule>
  </conditionalFormatting>
  <conditionalFormatting sqref="R83">
    <cfRule type="cellIs" dxfId="5103" priority="1847" operator="greaterThan">
      <formula>1</formula>
    </cfRule>
    <cfRule type="cellIs" dxfId="5102" priority="1848" operator="lessThan">
      <formula>0.8</formula>
    </cfRule>
  </conditionalFormatting>
  <conditionalFormatting sqref="P83">
    <cfRule type="cellIs" dxfId="5101" priority="1846" operator="greaterThan">
      <formula>0</formula>
    </cfRule>
  </conditionalFormatting>
  <conditionalFormatting sqref="Q83">
    <cfRule type="cellIs" dxfId="5100" priority="1845" operator="lessThan">
      <formula>0</formula>
    </cfRule>
  </conditionalFormatting>
  <conditionalFormatting sqref="R83">
    <cfRule type="cellIs" dxfId="5099" priority="1843" operator="lessThan">
      <formula>0.8</formula>
    </cfRule>
    <cfRule type="cellIs" dxfId="5098" priority="1844" operator="greaterThan">
      <formula>1</formula>
    </cfRule>
  </conditionalFormatting>
  <conditionalFormatting sqref="R83">
    <cfRule type="cellIs" dxfId="5097" priority="1841" operator="greaterThan">
      <formula>1</formula>
    </cfRule>
    <cfRule type="cellIs" dxfId="5096" priority="1842" operator="lessThan">
      <formula>0.8</formula>
    </cfRule>
  </conditionalFormatting>
  <conditionalFormatting sqref="P83">
    <cfRule type="cellIs" dxfId="5095" priority="1840" operator="greaterThan">
      <formula>0</formula>
    </cfRule>
  </conditionalFormatting>
  <conditionalFormatting sqref="P83">
    <cfRule type="cellIs" dxfId="5094" priority="1834" operator="greaterThan">
      <formula>0</formula>
    </cfRule>
  </conditionalFormatting>
  <conditionalFormatting sqref="Q83">
    <cfRule type="cellIs" dxfId="5093" priority="1839" operator="lessThan">
      <formula>0</formula>
    </cfRule>
  </conditionalFormatting>
  <conditionalFormatting sqref="R83">
    <cfRule type="cellIs" dxfId="5092" priority="1837" operator="lessThan">
      <formula>0.8</formula>
    </cfRule>
    <cfRule type="cellIs" dxfId="5091" priority="1838" operator="greaterThan">
      <formula>1</formula>
    </cfRule>
  </conditionalFormatting>
  <conditionalFormatting sqref="R83">
    <cfRule type="cellIs" dxfId="5090" priority="1835" operator="greaterThan">
      <formula>1</formula>
    </cfRule>
    <cfRule type="cellIs" dxfId="5089" priority="1836" operator="lessThan">
      <formula>0.8</formula>
    </cfRule>
  </conditionalFormatting>
  <conditionalFormatting sqref="P83">
    <cfRule type="cellIs" dxfId="5088" priority="1828" operator="greaterThan">
      <formula>0</formula>
    </cfRule>
  </conditionalFormatting>
  <conditionalFormatting sqref="Q83">
    <cfRule type="cellIs" dxfId="5087" priority="1833" operator="lessThan">
      <formula>0</formula>
    </cfRule>
  </conditionalFormatting>
  <conditionalFormatting sqref="R83">
    <cfRule type="cellIs" dxfId="5086" priority="1831" operator="lessThan">
      <formula>0.8</formula>
    </cfRule>
    <cfRule type="cellIs" dxfId="5085" priority="1832" operator="greaterThan">
      <formula>1</formula>
    </cfRule>
  </conditionalFormatting>
  <conditionalFormatting sqref="R83">
    <cfRule type="cellIs" dxfId="5084" priority="1829" operator="greaterThan">
      <formula>1</formula>
    </cfRule>
    <cfRule type="cellIs" dxfId="5083" priority="1830" operator="lessThan">
      <formula>0.8</formula>
    </cfRule>
  </conditionalFormatting>
  <conditionalFormatting sqref="R83">
    <cfRule type="cellIs" dxfId="5082" priority="1825" operator="lessThan">
      <formula>0.8</formula>
    </cfRule>
    <cfRule type="cellIs" dxfId="5081" priority="1826" operator="greaterThan">
      <formula>1</formula>
    </cfRule>
  </conditionalFormatting>
  <conditionalFormatting sqref="R83">
    <cfRule type="cellIs" dxfId="5080" priority="1823" operator="greaterThan">
      <formula>1</formula>
    </cfRule>
    <cfRule type="cellIs" dxfId="5079" priority="1824" operator="lessThan">
      <formula>0.8</formula>
    </cfRule>
  </conditionalFormatting>
  <conditionalFormatting sqref="P83">
    <cfRule type="cellIs" dxfId="5078" priority="1822" operator="greaterThan">
      <formula>0</formula>
    </cfRule>
  </conditionalFormatting>
  <conditionalFormatting sqref="Q83">
    <cfRule type="cellIs" dxfId="5077" priority="1827" operator="lessThan">
      <formula>0</formula>
    </cfRule>
  </conditionalFormatting>
  <conditionalFormatting sqref="Q83">
    <cfRule type="cellIs" dxfId="5076" priority="1821" operator="lessThan">
      <formula>0</formula>
    </cfRule>
  </conditionalFormatting>
  <conditionalFormatting sqref="R83">
    <cfRule type="cellIs" dxfId="5075" priority="1819" operator="lessThan">
      <formula>0.8</formula>
    </cfRule>
    <cfRule type="cellIs" dxfId="5074" priority="1820" operator="greaterThan">
      <formula>1</formula>
    </cfRule>
  </conditionalFormatting>
  <conditionalFormatting sqref="R83">
    <cfRule type="cellIs" dxfId="5073" priority="1817" operator="greaterThan">
      <formula>1</formula>
    </cfRule>
    <cfRule type="cellIs" dxfId="5072" priority="1818" operator="lessThan">
      <formula>0.8</formula>
    </cfRule>
  </conditionalFormatting>
  <conditionalFormatting sqref="P83">
    <cfRule type="cellIs" dxfId="5071" priority="1816" operator="greaterThan">
      <formula>0</formula>
    </cfRule>
  </conditionalFormatting>
  <conditionalFormatting sqref="P83">
    <cfRule type="cellIs" dxfId="5070" priority="1810" operator="greaterThan">
      <formula>0</formula>
    </cfRule>
  </conditionalFormatting>
  <conditionalFormatting sqref="Q83">
    <cfRule type="cellIs" dxfId="5069" priority="1815" operator="lessThan">
      <formula>0</formula>
    </cfRule>
  </conditionalFormatting>
  <conditionalFormatting sqref="R83">
    <cfRule type="cellIs" dxfId="5068" priority="1813" operator="lessThan">
      <formula>0.8</formula>
    </cfRule>
    <cfRule type="cellIs" dxfId="5067" priority="1814" operator="greaterThan">
      <formula>1</formula>
    </cfRule>
  </conditionalFormatting>
  <conditionalFormatting sqref="R83">
    <cfRule type="cellIs" dxfId="5066" priority="1811" operator="greaterThan">
      <formula>1</formula>
    </cfRule>
    <cfRule type="cellIs" dxfId="5065" priority="1812" operator="lessThan">
      <formula>0.8</formula>
    </cfRule>
  </conditionalFormatting>
  <conditionalFormatting sqref="P83">
    <cfRule type="cellIs" dxfId="5064" priority="1804" operator="greaterThan">
      <formula>0</formula>
    </cfRule>
  </conditionalFormatting>
  <conditionalFormatting sqref="Q83">
    <cfRule type="cellIs" dxfId="5063" priority="1809" operator="lessThan">
      <formula>0</formula>
    </cfRule>
  </conditionalFormatting>
  <conditionalFormatting sqref="R83">
    <cfRule type="cellIs" dxfId="5062" priority="1807" operator="lessThan">
      <formula>0.8</formula>
    </cfRule>
    <cfRule type="cellIs" dxfId="5061" priority="1808" operator="greaterThan">
      <formula>1</formula>
    </cfRule>
  </conditionalFormatting>
  <conditionalFormatting sqref="R83">
    <cfRule type="cellIs" dxfId="5060" priority="1805" operator="greaterThan">
      <formula>1</formula>
    </cfRule>
    <cfRule type="cellIs" dxfId="5059" priority="1806" operator="lessThan">
      <formula>0.8</formula>
    </cfRule>
  </conditionalFormatting>
  <conditionalFormatting sqref="R83">
    <cfRule type="cellIs" dxfId="5058" priority="1801" operator="lessThan">
      <formula>0.8</formula>
    </cfRule>
    <cfRule type="cellIs" dxfId="5057" priority="1802" operator="greaterThan">
      <formula>1</formula>
    </cfRule>
  </conditionalFormatting>
  <conditionalFormatting sqref="R83">
    <cfRule type="cellIs" dxfId="5056" priority="1799" operator="greaterThan">
      <formula>1</formula>
    </cfRule>
    <cfRule type="cellIs" dxfId="5055" priority="1800" operator="lessThan">
      <formula>0.8</formula>
    </cfRule>
  </conditionalFormatting>
  <conditionalFormatting sqref="P83">
    <cfRule type="cellIs" dxfId="5054" priority="1798" operator="greaterThan">
      <formula>0</formula>
    </cfRule>
  </conditionalFormatting>
  <conditionalFormatting sqref="Q83">
    <cfRule type="cellIs" dxfId="5053" priority="1803" operator="lessThan">
      <formula>0</formula>
    </cfRule>
  </conditionalFormatting>
  <conditionalFormatting sqref="P83">
    <cfRule type="cellIs" dxfId="5052" priority="1792" operator="greaterThan">
      <formula>0</formula>
    </cfRule>
  </conditionalFormatting>
  <conditionalFormatting sqref="Q83">
    <cfRule type="cellIs" dxfId="5051" priority="1797" operator="lessThan">
      <formula>0</formula>
    </cfRule>
  </conditionalFormatting>
  <conditionalFormatting sqref="R83">
    <cfRule type="cellIs" dxfId="5050" priority="1795" operator="lessThan">
      <formula>0.8</formula>
    </cfRule>
    <cfRule type="cellIs" dxfId="5049" priority="1796" operator="greaterThan">
      <formula>1</formula>
    </cfRule>
  </conditionalFormatting>
  <conditionalFormatting sqref="R83">
    <cfRule type="cellIs" dxfId="5048" priority="1793" operator="greaterThan">
      <formula>1</formula>
    </cfRule>
    <cfRule type="cellIs" dxfId="5047" priority="1794" operator="lessThan">
      <formula>0.8</formula>
    </cfRule>
  </conditionalFormatting>
  <conditionalFormatting sqref="R83">
    <cfRule type="cellIs" dxfId="5046" priority="1789" operator="lessThan">
      <formula>0.8</formula>
    </cfRule>
    <cfRule type="cellIs" dxfId="5045" priority="1790" operator="greaterThan">
      <formula>1</formula>
    </cfRule>
  </conditionalFormatting>
  <conditionalFormatting sqref="R83">
    <cfRule type="cellIs" dxfId="5044" priority="1787" operator="greaterThan">
      <formula>1</formula>
    </cfRule>
    <cfRule type="cellIs" dxfId="5043" priority="1788" operator="lessThan">
      <formula>0.8</formula>
    </cfRule>
  </conditionalFormatting>
  <conditionalFormatting sqref="P83">
    <cfRule type="cellIs" dxfId="5042" priority="1786" operator="greaterThan">
      <formula>0</formula>
    </cfRule>
  </conditionalFormatting>
  <conditionalFormatting sqref="Q83">
    <cfRule type="cellIs" dxfId="5041" priority="1791" operator="lessThan">
      <formula>0</formula>
    </cfRule>
  </conditionalFormatting>
  <conditionalFormatting sqref="R83">
    <cfRule type="cellIs" dxfId="5040" priority="1783" operator="lessThan">
      <formula>0.8</formula>
    </cfRule>
    <cfRule type="cellIs" dxfId="5039" priority="1784" operator="greaterThan">
      <formula>1</formula>
    </cfRule>
  </conditionalFormatting>
  <conditionalFormatting sqref="R83">
    <cfRule type="cellIs" dxfId="5038" priority="1781" operator="greaterThan">
      <formula>1</formula>
    </cfRule>
    <cfRule type="cellIs" dxfId="5037" priority="1782" operator="lessThan">
      <formula>0.8</formula>
    </cfRule>
  </conditionalFormatting>
  <conditionalFormatting sqref="P83">
    <cfRule type="cellIs" dxfId="5036" priority="1780" operator="greaterThan">
      <formula>0</formula>
    </cfRule>
  </conditionalFormatting>
  <conditionalFormatting sqref="Q83">
    <cfRule type="cellIs" dxfId="5035" priority="1785" operator="lessThan">
      <formula>0</formula>
    </cfRule>
  </conditionalFormatting>
  <conditionalFormatting sqref="Q83">
    <cfRule type="cellIs" dxfId="5034" priority="1779" operator="lessThan">
      <formula>0</formula>
    </cfRule>
  </conditionalFormatting>
  <conditionalFormatting sqref="R83">
    <cfRule type="cellIs" dxfId="5033" priority="1777" operator="lessThan">
      <formula>0.8</formula>
    </cfRule>
    <cfRule type="cellIs" dxfId="5032" priority="1778" operator="greaterThan">
      <formula>1</formula>
    </cfRule>
  </conditionalFormatting>
  <conditionalFormatting sqref="R83">
    <cfRule type="cellIs" dxfId="5031" priority="1775" operator="greaterThan">
      <formula>1</formula>
    </cfRule>
    <cfRule type="cellIs" dxfId="5030" priority="1776" operator="lessThan">
      <formula>0.8</formula>
    </cfRule>
  </conditionalFormatting>
  <conditionalFormatting sqref="P83">
    <cfRule type="cellIs" dxfId="5029" priority="1774" operator="greaterThan">
      <formula>0</formula>
    </cfRule>
  </conditionalFormatting>
  <conditionalFormatting sqref="Q83">
    <cfRule type="cellIs" dxfId="5028" priority="1768" operator="lessThan">
      <formula>0</formula>
    </cfRule>
  </conditionalFormatting>
  <conditionalFormatting sqref="R83">
    <cfRule type="cellIs" dxfId="5027" priority="1772" operator="lessThan">
      <formula>0.8</formula>
    </cfRule>
    <cfRule type="cellIs" dxfId="5026" priority="1773" operator="greaterThan">
      <formula>1</formula>
    </cfRule>
  </conditionalFormatting>
  <conditionalFormatting sqref="R83">
    <cfRule type="cellIs" dxfId="5025" priority="1770" operator="greaterThan">
      <formula>1</formula>
    </cfRule>
    <cfRule type="cellIs" dxfId="5024" priority="1771" operator="lessThan">
      <formula>0.8</formula>
    </cfRule>
  </conditionalFormatting>
  <conditionalFormatting sqref="P83">
    <cfRule type="cellIs" dxfId="5023" priority="1769" operator="greaterThan">
      <formula>0</formula>
    </cfRule>
  </conditionalFormatting>
  <conditionalFormatting sqref="Q83">
    <cfRule type="cellIs" dxfId="5022" priority="1767" operator="lessThan">
      <formula>0</formula>
    </cfRule>
  </conditionalFormatting>
  <conditionalFormatting sqref="R83">
    <cfRule type="cellIs" dxfId="5021" priority="1765" operator="lessThan">
      <formula>0.8</formula>
    </cfRule>
    <cfRule type="cellIs" dxfId="5020" priority="1766" operator="greaterThan">
      <formula>1</formula>
    </cfRule>
  </conditionalFormatting>
  <conditionalFormatting sqref="R83">
    <cfRule type="cellIs" dxfId="5019" priority="1763" operator="greaterThan">
      <formula>1</formula>
    </cfRule>
    <cfRule type="cellIs" dxfId="5018" priority="1764" operator="lessThan">
      <formula>0.8</formula>
    </cfRule>
  </conditionalFormatting>
  <conditionalFormatting sqref="P83">
    <cfRule type="cellIs" dxfId="5017" priority="1762" operator="greaterThan">
      <formula>0</formula>
    </cfRule>
  </conditionalFormatting>
  <conditionalFormatting sqref="Q83">
    <cfRule type="cellIs" dxfId="5016" priority="1761" operator="lessThan">
      <formula>0</formula>
    </cfRule>
  </conditionalFormatting>
  <conditionalFormatting sqref="R83">
    <cfRule type="cellIs" dxfId="5015" priority="1759" operator="lessThan">
      <formula>0.8</formula>
    </cfRule>
    <cfRule type="cellIs" dxfId="5014" priority="1760" operator="greaterThan">
      <formula>1</formula>
    </cfRule>
  </conditionalFormatting>
  <conditionalFormatting sqref="R83">
    <cfRule type="cellIs" dxfId="5013" priority="1757" operator="greaterThan">
      <formula>1</formula>
    </cfRule>
    <cfRule type="cellIs" dxfId="5012" priority="1758" operator="lessThan">
      <formula>0.8</formula>
    </cfRule>
  </conditionalFormatting>
  <conditionalFormatting sqref="P83">
    <cfRule type="cellIs" dxfId="5011" priority="1756" operator="greaterThan">
      <formula>0</formula>
    </cfRule>
  </conditionalFormatting>
  <conditionalFormatting sqref="Q83">
    <cfRule type="cellIs" dxfId="5010" priority="1755" operator="lessThan">
      <formula>0</formula>
    </cfRule>
  </conditionalFormatting>
  <conditionalFormatting sqref="R83">
    <cfRule type="cellIs" dxfId="5009" priority="1753" operator="lessThan">
      <formula>0.8</formula>
    </cfRule>
    <cfRule type="cellIs" dxfId="5008" priority="1754" operator="greaterThan">
      <formula>1</formula>
    </cfRule>
  </conditionalFormatting>
  <conditionalFormatting sqref="R83">
    <cfRule type="cellIs" dxfId="5007" priority="1751" operator="greaterThan">
      <formula>1</formula>
    </cfRule>
    <cfRule type="cellIs" dxfId="5006" priority="1752" operator="lessThan">
      <formula>0.8</formula>
    </cfRule>
  </conditionalFormatting>
  <conditionalFormatting sqref="P83">
    <cfRule type="cellIs" dxfId="5005" priority="1750" operator="greaterThan">
      <formula>0</formula>
    </cfRule>
  </conditionalFormatting>
  <conditionalFormatting sqref="Q83">
    <cfRule type="cellIs" dxfId="5004" priority="1749" operator="lessThan">
      <formula>0</formula>
    </cfRule>
  </conditionalFormatting>
  <conditionalFormatting sqref="R83">
    <cfRule type="cellIs" dxfId="5003" priority="1747" operator="lessThan">
      <formula>0.8</formula>
    </cfRule>
    <cfRule type="cellIs" dxfId="5002" priority="1748" operator="greaterThan">
      <formula>1</formula>
    </cfRule>
  </conditionalFormatting>
  <conditionalFormatting sqref="R83">
    <cfRule type="cellIs" dxfId="5001" priority="1745" operator="greaterThan">
      <formula>1</formula>
    </cfRule>
    <cfRule type="cellIs" dxfId="5000" priority="1746" operator="lessThan">
      <formula>0.8</formula>
    </cfRule>
  </conditionalFormatting>
  <conditionalFormatting sqref="P83">
    <cfRule type="cellIs" dxfId="4999" priority="1744" operator="greaterThan">
      <formula>0</formula>
    </cfRule>
  </conditionalFormatting>
  <conditionalFormatting sqref="Q83">
    <cfRule type="cellIs" dxfId="4998" priority="1743" operator="lessThan">
      <formula>0</formula>
    </cfRule>
  </conditionalFormatting>
  <conditionalFormatting sqref="R83">
    <cfRule type="cellIs" dxfId="4997" priority="1741" operator="lessThan">
      <formula>0.8</formula>
    </cfRule>
    <cfRule type="cellIs" dxfId="4996" priority="1742" operator="greaterThan">
      <formula>1</formula>
    </cfRule>
  </conditionalFormatting>
  <conditionalFormatting sqref="R83">
    <cfRule type="cellIs" dxfId="4995" priority="1739" operator="greaterThan">
      <formula>1</formula>
    </cfRule>
    <cfRule type="cellIs" dxfId="4994" priority="1740" operator="lessThan">
      <formula>0.8</formula>
    </cfRule>
  </conditionalFormatting>
  <conditionalFormatting sqref="P83">
    <cfRule type="cellIs" dxfId="4993" priority="1738" operator="greaterThan">
      <formula>0</formula>
    </cfRule>
  </conditionalFormatting>
  <conditionalFormatting sqref="P83">
    <cfRule type="cellIs" dxfId="4992" priority="1732" operator="greaterThan">
      <formula>0</formula>
    </cfRule>
  </conditionalFormatting>
  <conditionalFormatting sqref="Q83">
    <cfRule type="cellIs" dxfId="4991" priority="1737" operator="lessThan">
      <formula>0</formula>
    </cfRule>
  </conditionalFormatting>
  <conditionalFormatting sqref="R83">
    <cfRule type="cellIs" dxfId="4990" priority="1735" operator="lessThan">
      <formula>0.8</formula>
    </cfRule>
    <cfRule type="cellIs" dxfId="4989" priority="1736" operator="greaterThan">
      <formula>1</formula>
    </cfRule>
  </conditionalFormatting>
  <conditionalFormatting sqref="R83">
    <cfRule type="cellIs" dxfId="4988" priority="1733" operator="greaterThan">
      <formula>1</formula>
    </cfRule>
    <cfRule type="cellIs" dxfId="4987" priority="1734" operator="lessThan">
      <formula>0.8</formula>
    </cfRule>
  </conditionalFormatting>
  <conditionalFormatting sqref="P83">
    <cfRule type="cellIs" dxfId="4986" priority="1726" operator="greaterThan">
      <formula>0</formula>
    </cfRule>
  </conditionalFormatting>
  <conditionalFormatting sqref="Q83">
    <cfRule type="cellIs" dxfId="4985" priority="1731" operator="lessThan">
      <formula>0</formula>
    </cfRule>
  </conditionalFormatting>
  <conditionalFormatting sqref="R83">
    <cfRule type="cellIs" dxfId="4984" priority="1729" operator="lessThan">
      <formula>0.8</formula>
    </cfRule>
    <cfRule type="cellIs" dxfId="4983" priority="1730" operator="greaterThan">
      <formula>1</formula>
    </cfRule>
  </conditionalFormatting>
  <conditionalFormatting sqref="R83">
    <cfRule type="cellIs" dxfId="4982" priority="1727" operator="greaterThan">
      <formula>1</formula>
    </cfRule>
    <cfRule type="cellIs" dxfId="4981" priority="1728" operator="lessThan">
      <formula>0.8</formula>
    </cfRule>
  </conditionalFormatting>
  <conditionalFormatting sqref="R83">
    <cfRule type="cellIs" dxfId="4980" priority="1723" operator="lessThan">
      <formula>0.8</formula>
    </cfRule>
    <cfRule type="cellIs" dxfId="4979" priority="1724" operator="greaterThan">
      <formula>1</formula>
    </cfRule>
  </conditionalFormatting>
  <conditionalFormatting sqref="R83">
    <cfRule type="cellIs" dxfId="4978" priority="1721" operator="greaterThan">
      <formula>1</formula>
    </cfRule>
    <cfRule type="cellIs" dxfId="4977" priority="1722" operator="lessThan">
      <formula>0.8</formula>
    </cfRule>
  </conditionalFormatting>
  <conditionalFormatting sqref="P83">
    <cfRule type="cellIs" dxfId="4976" priority="1720" operator="greaterThan">
      <formula>0</formula>
    </cfRule>
  </conditionalFormatting>
  <conditionalFormatting sqref="Q83">
    <cfRule type="cellIs" dxfId="4975" priority="1725" operator="lessThan">
      <formula>0</formula>
    </cfRule>
  </conditionalFormatting>
  <conditionalFormatting sqref="Q83">
    <cfRule type="cellIs" dxfId="4974" priority="1714" operator="lessThan">
      <formula>0</formula>
    </cfRule>
  </conditionalFormatting>
  <conditionalFormatting sqref="P83">
    <cfRule type="cellIs" dxfId="4973" priority="1715" operator="greaterThan">
      <formula>0</formula>
    </cfRule>
  </conditionalFormatting>
  <conditionalFormatting sqref="R83">
    <cfRule type="cellIs" dxfId="4972" priority="1718" operator="lessThan">
      <formula>0.8</formula>
    </cfRule>
    <cfRule type="cellIs" dxfId="4971" priority="1719" operator="greaterThan">
      <formula>1</formula>
    </cfRule>
  </conditionalFormatting>
  <conditionalFormatting sqref="R83">
    <cfRule type="cellIs" dxfId="4970" priority="1716" operator="greaterThan">
      <formula>1</formula>
    </cfRule>
    <cfRule type="cellIs" dxfId="4969" priority="1717" operator="lessThan">
      <formula>0.8</formula>
    </cfRule>
  </conditionalFormatting>
  <conditionalFormatting sqref="Q83">
    <cfRule type="cellIs" dxfId="4968" priority="1708" operator="lessThan">
      <formula>0</formula>
    </cfRule>
  </conditionalFormatting>
  <conditionalFormatting sqref="R83">
    <cfRule type="cellIs" dxfId="4967" priority="1712" operator="lessThan">
      <formula>0.8</formula>
    </cfRule>
    <cfRule type="cellIs" dxfId="4966" priority="1713" operator="greaterThan">
      <formula>1</formula>
    </cfRule>
  </conditionalFormatting>
  <conditionalFormatting sqref="R83">
    <cfRule type="cellIs" dxfId="4965" priority="1710" operator="greaterThan">
      <formula>1</formula>
    </cfRule>
    <cfRule type="cellIs" dxfId="4964" priority="1711" operator="lessThan">
      <formula>0.8</formula>
    </cfRule>
  </conditionalFormatting>
  <conditionalFormatting sqref="P83">
    <cfRule type="cellIs" dxfId="4963" priority="1709" operator="greaterThan">
      <formula>0</formula>
    </cfRule>
  </conditionalFormatting>
  <conditionalFormatting sqref="Q83">
    <cfRule type="cellIs" dxfId="4962" priority="1707" operator="lessThan">
      <formula>0</formula>
    </cfRule>
  </conditionalFormatting>
  <conditionalFormatting sqref="R83">
    <cfRule type="cellIs" dxfId="4961" priority="1705" operator="lessThan">
      <formula>0.8</formula>
    </cfRule>
    <cfRule type="cellIs" dxfId="4960" priority="1706" operator="greaterThan">
      <formula>1</formula>
    </cfRule>
  </conditionalFormatting>
  <conditionalFormatting sqref="R83">
    <cfRule type="cellIs" dxfId="4959" priority="1703" operator="greaterThan">
      <formula>1</formula>
    </cfRule>
    <cfRule type="cellIs" dxfId="4958" priority="1704" operator="lessThan">
      <formula>0.8</formula>
    </cfRule>
  </conditionalFormatting>
  <conditionalFormatting sqref="P83">
    <cfRule type="cellIs" dxfId="4957" priority="1702" operator="greaterThan">
      <formula>0</formula>
    </cfRule>
  </conditionalFormatting>
  <conditionalFormatting sqref="Q83">
    <cfRule type="cellIs" dxfId="4956" priority="1701" operator="lessThan">
      <formula>0</formula>
    </cfRule>
  </conditionalFormatting>
  <conditionalFormatting sqref="R83">
    <cfRule type="cellIs" dxfId="4955" priority="1699" operator="lessThan">
      <formula>0.8</formula>
    </cfRule>
    <cfRule type="cellIs" dxfId="4954" priority="1700" operator="greaterThan">
      <formula>1</formula>
    </cfRule>
  </conditionalFormatting>
  <conditionalFormatting sqref="R83">
    <cfRule type="cellIs" dxfId="4953" priority="1697" operator="greaterThan">
      <formula>1</formula>
    </cfRule>
    <cfRule type="cellIs" dxfId="4952" priority="1698" operator="lessThan">
      <formula>0.8</formula>
    </cfRule>
  </conditionalFormatting>
  <conditionalFormatting sqref="P83">
    <cfRule type="cellIs" dxfId="4951" priority="1696" operator="greaterThan">
      <formula>0</formula>
    </cfRule>
  </conditionalFormatting>
  <conditionalFormatting sqref="Q83">
    <cfRule type="cellIs" dxfId="4950" priority="1695" operator="lessThan">
      <formula>0</formula>
    </cfRule>
  </conditionalFormatting>
  <conditionalFormatting sqref="R83">
    <cfRule type="cellIs" dxfId="4949" priority="1693" operator="lessThan">
      <formula>0.8</formula>
    </cfRule>
    <cfRule type="cellIs" dxfId="4948" priority="1694" operator="greaterThan">
      <formula>1</formula>
    </cfRule>
  </conditionalFormatting>
  <conditionalFormatting sqref="R83">
    <cfRule type="cellIs" dxfId="4947" priority="1691" operator="greaterThan">
      <formula>1</formula>
    </cfRule>
    <cfRule type="cellIs" dxfId="4946" priority="1692" operator="lessThan">
      <formula>0.8</formula>
    </cfRule>
  </conditionalFormatting>
  <conditionalFormatting sqref="P83">
    <cfRule type="cellIs" dxfId="4945" priority="1690" operator="greaterThan">
      <formula>0</formula>
    </cfRule>
  </conditionalFormatting>
  <conditionalFormatting sqref="Q32:Q39">
    <cfRule type="cellIs" dxfId="4944" priority="1684" operator="lessThan">
      <formula>0</formula>
    </cfRule>
  </conditionalFormatting>
  <conditionalFormatting sqref="P32:P39">
    <cfRule type="cellIs" dxfId="4943" priority="1685" operator="greaterThan">
      <formula>0</formula>
    </cfRule>
  </conditionalFormatting>
  <conditionalFormatting sqref="R32:R39">
    <cfRule type="cellIs" dxfId="4942" priority="1688" operator="lessThan">
      <formula>0.8</formula>
    </cfRule>
    <cfRule type="cellIs" dxfId="4941" priority="1689" operator="greaterThan">
      <formula>1</formula>
    </cfRule>
  </conditionalFormatting>
  <conditionalFormatting sqref="R32:R39">
    <cfRule type="cellIs" dxfId="4940" priority="1686" operator="greaterThan">
      <formula>1</formula>
    </cfRule>
    <cfRule type="cellIs" dxfId="4939" priority="1687" operator="lessThan">
      <formula>0.8</formula>
    </cfRule>
  </conditionalFormatting>
  <conditionalFormatting sqref="Q32:Q39">
    <cfRule type="cellIs" dxfId="4938" priority="1678" operator="lessThan">
      <formula>0</formula>
    </cfRule>
  </conditionalFormatting>
  <conditionalFormatting sqref="R32:R39">
    <cfRule type="cellIs" dxfId="4937" priority="1682" operator="lessThan">
      <formula>0.8</formula>
    </cfRule>
    <cfRule type="cellIs" dxfId="4936" priority="1683" operator="greaterThan">
      <formula>1</formula>
    </cfRule>
  </conditionalFormatting>
  <conditionalFormatting sqref="R32:R39">
    <cfRule type="cellIs" dxfId="4935" priority="1680" operator="greaterThan">
      <formula>1</formula>
    </cfRule>
    <cfRule type="cellIs" dxfId="4934" priority="1681" operator="lessThan">
      <formula>0.8</formula>
    </cfRule>
  </conditionalFormatting>
  <conditionalFormatting sqref="P32:P39">
    <cfRule type="cellIs" dxfId="4933" priority="1679" operator="greaterThan">
      <formula>0</formula>
    </cfRule>
  </conditionalFormatting>
  <conditionalFormatting sqref="Q32:Q39">
    <cfRule type="cellIs" dxfId="4932" priority="1677" operator="lessThan">
      <formula>0</formula>
    </cfRule>
  </conditionalFormatting>
  <conditionalFormatting sqref="R32:R39">
    <cfRule type="cellIs" dxfId="4931" priority="1675" operator="lessThan">
      <formula>0.8</formula>
    </cfRule>
    <cfRule type="cellIs" dxfId="4930" priority="1676" operator="greaterThan">
      <formula>1</formula>
    </cfRule>
  </conditionalFormatting>
  <conditionalFormatting sqref="R32:R39">
    <cfRule type="cellIs" dxfId="4929" priority="1673" operator="greaterThan">
      <formula>1</formula>
    </cfRule>
    <cfRule type="cellIs" dxfId="4928" priority="1674" operator="lessThan">
      <formula>0.8</formula>
    </cfRule>
  </conditionalFormatting>
  <conditionalFormatting sqref="P32:P39">
    <cfRule type="cellIs" dxfId="4927" priority="1672" operator="greaterThan">
      <formula>0</formula>
    </cfRule>
  </conditionalFormatting>
  <conditionalFormatting sqref="Q32:Q39">
    <cfRule type="cellIs" dxfId="4926" priority="1671" operator="lessThan">
      <formula>0</formula>
    </cfRule>
  </conditionalFormatting>
  <conditionalFormatting sqref="R32:R39">
    <cfRule type="cellIs" dxfId="4925" priority="1669" operator="lessThan">
      <formula>0.8</formula>
    </cfRule>
    <cfRule type="cellIs" dxfId="4924" priority="1670" operator="greaterThan">
      <formula>1</formula>
    </cfRule>
  </conditionalFormatting>
  <conditionalFormatting sqref="R32:R39">
    <cfRule type="cellIs" dxfId="4923" priority="1667" operator="greaterThan">
      <formula>1</formula>
    </cfRule>
    <cfRule type="cellIs" dxfId="4922" priority="1668" operator="lessThan">
      <formula>0.8</formula>
    </cfRule>
  </conditionalFormatting>
  <conditionalFormatting sqref="P32:P39">
    <cfRule type="cellIs" dxfId="4921" priority="1666" operator="greaterThan">
      <formula>0</formula>
    </cfRule>
  </conditionalFormatting>
  <conditionalFormatting sqref="Q32:Q39">
    <cfRule type="cellIs" dxfId="4920" priority="1660" operator="lessThan">
      <formula>0</formula>
    </cfRule>
  </conditionalFormatting>
  <conditionalFormatting sqref="R32:R39">
    <cfRule type="cellIs" dxfId="4919" priority="1664" operator="lessThan">
      <formula>0.8</formula>
    </cfRule>
    <cfRule type="cellIs" dxfId="4918" priority="1665" operator="greaterThan">
      <formula>1</formula>
    </cfRule>
  </conditionalFormatting>
  <conditionalFormatting sqref="R32:R39">
    <cfRule type="cellIs" dxfId="4917" priority="1662" operator="greaterThan">
      <formula>1</formula>
    </cfRule>
    <cfRule type="cellIs" dxfId="4916" priority="1663" operator="lessThan">
      <formula>0.8</formula>
    </cfRule>
  </conditionalFormatting>
  <conditionalFormatting sqref="P32:P39">
    <cfRule type="cellIs" dxfId="4915" priority="1661" operator="greaterThan">
      <formula>0</formula>
    </cfRule>
  </conditionalFormatting>
  <conditionalFormatting sqref="Q32:Q39">
    <cfRule type="cellIs" dxfId="4914" priority="1659" operator="lessThan">
      <formula>0</formula>
    </cfRule>
  </conditionalFormatting>
  <conditionalFormatting sqref="R32:R39">
    <cfRule type="cellIs" dxfId="4913" priority="1657" operator="lessThan">
      <formula>0.8</formula>
    </cfRule>
    <cfRule type="cellIs" dxfId="4912" priority="1658" operator="greaterThan">
      <formula>1</formula>
    </cfRule>
  </conditionalFormatting>
  <conditionalFormatting sqref="R32:R39">
    <cfRule type="cellIs" dxfId="4911" priority="1655" operator="greaterThan">
      <formula>1</formula>
    </cfRule>
    <cfRule type="cellIs" dxfId="4910" priority="1656" operator="lessThan">
      <formula>0.8</formula>
    </cfRule>
  </conditionalFormatting>
  <conditionalFormatting sqref="P32:P39">
    <cfRule type="cellIs" dxfId="4909" priority="1654" operator="greaterThan">
      <formula>0</formula>
    </cfRule>
  </conditionalFormatting>
  <conditionalFormatting sqref="Q32:Q39">
    <cfRule type="cellIs" dxfId="4908" priority="1653" operator="lessThan">
      <formula>0</formula>
    </cfRule>
  </conditionalFormatting>
  <conditionalFormatting sqref="R32:R39">
    <cfRule type="cellIs" dxfId="4907" priority="1651" operator="lessThan">
      <formula>0.8</formula>
    </cfRule>
    <cfRule type="cellIs" dxfId="4906" priority="1652" operator="greaterThan">
      <formula>1</formula>
    </cfRule>
  </conditionalFormatting>
  <conditionalFormatting sqref="R32:R39">
    <cfRule type="cellIs" dxfId="4905" priority="1649" operator="greaterThan">
      <formula>1</formula>
    </cfRule>
    <cfRule type="cellIs" dxfId="4904" priority="1650" operator="lessThan">
      <formula>0.8</formula>
    </cfRule>
  </conditionalFormatting>
  <conditionalFormatting sqref="P32:P39">
    <cfRule type="cellIs" dxfId="4903" priority="1648" operator="greaterThan">
      <formula>0</formula>
    </cfRule>
  </conditionalFormatting>
  <conditionalFormatting sqref="Q32:Q39">
    <cfRule type="cellIs" dxfId="4902" priority="1647" operator="lessThan">
      <formula>0</formula>
    </cfRule>
  </conditionalFormatting>
  <conditionalFormatting sqref="R32:R39">
    <cfRule type="cellIs" dxfId="4901" priority="1645" operator="lessThan">
      <formula>0.8</formula>
    </cfRule>
    <cfRule type="cellIs" dxfId="4900" priority="1646" operator="greaterThan">
      <formula>1</formula>
    </cfRule>
  </conditionalFormatting>
  <conditionalFormatting sqref="R32:R39">
    <cfRule type="cellIs" dxfId="4899" priority="1643" operator="greaterThan">
      <formula>1</formula>
    </cfRule>
    <cfRule type="cellIs" dxfId="4898" priority="1644" operator="lessThan">
      <formula>0.8</formula>
    </cfRule>
  </conditionalFormatting>
  <conditionalFormatting sqref="P32:P39">
    <cfRule type="cellIs" dxfId="4897" priority="1642" operator="greaterThan">
      <formula>0</formula>
    </cfRule>
  </conditionalFormatting>
  <conditionalFormatting sqref="Q32:Q39">
    <cfRule type="cellIs" dxfId="4896" priority="1641" operator="lessThan">
      <formula>0</formula>
    </cfRule>
  </conditionalFormatting>
  <conditionalFormatting sqref="R32:R39">
    <cfRule type="cellIs" dxfId="4895" priority="1639" operator="lessThan">
      <formula>0.8</formula>
    </cfRule>
    <cfRule type="cellIs" dxfId="4894" priority="1640" operator="greaterThan">
      <formula>1</formula>
    </cfRule>
  </conditionalFormatting>
  <conditionalFormatting sqref="R32:R39">
    <cfRule type="cellIs" dxfId="4893" priority="1637" operator="greaterThan">
      <formula>1</formula>
    </cfRule>
    <cfRule type="cellIs" dxfId="4892" priority="1638" operator="lessThan">
      <formula>0.8</formula>
    </cfRule>
  </conditionalFormatting>
  <conditionalFormatting sqref="P32:P39">
    <cfRule type="cellIs" dxfId="4891" priority="1636" operator="greaterThan">
      <formula>0</formula>
    </cfRule>
  </conditionalFormatting>
  <conditionalFormatting sqref="Q32:Q39">
    <cfRule type="cellIs" dxfId="4890" priority="1635" operator="lessThan">
      <formula>0</formula>
    </cfRule>
  </conditionalFormatting>
  <conditionalFormatting sqref="R32:R39">
    <cfRule type="cellIs" dxfId="4889" priority="1633" operator="lessThan">
      <formula>0.8</formula>
    </cfRule>
    <cfRule type="cellIs" dxfId="4888" priority="1634" operator="greaterThan">
      <formula>1</formula>
    </cfRule>
  </conditionalFormatting>
  <conditionalFormatting sqref="R32:R39">
    <cfRule type="cellIs" dxfId="4887" priority="1631" operator="greaterThan">
      <formula>1</formula>
    </cfRule>
    <cfRule type="cellIs" dxfId="4886" priority="1632" operator="lessThan">
      <formula>0.8</formula>
    </cfRule>
  </conditionalFormatting>
  <conditionalFormatting sqref="P32:P39">
    <cfRule type="cellIs" dxfId="4885" priority="1630" operator="greaterThan">
      <formula>0</formula>
    </cfRule>
  </conditionalFormatting>
  <conditionalFormatting sqref="P32:P39">
    <cfRule type="cellIs" dxfId="4884" priority="1624" operator="greaterThan">
      <formula>0</formula>
    </cfRule>
  </conditionalFormatting>
  <conditionalFormatting sqref="Q32:Q39">
    <cfRule type="cellIs" dxfId="4883" priority="1629" operator="lessThan">
      <formula>0</formula>
    </cfRule>
  </conditionalFormatting>
  <conditionalFormatting sqref="R32:R39">
    <cfRule type="cellIs" dxfId="4882" priority="1627" operator="lessThan">
      <formula>0.8</formula>
    </cfRule>
    <cfRule type="cellIs" dxfId="4881" priority="1628" operator="greaterThan">
      <formula>1</formula>
    </cfRule>
  </conditionalFormatting>
  <conditionalFormatting sqref="R32:R39">
    <cfRule type="cellIs" dxfId="4880" priority="1625" operator="greaterThan">
      <formula>1</formula>
    </cfRule>
    <cfRule type="cellIs" dxfId="4879" priority="1626" operator="lessThan">
      <formula>0.8</formula>
    </cfRule>
  </conditionalFormatting>
  <conditionalFormatting sqref="P32:P39">
    <cfRule type="cellIs" dxfId="4878" priority="1618" operator="greaterThan">
      <formula>0</formula>
    </cfRule>
  </conditionalFormatting>
  <conditionalFormatting sqref="Q32:Q39">
    <cfRule type="cellIs" dxfId="4877" priority="1623" operator="lessThan">
      <formula>0</formula>
    </cfRule>
  </conditionalFormatting>
  <conditionalFormatting sqref="R32:R39">
    <cfRule type="cellIs" dxfId="4876" priority="1621" operator="lessThan">
      <formula>0.8</formula>
    </cfRule>
    <cfRule type="cellIs" dxfId="4875" priority="1622" operator="greaterThan">
      <formula>1</formula>
    </cfRule>
  </conditionalFormatting>
  <conditionalFormatting sqref="R32:R39">
    <cfRule type="cellIs" dxfId="4874" priority="1619" operator="greaterThan">
      <formula>1</formula>
    </cfRule>
    <cfRule type="cellIs" dxfId="4873" priority="1620" operator="lessThan">
      <formula>0.8</formula>
    </cfRule>
  </conditionalFormatting>
  <conditionalFormatting sqref="R32:R39">
    <cfRule type="cellIs" dxfId="4872" priority="1615" operator="lessThan">
      <formula>0.8</formula>
    </cfRule>
    <cfRule type="cellIs" dxfId="4871" priority="1616" operator="greaterThan">
      <formula>1</formula>
    </cfRule>
  </conditionalFormatting>
  <conditionalFormatting sqref="R32:R39">
    <cfRule type="cellIs" dxfId="4870" priority="1613" operator="greaterThan">
      <formula>1</formula>
    </cfRule>
    <cfRule type="cellIs" dxfId="4869" priority="1614" operator="lessThan">
      <formula>0.8</formula>
    </cfRule>
  </conditionalFormatting>
  <conditionalFormatting sqref="P32:P39">
    <cfRule type="cellIs" dxfId="4868" priority="1612" operator="greaterThan">
      <formula>0</formula>
    </cfRule>
  </conditionalFormatting>
  <conditionalFormatting sqref="Q32:Q39">
    <cfRule type="cellIs" dxfId="4867" priority="1617" operator="lessThan">
      <formula>0</formula>
    </cfRule>
  </conditionalFormatting>
  <conditionalFormatting sqref="Q32:Q39">
    <cfRule type="cellIs" dxfId="4866" priority="1606" operator="lessThan">
      <formula>0</formula>
    </cfRule>
  </conditionalFormatting>
  <conditionalFormatting sqref="P32:P39">
    <cfRule type="cellIs" dxfId="4865" priority="1607" operator="greaterThan">
      <formula>0</formula>
    </cfRule>
  </conditionalFormatting>
  <conditionalFormatting sqref="R32:R39">
    <cfRule type="cellIs" dxfId="4864" priority="1610" operator="lessThan">
      <formula>0.8</formula>
    </cfRule>
    <cfRule type="cellIs" dxfId="4863" priority="1611" operator="greaterThan">
      <formula>1</formula>
    </cfRule>
  </conditionalFormatting>
  <conditionalFormatting sqref="R32:R39">
    <cfRule type="cellIs" dxfId="4862" priority="1608" operator="greaterThan">
      <formula>1</formula>
    </cfRule>
    <cfRule type="cellIs" dxfId="4861" priority="1609" operator="lessThan">
      <formula>0.8</formula>
    </cfRule>
  </conditionalFormatting>
  <conditionalFormatting sqref="Q32:Q39">
    <cfRule type="cellIs" dxfId="4860" priority="1600" operator="lessThan">
      <formula>0</formula>
    </cfRule>
  </conditionalFormatting>
  <conditionalFormatting sqref="R32:R39">
    <cfRule type="cellIs" dxfId="4859" priority="1604" operator="lessThan">
      <formula>0.8</formula>
    </cfRule>
    <cfRule type="cellIs" dxfId="4858" priority="1605" operator="greaterThan">
      <formula>1</formula>
    </cfRule>
  </conditionalFormatting>
  <conditionalFormatting sqref="R32:R39">
    <cfRule type="cellIs" dxfId="4857" priority="1602" operator="greaterThan">
      <formula>1</formula>
    </cfRule>
    <cfRule type="cellIs" dxfId="4856" priority="1603" operator="lessThan">
      <formula>0.8</formula>
    </cfRule>
  </conditionalFormatting>
  <conditionalFormatting sqref="P32:P39">
    <cfRule type="cellIs" dxfId="4855" priority="1601" operator="greaterThan">
      <formula>0</formula>
    </cfRule>
  </conditionalFormatting>
  <conditionalFormatting sqref="Q32:Q39">
    <cfRule type="cellIs" dxfId="4854" priority="1599" operator="lessThan">
      <formula>0</formula>
    </cfRule>
  </conditionalFormatting>
  <conditionalFormatting sqref="R32:R39">
    <cfRule type="cellIs" dxfId="4853" priority="1597" operator="lessThan">
      <formula>0.8</formula>
    </cfRule>
    <cfRule type="cellIs" dxfId="4852" priority="1598" operator="greaterThan">
      <formula>1</formula>
    </cfRule>
  </conditionalFormatting>
  <conditionalFormatting sqref="R32:R39">
    <cfRule type="cellIs" dxfId="4851" priority="1595" operator="greaterThan">
      <formula>1</formula>
    </cfRule>
    <cfRule type="cellIs" dxfId="4850" priority="1596" operator="lessThan">
      <formula>0.8</formula>
    </cfRule>
  </conditionalFormatting>
  <conditionalFormatting sqref="P32:P39">
    <cfRule type="cellIs" dxfId="4849" priority="1594" operator="greaterThan">
      <formula>0</formula>
    </cfRule>
  </conditionalFormatting>
  <conditionalFormatting sqref="Q32:Q39">
    <cfRule type="cellIs" dxfId="4848" priority="1593" operator="lessThan">
      <formula>0</formula>
    </cfRule>
  </conditionalFormatting>
  <conditionalFormatting sqref="R32:R39">
    <cfRule type="cellIs" dxfId="4847" priority="1591" operator="lessThan">
      <formula>0.8</formula>
    </cfRule>
    <cfRule type="cellIs" dxfId="4846" priority="1592" operator="greaterThan">
      <formula>1</formula>
    </cfRule>
  </conditionalFormatting>
  <conditionalFormatting sqref="R32:R39">
    <cfRule type="cellIs" dxfId="4845" priority="1589" operator="greaterThan">
      <formula>1</formula>
    </cfRule>
    <cfRule type="cellIs" dxfId="4844" priority="1590" operator="lessThan">
      <formula>0.8</formula>
    </cfRule>
  </conditionalFormatting>
  <conditionalFormatting sqref="P32:P39">
    <cfRule type="cellIs" dxfId="4843" priority="1588" operator="greaterThan">
      <formula>0</formula>
    </cfRule>
  </conditionalFormatting>
  <conditionalFormatting sqref="Q32:Q39">
    <cfRule type="cellIs" dxfId="4842" priority="1582" operator="lessThan">
      <formula>0</formula>
    </cfRule>
  </conditionalFormatting>
  <conditionalFormatting sqref="P32:P39">
    <cfRule type="cellIs" dxfId="4841" priority="1583" operator="greaterThan">
      <formula>0</formula>
    </cfRule>
  </conditionalFormatting>
  <conditionalFormatting sqref="R32:R39">
    <cfRule type="cellIs" dxfId="4840" priority="1586" operator="lessThan">
      <formula>0.8</formula>
    </cfRule>
    <cfRule type="cellIs" dxfId="4839" priority="1587" operator="greaterThan">
      <formula>1</formula>
    </cfRule>
  </conditionalFormatting>
  <conditionalFormatting sqref="R32:R39">
    <cfRule type="cellIs" dxfId="4838" priority="1584" operator="greaterThan">
      <formula>1</formula>
    </cfRule>
    <cfRule type="cellIs" dxfId="4837" priority="1585" operator="lessThan">
      <formula>0.8</formula>
    </cfRule>
  </conditionalFormatting>
  <conditionalFormatting sqref="Q32:Q39">
    <cfRule type="cellIs" dxfId="4836" priority="1576" operator="lessThan">
      <formula>0</formula>
    </cfRule>
  </conditionalFormatting>
  <conditionalFormatting sqref="R32:R39">
    <cfRule type="cellIs" dxfId="4835" priority="1580" operator="lessThan">
      <formula>0.8</formula>
    </cfRule>
    <cfRule type="cellIs" dxfId="4834" priority="1581" operator="greaterThan">
      <formula>1</formula>
    </cfRule>
  </conditionalFormatting>
  <conditionalFormatting sqref="R32:R39">
    <cfRule type="cellIs" dxfId="4833" priority="1578" operator="greaterThan">
      <formula>1</formula>
    </cfRule>
    <cfRule type="cellIs" dxfId="4832" priority="1579" operator="lessThan">
      <formula>0.8</formula>
    </cfRule>
  </conditionalFormatting>
  <conditionalFormatting sqref="P32:P39">
    <cfRule type="cellIs" dxfId="4831" priority="1577" operator="greaterThan">
      <formula>0</formula>
    </cfRule>
  </conditionalFormatting>
  <conditionalFormatting sqref="Q32:Q39">
    <cfRule type="cellIs" dxfId="4830" priority="1575" operator="lessThan">
      <formula>0</formula>
    </cfRule>
  </conditionalFormatting>
  <conditionalFormatting sqref="R32:R39">
    <cfRule type="cellIs" dxfId="4829" priority="1573" operator="lessThan">
      <formula>0.8</formula>
    </cfRule>
    <cfRule type="cellIs" dxfId="4828" priority="1574" operator="greaterThan">
      <formula>1</formula>
    </cfRule>
  </conditionalFormatting>
  <conditionalFormatting sqref="R32:R39">
    <cfRule type="cellIs" dxfId="4827" priority="1571" operator="greaterThan">
      <formula>1</formula>
    </cfRule>
    <cfRule type="cellIs" dxfId="4826" priority="1572" operator="lessThan">
      <formula>0.8</formula>
    </cfRule>
  </conditionalFormatting>
  <conditionalFormatting sqref="P32:P39">
    <cfRule type="cellIs" dxfId="4825" priority="1570" operator="greaterThan">
      <formula>0</formula>
    </cfRule>
  </conditionalFormatting>
  <conditionalFormatting sqref="Q32:Q39">
    <cfRule type="cellIs" dxfId="4824" priority="1569" operator="lessThan">
      <formula>0</formula>
    </cfRule>
  </conditionalFormatting>
  <conditionalFormatting sqref="R32:R39">
    <cfRule type="cellIs" dxfId="4823" priority="1567" operator="lessThan">
      <formula>0.8</formula>
    </cfRule>
    <cfRule type="cellIs" dxfId="4822" priority="1568" operator="greaterThan">
      <formula>1</formula>
    </cfRule>
  </conditionalFormatting>
  <conditionalFormatting sqref="R32:R39">
    <cfRule type="cellIs" dxfId="4821" priority="1565" operator="greaterThan">
      <formula>1</formula>
    </cfRule>
    <cfRule type="cellIs" dxfId="4820" priority="1566" operator="lessThan">
      <formula>0.8</formula>
    </cfRule>
  </conditionalFormatting>
  <conditionalFormatting sqref="P32:P39">
    <cfRule type="cellIs" dxfId="4819" priority="1564" operator="greaterThan">
      <formula>0</formula>
    </cfRule>
  </conditionalFormatting>
  <conditionalFormatting sqref="Q19:Q25">
    <cfRule type="cellIs" dxfId="4818" priority="1563" operator="lessThan">
      <formula>0</formula>
    </cfRule>
  </conditionalFormatting>
  <conditionalFormatting sqref="R19:R25">
    <cfRule type="cellIs" dxfId="4817" priority="1561" operator="lessThan">
      <formula>0.8</formula>
    </cfRule>
    <cfRule type="cellIs" dxfId="4816" priority="1562" operator="greaterThan">
      <formula>1</formula>
    </cfRule>
  </conditionalFormatting>
  <conditionalFormatting sqref="R19:R25">
    <cfRule type="cellIs" dxfId="4815" priority="1559" operator="greaterThan">
      <formula>1</formula>
    </cfRule>
    <cfRule type="cellIs" dxfId="4814" priority="1560" operator="lessThan">
      <formula>0.8</formula>
    </cfRule>
  </conditionalFormatting>
  <conditionalFormatting sqref="P19:P25">
    <cfRule type="cellIs" dxfId="4813" priority="1558" operator="greaterThan">
      <formula>0</formula>
    </cfRule>
  </conditionalFormatting>
  <conditionalFormatting sqref="R19:R25">
    <cfRule type="cellIs" dxfId="4812" priority="1555" operator="lessThan">
      <formula>0.8</formula>
    </cfRule>
    <cfRule type="cellIs" dxfId="4811" priority="1556" operator="greaterThan">
      <formula>1</formula>
    </cfRule>
  </conditionalFormatting>
  <conditionalFormatting sqref="R19:R25">
    <cfRule type="cellIs" dxfId="4810" priority="1553" operator="greaterThan">
      <formula>1</formula>
    </cfRule>
    <cfRule type="cellIs" dxfId="4809" priority="1554" operator="lessThan">
      <formula>0.8</formula>
    </cfRule>
  </conditionalFormatting>
  <conditionalFormatting sqref="P19:P25">
    <cfRule type="cellIs" dxfId="4808" priority="1552" operator="greaterThan">
      <formula>0</formula>
    </cfRule>
  </conditionalFormatting>
  <conditionalFormatting sqref="Q19:Q25">
    <cfRule type="cellIs" dxfId="4807" priority="1557" operator="lessThan">
      <formula>0</formula>
    </cfRule>
  </conditionalFormatting>
  <conditionalFormatting sqref="R19:R25">
    <cfRule type="cellIs" dxfId="4806" priority="1549" operator="lessThan">
      <formula>0.8</formula>
    </cfRule>
    <cfRule type="cellIs" dxfId="4805" priority="1550" operator="greaterThan">
      <formula>1</formula>
    </cfRule>
  </conditionalFormatting>
  <conditionalFormatting sqref="R19:R25">
    <cfRule type="cellIs" dxfId="4804" priority="1547" operator="greaterThan">
      <formula>1</formula>
    </cfRule>
    <cfRule type="cellIs" dxfId="4803" priority="1548" operator="lessThan">
      <formula>0.8</formula>
    </cfRule>
  </conditionalFormatting>
  <conditionalFormatting sqref="P19:P25">
    <cfRule type="cellIs" dxfId="4802" priority="1546" operator="greaterThan">
      <formula>0</formula>
    </cfRule>
  </conditionalFormatting>
  <conditionalFormatting sqref="Q19:Q25">
    <cfRule type="cellIs" dxfId="4801" priority="1551" operator="lessThan">
      <formula>0</formula>
    </cfRule>
  </conditionalFormatting>
  <conditionalFormatting sqref="Q19:Q25">
    <cfRule type="cellIs" dxfId="4800" priority="1545" operator="lessThan">
      <formula>0</formula>
    </cfRule>
  </conditionalFormatting>
  <conditionalFormatting sqref="R19:R25">
    <cfRule type="cellIs" dxfId="4799" priority="1543" operator="lessThan">
      <formula>0.8</formula>
    </cfRule>
    <cfRule type="cellIs" dxfId="4798" priority="1544" operator="greaterThan">
      <formula>1</formula>
    </cfRule>
  </conditionalFormatting>
  <conditionalFormatting sqref="R19:R25">
    <cfRule type="cellIs" dxfId="4797" priority="1541" operator="greaterThan">
      <formula>1</formula>
    </cfRule>
    <cfRule type="cellIs" dxfId="4796" priority="1542" operator="lessThan">
      <formula>0.8</formula>
    </cfRule>
  </conditionalFormatting>
  <conditionalFormatting sqref="P19:P25">
    <cfRule type="cellIs" dxfId="4795" priority="1540" operator="greaterThan">
      <formula>0</formula>
    </cfRule>
  </conditionalFormatting>
  <conditionalFormatting sqref="Q135:Q136">
    <cfRule type="cellIs" dxfId="4794" priority="1539" operator="lessThan">
      <formula>0</formula>
    </cfRule>
  </conditionalFormatting>
  <conditionalFormatting sqref="R135:R136 R139:R142">
    <cfRule type="cellIs" dxfId="4793" priority="1537" operator="lessThan">
      <formula>0.8</formula>
    </cfRule>
    <cfRule type="cellIs" dxfId="4792" priority="1538" operator="greaterThan">
      <formula>1</formula>
    </cfRule>
  </conditionalFormatting>
  <conditionalFormatting sqref="R135:R136 R139:R142">
    <cfRule type="cellIs" dxfId="4791" priority="1535" operator="greaterThan">
      <formula>1</formula>
    </cfRule>
    <cfRule type="cellIs" dxfId="4790" priority="1536" operator="lessThan">
      <formula>0.8</formula>
    </cfRule>
  </conditionalFormatting>
  <conditionalFormatting sqref="P135:P136 P139 P142">
    <cfRule type="cellIs" dxfId="4789" priority="1534" operator="greaterThan">
      <formula>0</formula>
    </cfRule>
  </conditionalFormatting>
  <conditionalFormatting sqref="P135:P136 P139 P142">
    <cfRule type="cellIs" dxfId="4788" priority="1528" operator="greaterThan">
      <formula>0</formula>
    </cfRule>
  </conditionalFormatting>
  <conditionalFormatting sqref="Q135:Q136">
    <cfRule type="cellIs" dxfId="4787" priority="1533" operator="lessThan">
      <formula>0</formula>
    </cfRule>
  </conditionalFormatting>
  <conditionalFormatting sqref="R135:R136 R139:R142">
    <cfRule type="cellIs" dxfId="4786" priority="1531" operator="lessThan">
      <formula>0.8</formula>
    </cfRule>
    <cfRule type="cellIs" dxfId="4785" priority="1532" operator="greaterThan">
      <formula>1</formula>
    </cfRule>
  </conditionalFormatting>
  <conditionalFormatting sqref="R135:R136 R139:R142">
    <cfRule type="cellIs" dxfId="4784" priority="1529" operator="greaterThan">
      <formula>1</formula>
    </cfRule>
    <cfRule type="cellIs" dxfId="4783" priority="1530" operator="lessThan">
      <formula>0.8</formula>
    </cfRule>
  </conditionalFormatting>
  <conditionalFormatting sqref="P19:P25">
    <cfRule type="cellIs" dxfId="4782" priority="1522" operator="greaterThan">
      <formula>0</formula>
    </cfRule>
  </conditionalFormatting>
  <conditionalFormatting sqref="Q19:Q25">
    <cfRule type="cellIs" dxfId="4781" priority="1527" operator="lessThan">
      <formula>0</formula>
    </cfRule>
  </conditionalFormatting>
  <conditionalFormatting sqref="R19:R25">
    <cfRule type="cellIs" dxfId="4780" priority="1525" operator="lessThan">
      <formula>0.8</formula>
    </cfRule>
    <cfRule type="cellIs" dxfId="4779" priority="1526" operator="greaterThan">
      <formula>1</formula>
    </cfRule>
  </conditionalFormatting>
  <conditionalFormatting sqref="R19:R25">
    <cfRule type="cellIs" dxfId="4778" priority="1523" operator="greaterThan">
      <formula>1</formula>
    </cfRule>
    <cfRule type="cellIs" dxfId="4777" priority="1524" operator="lessThan">
      <formula>0.8</formula>
    </cfRule>
  </conditionalFormatting>
  <conditionalFormatting sqref="Q19:Q25">
    <cfRule type="cellIs" dxfId="4776" priority="1521" operator="lessThan">
      <formula>0</formula>
    </cfRule>
  </conditionalFormatting>
  <conditionalFormatting sqref="R19:R25">
    <cfRule type="cellIs" dxfId="4775" priority="1519" operator="lessThan">
      <formula>0.8</formula>
    </cfRule>
    <cfRule type="cellIs" dxfId="4774" priority="1520" operator="greaterThan">
      <formula>1</formula>
    </cfRule>
  </conditionalFormatting>
  <conditionalFormatting sqref="R19:R25">
    <cfRule type="cellIs" dxfId="4773" priority="1517" operator="greaterThan">
      <formula>1</formula>
    </cfRule>
    <cfRule type="cellIs" dxfId="4772" priority="1518" operator="lessThan">
      <formula>0.8</formula>
    </cfRule>
  </conditionalFormatting>
  <conditionalFormatting sqref="P19:P25">
    <cfRule type="cellIs" dxfId="4771" priority="1516" operator="greaterThan">
      <formula>0</formula>
    </cfRule>
  </conditionalFormatting>
  <conditionalFormatting sqref="Q19:Q25">
    <cfRule type="cellIs" dxfId="4770" priority="1515" operator="lessThan">
      <formula>0</formula>
    </cfRule>
  </conditionalFormatting>
  <conditionalFormatting sqref="R19:R25">
    <cfRule type="cellIs" dxfId="4769" priority="1513" operator="lessThan">
      <formula>0.8</formula>
    </cfRule>
    <cfRule type="cellIs" dxfId="4768" priority="1514" operator="greaterThan">
      <formula>1</formula>
    </cfRule>
  </conditionalFormatting>
  <conditionalFormatting sqref="R19:R25">
    <cfRule type="cellIs" dxfId="4767" priority="1511" operator="greaterThan">
      <formula>1</formula>
    </cfRule>
    <cfRule type="cellIs" dxfId="4766" priority="1512" operator="lessThan">
      <formula>0.8</formula>
    </cfRule>
  </conditionalFormatting>
  <conditionalFormatting sqref="P19:P25">
    <cfRule type="cellIs" dxfId="4765" priority="1510" operator="greaterThan">
      <formula>0</formula>
    </cfRule>
  </conditionalFormatting>
  <conditionalFormatting sqref="Q19:Q25">
    <cfRule type="cellIs" dxfId="4764" priority="1509" operator="lessThan">
      <formula>0</formula>
    </cfRule>
  </conditionalFormatting>
  <conditionalFormatting sqref="R19:R25">
    <cfRule type="cellIs" dxfId="4763" priority="1507" operator="lessThan">
      <formula>0.8</formula>
    </cfRule>
    <cfRule type="cellIs" dxfId="4762" priority="1508" operator="greaterThan">
      <formula>1</formula>
    </cfRule>
  </conditionalFormatting>
  <conditionalFormatting sqref="R19:R25">
    <cfRule type="cellIs" dxfId="4761" priority="1505" operator="greaterThan">
      <formula>1</formula>
    </cfRule>
    <cfRule type="cellIs" dxfId="4760" priority="1506" operator="lessThan">
      <formula>0.8</formula>
    </cfRule>
  </conditionalFormatting>
  <conditionalFormatting sqref="P19:P25">
    <cfRule type="cellIs" dxfId="4759" priority="1504" operator="greaterThan">
      <formula>0</formula>
    </cfRule>
  </conditionalFormatting>
  <conditionalFormatting sqref="R19:R25">
    <cfRule type="cellIs" dxfId="4758" priority="1501" operator="lessThan">
      <formula>0.8</formula>
    </cfRule>
    <cfRule type="cellIs" dxfId="4757" priority="1502" operator="greaterThan">
      <formula>1</formula>
    </cfRule>
  </conditionalFormatting>
  <conditionalFormatting sqref="R19:R25">
    <cfRule type="cellIs" dxfId="4756" priority="1499" operator="greaterThan">
      <formula>1</formula>
    </cfRule>
    <cfRule type="cellIs" dxfId="4755" priority="1500" operator="lessThan">
      <formula>0.8</formula>
    </cfRule>
  </conditionalFormatting>
  <conditionalFormatting sqref="P19:P25">
    <cfRule type="cellIs" dxfId="4754" priority="1498" operator="greaterThan">
      <formula>0</formula>
    </cfRule>
  </conditionalFormatting>
  <conditionalFormatting sqref="Q19:Q25">
    <cfRule type="cellIs" dxfId="4753" priority="1503" operator="lessThan">
      <formula>0</formula>
    </cfRule>
  </conditionalFormatting>
  <conditionalFormatting sqref="Q19:Q25">
    <cfRule type="cellIs" dxfId="4752" priority="1497" operator="lessThan">
      <formula>0</formula>
    </cfRule>
  </conditionalFormatting>
  <conditionalFormatting sqref="R19:R25">
    <cfRule type="cellIs" dxfId="4751" priority="1495" operator="lessThan">
      <formula>0.8</formula>
    </cfRule>
    <cfRule type="cellIs" dxfId="4750" priority="1496" operator="greaterThan">
      <formula>1</formula>
    </cfRule>
  </conditionalFormatting>
  <conditionalFormatting sqref="R19:R25">
    <cfRule type="cellIs" dxfId="4749" priority="1493" operator="greaterThan">
      <formula>1</formula>
    </cfRule>
    <cfRule type="cellIs" dxfId="4748" priority="1494" operator="lessThan">
      <formula>0.8</formula>
    </cfRule>
  </conditionalFormatting>
  <conditionalFormatting sqref="P19:P25">
    <cfRule type="cellIs" dxfId="4747" priority="1492" operator="greaterThan">
      <formula>0</formula>
    </cfRule>
  </conditionalFormatting>
  <conditionalFormatting sqref="P19:P25">
    <cfRule type="cellIs" dxfId="4746" priority="1486" operator="greaterThan">
      <formula>0</formula>
    </cfRule>
  </conditionalFormatting>
  <conditionalFormatting sqref="Q19:Q25">
    <cfRule type="cellIs" dxfId="4745" priority="1491" operator="lessThan">
      <formula>0</formula>
    </cfRule>
  </conditionalFormatting>
  <conditionalFormatting sqref="R19:R25">
    <cfRule type="cellIs" dxfId="4744" priority="1489" operator="lessThan">
      <formula>0.8</formula>
    </cfRule>
    <cfRule type="cellIs" dxfId="4743" priority="1490" operator="greaterThan">
      <formula>1</formula>
    </cfRule>
  </conditionalFormatting>
  <conditionalFormatting sqref="R19:R25">
    <cfRule type="cellIs" dxfId="4742" priority="1487" operator="greaterThan">
      <formula>1</formula>
    </cfRule>
    <cfRule type="cellIs" dxfId="4741" priority="1488" operator="lessThan">
      <formula>0.8</formula>
    </cfRule>
  </conditionalFormatting>
  <conditionalFormatting sqref="P19:P25">
    <cfRule type="cellIs" dxfId="4740" priority="1480" operator="greaterThan">
      <formula>0</formula>
    </cfRule>
  </conditionalFormatting>
  <conditionalFormatting sqref="Q19:Q25">
    <cfRule type="cellIs" dxfId="4739" priority="1485" operator="lessThan">
      <formula>0</formula>
    </cfRule>
  </conditionalFormatting>
  <conditionalFormatting sqref="R19:R25">
    <cfRule type="cellIs" dxfId="4738" priority="1483" operator="lessThan">
      <formula>0.8</formula>
    </cfRule>
    <cfRule type="cellIs" dxfId="4737" priority="1484" operator="greaterThan">
      <formula>1</formula>
    </cfRule>
  </conditionalFormatting>
  <conditionalFormatting sqref="R19:R25">
    <cfRule type="cellIs" dxfId="4736" priority="1481" operator="greaterThan">
      <formula>1</formula>
    </cfRule>
    <cfRule type="cellIs" dxfId="4735" priority="1482" operator="lessThan">
      <formula>0.8</formula>
    </cfRule>
  </conditionalFormatting>
  <conditionalFormatting sqref="Q19:Q25">
    <cfRule type="cellIs" dxfId="4734" priority="1479" operator="lessThan">
      <formula>0</formula>
    </cfRule>
  </conditionalFormatting>
  <conditionalFormatting sqref="R19:R25">
    <cfRule type="cellIs" dxfId="4733" priority="1477" operator="lessThan">
      <formula>0.8</formula>
    </cfRule>
    <cfRule type="cellIs" dxfId="4732" priority="1478" operator="greaterThan">
      <formula>1</formula>
    </cfRule>
  </conditionalFormatting>
  <conditionalFormatting sqref="R19:R25">
    <cfRule type="cellIs" dxfId="4731" priority="1475" operator="greaterThan">
      <formula>1</formula>
    </cfRule>
    <cfRule type="cellIs" dxfId="4730" priority="1476" operator="lessThan">
      <formula>0.8</formula>
    </cfRule>
  </conditionalFormatting>
  <conditionalFormatting sqref="P19:P25">
    <cfRule type="cellIs" dxfId="4729" priority="1474" operator="greaterThan">
      <formula>0</formula>
    </cfRule>
  </conditionalFormatting>
  <conditionalFormatting sqref="Q19:Q25">
    <cfRule type="cellIs" dxfId="4728" priority="1473" operator="lessThan">
      <formula>0</formula>
    </cfRule>
  </conditionalFormatting>
  <conditionalFormatting sqref="R19:R25">
    <cfRule type="cellIs" dxfId="4727" priority="1471" operator="lessThan">
      <formula>0.8</formula>
    </cfRule>
    <cfRule type="cellIs" dxfId="4726" priority="1472" operator="greaterThan">
      <formula>1</formula>
    </cfRule>
  </conditionalFormatting>
  <conditionalFormatting sqref="R19:R25">
    <cfRule type="cellIs" dxfId="4725" priority="1469" operator="greaterThan">
      <formula>1</formula>
    </cfRule>
    <cfRule type="cellIs" dxfId="4724" priority="1470" operator="lessThan">
      <formula>0.8</formula>
    </cfRule>
  </conditionalFormatting>
  <conditionalFormatting sqref="P19:P25">
    <cfRule type="cellIs" dxfId="4723" priority="1468" operator="greaterThan">
      <formula>0</formula>
    </cfRule>
  </conditionalFormatting>
  <conditionalFormatting sqref="P19:P25">
    <cfRule type="cellIs" dxfId="4722" priority="1462" operator="greaterThan">
      <formula>0</formula>
    </cfRule>
  </conditionalFormatting>
  <conditionalFormatting sqref="Q19:Q25">
    <cfRule type="cellIs" dxfId="4721" priority="1467" operator="lessThan">
      <formula>0</formula>
    </cfRule>
  </conditionalFormatting>
  <conditionalFormatting sqref="R19:R25">
    <cfRule type="cellIs" dxfId="4720" priority="1465" operator="lessThan">
      <formula>0.8</formula>
    </cfRule>
    <cfRule type="cellIs" dxfId="4719" priority="1466" operator="greaterThan">
      <formula>1</formula>
    </cfRule>
  </conditionalFormatting>
  <conditionalFormatting sqref="R19:R25">
    <cfRule type="cellIs" dxfId="4718" priority="1463" operator="greaterThan">
      <formula>1</formula>
    </cfRule>
    <cfRule type="cellIs" dxfId="4717" priority="1464" operator="lessThan">
      <formula>0.8</formula>
    </cfRule>
  </conditionalFormatting>
  <conditionalFormatting sqref="Q19:Q25">
    <cfRule type="cellIs" dxfId="4716" priority="1461" operator="lessThan">
      <formula>0</formula>
    </cfRule>
  </conditionalFormatting>
  <conditionalFormatting sqref="R19:R25">
    <cfRule type="cellIs" dxfId="4715" priority="1459" operator="lessThan">
      <formula>0.8</formula>
    </cfRule>
    <cfRule type="cellIs" dxfId="4714" priority="1460" operator="greaterThan">
      <formula>1</formula>
    </cfRule>
  </conditionalFormatting>
  <conditionalFormatting sqref="R19:R25">
    <cfRule type="cellIs" dxfId="4713" priority="1457" operator="greaterThan">
      <formula>1</formula>
    </cfRule>
    <cfRule type="cellIs" dxfId="4712" priority="1458" operator="lessThan">
      <formula>0.8</formula>
    </cfRule>
  </conditionalFormatting>
  <conditionalFormatting sqref="P19:P25">
    <cfRule type="cellIs" dxfId="4711" priority="1456" operator="greaterThan">
      <formula>0</formula>
    </cfRule>
  </conditionalFormatting>
  <conditionalFormatting sqref="Q19:Q25">
    <cfRule type="cellIs" dxfId="4710" priority="1455" operator="lessThan">
      <formula>0</formula>
    </cfRule>
  </conditionalFormatting>
  <conditionalFormatting sqref="R19:R25">
    <cfRule type="cellIs" dxfId="4709" priority="1453" operator="lessThan">
      <formula>0.8</formula>
    </cfRule>
    <cfRule type="cellIs" dxfId="4708" priority="1454" operator="greaterThan">
      <formula>1</formula>
    </cfRule>
  </conditionalFormatting>
  <conditionalFormatting sqref="R19:R25">
    <cfRule type="cellIs" dxfId="4707" priority="1451" operator="greaterThan">
      <formula>1</formula>
    </cfRule>
    <cfRule type="cellIs" dxfId="4706" priority="1452" operator="lessThan">
      <formula>0.8</formula>
    </cfRule>
  </conditionalFormatting>
  <conditionalFormatting sqref="P19:P25">
    <cfRule type="cellIs" dxfId="4705" priority="1450" operator="greaterThan">
      <formula>0</formula>
    </cfRule>
  </conditionalFormatting>
  <conditionalFormatting sqref="Q19:Q25">
    <cfRule type="cellIs" dxfId="4704" priority="1449" operator="lessThan">
      <formula>0</formula>
    </cfRule>
  </conditionalFormatting>
  <conditionalFormatting sqref="R19:R25">
    <cfRule type="cellIs" dxfId="4703" priority="1447" operator="lessThan">
      <formula>0.8</formula>
    </cfRule>
    <cfRule type="cellIs" dxfId="4702" priority="1448" operator="greaterThan">
      <formula>1</formula>
    </cfRule>
  </conditionalFormatting>
  <conditionalFormatting sqref="R19:R25">
    <cfRule type="cellIs" dxfId="4701" priority="1445" operator="greaterThan">
      <formula>1</formula>
    </cfRule>
    <cfRule type="cellIs" dxfId="4700" priority="1446" operator="lessThan">
      <formula>0.8</formula>
    </cfRule>
  </conditionalFormatting>
  <conditionalFormatting sqref="P19:P25">
    <cfRule type="cellIs" dxfId="4699" priority="1444" operator="greaterThan">
      <formula>0</formula>
    </cfRule>
  </conditionalFormatting>
  <conditionalFormatting sqref="R19:R25">
    <cfRule type="cellIs" dxfId="4698" priority="1441" operator="lessThan">
      <formula>0.8</formula>
    </cfRule>
    <cfRule type="cellIs" dxfId="4697" priority="1442" operator="greaterThan">
      <formula>1</formula>
    </cfRule>
  </conditionalFormatting>
  <conditionalFormatting sqref="R19:R25">
    <cfRule type="cellIs" dxfId="4696" priority="1439" operator="greaterThan">
      <formula>1</formula>
    </cfRule>
    <cfRule type="cellIs" dxfId="4695" priority="1440" operator="lessThan">
      <formula>0.8</formula>
    </cfRule>
  </conditionalFormatting>
  <conditionalFormatting sqref="P19:P25">
    <cfRule type="cellIs" dxfId="4694" priority="1438" operator="greaterThan">
      <formula>0</formula>
    </cfRule>
  </conditionalFormatting>
  <conditionalFormatting sqref="Q19:Q25">
    <cfRule type="cellIs" dxfId="4693" priority="1443" operator="lessThan">
      <formula>0</formula>
    </cfRule>
  </conditionalFormatting>
  <conditionalFormatting sqref="Q40">
    <cfRule type="cellIs" dxfId="4692" priority="1437" operator="lessThan">
      <formula>0</formula>
    </cfRule>
  </conditionalFormatting>
  <conditionalFormatting sqref="R40">
    <cfRule type="cellIs" dxfId="4691" priority="1435" operator="lessThan">
      <formula>0.8</formula>
    </cfRule>
    <cfRule type="cellIs" dxfId="4690" priority="1436" operator="greaterThan">
      <formula>1</formula>
    </cfRule>
  </conditionalFormatting>
  <conditionalFormatting sqref="R40">
    <cfRule type="cellIs" dxfId="4689" priority="1433" operator="greaterThan">
      <formula>1</formula>
    </cfRule>
    <cfRule type="cellIs" dxfId="4688" priority="1434" operator="lessThan">
      <formula>0.8</formula>
    </cfRule>
  </conditionalFormatting>
  <conditionalFormatting sqref="P40">
    <cfRule type="cellIs" dxfId="4687" priority="1432" operator="greaterThan">
      <formula>0</formula>
    </cfRule>
  </conditionalFormatting>
  <conditionalFormatting sqref="P40">
    <cfRule type="cellIs" dxfId="4686" priority="1426" operator="greaterThan">
      <formula>0</formula>
    </cfRule>
  </conditionalFormatting>
  <conditionalFormatting sqref="Q40">
    <cfRule type="cellIs" dxfId="4685" priority="1431" operator="lessThan">
      <formula>0</formula>
    </cfRule>
  </conditionalFormatting>
  <conditionalFormatting sqref="R40">
    <cfRule type="cellIs" dxfId="4684" priority="1429" operator="lessThan">
      <formula>0.8</formula>
    </cfRule>
    <cfRule type="cellIs" dxfId="4683" priority="1430" operator="greaterThan">
      <formula>1</formula>
    </cfRule>
  </conditionalFormatting>
  <conditionalFormatting sqref="R40">
    <cfRule type="cellIs" dxfId="4682" priority="1427" operator="greaterThan">
      <formula>1</formula>
    </cfRule>
    <cfRule type="cellIs" dxfId="4681" priority="1428" operator="lessThan">
      <formula>0.8</formula>
    </cfRule>
  </conditionalFormatting>
  <conditionalFormatting sqref="P40">
    <cfRule type="cellIs" dxfId="4680" priority="1420" operator="greaterThan">
      <formula>0</formula>
    </cfRule>
  </conditionalFormatting>
  <conditionalFormatting sqref="Q40">
    <cfRule type="cellIs" dxfId="4679" priority="1425" operator="lessThan">
      <formula>0</formula>
    </cfRule>
  </conditionalFormatting>
  <conditionalFormatting sqref="R40">
    <cfRule type="cellIs" dxfId="4678" priority="1423" operator="lessThan">
      <formula>0.8</formula>
    </cfRule>
    <cfRule type="cellIs" dxfId="4677" priority="1424" operator="greaterThan">
      <formula>1</formula>
    </cfRule>
  </conditionalFormatting>
  <conditionalFormatting sqref="R40">
    <cfRule type="cellIs" dxfId="4676" priority="1421" operator="greaterThan">
      <formula>1</formula>
    </cfRule>
    <cfRule type="cellIs" dxfId="4675" priority="1422" operator="lessThan">
      <formula>0.8</formula>
    </cfRule>
  </conditionalFormatting>
  <conditionalFormatting sqref="Q40">
    <cfRule type="cellIs" dxfId="4674" priority="1419" operator="lessThan">
      <formula>0</formula>
    </cfRule>
  </conditionalFormatting>
  <conditionalFormatting sqref="R40">
    <cfRule type="cellIs" dxfId="4673" priority="1417" operator="lessThan">
      <formula>0.8</formula>
    </cfRule>
    <cfRule type="cellIs" dxfId="4672" priority="1418" operator="greaterThan">
      <formula>1</formula>
    </cfRule>
  </conditionalFormatting>
  <conditionalFormatting sqref="R40">
    <cfRule type="cellIs" dxfId="4671" priority="1415" operator="greaterThan">
      <formula>1</formula>
    </cfRule>
    <cfRule type="cellIs" dxfId="4670" priority="1416" operator="lessThan">
      <formula>0.8</formula>
    </cfRule>
  </conditionalFormatting>
  <conditionalFormatting sqref="P40">
    <cfRule type="cellIs" dxfId="4669" priority="1414" operator="greaterThan">
      <formula>0</formula>
    </cfRule>
  </conditionalFormatting>
  <conditionalFormatting sqref="P40">
    <cfRule type="cellIs" dxfId="4668" priority="1408" operator="greaterThan">
      <formula>0</formula>
    </cfRule>
  </conditionalFormatting>
  <conditionalFormatting sqref="Q40">
    <cfRule type="cellIs" dxfId="4667" priority="1413" operator="lessThan">
      <formula>0</formula>
    </cfRule>
  </conditionalFormatting>
  <conditionalFormatting sqref="R40">
    <cfRule type="cellIs" dxfId="4666" priority="1411" operator="lessThan">
      <formula>0.8</formula>
    </cfRule>
    <cfRule type="cellIs" dxfId="4665" priority="1412" operator="greaterThan">
      <formula>1</formula>
    </cfRule>
  </conditionalFormatting>
  <conditionalFormatting sqref="R40">
    <cfRule type="cellIs" dxfId="4664" priority="1409" operator="greaterThan">
      <formula>1</formula>
    </cfRule>
    <cfRule type="cellIs" dxfId="4663" priority="1410" operator="lessThan">
      <formula>0.8</formula>
    </cfRule>
  </conditionalFormatting>
  <conditionalFormatting sqref="P40">
    <cfRule type="cellIs" dxfId="4662" priority="1402" operator="greaterThan">
      <formula>0</formula>
    </cfRule>
  </conditionalFormatting>
  <conditionalFormatting sqref="Q40">
    <cfRule type="cellIs" dxfId="4661" priority="1407" operator="lessThan">
      <formula>0</formula>
    </cfRule>
  </conditionalFormatting>
  <conditionalFormatting sqref="R40">
    <cfRule type="cellIs" dxfId="4660" priority="1405" operator="lessThan">
      <formula>0.8</formula>
    </cfRule>
    <cfRule type="cellIs" dxfId="4659" priority="1406" operator="greaterThan">
      <formula>1</formula>
    </cfRule>
  </conditionalFormatting>
  <conditionalFormatting sqref="R40">
    <cfRule type="cellIs" dxfId="4658" priority="1403" operator="greaterThan">
      <formula>1</formula>
    </cfRule>
    <cfRule type="cellIs" dxfId="4657" priority="1404" operator="lessThan">
      <formula>0.8</formula>
    </cfRule>
  </conditionalFormatting>
  <conditionalFormatting sqref="P40">
    <cfRule type="cellIs" dxfId="4656" priority="1396" operator="greaterThan">
      <formula>0</formula>
    </cfRule>
  </conditionalFormatting>
  <conditionalFormatting sqref="Q40">
    <cfRule type="cellIs" dxfId="4655" priority="1401" operator="lessThan">
      <formula>0</formula>
    </cfRule>
  </conditionalFormatting>
  <conditionalFormatting sqref="R40">
    <cfRule type="cellIs" dxfId="4654" priority="1399" operator="lessThan">
      <formula>0.8</formula>
    </cfRule>
    <cfRule type="cellIs" dxfId="4653" priority="1400" operator="greaterThan">
      <formula>1</formula>
    </cfRule>
  </conditionalFormatting>
  <conditionalFormatting sqref="R40">
    <cfRule type="cellIs" dxfId="4652" priority="1397" operator="greaterThan">
      <formula>1</formula>
    </cfRule>
    <cfRule type="cellIs" dxfId="4651" priority="1398" operator="lessThan">
      <formula>0.8</formula>
    </cfRule>
  </conditionalFormatting>
  <conditionalFormatting sqref="Q40">
    <cfRule type="cellIs" dxfId="4650" priority="1390" operator="lessThan">
      <formula>0</formula>
    </cfRule>
  </conditionalFormatting>
  <conditionalFormatting sqref="P40">
    <cfRule type="cellIs" dxfId="4649" priority="1391" operator="greaterThan">
      <formula>0</formula>
    </cfRule>
  </conditionalFormatting>
  <conditionalFormatting sqref="R40">
    <cfRule type="cellIs" dxfId="4648" priority="1394" operator="lessThan">
      <formula>0.8</formula>
    </cfRule>
    <cfRule type="cellIs" dxfId="4647" priority="1395" operator="greaterThan">
      <formula>1</formula>
    </cfRule>
  </conditionalFormatting>
  <conditionalFormatting sqref="R40">
    <cfRule type="cellIs" dxfId="4646" priority="1392" operator="greaterThan">
      <formula>1</formula>
    </cfRule>
    <cfRule type="cellIs" dxfId="4645" priority="1393" operator="lessThan">
      <formula>0.8</formula>
    </cfRule>
  </conditionalFormatting>
  <conditionalFormatting sqref="Q40">
    <cfRule type="cellIs" dxfId="4644" priority="1384" operator="lessThan">
      <formula>0</formula>
    </cfRule>
  </conditionalFormatting>
  <conditionalFormatting sqref="R40">
    <cfRule type="cellIs" dxfId="4643" priority="1388" operator="lessThan">
      <formula>0.8</formula>
    </cfRule>
    <cfRule type="cellIs" dxfId="4642" priority="1389" operator="greaterThan">
      <formula>1</formula>
    </cfRule>
  </conditionalFormatting>
  <conditionalFormatting sqref="R40">
    <cfRule type="cellIs" dxfId="4641" priority="1386" operator="greaterThan">
      <formula>1</formula>
    </cfRule>
    <cfRule type="cellIs" dxfId="4640" priority="1387" operator="lessThan">
      <formula>0.8</formula>
    </cfRule>
  </conditionalFormatting>
  <conditionalFormatting sqref="P40">
    <cfRule type="cellIs" dxfId="4639" priority="1385" operator="greaterThan">
      <formula>0</formula>
    </cfRule>
  </conditionalFormatting>
  <conditionalFormatting sqref="Q40">
    <cfRule type="cellIs" dxfId="4638" priority="1383" operator="lessThan">
      <formula>0</formula>
    </cfRule>
  </conditionalFormatting>
  <conditionalFormatting sqref="R40">
    <cfRule type="cellIs" dxfId="4637" priority="1381" operator="lessThan">
      <formula>0.8</formula>
    </cfRule>
    <cfRule type="cellIs" dxfId="4636" priority="1382" operator="greaterThan">
      <formula>1</formula>
    </cfRule>
  </conditionalFormatting>
  <conditionalFormatting sqref="R40">
    <cfRule type="cellIs" dxfId="4635" priority="1379" operator="greaterThan">
      <formula>1</formula>
    </cfRule>
    <cfRule type="cellIs" dxfId="4634" priority="1380" operator="lessThan">
      <formula>0.8</formula>
    </cfRule>
  </conditionalFormatting>
  <conditionalFormatting sqref="P40">
    <cfRule type="cellIs" dxfId="4633" priority="1378" operator="greaterThan">
      <formula>0</formula>
    </cfRule>
  </conditionalFormatting>
  <conditionalFormatting sqref="Q40">
    <cfRule type="cellIs" dxfId="4632" priority="1377" operator="lessThan">
      <formula>0</formula>
    </cfRule>
  </conditionalFormatting>
  <conditionalFormatting sqref="R40">
    <cfRule type="cellIs" dxfId="4631" priority="1375" operator="lessThan">
      <formula>0.8</formula>
    </cfRule>
    <cfRule type="cellIs" dxfId="4630" priority="1376" operator="greaterThan">
      <formula>1</formula>
    </cfRule>
  </conditionalFormatting>
  <conditionalFormatting sqref="R40">
    <cfRule type="cellIs" dxfId="4629" priority="1373" operator="greaterThan">
      <formula>1</formula>
    </cfRule>
    <cfRule type="cellIs" dxfId="4628" priority="1374" operator="lessThan">
      <formula>0.8</formula>
    </cfRule>
  </conditionalFormatting>
  <conditionalFormatting sqref="P40">
    <cfRule type="cellIs" dxfId="4627" priority="1372" operator="greaterThan">
      <formula>0</formula>
    </cfRule>
  </conditionalFormatting>
  <conditionalFormatting sqref="Q32:Q39">
    <cfRule type="cellIs" dxfId="4626" priority="1371" operator="lessThan">
      <formula>0</formula>
    </cfRule>
  </conditionalFormatting>
  <conditionalFormatting sqref="R32:R39">
    <cfRule type="cellIs" dxfId="4625" priority="1369" operator="lessThan">
      <formula>0.8</formula>
    </cfRule>
    <cfRule type="cellIs" dxfId="4624" priority="1370" operator="greaterThan">
      <formula>1</formula>
    </cfRule>
  </conditionalFormatting>
  <conditionalFormatting sqref="R32:R39">
    <cfRule type="cellIs" dxfId="4623" priority="1367" operator="greaterThan">
      <formula>1</formula>
    </cfRule>
    <cfRule type="cellIs" dxfId="4622" priority="1368" operator="lessThan">
      <formula>0.8</formula>
    </cfRule>
  </conditionalFormatting>
  <conditionalFormatting sqref="P32:P39">
    <cfRule type="cellIs" dxfId="4621" priority="1366" operator="greaterThan">
      <formula>0</formula>
    </cfRule>
  </conditionalFormatting>
  <conditionalFormatting sqref="Q32:Q39">
    <cfRule type="cellIs" dxfId="4620" priority="1365" operator="lessThan">
      <formula>0</formula>
    </cfRule>
  </conditionalFormatting>
  <conditionalFormatting sqref="R32:R39">
    <cfRule type="cellIs" dxfId="4619" priority="1363" operator="lessThan">
      <formula>0.8</formula>
    </cfRule>
    <cfRule type="cellIs" dxfId="4618" priority="1364" operator="greaterThan">
      <formula>1</formula>
    </cfRule>
  </conditionalFormatting>
  <conditionalFormatting sqref="R32:R39">
    <cfRule type="cellIs" dxfId="4617" priority="1361" operator="greaterThan">
      <formula>1</formula>
    </cfRule>
    <cfRule type="cellIs" dxfId="4616" priority="1362" operator="lessThan">
      <formula>0.8</formula>
    </cfRule>
  </conditionalFormatting>
  <conditionalFormatting sqref="P32:P39">
    <cfRule type="cellIs" dxfId="4615" priority="1360" operator="greaterThan">
      <formula>0</formula>
    </cfRule>
  </conditionalFormatting>
  <conditionalFormatting sqref="Q32:Q39">
    <cfRule type="cellIs" dxfId="4614" priority="1359" operator="lessThan">
      <formula>0</formula>
    </cfRule>
  </conditionalFormatting>
  <conditionalFormatting sqref="R32:R39">
    <cfRule type="cellIs" dxfId="4613" priority="1357" operator="lessThan">
      <formula>0.8</formula>
    </cfRule>
    <cfRule type="cellIs" dxfId="4612" priority="1358" operator="greaterThan">
      <formula>1</formula>
    </cfRule>
  </conditionalFormatting>
  <conditionalFormatting sqref="R32:R39">
    <cfRule type="cellIs" dxfId="4611" priority="1355" operator="greaterThan">
      <formula>1</formula>
    </cfRule>
    <cfRule type="cellIs" dxfId="4610" priority="1356" operator="lessThan">
      <formula>0.8</formula>
    </cfRule>
  </conditionalFormatting>
  <conditionalFormatting sqref="P32:P39">
    <cfRule type="cellIs" dxfId="4609" priority="1354" operator="greaterThan">
      <formula>0</formula>
    </cfRule>
  </conditionalFormatting>
  <conditionalFormatting sqref="Q32:Q39">
    <cfRule type="cellIs" dxfId="4608" priority="1353" operator="lessThan">
      <formula>0</formula>
    </cfRule>
  </conditionalFormatting>
  <conditionalFormatting sqref="R32:R39">
    <cfRule type="cellIs" dxfId="4607" priority="1351" operator="lessThan">
      <formula>0.8</formula>
    </cfRule>
    <cfRule type="cellIs" dxfId="4606" priority="1352" operator="greaterThan">
      <formula>1</formula>
    </cfRule>
  </conditionalFormatting>
  <conditionalFormatting sqref="R32:R39">
    <cfRule type="cellIs" dxfId="4605" priority="1349" operator="greaterThan">
      <formula>1</formula>
    </cfRule>
    <cfRule type="cellIs" dxfId="4604" priority="1350" operator="lessThan">
      <formula>0.8</formula>
    </cfRule>
  </conditionalFormatting>
  <conditionalFormatting sqref="P32:P39">
    <cfRule type="cellIs" dxfId="4603" priority="1348" operator="greaterThan">
      <formula>0</formula>
    </cfRule>
  </conditionalFormatting>
  <conditionalFormatting sqref="P32:P39">
    <cfRule type="cellIs" dxfId="4602" priority="1342" operator="greaterThan">
      <formula>0</formula>
    </cfRule>
  </conditionalFormatting>
  <conditionalFormatting sqref="Q32:Q39">
    <cfRule type="cellIs" dxfId="4601" priority="1347" operator="lessThan">
      <formula>0</formula>
    </cfRule>
  </conditionalFormatting>
  <conditionalFormatting sqref="R32:R39">
    <cfRule type="cellIs" dxfId="4600" priority="1345" operator="lessThan">
      <formula>0.8</formula>
    </cfRule>
    <cfRule type="cellIs" dxfId="4599" priority="1346" operator="greaterThan">
      <formula>1</formula>
    </cfRule>
  </conditionalFormatting>
  <conditionalFormatting sqref="R32:R39">
    <cfRule type="cellIs" dxfId="4598" priority="1343" operator="greaterThan">
      <formula>1</formula>
    </cfRule>
    <cfRule type="cellIs" dxfId="4597" priority="1344" operator="lessThan">
      <formula>0.8</formula>
    </cfRule>
  </conditionalFormatting>
  <conditionalFormatting sqref="P32:P39">
    <cfRule type="cellIs" dxfId="4596" priority="1336" operator="greaterThan">
      <formula>0</formula>
    </cfRule>
  </conditionalFormatting>
  <conditionalFormatting sqref="Q32:Q39">
    <cfRule type="cellIs" dxfId="4595" priority="1341" operator="lessThan">
      <formula>0</formula>
    </cfRule>
  </conditionalFormatting>
  <conditionalFormatting sqref="R32:R39">
    <cfRule type="cellIs" dxfId="4594" priority="1339" operator="lessThan">
      <formula>0.8</formula>
    </cfRule>
    <cfRule type="cellIs" dxfId="4593" priority="1340" operator="greaterThan">
      <formula>1</formula>
    </cfRule>
  </conditionalFormatting>
  <conditionalFormatting sqref="R32:R39">
    <cfRule type="cellIs" dxfId="4592" priority="1337" operator="greaterThan">
      <formula>1</formula>
    </cfRule>
    <cfRule type="cellIs" dxfId="4591" priority="1338" operator="lessThan">
      <formula>0.8</formula>
    </cfRule>
  </conditionalFormatting>
  <conditionalFormatting sqref="R32:R39">
    <cfRule type="cellIs" dxfId="4590" priority="1333" operator="lessThan">
      <formula>0.8</formula>
    </cfRule>
    <cfRule type="cellIs" dxfId="4589" priority="1334" operator="greaterThan">
      <formula>1</formula>
    </cfRule>
  </conditionalFormatting>
  <conditionalFormatting sqref="R32:R39">
    <cfRule type="cellIs" dxfId="4588" priority="1331" operator="greaterThan">
      <formula>1</formula>
    </cfRule>
    <cfRule type="cellIs" dxfId="4587" priority="1332" operator="lessThan">
      <formula>0.8</formula>
    </cfRule>
  </conditionalFormatting>
  <conditionalFormatting sqref="P32:P39">
    <cfRule type="cellIs" dxfId="4586" priority="1330" operator="greaterThan">
      <formula>0</formula>
    </cfRule>
  </conditionalFormatting>
  <conditionalFormatting sqref="Q32:Q39">
    <cfRule type="cellIs" dxfId="4585" priority="1335" operator="lessThan">
      <formula>0</formula>
    </cfRule>
  </conditionalFormatting>
  <conditionalFormatting sqref="Q32:Q39">
    <cfRule type="cellIs" dxfId="4584" priority="1329" operator="lessThan">
      <formula>0</formula>
    </cfRule>
  </conditionalFormatting>
  <conditionalFormatting sqref="R32:R39">
    <cfRule type="cellIs" dxfId="4583" priority="1327" operator="lessThan">
      <formula>0.8</formula>
    </cfRule>
    <cfRule type="cellIs" dxfId="4582" priority="1328" operator="greaterThan">
      <formula>1</formula>
    </cfRule>
  </conditionalFormatting>
  <conditionalFormatting sqref="R32:R39">
    <cfRule type="cellIs" dxfId="4581" priority="1325" operator="greaterThan">
      <formula>1</formula>
    </cfRule>
    <cfRule type="cellIs" dxfId="4580" priority="1326" operator="lessThan">
      <formula>0.8</formula>
    </cfRule>
  </conditionalFormatting>
  <conditionalFormatting sqref="P32:P39">
    <cfRule type="cellIs" dxfId="4579" priority="1324" operator="greaterThan">
      <formula>0</formula>
    </cfRule>
  </conditionalFormatting>
  <conditionalFormatting sqref="P32:P39">
    <cfRule type="cellIs" dxfId="4578" priority="1318" operator="greaterThan">
      <formula>0</formula>
    </cfRule>
  </conditionalFormatting>
  <conditionalFormatting sqref="Q32:Q39">
    <cfRule type="cellIs" dxfId="4577" priority="1323" operator="lessThan">
      <formula>0</formula>
    </cfRule>
  </conditionalFormatting>
  <conditionalFormatting sqref="R32:R39">
    <cfRule type="cellIs" dxfId="4576" priority="1321" operator="lessThan">
      <formula>0.8</formula>
    </cfRule>
    <cfRule type="cellIs" dxfId="4575" priority="1322" operator="greaterThan">
      <formula>1</formula>
    </cfRule>
  </conditionalFormatting>
  <conditionalFormatting sqref="R32:R39">
    <cfRule type="cellIs" dxfId="4574" priority="1319" operator="greaterThan">
      <formula>1</formula>
    </cfRule>
    <cfRule type="cellIs" dxfId="4573" priority="1320" operator="lessThan">
      <formula>0.8</formula>
    </cfRule>
  </conditionalFormatting>
  <conditionalFormatting sqref="P32:P39">
    <cfRule type="cellIs" dxfId="4572" priority="1312" operator="greaterThan">
      <formula>0</formula>
    </cfRule>
  </conditionalFormatting>
  <conditionalFormatting sqref="Q32:Q39">
    <cfRule type="cellIs" dxfId="4571" priority="1317" operator="lessThan">
      <formula>0</formula>
    </cfRule>
  </conditionalFormatting>
  <conditionalFormatting sqref="R32:R39">
    <cfRule type="cellIs" dxfId="4570" priority="1315" operator="lessThan">
      <formula>0.8</formula>
    </cfRule>
    <cfRule type="cellIs" dxfId="4569" priority="1316" operator="greaterThan">
      <formula>1</formula>
    </cfRule>
  </conditionalFormatting>
  <conditionalFormatting sqref="R32:R39">
    <cfRule type="cellIs" dxfId="4568" priority="1313" operator="greaterThan">
      <formula>1</formula>
    </cfRule>
    <cfRule type="cellIs" dxfId="4567" priority="1314" operator="lessThan">
      <formula>0.8</formula>
    </cfRule>
  </conditionalFormatting>
  <conditionalFormatting sqref="R32:R39">
    <cfRule type="cellIs" dxfId="4566" priority="1309" operator="lessThan">
      <formula>0.8</formula>
    </cfRule>
    <cfRule type="cellIs" dxfId="4565" priority="1310" operator="greaterThan">
      <formula>1</formula>
    </cfRule>
  </conditionalFormatting>
  <conditionalFormatting sqref="R32:R39">
    <cfRule type="cellIs" dxfId="4564" priority="1307" operator="greaterThan">
      <formula>1</formula>
    </cfRule>
    <cfRule type="cellIs" dxfId="4563" priority="1308" operator="lessThan">
      <formula>0.8</formula>
    </cfRule>
  </conditionalFormatting>
  <conditionalFormatting sqref="P32:P39">
    <cfRule type="cellIs" dxfId="4562" priority="1306" operator="greaterThan">
      <formula>0</formula>
    </cfRule>
  </conditionalFormatting>
  <conditionalFormatting sqref="Q32:Q39">
    <cfRule type="cellIs" dxfId="4561" priority="1311" operator="lessThan">
      <formula>0</formula>
    </cfRule>
  </conditionalFormatting>
  <conditionalFormatting sqref="P32:P39">
    <cfRule type="cellIs" dxfId="4560" priority="1300" operator="greaterThan">
      <formula>0</formula>
    </cfRule>
  </conditionalFormatting>
  <conditionalFormatting sqref="Q32:Q39">
    <cfRule type="cellIs" dxfId="4559" priority="1305" operator="lessThan">
      <formula>0</formula>
    </cfRule>
  </conditionalFormatting>
  <conditionalFormatting sqref="R32:R39">
    <cfRule type="cellIs" dxfId="4558" priority="1303" operator="lessThan">
      <formula>0.8</formula>
    </cfRule>
    <cfRule type="cellIs" dxfId="4557" priority="1304" operator="greaterThan">
      <formula>1</formula>
    </cfRule>
  </conditionalFormatting>
  <conditionalFormatting sqref="R32:R39">
    <cfRule type="cellIs" dxfId="4556" priority="1301" operator="greaterThan">
      <formula>1</formula>
    </cfRule>
    <cfRule type="cellIs" dxfId="4555" priority="1302" operator="lessThan">
      <formula>0.8</formula>
    </cfRule>
  </conditionalFormatting>
  <conditionalFormatting sqref="R32:R39">
    <cfRule type="cellIs" dxfId="4554" priority="1297" operator="lessThan">
      <formula>0.8</formula>
    </cfRule>
    <cfRule type="cellIs" dxfId="4553" priority="1298" operator="greaterThan">
      <formula>1</formula>
    </cfRule>
  </conditionalFormatting>
  <conditionalFormatting sqref="R32:R39">
    <cfRule type="cellIs" dxfId="4552" priority="1295" operator="greaterThan">
      <formula>1</formula>
    </cfRule>
    <cfRule type="cellIs" dxfId="4551" priority="1296" operator="lessThan">
      <formula>0.8</formula>
    </cfRule>
  </conditionalFormatting>
  <conditionalFormatting sqref="P32:P39">
    <cfRule type="cellIs" dxfId="4550" priority="1294" operator="greaterThan">
      <formula>0</formula>
    </cfRule>
  </conditionalFormatting>
  <conditionalFormatting sqref="Q32:Q39">
    <cfRule type="cellIs" dxfId="4549" priority="1299" operator="lessThan">
      <formula>0</formula>
    </cfRule>
  </conditionalFormatting>
  <conditionalFormatting sqref="R32:R39">
    <cfRule type="cellIs" dxfId="4548" priority="1291" operator="lessThan">
      <formula>0.8</formula>
    </cfRule>
    <cfRule type="cellIs" dxfId="4547" priority="1292" operator="greaterThan">
      <formula>1</formula>
    </cfRule>
  </conditionalFormatting>
  <conditionalFormatting sqref="R32:R39">
    <cfRule type="cellIs" dxfId="4546" priority="1289" operator="greaterThan">
      <formula>1</formula>
    </cfRule>
    <cfRule type="cellIs" dxfId="4545" priority="1290" operator="lessThan">
      <formula>0.8</formula>
    </cfRule>
  </conditionalFormatting>
  <conditionalFormatting sqref="P32:P39">
    <cfRule type="cellIs" dxfId="4544" priority="1288" operator="greaterThan">
      <formula>0</formula>
    </cfRule>
  </conditionalFormatting>
  <conditionalFormatting sqref="Q32:Q39">
    <cfRule type="cellIs" dxfId="4543" priority="1293" operator="lessThan">
      <formula>0</formula>
    </cfRule>
  </conditionalFormatting>
  <conditionalFormatting sqref="Q32:Q39">
    <cfRule type="cellIs" dxfId="4542" priority="1287" operator="lessThan">
      <formula>0</formula>
    </cfRule>
  </conditionalFormatting>
  <conditionalFormatting sqref="R32:R39">
    <cfRule type="cellIs" dxfId="4541" priority="1285" operator="lessThan">
      <formula>0.8</formula>
    </cfRule>
    <cfRule type="cellIs" dxfId="4540" priority="1286" operator="greaterThan">
      <formula>1</formula>
    </cfRule>
  </conditionalFormatting>
  <conditionalFormatting sqref="R32:R39">
    <cfRule type="cellIs" dxfId="4539" priority="1283" operator="greaterThan">
      <formula>1</formula>
    </cfRule>
    <cfRule type="cellIs" dxfId="4538" priority="1284" operator="lessThan">
      <formula>0.8</formula>
    </cfRule>
  </conditionalFormatting>
  <conditionalFormatting sqref="P32:P39">
    <cfRule type="cellIs" dxfId="4537" priority="1282" operator="greaterThan">
      <formula>0</formula>
    </cfRule>
  </conditionalFormatting>
  <conditionalFormatting sqref="Q32:Q39">
    <cfRule type="cellIs" dxfId="4536" priority="1276" operator="lessThan">
      <formula>0</formula>
    </cfRule>
  </conditionalFormatting>
  <conditionalFormatting sqref="R32:R39">
    <cfRule type="cellIs" dxfId="4535" priority="1280" operator="lessThan">
      <formula>0.8</formula>
    </cfRule>
    <cfRule type="cellIs" dxfId="4534" priority="1281" operator="greaterThan">
      <formula>1</formula>
    </cfRule>
  </conditionalFormatting>
  <conditionalFormatting sqref="R32:R39">
    <cfRule type="cellIs" dxfId="4533" priority="1278" operator="greaterThan">
      <formula>1</formula>
    </cfRule>
    <cfRule type="cellIs" dxfId="4532" priority="1279" operator="lessThan">
      <formula>0.8</formula>
    </cfRule>
  </conditionalFormatting>
  <conditionalFormatting sqref="P32:P39">
    <cfRule type="cellIs" dxfId="4531" priority="1277" operator="greaterThan">
      <formula>0</formula>
    </cfRule>
  </conditionalFormatting>
  <conditionalFormatting sqref="Q32:Q39">
    <cfRule type="cellIs" dxfId="4530" priority="1275" operator="lessThan">
      <formula>0</formula>
    </cfRule>
  </conditionalFormatting>
  <conditionalFormatting sqref="R32:R39">
    <cfRule type="cellIs" dxfId="4529" priority="1273" operator="lessThan">
      <formula>0.8</formula>
    </cfRule>
    <cfRule type="cellIs" dxfId="4528" priority="1274" operator="greaterThan">
      <formula>1</formula>
    </cfRule>
  </conditionalFormatting>
  <conditionalFormatting sqref="R32:R39">
    <cfRule type="cellIs" dxfId="4527" priority="1271" operator="greaterThan">
      <formula>1</formula>
    </cfRule>
    <cfRule type="cellIs" dxfId="4526" priority="1272" operator="lessThan">
      <formula>0.8</formula>
    </cfRule>
  </conditionalFormatting>
  <conditionalFormatting sqref="P32:P39">
    <cfRule type="cellIs" dxfId="4525" priority="1270" operator="greaterThan">
      <formula>0</formula>
    </cfRule>
  </conditionalFormatting>
  <conditionalFormatting sqref="Q32:Q39">
    <cfRule type="cellIs" dxfId="4524" priority="1269" operator="lessThan">
      <formula>0</formula>
    </cfRule>
  </conditionalFormatting>
  <conditionalFormatting sqref="R32:R39">
    <cfRule type="cellIs" dxfId="4523" priority="1267" operator="lessThan">
      <formula>0.8</formula>
    </cfRule>
    <cfRule type="cellIs" dxfId="4522" priority="1268" operator="greaterThan">
      <formula>1</formula>
    </cfRule>
  </conditionalFormatting>
  <conditionalFormatting sqref="R32:R39">
    <cfRule type="cellIs" dxfId="4521" priority="1265" operator="greaterThan">
      <formula>1</formula>
    </cfRule>
    <cfRule type="cellIs" dxfId="4520" priority="1266" operator="lessThan">
      <formula>0.8</formula>
    </cfRule>
  </conditionalFormatting>
  <conditionalFormatting sqref="P32:P39">
    <cfRule type="cellIs" dxfId="4519" priority="1264" operator="greaterThan">
      <formula>0</formula>
    </cfRule>
  </conditionalFormatting>
  <conditionalFormatting sqref="Q32:Q39">
    <cfRule type="cellIs" dxfId="4518" priority="1263" operator="lessThan">
      <formula>0</formula>
    </cfRule>
  </conditionalFormatting>
  <conditionalFormatting sqref="R32:R39">
    <cfRule type="cellIs" dxfId="4517" priority="1261" operator="lessThan">
      <formula>0.8</formula>
    </cfRule>
    <cfRule type="cellIs" dxfId="4516" priority="1262" operator="greaterThan">
      <formula>1</formula>
    </cfRule>
  </conditionalFormatting>
  <conditionalFormatting sqref="R32:R39">
    <cfRule type="cellIs" dxfId="4515" priority="1259" operator="greaterThan">
      <formula>1</formula>
    </cfRule>
    <cfRule type="cellIs" dxfId="4514" priority="1260" operator="lessThan">
      <formula>0.8</formula>
    </cfRule>
  </conditionalFormatting>
  <conditionalFormatting sqref="P32:P39">
    <cfRule type="cellIs" dxfId="4513" priority="1258" operator="greaterThan">
      <formula>0</formula>
    </cfRule>
  </conditionalFormatting>
  <conditionalFormatting sqref="Q32:Q39">
    <cfRule type="cellIs" dxfId="4512" priority="1257" operator="lessThan">
      <formula>0</formula>
    </cfRule>
  </conditionalFormatting>
  <conditionalFormatting sqref="R32:R39">
    <cfRule type="cellIs" dxfId="4511" priority="1255" operator="lessThan">
      <formula>0.8</formula>
    </cfRule>
    <cfRule type="cellIs" dxfId="4510" priority="1256" operator="greaterThan">
      <formula>1</formula>
    </cfRule>
  </conditionalFormatting>
  <conditionalFormatting sqref="R32:R39">
    <cfRule type="cellIs" dxfId="4509" priority="1253" operator="greaterThan">
      <formula>1</formula>
    </cfRule>
    <cfRule type="cellIs" dxfId="4508" priority="1254" operator="lessThan">
      <formula>0.8</formula>
    </cfRule>
  </conditionalFormatting>
  <conditionalFormatting sqref="P32:P39">
    <cfRule type="cellIs" dxfId="4507" priority="1252" operator="greaterThan">
      <formula>0</formula>
    </cfRule>
  </conditionalFormatting>
  <conditionalFormatting sqref="Q32:Q39">
    <cfRule type="cellIs" dxfId="4506" priority="1251" operator="lessThan">
      <formula>0</formula>
    </cfRule>
  </conditionalFormatting>
  <conditionalFormatting sqref="R32:R39">
    <cfRule type="cellIs" dxfId="4505" priority="1249" operator="lessThan">
      <formula>0.8</formula>
    </cfRule>
    <cfRule type="cellIs" dxfId="4504" priority="1250" operator="greaterThan">
      <formula>1</formula>
    </cfRule>
  </conditionalFormatting>
  <conditionalFormatting sqref="R32:R39">
    <cfRule type="cellIs" dxfId="4503" priority="1247" operator="greaterThan">
      <formula>1</formula>
    </cfRule>
    <cfRule type="cellIs" dxfId="4502" priority="1248" operator="lessThan">
      <formula>0.8</formula>
    </cfRule>
  </conditionalFormatting>
  <conditionalFormatting sqref="P32:P39">
    <cfRule type="cellIs" dxfId="4501" priority="1246" operator="greaterThan">
      <formula>0</formula>
    </cfRule>
  </conditionalFormatting>
  <conditionalFormatting sqref="P32:P39">
    <cfRule type="cellIs" dxfId="4500" priority="1240" operator="greaterThan">
      <formula>0</formula>
    </cfRule>
  </conditionalFormatting>
  <conditionalFormatting sqref="Q32:Q39">
    <cfRule type="cellIs" dxfId="4499" priority="1245" operator="lessThan">
      <formula>0</formula>
    </cfRule>
  </conditionalFormatting>
  <conditionalFormatting sqref="R32:R39">
    <cfRule type="cellIs" dxfId="4498" priority="1243" operator="lessThan">
      <formula>0.8</formula>
    </cfRule>
    <cfRule type="cellIs" dxfId="4497" priority="1244" operator="greaterThan">
      <formula>1</formula>
    </cfRule>
  </conditionalFormatting>
  <conditionalFormatting sqref="R32:R39">
    <cfRule type="cellIs" dxfId="4496" priority="1241" operator="greaterThan">
      <formula>1</formula>
    </cfRule>
    <cfRule type="cellIs" dxfId="4495" priority="1242" operator="lessThan">
      <formula>0.8</formula>
    </cfRule>
  </conditionalFormatting>
  <conditionalFormatting sqref="P32:P39">
    <cfRule type="cellIs" dxfId="4494" priority="1234" operator="greaterThan">
      <formula>0</formula>
    </cfRule>
  </conditionalFormatting>
  <conditionalFormatting sqref="Q32:Q39">
    <cfRule type="cellIs" dxfId="4493" priority="1239" operator="lessThan">
      <formula>0</formula>
    </cfRule>
  </conditionalFormatting>
  <conditionalFormatting sqref="R32:R39">
    <cfRule type="cellIs" dxfId="4492" priority="1237" operator="lessThan">
      <formula>0.8</formula>
    </cfRule>
    <cfRule type="cellIs" dxfId="4491" priority="1238" operator="greaterThan">
      <formula>1</formula>
    </cfRule>
  </conditionalFormatting>
  <conditionalFormatting sqref="R32:R39">
    <cfRule type="cellIs" dxfId="4490" priority="1235" operator="greaterThan">
      <formula>1</formula>
    </cfRule>
    <cfRule type="cellIs" dxfId="4489" priority="1236" operator="lessThan">
      <formula>0.8</formula>
    </cfRule>
  </conditionalFormatting>
  <conditionalFormatting sqref="R32:R39">
    <cfRule type="cellIs" dxfId="4488" priority="1231" operator="lessThan">
      <formula>0.8</formula>
    </cfRule>
    <cfRule type="cellIs" dxfId="4487" priority="1232" operator="greaterThan">
      <formula>1</formula>
    </cfRule>
  </conditionalFormatting>
  <conditionalFormatting sqref="R32:R39">
    <cfRule type="cellIs" dxfId="4486" priority="1229" operator="greaterThan">
      <formula>1</formula>
    </cfRule>
    <cfRule type="cellIs" dxfId="4485" priority="1230" operator="lessThan">
      <formula>0.8</formula>
    </cfRule>
  </conditionalFormatting>
  <conditionalFormatting sqref="P32:P39">
    <cfRule type="cellIs" dxfId="4484" priority="1228" operator="greaterThan">
      <formula>0</formula>
    </cfRule>
  </conditionalFormatting>
  <conditionalFormatting sqref="Q32:Q39">
    <cfRule type="cellIs" dxfId="4483" priority="1233" operator="lessThan">
      <formula>0</formula>
    </cfRule>
  </conditionalFormatting>
  <conditionalFormatting sqref="Q32:Q39">
    <cfRule type="cellIs" dxfId="4482" priority="1222" operator="lessThan">
      <formula>0</formula>
    </cfRule>
  </conditionalFormatting>
  <conditionalFormatting sqref="P32:P39">
    <cfRule type="cellIs" dxfId="4481" priority="1223" operator="greaterThan">
      <formula>0</formula>
    </cfRule>
  </conditionalFormatting>
  <conditionalFormatting sqref="R32:R39">
    <cfRule type="cellIs" dxfId="4480" priority="1226" operator="lessThan">
      <formula>0.8</formula>
    </cfRule>
    <cfRule type="cellIs" dxfId="4479" priority="1227" operator="greaterThan">
      <formula>1</formula>
    </cfRule>
  </conditionalFormatting>
  <conditionalFormatting sqref="R32:R39">
    <cfRule type="cellIs" dxfId="4478" priority="1224" operator="greaterThan">
      <formula>1</formula>
    </cfRule>
    <cfRule type="cellIs" dxfId="4477" priority="1225" operator="lessThan">
      <formula>0.8</formula>
    </cfRule>
  </conditionalFormatting>
  <conditionalFormatting sqref="Q32:Q39">
    <cfRule type="cellIs" dxfId="4476" priority="1216" operator="lessThan">
      <formula>0</formula>
    </cfRule>
  </conditionalFormatting>
  <conditionalFormatting sqref="R32:R39">
    <cfRule type="cellIs" dxfId="4475" priority="1220" operator="lessThan">
      <formula>0.8</formula>
    </cfRule>
    <cfRule type="cellIs" dxfId="4474" priority="1221" operator="greaterThan">
      <formula>1</formula>
    </cfRule>
  </conditionalFormatting>
  <conditionalFormatting sqref="R32:R39">
    <cfRule type="cellIs" dxfId="4473" priority="1218" operator="greaterThan">
      <formula>1</formula>
    </cfRule>
    <cfRule type="cellIs" dxfId="4472" priority="1219" operator="lessThan">
      <formula>0.8</formula>
    </cfRule>
  </conditionalFormatting>
  <conditionalFormatting sqref="P32:P39">
    <cfRule type="cellIs" dxfId="4471" priority="1217" operator="greaterThan">
      <formula>0</formula>
    </cfRule>
  </conditionalFormatting>
  <conditionalFormatting sqref="Q32:Q39">
    <cfRule type="cellIs" dxfId="4470" priority="1215" operator="lessThan">
      <formula>0</formula>
    </cfRule>
  </conditionalFormatting>
  <conditionalFormatting sqref="R32:R39">
    <cfRule type="cellIs" dxfId="4469" priority="1213" operator="lessThan">
      <formula>0.8</formula>
    </cfRule>
    <cfRule type="cellIs" dxfId="4468" priority="1214" operator="greaterThan">
      <formula>1</formula>
    </cfRule>
  </conditionalFormatting>
  <conditionalFormatting sqref="R32:R39">
    <cfRule type="cellIs" dxfId="4467" priority="1211" operator="greaterThan">
      <formula>1</formula>
    </cfRule>
    <cfRule type="cellIs" dxfId="4466" priority="1212" operator="lessThan">
      <formula>0.8</formula>
    </cfRule>
  </conditionalFormatting>
  <conditionalFormatting sqref="P32:P39">
    <cfRule type="cellIs" dxfId="4465" priority="1210" operator="greaterThan">
      <formula>0</formula>
    </cfRule>
  </conditionalFormatting>
  <conditionalFormatting sqref="Q32:Q39">
    <cfRule type="cellIs" dxfId="4464" priority="1209" operator="lessThan">
      <formula>0</formula>
    </cfRule>
  </conditionalFormatting>
  <conditionalFormatting sqref="R32:R39">
    <cfRule type="cellIs" dxfId="4463" priority="1207" operator="lessThan">
      <formula>0.8</formula>
    </cfRule>
    <cfRule type="cellIs" dxfId="4462" priority="1208" operator="greaterThan">
      <formula>1</formula>
    </cfRule>
  </conditionalFormatting>
  <conditionalFormatting sqref="R32:R39">
    <cfRule type="cellIs" dxfId="4461" priority="1205" operator="greaterThan">
      <formula>1</formula>
    </cfRule>
    <cfRule type="cellIs" dxfId="4460" priority="1206" operator="lessThan">
      <formula>0.8</formula>
    </cfRule>
  </conditionalFormatting>
  <conditionalFormatting sqref="P32:P39">
    <cfRule type="cellIs" dxfId="4459" priority="1204" operator="greaterThan">
      <formula>0</formula>
    </cfRule>
  </conditionalFormatting>
  <conditionalFormatting sqref="Q32:Q39">
    <cfRule type="cellIs" dxfId="4458" priority="1203" operator="lessThan">
      <formula>0</formula>
    </cfRule>
  </conditionalFormatting>
  <conditionalFormatting sqref="R32:R39">
    <cfRule type="cellIs" dxfId="4457" priority="1201" operator="lessThan">
      <formula>0.8</formula>
    </cfRule>
    <cfRule type="cellIs" dxfId="4456" priority="1202" operator="greaterThan">
      <formula>1</formula>
    </cfRule>
  </conditionalFormatting>
  <conditionalFormatting sqref="R32:R39">
    <cfRule type="cellIs" dxfId="4455" priority="1199" operator="greaterThan">
      <formula>1</formula>
    </cfRule>
    <cfRule type="cellIs" dxfId="4454" priority="1200" operator="lessThan">
      <formula>0.8</formula>
    </cfRule>
  </conditionalFormatting>
  <conditionalFormatting sqref="P32:P39">
    <cfRule type="cellIs" dxfId="4453" priority="1198" operator="greaterThan">
      <formula>0</formula>
    </cfRule>
  </conditionalFormatting>
  <conditionalFormatting sqref="Q32:Q39">
    <cfRule type="cellIs" dxfId="4452" priority="1197" operator="lessThan">
      <formula>0</formula>
    </cfRule>
  </conditionalFormatting>
  <conditionalFormatting sqref="R32:R39">
    <cfRule type="cellIs" dxfId="4451" priority="1195" operator="lessThan">
      <formula>0.8</formula>
    </cfRule>
    <cfRule type="cellIs" dxfId="4450" priority="1196" operator="greaterThan">
      <formula>1</formula>
    </cfRule>
  </conditionalFormatting>
  <conditionalFormatting sqref="R32:R39">
    <cfRule type="cellIs" dxfId="4449" priority="1193" operator="greaterThan">
      <formula>1</formula>
    </cfRule>
    <cfRule type="cellIs" dxfId="4448" priority="1194" operator="lessThan">
      <formula>0.8</formula>
    </cfRule>
  </conditionalFormatting>
  <conditionalFormatting sqref="P32:P39">
    <cfRule type="cellIs" dxfId="4447" priority="1192" operator="greaterThan">
      <formula>0</formula>
    </cfRule>
  </conditionalFormatting>
  <conditionalFormatting sqref="Q96:Q105">
    <cfRule type="cellIs" dxfId="4446" priority="1186" operator="lessThan">
      <formula>0</formula>
    </cfRule>
  </conditionalFormatting>
  <conditionalFormatting sqref="P96:P105">
    <cfRule type="cellIs" dxfId="4445" priority="1187" operator="greaterThan">
      <formula>0</formula>
    </cfRule>
  </conditionalFormatting>
  <conditionalFormatting sqref="R96:R105">
    <cfRule type="cellIs" dxfId="4444" priority="1190" operator="lessThan">
      <formula>0.8</formula>
    </cfRule>
    <cfRule type="cellIs" dxfId="4443" priority="1191" operator="greaterThan">
      <formula>1</formula>
    </cfRule>
  </conditionalFormatting>
  <conditionalFormatting sqref="R96:R105">
    <cfRule type="cellIs" dxfId="4442" priority="1188" operator="greaterThan">
      <formula>1</formula>
    </cfRule>
    <cfRule type="cellIs" dxfId="4441" priority="1189" operator="lessThan">
      <formula>0.8</formula>
    </cfRule>
  </conditionalFormatting>
  <conditionalFormatting sqref="Q96:Q105">
    <cfRule type="cellIs" dxfId="4440" priority="1180" operator="lessThan">
      <formula>0</formula>
    </cfRule>
  </conditionalFormatting>
  <conditionalFormatting sqref="R96:R105">
    <cfRule type="cellIs" dxfId="4439" priority="1184" operator="lessThan">
      <formula>0.8</formula>
    </cfRule>
    <cfRule type="cellIs" dxfId="4438" priority="1185" operator="greaterThan">
      <formula>1</formula>
    </cfRule>
  </conditionalFormatting>
  <conditionalFormatting sqref="R96:R105">
    <cfRule type="cellIs" dxfId="4437" priority="1182" operator="greaterThan">
      <formula>1</formula>
    </cfRule>
    <cfRule type="cellIs" dxfId="4436" priority="1183" operator="lessThan">
      <formula>0.8</formula>
    </cfRule>
  </conditionalFormatting>
  <conditionalFormatting sqref="P96:P105">
    <cfRule type="cellIs" dxfId="4435" priority="1181" operator="greaterThan">
      <formula>0</formula>
    </cfRule>
  </conditionalFormatting>
  <conditionalFormatting sqref="Q96:Q105">
    <cfRule type="cellIs" dxfId="4434" priority="1179" operator="lessThan">
      <formula>0</formula>
    </cfRule>
  </conditionalFormatting>
  <conditionalFormatting sqref="R96:R105">
    <cfRule type="cellIs" dxfId="4433" priority="1177" operator="lessThan">
      <formula>0.8</formula>
    </cfRule>
    <cfRule type="cellIs" dxfId="4432" priority="1178" operator="greaterThan">
      <formula>1</formula>
    </cfRule>
  </conditionalFormatting>
  <conditionalFormatting sqref="R96:R105">
    <cfRule type="cellIs" dxfId="4431" priority="1175" operator="greaterThan">
      <formula>1</formula>
    </cfRule>
    <cfRule type="cellIs" dxfId="4430" priority="1176" operator="lessThan">
      <formula>0.8</formula>
    </cfRule>
  </conditionalFormatting>
  <conditionalFormatting sqref="P96:P105">
    <cfRule type="cellIs" dxfId="4429" priority="1174" operator="greaterThan">
      <formula>0</formula>
    </cfRule>
  </conditionalFormatting>
  <conditionalFormatting sqref="Q96:Q105">
    <cfRule type="cellIs" dxfId="4428" priority="1173" operator="lessThan">
      <formula>0</formula>
    </cfRule>
  </conditionalFormatting>
  <conditionalFormatting sqref="R96:R105">
    <cfRule type="cellIs" dxfId="4427" priority="1171" operator="lessThan">
      <formula>0.8</formula>
    </cfRule>
    <cfRule type="cellIs" dxfId="4426" priority="1172" operator="greaterThan">
      <formula>1</formula>
    </cfRule>
  </conditionalFormatting>
  <conditionalFormatting sqref="R96:R105">
    <cfRule type="cellIs" dxfId="4425" priority="1169" operator="greaterThan">
      <formula>1</formula>
    </cfRule>
    <cfRule type="cellIs" dxfId="4424" priority="1170" operator="lessThan">
      <formula>0.8</formula>
    </cfRule>
  </conditionalFormatting>
  <conditionalFormatting sqref="P96:P105">
    <cfRule type="cellIs" dxfId="4423" priority="1168" operator="greaterThan">
      <formula>0</formula>
    </cfRule>
  </conditionalFormatting>
  <conditionalFormatting sqref="Q96:Q105">
    <cfRule type="cellIs" dxfId="4422" priority="1162" operator="lessThan">
      <formula>0</formula>
    </cfRule>
  </conditionalFormatting>
  <conditionalFormatting sqref="R96:R105">
    <cfRule type="cellIs" dxfId="4421" priority="1166" operator="lessThan">
      <formula>0.8</formula>
    </cfRule>
    <cfRule type="cellIs" dxfId="4420" priority="1167" operator="greaterThan">
      <formula>1</formula>
    </cfRule>
  </conditionalFormatting>
  <conditionalFormatting sqref="R96:R105">
    <cfRule type="cellIs" dxfId="4419" priority="1164" operator="greaterThan">
      <formula>1</formula>
    </cfRule>
    <cfRule type="cellIs" dxfId="4418" priority="1165" operator="lessThan">
      <formula>0.8</formula>
    </cfRule>
  </conditionalFormatting>
  <conditionalFormatting sqref="P96:P105">
    <cfRule type="cellIs" dxfId="4417" priority="1163" operator="greaterThan">
      <formula>0</formula>
    </cfRule>
  </conditionalFormatting>
  <conditionalFormatting sqref="Q96:Q105">
    <cfRule type="cellIs" dxfId="4416" priority="1161" operator="lessThan">
      <formula>0</formula>
    </cfRule>
  </conditionalFormatting>
  <conditionalFormatting sqref="R96:R105">
    <cfRule type="cellIs" dxfId="4415" priority="1159" operator="lessThan">
      <formula>0.8</formula>
    </cfRule>
    <cfRule type="cellIs" dxfId="4414" priority="1160" operator="greaterThan">
      <formula>1</formula>
    </cfRule>
  </conditionalFormatting>
  <conditionalFormatting sqref="R96:R105">
    <cfRule type="cellIs" dxfId="4413" priority="1157" operator="greaterThan">
      <formula>1</formula>
    </cfRule>
    <cfRule type="cellIs" dxfId="4412" priority="1158" operator="lessThan">
      <formula>0.8</formula>
    </cfRule>
  </conditionalFormatting>
  <conditionalFormatting sqref="P96:P105">
    <cfRule type="cellIs" dxfId="4411" priority="1156" operator="greaterThan">
      <formula>0</formula>
    </cfRule>
  </conditionalFormatting>
  <conditionalFormatting sqref="Q96:Q105">
    <cfRule type="cellIs" dxfId="4410" priority="1155" operator="lessThan">
      <formula>0</formula>
    </cfRule>
  </conditionalFormatting>
  <conditionalFormatting sqref="R96:R105">
    <cfRule type="cellIs" dxfId="4409" priority="1153" operator="lessThan">
      <formula>0.8</formula>
    </cfRule>
    <cfRule type="cellIs" dxfId="4408" priority="1154" operator="greaterThan">
      <formula>1</formula>
    </cfRule>
  </conditionalFormatting>
  <conditionalFormatting sqref="R96:R105">
    <cfRule type="cellIs" dxfId="4407" priority="1151" operator="greaterThan">
      <formula>1</formula>
    </cfRule>
    <cfRule type="cellIs" dxfId="4406" priority="1152" operator="lessThan">
      <formula>0.8</formula>
    </cfRule>
  </conditionalFormatting>
  <conditionalFormatting sqref="P96:P105">
    <cfRule type="cellIs" dxfId="4405" priority="1150" operator="greaterThan">
      <formula>0</formula>
    </cfRule>
  </conditionalFormatting>
  <conditionalFormatting sqref="Q96:Q105">
    <cfRule type="cellIs" dxfId="4404" priority="1149" operator="lessThan">
      <formula>0</formula>
    </cfRule>
  </conditionalFormatting>
  <conditionalFormatting sqref="R96:R105">
    <cfRule type="cellIs" dxfId="4403" priority="1147" operator="lessThan">
      <formula>0.8</formula>
    </cfRule>
    <cfRule type="cellIs" dxfId="4402" priority="1148" operator="greaterThan">
      <formula>1</formula>
    </cfRule>
  </conditionalFormatting>
  <conditionalFormatting sqref="R96:R105">
    <cfRule type="cellIs" dxfId="4401" priority="1145" operator="greaterThan">
      <formula>1</formula>
    </cfRule>
    <cfRule type="cellIs" dxfId="4400" priority="1146" operator="lessThan">
      <formula>0.8</formula>
    </cfRule>
  </conditionalFormatting>
  <conditionalFormatting sqref="P96:P105">
    <cfRule type="cellIs" dxfId="4399" priority="1144" operator="greaterThan">
      <formula>0</formula>
    </cfRule>
  </conditionalFormatting>
  <conditionalFormatting sqref="Q96:Q105">
    <cfRule type="cellIs" dxfId="4398" priority="1143" operator="lessThan">
      <formula>0</formula>
    </cfRule>
  </conditionalFormatting>
  <conditionalFormatting sqref="R96:R105">
    <cfRule type="cellIs" dxfId="4397" priority="1141" operator="lessThan">
      <formula>0.8</formula>
    </cfRule>
    <cfRule type="cellIs" dxfId="4396" priority="1142" operator="greaterThan">
      <formula>1</formula>
    </cfRule>
  </conditionalFormatting>
  <conditionalFormatting sqref="R96:R105">
    <cfRule type="cellIs" dxfId="4395" priority="1139" operator="greaterThan">
      <formula>1</formula>
    </cfRule>
    <cfRule type="cellIs" dxfId="4394" priority="1140" operator="lessThan">
      <formula>0.8</formula>
    </cfRule>
  </conditionalFormatting>
  <conditionalFormatting sqref="P96:P105">
    <cfRule type="cellIs" dxfId="4393" priority="1138" operator="greaterThan">
      <formula>0</formula>
    </cfRule>
  </conditionalFormatting>
  <conditionalFormatting sqref="Q96:Q105">
    <cfRule type="cellIs" dxfId="4392" priority="1137" operator="lessThan">
      <formula>0</formula>
    </cfRule>
  </conditionalFormatting>
  <conditionalFormatting sqref="R96:R105">
    <cfRule type="cellIs" dxfId="4391" priority="1135" operator="lessThan">
      <formula>0.8</formula>
    </cfRule>
    <cfRule type="cellIs" dxfId="4390" priority="1136" operator="greaterThan">
      <formula>1</formula>
    </cfRule>
  </conditionalFormatting>
  <conditionalFormatting sqref="R96:R105">
    <cfRule type="cellIs" dxfId="4389" priority="1133" operator="greaterThan">
      <formula>1</formula>
    </cfRule>
    <cfRule type="cellIs" dxfId="4388" priority="1134" operator="lessThan">
      <formula>0.8</formula>
    </cfRule>
  </conditionalFormatting>
  <conditionalFormatting sqref="P96:P105">
    <cfRule type="cellIs" dxfId="4387" priority="1132" operator="greaterThan">
      <formula>0</formula>
    </cfRule>
  </conditionalFormatting>
  <conditionalFormatting sqref="P96:P105">
    <cfRule type="cellIs" dxfId="4386" priority="1126" operator="greaterThan">
      <formula>0</formula>
    </cfRule>
  </conditionalFormatting>
  <conditionalFormatting sqref="Q96:Q105">
    <cfRule type="cellIs" dxfId="4385" priority="1131" operator="lessThan">
      <formula>0</formula>
    </cfRule>
  </conditionalFormatting>
  <conditionalFormatting sqref="R96:R105">
    <cfRule type="cellIs" dxfId="4384" priority="1129" operator="lessThan">
      <formula>0.8</formula>
    </cfRule>
    <cfRule type="cellIs" dxfId="4383" priority="1130" operator="greaterThan">
      <formula>1</formula>
    </cfRule>
  </conditionalFormatting>
  <conditionalFormatting sqref="R96:R105">
    <cfRule type="cellIs" dxfId="4382" priority="1127" operator="greaterThan">
      <formula>1</formula>
    </cfRule>
    <cfRule type="cellIs" dxfId="4381" priority="1128" operator="lessThan">
      <formula>0.8</formula>
    </cfRule>
  </conditionalFormatting>
  <conditionalFormatting sqref="P96:P105">
    <cfRule type="cellIs" dxfId="4380" priority="1120" operator="greaterThan">
      <formula>0</formula>
    </cfRule>
  </conditionalFormatting>
  <conditionalFormatting sqref="Q96:Q105">
    <cfRule type="cellIs" dxfId="4379" priority="1125" operator="lessThan">
      <formula>0</formula>
    </cfRule>
  </conditionalFormatting>
  <conditionalFormatting sqref="R96:R105">
    <cfRule type="cellIs" dxfId="4378" priority="1123" operator="lessThan">
      <formula>0.8</formula>
    </cfRule>
    <cfRule type="cellIs" dxfId="4377" priority="1124" operator="greaterThan">
      <formula>1</formula>
    </cfRule>
  </conditionalFormatting>
  <conditionalFormatting sqref="R96:R105">
    <cfRule type="cellIs" dxfId="4376" priority="1121" operator="greaterThan">
      <formula>1</formula>
    </cfRule>
    <cfRule type="cellIs" dxfId="4375" priority="1122" operator="lessThan">
      <formula>0.8</formula>
    </cfRule>
  </conditionalFormatting>
  <conditionalFormatting sqref="R96:R105">
    <cfRule type="cellIs" dxfId="4374" priority="1117" operator="lessThan">
      <formula>0.8</formula>
    </cfRule>
    <cfRule type="cellIs" dxfId="4373" priority="1118" operator="greaterThan">
      <formula>1</formula>
    </cfRule>
  </conditionalFormatting>
  <conditionalFormatting sqref="R96:R105">
    <cfRule type="cellIs" dxfId="4372" priority="1115" operator="greaterThan">
      <formula>1</formula>
    </cfRule>
    <cfRule type="cellIs" dxfId="4371" priority="1116" operator="lessThan">
      <formula>0.8</formula>
    </cfRule>
  </conditionalFormatting>
  <conditionalFormatting sqref="P96:P105">
    <cfRule type="cellIs" dxfId="4370" priority="1114" operator="greaterThan">
      <formula>0</formula>
    </cfRule>
  </conditionalFormatting>
  <conditionalFormatting sqref="Q96:Q105">
    <cfRule type="cellIs" dxfId="4369" priority="1119" operator="lessThan">
      <formula>0</formula>
    </cfRule>
  </conditionalFormatting>
  <conditionalFormatting sqref="Q96:Q105">
    <cfRule type="cellIs" dxfId="4368" priority="1108" operator="lessThan">
      <formula>0</formula>
    </cfRule>
  </conditionalFormatting>
  <conditionalFormatting sqref="P96:P105">
    <cfRule type="cellIs" dxfId="4367" priority="1109" operator="greaterThan">
      <formula>0</formula>
    </cfRule>
  </conditionalFormatting>
  <conditionalFormatting sqref="R96:R105">
    <cfRule type="cellIs" dxfId="4366" priority="1112" operator="lessThan">
      <formula>0.8</formula>
    </cfRule>
    <cfRule type="cellIs" dxfId="4365" priority="1113" operator="greaterThan">
      <formula>1</formula>
    </cfRule>
  </conditionalFormatting>
  <conditionalFormatting sqref="R96:R105">
    <cfRule type="cellIs" dxfId="4364" priority="1110" operator="greaterThan">
      <formula>1</formula>
    </cfRule>
    <cfRule type="cellIs" dxfId="4363" priority="1111" operator="lessThan">
      <formula>0.8</formula>
    </cfRule>
  </conditionalFormatting>
  <conditionalFormatting sqref="Q96:Q105">
    <cfRule type="cellIs" dxfId="4362" priority="1102" operator="lessThan">
      <formula>0</formula>
    </cfRule>
  </conditionalFormatting>
  <conditionalFormatting sqref="R96:R105">
    <cfRule type="cellIs" dxfId="4361" priority="1106" operator="lessThan">
      <formula>0.8</formula>
    </cfRule>
    <cfRule type="cellIs" dxfId="4360" priority="1107" operator="greaterThan">
      <formula>1</formula>
    </cfRule>
  </conditionalFormatting>
  <conditionalFormatting sqref="R96:R105">
    <cfRule type="cellIs" dxfId="4359" priority="1104" operator="greaterThan">
      <formula>1</formula>
    </cfRule>
    <cfRule type="cellIs" dxfId="4358" priority="1105" operator="lessThan">
      <formula>0.8</formula>
    </cfRule>
  </conditionalFormatting>
  <conditionalFormatting sqref="P96:P105">
    <cfRule type="cellIs" dxfId="4357" priority="1103" operator="greaterThan">
      <formula>0</formula>
    </cfRule>
  </conditionalFormatting>
  <conditionalFormatting sqref="Q96:Q105">
    <cfRule type="cellIs" dxfId="4356" priority="1101" operator="lessThan">
      <formula>0</formula>
    </cfRule>
  </conditionalFormatting>
  <conditionalFormatting sqref="R96:R105">
    <cfRule type="cellIs" dxfId="4355" priority="1099" operator="lessThan">
      <formula>0.8</formula>
    </cfRule>
    <cfRule type="cellIs" dxfId="4354" priority="1100" operator="greaterThan">
      <formula>1</formula>
    </cfRule>
  </conditionalFormatting>
  <conditionalFormatting sqref="R96:R105">
    <cfRule type="cellIs" dxfId="4353" priority="1097" operator="greaterThan">
      <formula>1</formula>
    </cfRule>
    <cfRule type="cellIs" dxfId="4352" priority="1098" operator="lessThan">
      <formula>0.8</formula>
    </cfRule>
  </conditionalFormatting>
  <conditionalFormatting sqref="P96:P105">
    <cfRule type="cellIs" dxfId="4351" priority="1096" operator="greaterThan">
      <formula>0</formula>
    </cfRule>
  </conditionalFormatting>
  <conditionalFormatting sqref="Q96:Q105">
    <cfRule type="cellIs" dxfId="4350" priority="1095" operator="lessThan">
      <formula>0</formula>
    </cfRule>
  </conditionalFormatting>
  <conditionalFormatting sqref="R96:R105">
    <cfRule type="cellIs" dxfId="4349" priority="1093" operator="lessThan">
      <formula>0.8</formula>
    </cfRule>
    <cfRule type="cellIs" dxfId="4348" priority="1094" operator="greaterThan">
      <formula>1</formula>
    </cfRule>
  </conditionalFormatting>
  <conditionalFormatting sqref="R96:R105">
    <cfRule type="cellIs" dxfId="4347" priority="1091" operator="greaterThan">
      <formula>1</formula>
    </cfRule>
    <cfRule type="cellIs" dxfId="4346" priority="1092" operator="lessThan">
      <formula>0.8</formula>
    </cfRule>
  </conditionalFormatting>
  <conditionalFormatting sqref="P96:P105">
    <cfRule type="cellIs" dxfId="4345" priority="1090" operator="greaterThan">
      <formula>0</formula>
    </cfRule>
  </conditionalFormatting>
  <conditionalFormatting sqref="Q96:Q105">
    <cfRule type="cellIs" dxfId="4344" priority="1084" operator="lessThan">
      <formula>0</formula>
    </cfRule>
  </conditionalFormatting>
  <conditionalFormatting sqref="P96:P105">
    <cfRule type="cellIs" dxfId="4343" priority="1085" operator="greaterThan">
      <formula>0</formula>
    </cfRule>
  </conditionalFormatting>
  <conditionalFormatting sqref="R96:R105">
    <cfRule type="cellIs" dxfId="4342" priority="1088" operator="lessThan">
      <formula>0.8</formula>
    </cfRule>
    <cfRule type="cellIs" dxfId="4341" priority="1089" operator="greaterThan">
      <formula>1</formula>
    </cfRule>
  </conditionalFormatting>
  <conditionalFormatting sqref="R96:R105">
    <cfRule type="cellIs" dxfId="4340" priority="1086" operator="greaterThan">
      <formula>1</formula>
    </cfRule>
    <cfRule type="cellIs" dxfId="4339" priority="1087" operator="lessThan">
      <formula>0.8</formula>
    </cfRule>
  </conditionalFormatting>
  <conditionalFormatting sqref="Q96:Q105">
    <cfRule type="cellIs" dxfId="4338" priority="1078" operator="lessThan">
      <formula>0</formula>
    </cfRule>
  </conditionalFormatting>
  <conditionalFormatting sqref="R96:R105">
    <cfRule type="cellIs" dxfId="4337" priority="1082" operator="lessThan">
      <formula>0.8</formula>
    </cfRule>
    <cfRule type="cellIs" dxfId="4336" priority="1083" operator="greaterThan">
      <formula>1</formula>
    </cfRule>
  </conditionalFormatting>
  <conditionalFormatting sqref="R96:R105">
    <cfRule type="cellIs" dxfId="4335" priority="1080" operator="greaterThan">
      <formula>1</formula>
    </cfRule>
    <cfRule type="cellIs" dxfId="4334" priority="1081" operator="lessThan">
      <formula>0.8</formula>
    </cfRule>
  </conditionalFormatting>
  <conditionalFormatting sqref="P96:P105">
    <cfRule type="cellIs" dxfId="4333" priority="1079" operator="greaterThan">
      <formula>0</formula>
    </cfRule>
  </conditionalFormatting>
  <conditionalFormatting sqref="Q96:Q105">
    <cfRule type="cellIs" dxfId="4332" priority="1077" operator="lessThan">
      <formula>0</formula>
    </cfRule>
  </conditionalFormatting>
  <conditionalFormatting sqref="R96:R105">
    <cfRule type="cellIs" dxfId="4331" priority="1075" operator="lessThan">
      <formula>0.8</formula>
    </cfRule>
    <cfRule type="cellIs" dxfId="4330" priority="1076" operator="greaterThan">
      <formula>1</formula>
    </cfRule>
  </conditionalFormatting>
  <conditionalFormatting sqref="R96:R105">
    <cfRule type="cellIs" dxfId="4329" priority="1073" operator="greaterThan">
      <formula>1</formula>
    </cfRule>
    <cfRule type="cellIs" dxfId="4328" priority="1074" operator="lessThan">
      <formula>0.8</formula>
    </cfRule>
  </conditionalFormatting>
  <conditionalFormatting sqref="P96:P105">
    <cfRule type="cellIs" dxfId="4327" priority="1072" operator="greaterThan">
      <formula>0</formula>
    </cfRule>
  </conditionalFormatting>
  <conditionalFormatting sqref="Q96:Q105">
    <cfRule type="cellIs" dxfId="4326" priority="1071" operator="lessThan">
      <formula>0</formula>
    </cfRule>
  </conditionalFormatting>
  <conditionalFormatting sqref="R96:R105">
    <cfRule type="cellIs" dxfId="4325" priority="1069" operator="lessThan">
      <formula>0.8</formula>
    </cfRule>
    <cfRule type="cellIs" dxfId="4324" priority="1070" operator="greaterThan">
      <formula>1</formula>
    </cfRule>
  </conditionalFormatting>
  <conditionalFormatting sqref="R96:R105">
    <cfRule type="cellIs" dxfId="4323" priority="1067" operator="greaterThan">
      <formula>1</formula>
    </cfRule>
    <cfRule type="cellIs" dxfId="4322" priority="1068" operator="lessThan">
      <formula>0.8</formula>
    </cfRule>
  </conditionalFormatting>
  <conditionalFormatting sqref="P96:P105">
    <cfRule type="cellIs" dxfId="4321" priority="1066" operator="greaterThan">
      <formula>0</formula>
    </cfRule>
  </conditionalFormatting>
  <conditionalFormatting sqref="P124 P127 P130">
    <cfRule type="cellIs" dxfId="4320" priority="1060" operator="greaterThan">
      <formula>0</formula>
    </cfRule>
  </conditionalFormatting>
  <conditionalFormatting sqref="Q124 Q127 Q130">
    <cfRule type="cellIs" dxfId="4319" priority="1065" operator="lessThan">
      <formula>0</formula>
    </cfRule>
  </conditionalFormatting>
  <conditionalFormatting sqref="R124 R127 R130">
    <cfRule type="cellIs" dxfId="4318" priority="1063" operator="lessThan">
      <formula>0.8</formula>
    </cfRule>
    <cfRule type="cellIs" dxfId="4317" priority="1064" operator="greaterThan">
      <formula>1</formula>
    </cfRule>
  </conditionalFormatting>
  <conditionalFormatting sqref="R124 R127 R130">
    <cfRule type="cellIs" dxfId="4316" priority="1061" operator="greaterThan">
      <formula>1</formula>
    </cfRule>
    <cfRule type="cellIs" dxfId="4315" priority="1062" operator="lessThan">
      <formula>0.8</formula>
    </cfRule>
  </conditionalFormatting>
  <conditionalFormatting sqref="Q124 Q127 Q130">
    <cfRule type="cellIs" dxfId="4314" priority="1059" operator="lessThan">
      <formula>0</formula>
    </cfRule>
  </conditionalFormatting>
  <conditionalFormatting sqref="R124 R127 R130">
    <cfRule type="cellIs" dxfId="4313" priority="1057" operator="lessThan">
      <formula>0.8</formula>
    </cfRule>
    <cfRule type="cellIs" dxfId="4312" priority="1058" operator="greaterThan">
      <formula>1</formula>
    </cfRule>
  </conditionalFormatting>
  <conditionalFormatting sqref="R124 R127 R130">
    <cfRule type="cellIs" dxfId="4311" priority="1055" operator="greaterThan">
      <formula>1</formula>
    </cfRule>
    <cfRule type="cellIs" dxfId="4310" priority="1056" operator="lessThan">
      <formula>0.8</formula>
    </cfRule>
  </conditionalFormatting>
  <conditionalFormatting sqref="P124 P127 P130">
    <cfRule type="cellIs" dxfId="4309" priority="1054" operator="greaterThan">
      <formula>0</formula>
    </cfRule>
  </conditionalFormatting>
  <conditionalFormatting sqref="Q123 Q125:Q126 Q131 Q128:Q129">
    <cfRule type="cellIs" dxfId="4308" priority="1053" operator="lessThan">
      <formula>0</formula>
    </cfRule>
  </conditionalFormatting>
  <conditionalFormatting sqref="R123 R125:R126 R131 R128:R129">
    <cfRule type="cellIs" dxfId="4307" priority="1051" operator="lessThan">
      <formula>0.8</formula>
    </cfRule>
    <cfRule type="cellIs" dxfId="4306" priority="1052" operator="greaterThan">
      <formula>1</formula>
    </cfRule>
  </conditionalFormatting>
  <conditionalFormatting sqref="R123 R125:R126 R131 R128:R129">
    <cfRule type="cellIs" dxfId="4305" priority="1049" operator="greaterThan">
      <formula>1</formula>
    </cfRule>
    <cfRule type="cellIs" dxfId="4304" priority="1050" operator="lessThan">
      <formula>0.8</formula>
    </cfRule>
  </conditionalFormatting>
  <conditionalFormatting sqref="P123 P125:P126 P131 P128:P129">
    <cfRule type="cellIs" dxfId="4303" priority="1048" operator="greaterThan">
      <formula>0</formula>
    </cfRule>
  </conditionalFormatting>
  <conditionalFormatting sqref="P123 P125:P126 P131 P128:P129">
    <cfRule type="cellIs" dxfId="4302" priority="1042" operator="greaterThan">
      <formula>0</formula>
    </cfRule>
  </conditionalFormatting>
  <conditionalFormatting sqref="Q123 Q125:Q126 Q131 Q128:Q129">
    <cfRule type="cellIs" dxfId="4301" priority="1047" operator="lessThan">
      <formula>0</formula>
    </cfRule>
  </conditionalFormatting>
  <conditionalFormatting sqref="R123 R125:R126 R131 R128:R129">
    <cfRule type="cellIs" dxfId="4300" priority="1045" operator="lessThan">
      <formula>0.8</formula>
    </cfRule>
    <cfRule type="cellIs" dxfId="4299" priority="1046" operator="greaterThan">
      <formula>1</formula>
    </cfRule>
  </conditionalFormatting>
  <conditionalFormatting sqref="R123 R125:R126 R131 R128:R129">
    <cfRule type="cellIs" dxfId="4298" priority="1043" operator="greaterThan">
      <formula>1</formula>
    </cfRule>
    <cfRule type="cellIs" dxfId="4297" priority="1044" operator="lessThan">
      <formula>0.8</formula>
    </cfRule>
  </conditionalFormatting>
  <conditionalFormatting sqref="P122">
    <cfRule type="cellIs" dxfId="4296" priority="1036" operator="greaterThan">
      <formula>0</formula>
    </cfRule>
  </conditionalFormatting>
  <conditionalFormatting sqref="Q122">
    <cfRule type="cellIs" dxfId="4295" priority="1041" operator="lessThan">
      <formula>0</formula>
    </cfRule>
  </conditionalFormatting>
  <conditionalFormatting sqref="R122">
    <cfRule type="cellIs" dxfId="4294" priority="1039" operator="lessThan">
      <formula>0.8</formula>
    </cfRule>
    <cfRule type="cellIs" dxfId="4293" priority="1040" operator="greaterThan">
      <formula>1</formula>
    </cfRule>
  </conditionalFormatting>
  <conditionalFormatting sqref="R122">
    <cfRule type="cellIs" dxfId="4292" priority="1037" operator="greaterThan">
      <formula>1</formula>
    </cfRule>
    <cfRule type="cellIs" dxfId="4291" priority="1038" operator="lessThan">
      <formula>0.8</formula>
    </cfRule>
  </conditionalFormatting>
  <conditionalFormatting sqref="P137 P143 P140">
    <cfRule type="cellIs" dxfId="4290" priority="1035" operator="greaterThan">
      <formula>0</formula>
    </cfRule>
  </conditionalFormatting>
  <conditionalFormatting sqref="Q137:Q143">
    <cfRule type="cellIs" dxfId="4289" priority="1034" operator="lessThan">
      <formula>0</formula>
    </cfRule>
  </conditionalFormatting>
  <conditionalFormatting sqref="R137 R143">
    <cfRule type="cellIs" dxfId="4288" priority="1032" operator="lessThan">
      <formula>0.8</formula>
    </cfRule>
    <cfRule type="cellIs" dxfId="4287" priority="1033" operator="greaterThan">
      <formula>1</formula>
    </cfRule>
  </conditionalFormatting>
  <conditionalFormatting sqref="R137 R143">
    <cfRule type="cellIs" dxfId="4286" priority="1030" operator="greaterThan">
      <formula>1</formula>
    </cfRule>
    <cfRule type="cellIs" dxfId="4285" priority="1031" operator="lessThan">
      <formula>0.8</formula>
    </cfRule>
  </conditionalFormatting>
  <conditionalFormatting sqref="P137 P143 P140">
    <cfRule type="cellIs" dxfId="4284" priority="1029" operator="greaterThan">
      <formula>0</formula>
    </cfRule>
  </conditionalFormatting>
  <conditionalFormatting sqref="Q137:Q143">
    <cfRule type="cellIs" dxfId="4283" priority="1028" operator="lessThan">
      <formula>0</formula>
    </cfRule>
  </conditionalFormatting>
  <conditionalFormatting sqref="R137 R143">
    <cfRule type="cellIs" dxfId="4282" priority="1026" operator="lessThan">
      <formula>0.8</formula>
    </cfRule>
    <cfRule type="cellIs" dxfId="4281" priority="1027" operator="greaterThan">
      <formula>1</formula>
    </cfRule>
  </conditionalFormatting>
  <conditionalFormatting sqref="R137 R143">
    <cfRule type="cellIs" dxfId="4280" priority="1024" operator="greaterThan">
      <formula>1</formula>
    </cfRule>
    <cfRule type="cellIs" dxfId="4279" priority="1025" operator="lessThan">
      <formula>0.8</formula>
    </cfRule>
  </conditionalFormatting>
  <conditionalFormatting sqref="P137 P143 P140">
    <cfRule type="cellIs" dxfId="4278" priority="1023" operator="greaterThan">
      <formula>0</formula>
    </cfRule>
  </conditionalFormatting>
  <conditionalFormatting sqref="P137 P143 P140">
    <cfRule type="cellIs" dxfId="4277" priority="1017" operator="greaterThan">
      <formula>0</formula>
    </cfRule>
  </conditionalFormatting>
  <conditionalFormatting sqref="Q137:Q143">
    <cfRule type="cellIs" dxfId="4276" priority="1022" operator="lessThan">
      <formula>0</formula>
    </cfRule>
  </conditionalFormatting>
  <conditionalFormatting sqref="R137 R143">
    <cfRule type="cellIs" dxfId="4275" priority="1020" operator="lessThan">
      <formula>0.8</formula>
    </cfRule>
    <cfRule type="cellIs" dxfId="4274" priority="1021" operator="greaterThan">
      <formula>1</formula>
    </cfRule>
  </conditionalFormatting>
  <conditionalFormatting sqref="R137 R143">
    <cfRule type="cellIs" dxfId="4273" priority="1018" operator="greaterThan">
      <formula>1</formula>
    </cfRule>
    <cfRule type="cellIs" dxfId="4272" priority="1019" operator="lessThan">
      <formula>0.8</formula>
    </cfRule>
  </conditionalFormatting>
  <conditionalFormatting sqref="Q137:Q143">
    <cfRule type="cellIs" dxfId="4271" priority="1016" operator="lessThan">
      <formula>0</formula>
    </cfRule>
  </conditionalFormatting>
  <conditionalFormatting sqref="R137 R143">
    <cfRule type="cellIs" dxfId="4270" priority="1014" operator="lessThan">
      <formula>0.8</formula>
    </cfRule>
    <cfRule type="cellIs" dxfId="4269" priority="1015" operator="greaterThan">
      <formula>1</formula>
    </cfRule>
  </conditionalFormatting>
  <conditionalFormatting sqref="R137 R143">
    <cfRule type="cellIs" dxfId="4268" priority="1012" operator="greaterThan">
      <formula>1</formula>
    </cfRule>
    <cfRule type="cellIs" dxfId="4267" priority="1013" operator="lessThan">
      <formula>0.8</formula>
    </cfRule>
  </conditionalFormatting>
  <conditionalFormatting sqref="P137 P143 P140">
    <cfRule type="cellIs" dxfId="4266" priority="1011" operator="greaterThan">
      <formula>0</formula>
    </cfRule>
  </conditionalFormatting>
  <conditionalFormatting sqref="Q137:Q143">
    <cfRule type="cellIs" dxfId="4265" priority="1010" operator="lessThan">
      <formula>0</formula>
    </cfRule>
  </conditionalFormatting>
  <conditionalFormatting sqref="R137 R143">
    <cfRule type="cellIs" dxfId="4264" priority="1008" operator="lessThan">
      <formula>0.8</formula>
    </cfRule>
    <cfRule type="cellIs" dxfId="4263" priority="1009" operator="greaterThan">
      <formula>1</formula>
    </cfRule>
  </conditionalFormatting>
  <conditionalFormatting sqref="R137 R143">
    <cfRule type="cellIs" dxfId="4262" priority="1006" operator="greaterThan">
      <formula>1</formula>
    </cfRule>
    <cfRule type="cellIs" dxfId="4261" priority="1007" operator="lessThan">
      <formula>0.8</formula>
    </cfRule>
  </conditionalFormatting>
  <conditionalFormatting sqref="P137 P143 P140">
    <cfRule type="cellIs" dxfId="4260" priority="1005" operator="greaterThan">
      <formula>0</formula>
    </cfRule>
  </conditionalFormatting>
  <conditionalFormatting sqref="P137 P143 P140">
    <cfRule type="cellIs" dxfId="4259" priority="999" operator="greaterThan">
      <formula>0</formula>
    </cfRule>
  </conditionalFormatting>
  <conditionalFormatting sqref="Q137:Q143">
    <cfRule type="cellIs" dxfId="4258" priority="1004" operator="lessThan">
      <formula>0</formula>
    </cfRule>
  </conditionalFormatting>
  <conditionalFormatting sqref="R137 R143">
    <cfRule type="cellIs" dxfId="4257" priority="1002" operator="lessThan">
      <formula>0.8</formula>
    </cfRule>
    <cfRule type="cellIs" dxfId="4256" priority="1003" operator="greaterThan">
      <formula>1</formula>
    </cfRule>
  </conditionalFormatting>
  <conditionalFormatting sqref="R137 R143">
    <cfRule type="cellIs" dxfId="4255" priority="1000" operator="greaterThan">
      <formula>1</formula>
    </cfRule>
    <cfRule type="cellIs" dxfId="4254" priority="1001" operator="lessThan">
      <formula>0.8</formula>
    </cfRule>
  </conditionalFormatting>
  <conditionalFormatting sqref="Q137:Q143">
    <cfRule type="cellIs" dxfId="4253" priority="998" operator="lessThan">
      <formula>0</formula>
    </cfRule>
  </conditionalFormatting>
  <conditionalFormatting sqref="R137 R143">
    <cfRule type="cellIs" dxfId="4252" priority="996" operator="lessThan">
      <formula>0.8</formula>
    </cfRule>
    <cfRule type="cellIs" dxfId="4251" priority="997" operator="greaterThan">
      <formula>1</formula>
    </cfRule>
  </conditionalFormatting>
  <conditionalFormatting sqref="R137 R143">
    <cfRule type="cellIs" dxfId="4250" priority="994" operator="greaterThan">
      <formula>1</formula>
    </cfRule>
    <cfRule type="cellIs" dxfId="4249" priority="995" operator="lessThan">
      <formula>0.8</formula>
    </cfRule>
  </conditionalFormatting>
  <conditionalFormatting sqref="P137 P143 P140">
    <cfRule type="cellIs" dxfId="4248" priority="993" operator="greaterThan">
      <formula>0</formula>
    </cfRule>
  </conditionalFormatting>
  <conditionalFormatting sqref="Q137:Q143">
    <cfRule type="cellIs" dxfId="4247" priority="992" operator="lessThan">
      <formula>0</formula>
    </cfRule>
  </conditionalFormatting>
  <conditionalFormatting sqref="R137 R143">
    <cfRule type="cellIs" dxfId="4246" priority="990" operator="lessThan">
      <formula>0.8</formula>
    </cfRule>
    <cfRule type="cellIs" dxfId="4245" priority="991" operator="greaterThan">
      <formula>1</formula>
    </cfRule>
  </conditionalFormatting>
  <conditionalFormatting sqref="R137 R143">
    <cfRule type="cellIs" dxfId="4244" priority="988" operator="greaterThan">
      <formula>1</formula>
    </cfRule>
    <cfRule type="cellIs" dxfId="4243" priority="989" operator="lessThan">
      <formula>0.8</formula>
    </cfRule>
  </conditionalFormatting>
  <conditionalFormatting sqref="P137 P143 P140">
    <cfRule type="cellIs" dxfId="4242" priority="987" operator="greaterThan">
      <formula>0</formula>
    </cfRule>
  </conditionalFormatting>
  <conditionalFormatting sqref="P137 P143 P140">
    <cfRule type="cellIs" dxfId="4241" priority="981" operator="greaterThan">
      <formula>0</formula>
    </cfRule>
  </conditionalFormatting>
  <conditionalFormatting sqref="Q137:Q143">
    <cfRule type="cellIs" dxfId="4240" priority="986" operator="lessThan">
      <formula>0</formula>
    </cfRule>
  </conditionalFormatting>
  <conditionalFormatting sqref="R137 R143">
    <cfRule type="cellIs" dxfId="4239" priority="984" operator="lessThan">
      <formula>0.8</formula>
    </cfRule>
    <cfRule type="cellIs" dxfId="4238" priority="985" operator="greaterThan">
      <formula>1</formula>
    </cfRule>
  </conditionalFormatting>
  <conditionalFormatting sqref="R137 R143">
    <cfRule type="cellIs" dxfId="4237" priority="982" operator="greaterThan">
      <formula>1</formula>
    </cfRule>
    <cfRule type="cellIs" dxfId="4236" priority="983" operator="lessThan">
      <formula>0.8</formula>
    </cfRule>
  </conditionalFormatting>
  <conditionalFormatting sqref="Q137:Q143">
    <cfRule type="cellIs" dxfId="4235" priority="980" operator="lessThan">
      <formula>0</formula>
    </cfRule>
  </conditionalFormatting>
  <conditionalFormatting sqref="R137 R143">
    <cfRule type="cellIs" dxfId="4234" priority="978" operator="lessThan">
      <formula>0.8</formula>
    </cfRule>
    <cfRule type="cellIs" dxfId="4233" priority="979" operator="greaterThan">
      <formula>1</formula>
    </cfRule>
  </conditionalFormatting>
  <conditionalFormatting sqref="R137 R143">
    <cfRule type="cellIs" dxfId="4232" priority="976" operator="greaterThan">
      <formula>1</formula>
    </cfRule>
    <cfRule type="cellIs" dxfId="4231" priority="977" operator="lessThan">
      <formula>0.8</formula>
    </cfRule>
  </conditionalFormatting>
  <conditionalFormatting sqref="P137 P143 P140">
    <cfRule type="cellIs" dxfId="4230" priority="975" operator="greaterThan">
      <formula>0</formula>
    </cfRule>
  </conditionalFormatting>
  <conditionalFormatting sqref="P138 P144 P141">
    <cfRule type="cellIs" dxfId="4229" priority="969" operator="greaterThan">
      <formula>0</formula>
    </cfRule>
  </conditionalFormatting>
  <conditionalFormatting sqref="Q144">
    <cfRule type="cellIs" dxfId="4228" priority="974" operator="lessThan">
      <formula>0</formula>
    </cfRule>
  </conditionalFormatting>
  <conditionalFormatting sqref="R138 R144">
    <cfRule type="cellIs" dxfId="4227" priority="972" operator="lessThan">
      <formula>0.8</formula>
    </cfRule>
    <cfRule type="cellIs" dxfId="4226" priority="973" operator="greaterThan">
      <formula>1</formula>
    </cfRule>
  </conditionalFormatting>
  <conditionalFormatting sqref="R138 R144">
    <cfRule type="cellIs" dxfId="4225" priority="970" operator="greaterThan">
      <formula>1</formula>
    </cfRule>
    <cfRule type="cellIs" dxfId="4224" priority="971" operator="lessThan">
      <formula>0.8</formula>
    </cfRule>
  </conditionalFormatting>
  <conditionalFormatting sqref="Q144">
    <cfRule type="cellIs" dxfId="4223" priority="968" operator="lessThan">
      <formula>0</formula>
    </cfRule>
  </conditionalFormatting>
  <conditionalFormatting sqref="R138 R144">
    <cfRule type="cellIs" dxfId="4222" priority="966" operator="lessThan">
      <formula>0.8</formula>
    </cfRule>
    <cfRule type="cellIs" dxfId="4221" priority="967" operator="greaterThan">
      <formula>1</formula>
    </cfRule>
  </conditionalFormatting>
  <conditionalFormatting sqref="R138 R144">
    <cfRule type="cellIs" dxfId="4220" priority="964" operator="greaterThan">
      <formula>1</formula>
    </cfRule>
    <cfRule type="cellIs" dxfId="4219" priority="965" operator="lessThan">
      <formula>0.8</formula>
    </cfRule>
  </conditionalFormatting>
  <conditionalFormatting sqref="P138 P144 P141">
    <cfRule type="cellIs" dxfId="4218" priority="963" operator="greaterThan">
      <formula>0</formula>
    </cfRule>
  </conditionalFormatting>
  <conditionalFormatting sqref="Q144">
    <cfRule type="cellIs" dxfId="4217" priority="962" operator="lessThan">
      <formula>0</formula>
    </cfRule>
  </conditionalFormatting>
  <conditionalFormatting sqref="R138 R144">
    <cfRule type="cellIs" dxfId="4216" priority="960" operator="lessThan">
      <formula>0.8</formula>
    </cfRule>
    <cfRule type="cellIs" dxfId="4215" priority="961" operator="greaterThan">
      <formula>1</formula>
    </cfRule>
  </conditionalFormatting>
  <conditionalFormatting sqref="R138 R144">
    <cfRule type="cellIs" dxfId="4214" priority="958" operator="greaterThan">
      <formula>1</formula>
    </cfRule>
    <cfRule type="cellIs" dxfId="4213" priority="959" operator="lessThan">
      <formula>0.8</formula>
    </cfRule>
  </conditionalFormatting>
  <conditionalFormatting sqref="P138 P144 P141">
    <cfRule type="cellIs" dxfId="4212" priority="957" operator="greaterThan">
      <formula>0</formula>
    </cfRule>
  </conditionalFormatting>
  <conditionalFormatting sqref="Q144">
    <cfRule type="cellIs" dxfId="4211" priority="956" operator="lessThan">
      <formula>0</formula>
    </cfRule>
  </conditionalFormatting>
  <conditionalFormatting sqref="R138 R144">
    <cfRule type="cellIs" dxfId="4210" priority="954" operator="lessThan">
      <formula>0.8</formula>
    </cfRule>
    <cfRule type="cellIs" dxfId="4209" priority="955" operator="greaterThan">
      <formula>1</formula>
    </cfRule>
  </conditionalFormatting>
  <conditionalFormatting sqref="R138 R144">
    <cfRule type="cellIs" dxfId="4208" priority="952" operator="greaterThan">
      <formula>1</formula>
    </cfRule>
    <cfRule type="cellIs" dxfId="4207" priority="953" operator="lessThan">
      <formula>0.8</formula>
    </cfRule>
  </conditionalFormatting>
  <conditionalFormatting sqref="P138 P144 P141">
    <cfRule type="cellIs" dxfId="4206" priority="951" operator="greaterThan">
      <formula>0</formula>
    </cfRule>
  </conditionalFormatting>
  <conditionalFormatting sqref="Q144">
    <cfRule type="cellIs" dxfId="4205" priority="950" operator="lessThan">
      <formula>0</formula>
    </cfRule>
  </conditionalFormatting>
  <conditionalFormatting sqref="R138 R144">
    <cfRule type="cellIs" dxfId="4204" priority="948" operator="lessThan">
      <formula>0.8</formula>
    </cfRule>
    <cfRule type="cellIs" dxfId="4203" priority="949" operator="greaterThan">
      <formula>1</formula>
    </cfRule>
  </conditionalFormatting>
  <conditionalFormatting sqref="R138 R144">
    <cfRule type="cellIs" dxfId="4202" priority="946" operator="greaterThan">
      <formula>1</formula>
    </cfRule>
    <cfRule type="cellIs" dxfId="4201" priority="947" operator="lessThan">
      <formula>0.8</formula>
    </cfRule>
  </conditionalFormatting>
  <conditionalFormatting sqref="Q144">
    <cfRule type="cellIs" dxfId="4200" priority="945" operator="lessThan">
      <formula>0</formula>
    </cfRule>
  </conditionalFormatting>
  <conditionalFormatting sqref="R138 R144">
    <cfRule type="cellIs" dxfId="4199" priority="943" operator="lessThan">
      <formula>0.8</formula>
    </cfRule>
    <cfRule type="cellIs" dxfId="4198" priority="944" operator="greaterThan">
      <formula>1</formula>
    </cfRule>
  </conditionalFormatting>
  <conditionalFormatting sqref="R138 R144">
    <cfRule type="cellIs" dxfId="4197" priority="941" operator="greaterThan">
      <formula>1</formula>
    </cfRule>
    <cfRule type="cellIs" dxfId="4196" priority="942" operator="lessThan">
      <formula>0.8</formula>
    </cfRule>
  </conditionalFormatting>
  <conditionalFormatting sqref="P138 P144 P141">
    <cfRule type="cellIs" dxfId="4195" priority="940" operator="greaterThan">
      <formula>0</formula>
    </cfRule>
  </conditionalFormatting>
  <conditionalFormatting sqref="P138 P144 P141">
    <cfRule type="cellIs" dxfId="4194" priority="934" operator="greaterThan">
      <formula>0</formula>
    </cfRule>
  </conditionalFormatting>
  <conditionalFormatting sqref="Q144">
    <cfRule type="cellIs" dxfId="4193" priority="939" operator="lessThan">
      <formula>0</formula>
    </cfRule>
  </conditionalFormatting>
  <conditionalFormatting sqref="R138 R144">
    <cfRule type="cellIs" dxfId="4192" priority="937" operator="lessThan">
      <formula>0.8</formula>
    </cfRule>
    <cfRule type="cellIs" dxfId="4191" priority="938" operator="greaterThan">
      <formula>1</formula>
    </cfRule>
  </conditionalFormatting>
  <conditionalFormatting sqref="R138 R144">
    <cfRule type="cellIs" dxfId="4190" priority="935" operator="greaterThan">
      <formula>1</formula>
    </cfRule>
    <cfRule type="cellIs" dxfId="4189" priority="936" operator="lessThan">
      <formula>0.8</formula>
    </cfRule>
  </conditionalFormatting>
  <conditionalFormatting sqref="Q144">
    <cfRule type="cellIs" dxfId="4188" priority="933" operator="lessThan">
      <formula>0</formula>
    </cfRule>
  </conditionalFormatting>
  <conditionalFormatting sqref="R138 R144">
    <cfRule type="cellIs" dxfId="4187" priority="931" operator="lessThan">
      <formula>0.8</formula>
    </cfRule>
    <cfRule type="cellIs" dxfId="4186" priority="932" operator="greaterThan">
      <formula>1</formula>
    </cfRule>
  </conditionalFormatting>
  <conditionalFormatting sqref="R138 R144">
    <cfRule type="cellIs" dxfId="4185" priority="929" operator="greaterThan">
      <formula>1</formula>
    </cfRule>
    <cfRule type="cellIs" dxfId="4184" priority="930" operator="lessThan">
      <formula>0.8</formula>
    </cfRule>
  </conditionalFormatting>
  <conditionalFormatting sqref="P138 P144 P141">
    <cfRule type="cellIs" dxfId="4183" priority="928" operator="greaterThan">
      <formula>0</formula>
    </cfRule>
  </conditionalFormatting>
  <conditionalFormatting sqref="Q148:Q153">
    <cfRule type="cellIs" dxfId="4182" priority="927" operator="lessThan">
      <formula>0</formula>
    </cfRule>
  </conditionalFormatting>
  <conditionalFormatting sqref="R148:R153">
    <cfRule type="cellIs" dxfId="4181" priority="925" operator="lessThan">
      <formula>0.8</formula>
    </cfRule>
    <cfRule type="cellIs" dxfId="4180" priority="926" operator="greaterThan">
      <formula>1</formula>
    </cfRule>
  </conditionalFormatting>
  <conditionalFormatting sqref="R148:R153">
    <cfRule type="cellIs" dxfId="4179" priority="923" operator="greaterThan">
      <formula>1</formula>
    </cfRule>
    <cfRule type="cellIs" dxfId="4178" priority="924" operator="lessThan">
      <formula>0.8</formula>
    </cfRule>
  </conditionalFormatting>
  <conditionalFormatting sqref="P148:P153">
    <cfRule type="cellIs" dxfId="4177" priority="922" operator="greaterThan">
      <formula>0</formula>
    </cfRule>
  </conditionalFormatting>
  <conditionalFormatting sqref="P148:P153">
    <cfRule type="cellIs" dxfId="4176" priority="916" operator="greaterThan">
      <formula>0</formula>
    </cfRule>
  </conditionalFormatting>
  <conditionalFormatting sqref="Q148:Q153">
    <cfRule type="cellIs" dxfId="4175" priority="921" operator="lessThan">
      <formula>0</formula>
    </cfRule>
  </conditionalFormatting>
  <conditionalFormatting sqref="R148:R153">
    <cfRule type="cellIs" dxfId="4174" priority="919" operator="lessThan">
      <formula>0.8</formula>
    </cfRule>
    <cfRule type="cellIs" dxfId="4173" priority="920" operator="greaterThan">
      <formula>1</formula>
    </cfRule>
  </conditionalFormatting>
  <conditionalFormatting sqref="R148:R153">
    <cfRule type="cellIs" dxfId="4172" priority="917" operator="greaterThan">
      <formula>1</formula>
    </cfRule>
    <cfRule type="cellIs" dxfId="4171" priority="918" operator="lessThan">
      <formula>0.8</formula>
    </cfRule>
  </conditionalFormatting>
  <conditionalFormatting sqref="Q148:Q153">
    <cfRule type="cellIs" dxfId="4170" priority="915" operator="lessThan">
      <formula>0</formula>
    </cfRule>
  </conditionalFormatting>
  <conditionalFormatting sqref="R148:R153">
    <cfRule type="cellIs" dxfId="4169" priority="913" operator="lessThan">
      <formula>0.8</formula>
    </cfRule>
    <cfRule type="cellIs" dxfId="4168" priority="914" operator="greaterThan">
      <formula>1</formula>
    </cfRule>
  </conditionalFormatting>
  <conditionalFormatting sqref="R148:R153">
    <cfRule type="cellIs" dxfId="4167" priority="911" operator="greaterThan">
      <formula>1</formula>
    </cfRule>
    <cfRule type="cellIs" dxfId="4166" priority="912" operator="lessThan">
      <formula>0.8</formula>
    </cfRule>
  </conditionalFormatting>
  <conditionalFormatting sqref="P148:P153">
    <cfRule type="cellIs" dxfId="4165" priority="910" operator="greaterThan">
      <formula>0</formula>
    </cfRule>
  </conditionalFormatting>
  <conditionalFormatting sqref="Q148:Q153">
    <cfRule type="cellIs" dxfId="4164" priority="909" operator="lessThan">
      <formula>0</formula>
    </cfRule>
  </conditionalFormatting>
  <conditionalFormatting sqref="R148:R153">
    <cfRule type="cellIs" dxfId="4163" priority="907" operator="lessThan">
      <formula>0.8</formula>
    </cfRule>
    <cfRule type="cellIs" dxfId="4162" priority="908" operator="greaterThan">
      <formula>1</formula>
    </cfRule>
  </conditionalFormatting>
  <conditionalFormatting sqref="R148:R153">
    <cfRule type="cellIs" dxfId="4161" priority="905" operator="greaterThan">
      <formula>1</formula>
    </cfRule>
    <cfRule type="cellIs" dxfId="4160" priority="906" operator="lessThan">
      <formula>0.8</formula>
    </cfRule>
  </conditionalFormatting>
  <conditionalFormatting sqref="P148:P153">
    <cfRule type="cellIs" dxfId="4159" priority="904" operator="greaterThan">
      <formula>0</formula>
    </cfRule>
  </conditionalFormatting>
  <conditionalFormatting sqref="P148:P153">
    <cfRule type="cellIs" dxfId="4158" priority="898" operator="greaterThan">
      <formula>0</formula>
    </cfRule>
  </conditionalFormatting>
  <conditionalFormatting sqref="Q148:Q153">
    <cfRule type="cellIs" dxfId="4157" priority="903" operator="lessThan">
      <formula>0</formula>
    </cfRule>
  </conditionalFormatting>
  <conditionalFormatting sqref="R148:R153">
    <cfRule type="cellIs" dxfId="4156" priority="901" operator="lessThan">
      <formula>0.8</formula>
    </cfRule>
    <cfRule type="cellIs" dxfId="4155" priority="902" operator="greaterThan">
      <formula>1</formula>
    </cfRule>
  </conditionalFormatting>
  <conditionalFormatting sqref="R148:R153">
    <cfRule type="cellIs" dxfId="4154" priority="899" operator="greaterThan">
      <formula>1</formula>
    </cfRule>
    <cfRule type="cellIs" dxfId="4153" priority="900" operator="lessThan">
      <formula>0.8</formula>
    </cfRule>
  </conditionalFormatting>
  <conditionalFormatting sqref="Q148:Q153">
    <cfRule type="cellIs" dxfId="4152" priority="897" operator="lessThan">
      <formula>0</formula>
    </cfRule>
  </conditionalFormatting>
  <conditionalFormatting sqref="R148:R153">
    <cfRule type="cellIs" dxfId="4151" priority="895" operator="lessThan">
      <formula>0.8</formula>
    </cfRule>
    <cfRule type="cellIs" dxfId="4150" priority="896" operator="greaterThan">
      <formula>1</formula>
    </cfRule>
  </conditionalFormatting>
  <conditionalFormatting sqref="R148:R153">
    <cfRule type="cellIs" dxfId="4149" priority="893" operator="greaterThan">
      <formula>1</formula>
    </cfRule>
    <cfRule type="cellIs" dxfId="4148" priority="894" operator="lessThan">
      <formula>0.8</formula>
    </cfRule>
  </conditionalFormatting>
  <conditionalFormatting sqref="P148:P153">
    <cfRule type="cellIs" dxfId="4147" priority="892" operator="greaterThan">
      <formula>0</formula>
    </cfRule>
  </conditionalFormatting>
  <conditionalFormatting sqref="Q148:Q153">
    <cfRule type="cellIs" dxfId="4146" priority="886" operator="lessThan">
      <formula>0</formula>
    </cfRule>
  </conditionalFormatting>
  <conditionalFormatting sqref="P148:P153">
    <cfRule type="cellIs" dxfId="4145" priority="887" operator="greaterThan">
      <formula>0</formula>
    </cfRule>
  </conditionalFormatting>
  <conditionalFormatting sqref="R148:R153">
    <cfRule type="cellIs" dxfId="4144" priority="890" operator="lessThan">
      <formula>0.8</formula>
    </cfRule>
    <cfRule type="cellIs" dxfId="4143" priority="891" operator="greaterThan">
      <formula>1</formula>
    </cfRule>
  </conditionalFormatting>
  <conditionalFormatting sqref="R148:R153">
    <cfRule type="cellIs" dxfId="4142" priority="888" operator="greaterThan">
      <formula>1</formula>
    </cfRule>
    <cfRule type="cellIs" dxfId="4141" priority="889" operator="lessThan">
      <formula>0.8</formula>
    </cfRule>
  </conditionalFormatting>
  <conditionalFormatting sqref="Q148:Q153">
    <cfRule type="cellIs" dxfId="4140" priority="880" operator="lessThan">
      <formula>0</formula>
    </cfRule>
  </conditionalFormatting>
  <conditionalFormatting sqref="R148:R153">
    <cfRule type="cellIs" dxfId="4139" priority="884" operator="lessThan">
      <formula>0.8</formula>
    </cfRule>
    <cfRule type="cellIs" dxfId="4138" priority="885" operator="greaterThan">
      <formula>1</formula>
    </cfRule>
  </conditionalFormatting>
  <conditionalFormatting sqref="R148:R153">
    <cfRule type="cellIs" dxfId="4137" priority="882" operator="greaterThan">
      <formula>1</formula>
    </cfRule>
    <cfRule type="cellIs" dxfId="4136" priority="883" operator="lessThan">
      <formula>0.8</formula>
    </cfRule>
  </conditionalFormatting>
  <conditionalFormatting sqref="P148:P153">
    <cfRule type="cellIs" dxfId="4135" priority="881" operator="greaterThan">
      <formula>0</formula>
    </cfRule>
  </conditionalFormatting>
  <conditionalFormatting sqref="Q148:Q153">
    <cfRule type="cellIs" dxfId="4134" priority="879" operator="lessThan">
      <formula>0</formula>
    </cfRule>
  </conditionalFormatting>
  <conditionalFormatting sqref="R148:R153">
    <cfRule type="cellIs" dxfId="4133" priority="877" operator="lessThan">
      <formula>0.8</formula>
    </cfRule>
    <cfRule type="cellIs" dxfId="4132" priority="878" operator="greaterThan">
      <formula>1</formula>
    </cfRule>
  </conditionalFormatting>
  <conditionalFormatting sqref="R148:R153">
    <cfRule type="cellIs" dxfId="4131" priority="875" operator="greaterThan">
      <formula>1</formula>
    </cfRule>
    <cfRule type="cellIs" dxfId="4130" priority="876" operator="lessThan">
      <formula>0.8</formula>
    </cfRule>
  </conditionalFormatting>
  <conditionalFormatting sqref="P148:P153">
    <cfRule type="cellIs" dxfId="4129" priority="874" operator="greaterThan">
      <formula>0</formula>
    </cfRule>
  </conditionalFormatting>
  <conditionalFormatting sqref="Q148:Q153">
    <cfRule type="cellIs" dxfId="4128" priority="873" operator="lessThan">
      <formula>0</formula>
    </cfRule>
  </conditionalFormatting>
  <conditionalFormatting sqref="R148:R153">
    <cfRule type="cellIs" dxfId="4127" priority="871" operator="lessThan">
      <formula>0.8</formula>
    </cfRule>
    <cfRule type="cellIs" dxfId="4126" priority="872" operator="greaterThan">
      <formula>1</formula>
    </cfRule>
  </conditionalFormatting>
  <conditionalFormatting sqref="R148:R153">
    <cfRule type="cellIs" dxfId="4125" priority="869" operator="greaterThan">
      <formula>1</formula>
    </cfRule>
    <cfRule type="cellIs" dxfId="4124" priority="870" operator="lessThan">
      <formula>0.8</formula>
    </cfRule>
  </conditionalFormatting>
  <conditionalFormatting sqref="P148:P153">
    <cfRule type="cellIs" dxfId="4123" priority="868" operator="greaterThan">
      <formula>0</formula>
    </cfRule>
  </conditionalFormatting>
  <conditionalFormatting sqref="Q148:Q153">
    <cfRule type="cellIs" dxfId="4122" priority="867" operator="lessThan">
      <formula>0</formula>
    </cfRule>
  </conditionalFormatting>
  <conditionalFormatting sqref="R148:R153">
    <cfRule type="cellIs" dxfId="4121" priority="865" operator="lessThan">
      <formula>0.8</formula>
    </cfRule>
    <cfRule type="cellIs" dxfId="4120" priority="866" operator="greaterThan">
      <formula>1</formula>
    </cfRule>
  </conditionalFormatting>
  <conditionalFormatting sqref="R148:R153">
    <cfRule type="cellIs" dxfId="4119" priority="863" operator="greaterThan">
      <formula>1</formula>
    </cfRule>
    <cfRule type="cellIs" dxfId="4118" priority="864" operator="lessThan">
      <formula>0.8</formula>
    </cfRule>
  </conditionalFormatting>
  <conditionalFormatting sqref="P148:P153">
    <cfRule type="cellIs" dxfId="4117" priority="862" operator="greaterThan">
      <formula>0</formula>
    </cfRule>
  </conditionalFormatting>
  <conditionalFormatting sqref="Q148:Q153">
    <cfRule type="cellIs" dxfId="4116" priority="861" operator="lessThan">
      <formula>0</formula>
    </cfRule>
  </conditionalFormatting>
  <conditionalFormatting sqref="R148:R153">
    <cfRule type="cellIs" dxfId="4115" priority="859" operator="lessThan">
      <formula>0.8</formula>
    </cfRule>
    <cfRule type="cellIs" dxfId="4114" priority="860" operator="greaterThan">
      <formula>1</formula>
    </cfRule>
  </conditionalFormatting>
  <conditionalFormatting sqref="R148:R153">
    <cfRule type="cellIs" dxfId="4113" priority="857" operator="greaterThan">
      <formula>1</formula>
    </cfRule>
    <cfRule type="cellIs" dxfId="4112" priority="858" operator="lessThan">
      <formula>0.8</formula>
    </cfRule>
  </conditionalFormatting>
  <conditionalFormatting sqref="P148:P153">
    <cfRule type="cellIs" dxfId="4111" priority="856" operator="greaterThan">
      <formula>0</formula>
    </cfRule>
  </conditionalFormatting>
  <conditionalFormatting sqref="Q148:Q153">
    <cfRule type="cellIs" dxfId="4110" priority="855" operator="lessThan">
      <formula>0</formula>
    </cfRule>
  </conditionalFormatting>
  <conditionalFormatting sqref="R148:R153">
    <cfRule type="cellIs" dxfId="4109" priority="853" operator="lessThan">
      <formula>0.8</formula>
    </cfRule>
    <cfRule type="cellIs" dxfId="4108" priority="854" operator="greaterThan">
      <formula>1</formula>
    </cfRule>
  </conditionalFormatting>
  <conditionalFormatting sqref="R148:R153">
    <cfRule type="cellIs" dxfId="4107" priority="851" operator="greaterThan">
      <formula>1</formula>
    </cfRule>
    <cfRule type="cellIs" dxfId="4106" priority="852" operator="lessThan">
      <formula>0.8</formula>
    </cfRule>
  </conditionalFormatting>
  <conditionalFormatting sqref="P148:P153">
    <cfRule type="cellIs" dxfId="4105" priority="850" operator="greaterThan">
      <formula>0</formula>
    </cfRule>
  </conditionalFormatting>
  <conditionalFormatting sqref="Q148:Q153">
    <cfRule type="cellIs" dxfId="4104" priority="849" operator="lessThan">
      <formula>0</formula>
    </cfRule>
  </conditionalFormatting>
  <conditionalFormatting sqref="R148:R153">
    <cfRule type="cellIs" dxfId="4103" priority="847" operator="lessThan">
      <formula>0.8</formula>
    </cfRule>
    <cfRule type="cellIs" dxfId="4102" priority="848" operator="greaterThan">
      <formula>1</formula>
    </cfRule>
  </conditionalFormatting>
  <conditionalFormatting sqref="R148:R153">
    <cfRule type="cellIs" dxfId="4101" priority="845" operator="greaterThan">
      <formula>1</formula>
    </cfRule>
    <cfRule type="cellIs" dxfId="4100" priority="846" operator="lessThan">
      <formula>0.8</formula>
    </cfRule>
  </conditionalFormatting>
  <conditionalFormatting sqref="P148:P153">
    <cfRule type="cellIs" dxfId="4099" priority="844" operator="greaterThan">
      <formula>0</formula>
    </cfRule>
  </conditionalFormatting>
  <conditionalFormatting sqref="Q148:Q153">
    <cfRule type="cellIs" dxfId="4098" priority="843" operator="lessThan">
      <formula>0</formula>
    </cfRule>
  </conditionalFormatting>
  <conditionalFormatting sqref="R148:R153">
    <cfRule type="cellIs" dxfId="4097" priority="841" operator="lessThan">
      <formula>0.8</formula>
    </cfRule>
    <cfRule type="cellIs" dxfId="4096" priority="842" operator="greaterThan">
      <formula>1</formula>
    </cfRule>
  </conditionalFormatting>
  <conditionalFormatting sqref="R148:R153">
    <cfRule type="cellIs" dxfId="4095" priority="839" operator="greaterThan">
      <formula>1</formula>
    </cfRule>
    <cfRule type="cellIs" dxfId="4094" priority="840" operator="lessThan">
      <formula>0.8</formula>
    </cfRule>
  </conditionalFormatting>
  <conditionalFormatting sqref="P148:P153">
    <cfRule type="cellIs" dxfId="4093" priority="838" operator="greaterThan">
      <formula>0</formula>
    </cfRule>
  </conditionalFormatting>
  <conditionalFormatting sqref="P148:P153">
    <cfRule type="cellIs" dxfId="4092" priority="832" operator="greaterThan">
      <formula>0</formula>
    </cfRule>
  </conditionalFormatting>
  <conditionalFormatting sqref="Q148:Q153">
    <cfRule type="cellIs" dxfId="4091" priority="837" operator="lessThan">
      <formula>0</formula>
    </cfRule>
  </conditionalFormatting>
  <conditionalFormatting sqref="R148:R153">
    <cfRule type="cellIs" dxfId="4090" priority="835" operator="lessThan">
      <formula>0.8</formula>
    </cfRule>
    <cfRule type="cellIs" dxfId="4089" priority="836" operator="greaterThan">
      <formula>1</formula>
    </cfRule>
  </conditionalFormatting>
  <conditionalFormatting sqref="R148:R153">
    <cfRule type="cellIs" dxfId="4088" priority="833" operator="greaterThan">
      <formula>1</formula>
    </cfRule>
    <cfRule type="cellIs" dxfId="4087" priority="834" operator="lessThan">
      <formula>0.8</formula>
    </cfRule>
  </conditionalFormatting>
  <conditionalFormatting sqref="P148:P153">
    <cfRule type="cellIs" dxfId="4086" priority="826" operator="greaterThan">
      <formula>0</formula>
    </cfRule>
  </conditionalFormatting>
  <conditionalFormatting sqref="Q148:Q153">
    <cfRule type="cellIs" dxfId="4085" priority="831" operator="lessThan">
      <formula>0</formula>
    </cfRule>
  </conditionalFormatting>
  <conditionalFormatting sqref="R148:R153">
    <cfRule type="cellIs" dxfId="4084" priority="829" operator="lessThan">
      <formula>0.8</formula>
    </cfRule>
    <cfRule type="cellIs" dxfId="4083" priority="830" operator="greaterThan">
      <formula>1</formula>
    </cfRule>
  </conditionalFormatting>
  <conditionalFormatting sqref="R148:R153">
    <cfRule type="cellIs" dxfId="4082" priority="827" operator="greaterThan">
      <formula>1</formula>
    </cfRule>
    <cfRule type="cellIs" dxfId="4081" priority="828" operator="lessThan">
      <formula>0.8</formula>
    </cfRule>
  </conditionalFormatting>
  <conditionalFormatting sqref="R148:R153">
    <cfRule type="cellIs" dxfId="4080" priority="823" operator="lessThan">
      <formula>0.8</formula>
    </cfRule>
    <cfRule type="cellIs" dxfId="4079" priority="824" operator="greaterThan">
      <formula>1</formula>
    </cfRule>
  </conditionalFormatting>
  <conditionalFormatting sqref="R148:R153">
    <cfRule type="cellIs" dxfId="4078" priority="821" operator="greaterThan">
      <formula>1</formula>
    </cfRule>
    <cfRule type="cellIs" dxfId="4077" priority="822" operator="lessThan">
      <formula>0.8</formula>
    </cfRule>
  </conditionalFormatting>
  <conditionalFormatting sqref="P148:P153">
    <cfRule type="cellIs" dxfId="4076" priority="820" operator="greaterThan">
      <formula>0</formula>
    </cfRule>
  </conditionalFormatting>
  <conditionalFormatting sqref="Q148:Q153">
    <cfRule type="cellIs" dxfId="4075" priority="825" operator="lessThan">
      <formula>0</formula>
    </cfRule>
  </conditionalFormatting>
  <conditionalFormatting sqref="Q148:Q153">
    <cfRule type="cellIs" dxfId="4074" priority="819" operator="lessThan">
      <formula>0</formula>
    </cfRule>
  </conditionalFormatting>
  <conditionalFormatting sqref="R148:R153">
    <cfRule type="cellIs" dxfId="4073" priority="817" operator="lessThan">
      <formula>0.8</formula>
    </cfRule>
    <cfRule type="cellIs" dxfId="4072" priority="818" operator="greaterThan">
      <formula>1</formula>
    </cfRule>
  </conditionalFormatting>
  <conditionalFormatting sqref="R148:R153">
    <cfRule type="cellIs" dxfId="4071" priority="815" operator="greaterThan">
      <formula>1</formula>
    </cfRule>
    <cfRule type="cellIs" dxfId="4070" priority="816" operator="lessThan">
      <formula>0.8</formula>
    </cfRule>
  </conditionalFormatting>
  <conditionalFormatting sqref="P148:P153">
    <cfRule type="cellIs" dxfId="4069" priority="814" operator="greaterThan">
      <formula>0</formula>
    </cfRule>
  </conditionalFormatting>
  <conditionalFormatting sqref="P148:P153">
    <cfRule type="cellIs" dxfId="4068" priority="808" operator="greaterThan">
      <formula>0</formula>
    </cfRule>
  </conditionalFormatting>
  <conditionalFormatting sqref="Q148:Q153">
    <cfRule type="cellIs" dxfId="4067" priority="813" operator="lessThan">
      <formula>0</formula>
    </cfRule>
  </conditionalFormatting>
  <conditionalFormatting sqref="R148:R153">
    <cfRule type="cellIs" dxfId="4066" priority="811" operator="lessThan">
      <formula>0.8</formula>
    </cfRule>
    <cfRule type="cellIs" dxfId="4065" priority="812" operator="greaterThan">
      <formula>1</formula>
    </cfRule>
  </conditionalFormatting>
  <conditionalFormatting sqref="R148:R153">
    <cfRule type="cellIs" dxfId="4064" priority="809" operator="greaterThan">
      <formula>1</formula>
    </cfRule>
    <cfRule type="cellIs" dxfId="4063" priority="810" operator="lessThan">
      <formula>0.8</formula>
    </cfRule>
  </conditionalFormatting>
  <conditionalFormatting sqref="P148:P153">
    <cfRule type="cellIs" dxfId="4062" priority="802" operator="greaterThan">
      <formula>0</formula>
    </cfRule>
  </conditionalFormatting>
  <conditionalFormatting sqref="Q148:Q153">
    <cfRule type="cellIs" dxfId="4061" priority="807" operator="lessThan">
      <formula>0</formula>
    </cfRule>
  </conditionalFormatting>
  <conditionalFormatting sqref="R148:R153">
    <cfRule type="cellIs" dxfId="4060" priority="805" operator="lessThan">
      <formula>0.8</formula>
    </cfRule>
    <cfRule type="cellIs" dxfId="4059" priority="806" operator="greaterThan">
      <formula>1</formula>
    </cfRule>
  </conditionalFormatting>
  <conditionalFormatting sqref="R148:R153">
    <cfRule type="cellIs" dxfId="4058" priority="803" operator="greaterThan">
      <formula>1</formula>
    </cfRule>
    <cfRule type="cellIs" dxfId="4057" priority="804" operator="lessThan">
      <formula>0.8</formula>
    </cfRule>
  </conditionalFormatting>
  <conditionalFormatting sqref="R148:R153">
    <cfRule type="cellIs" dxfId="4056" priority="799" operator="lessThan">
      <formula>0.8</formula>
    </cfRule>
    <cfRule type="cellIs" dxfId="4055" priority="800" operator="greaterThan">
      <formula>1</formula>
    </cfRule>
  </conditionalFormatting>
  <conditionalFormatting sqref="R148:R153">
    <cfRule type="cellIs" dxfId="4054" priority="797" operator="greaterThan">
      <formula>1</formula>
    </cfRule>
    <cfRule type="cellIs" dxfId="4053" priority="798" operator="lessThan">
      <formula>0.8</formula>
    </cfRule>
  </conditionalFormatting>
  <conditionalFormatting sqref="P148:P153">
    <cfRule type="cellIs" dxfId="4052" priority="796" operator="greaterThan">
      <formula>0</formula>
    </cfRule>
  </conditionalFormatting>
  <conditionalFormatting sqref="Q148:Q153">
    <cfRule type="cellIs" dxfId="4051" priority="801" operator="lessThan">
      <formula>0</formula>
    </cfRule>
  </conditionalFormatting>
  <conditionalFormatting sqref="P148:P153">
    <cfRule type="cellIs" dxfId="4050" priority="790" operator="greaterThan">
      <formula>0</formula>
    </cfRule>
  </conditionalFormatting>
  <conditionalFormatting sqref="Q148:Q153">
    <cfRule type="cellIs" dxfId="4049" priority="795" operator="lessThan">
      <formula>0</formula>
    </cfRule>
  </conditionalFormatting>
  <conditionalFormatting sqref="R148:R153">
    <cfRule type="cellIs" dxfId="4048" priority="793" operator="lessThan">
      <formula>0.8</formula>
    </cfRule>
    <cfRule type="cellIs" dxfId="4047" priority="794" operator="greaterThan">
      <formula>1</formula>
    </cfRule>
  </conditionalFormatting>
  <conditionalFormatting sqref="R148:R153">
    <cfRule type="cellIs" dxfId="4046" priority="791" operator="greaterThan">
      <formula>1</formula>
    </cfRule>
    <cfRule type="cellIs" dxfId="4045" priority="792" operator="lessThan">
      <formula>0.8</formula>
    </cfRule>
  </conditionalFormatting>
  <conditionalFormatting sqref="R148:R153">
    <cfRule type="cellIs" dxfId="4044" priority="787" operator="lessThan">
      <formula>0.8</formula>
    </cfRule>
    <cfRule type="cellIs" dxfId="4043" priority="788" operator="greaterThan">
      <formula>1</formula>
    </cfRule>
  </conditionalFormatting>
  <conditionalFormatting sqref="R148:R153">
    <cfRule type="cellIs" dxfId="4042" priority="785" operator="greaterThan">
      <formula>1</formula>
    </cfRule>
    <cfRule type="cellIs" dxfId="4041" priority="786" operator="lessThan">
      <formula>0.8</formula>
    </cfRule>
  </conditionalFormatting>
  <conditionalFormatting sqref="P148:P153">
    <cfRule type="cellIs" dxfId="4040" priority="784" operator="greaterThan">
      <formula>0</formula>
    </cfRule>
  </conditionalFormatting>
  <conditionalFormatting sqref="Q148:Q153">
    <cfRule type="cellIs" dxfId="4039" priority="789" operator="lessThan">
      <formula>0</formula>
    </cfRule>
  </conditionalFormatting>
  <conditionalFormatting sqref="R148:R153">
    <cfRule type="cellIs" dxfId="4038" priority="781" operator="lessThan">
      <formula>0.8</formula>
    </cfRule>
    <cfRule type="cellIs" dxfId="4037" priority="782" operator="greaterThan">
      <formula>1</formula>
    </cfRule>
  </conditionalFormatting>
  <conditionalFormatting sqref="R148:R153">
    <cfRule type="cellIs" dxfId="4036" priority="779" operator="greaterThan">
      <formula>1</formula>
    </cfRule>
    <cfRule type="cellIs" dxfId="4035" priority="780" operator="lessThan">
      <formula>0.8</formula>
    </cfRule>
  </conditionalFormatting>
  <conditionalFormatting sqref="P148:P153">
    <cfRule type="cellIs" dxfId="4034" priority="778" operator="greaterThan">
      <formula>0</formula>
    </cfRule>
  </conditionalFormatting>
  <conditionalFormatting sqref="Q148:Q153">
    <cfRule type="cellIs" dxfId="4033" priority="783" operator="lessThan">
      <formula>0</formula>
    </cfRule>
  </conditionalFormatting>
  <conditionalFormatting sqref="Q148:Q153">
    <cfRule type="cellIs" dxfId="4032" priority="777" operator="lessThan">
      <formula>0</formula>
    </cfRule>
  </conditionalFormatting>
  <conditionalFormatting sqref="R148:R153">
    <cfRule type="cellIs" dxfId="4031" priority="775" operator="lessThan">
      <formula>0.8</formula>
    </cfRule>
    <cfRule type="cellIs" dxfId="4030" priority="776" operator="greaterThan">
      <formula>1</formula>
    </cfRule>
  </conditionalFormatting>
  <conditionalFormatting sqref="R148:R153">
    <cfRule type="cellIs" dxfId="4029" priority="773" operator="greaterThan">
      <formula>1</formula>
    </cfRule>
    <cfRule type="cellIs" dxfId="4028" priority="774" operator="lessThan">
      <formula>0.8</formula>
    </cfRule>
  </conditionalFormatting>
  <conditionalFormatting sqref="P148:P153">
    <cfRule type="cellIs" dxfId="4027" priority="772" operator="greaterThan">
      <formula>0</formula>
    </cfRule>
  </conditionalFormatting>
  <conditionalFormatting sqref="Q148:Q153">
    <cfRule type="cellIs" dxfId="4026" priority="766" operator="lessThan">
      <formula>0</formula>
    </cfRule>
  </conditionalFormatting>
  <conditionalFormatting sqref="R148:R153">
    <cfRule type="cellIs" dxfId="4025" priority="770" operator="lessThan">
      <formula>0.8</formula>
    </cfRule>
    <cfRule type="cellIs" dxfId="4024" priority="771" operator="greaterThan">
      <formula>1</formula>
    </cfRule>
  </conditionalFormatting>
  <conditionalFormatting sqref="R148:R153">
    <cfRule type="cellIs" dxfId="4023" priority="768" operator="greaterThan">
      <formula>1</formula>
    </cfRule>
    <cfRule type="cellIs" dxfId="4022" priority="769" operator="lessThan">
      <formula>0.8</formula>
    </cfRule>
  </conditionalFormatting>
  <conditionalFormatting sqref="P148:P153">
    <cfRule type="cellIs" dxfId="4021" priority="767" operator="greaterThan">
      <formula>0</formula>
    </cfRule>
  </conditionalFormatting>
  <conditionalFormatting sqref="Q148:Q153">
    <cfRule type="cellIs" dxfId="4020" priority="765" operator="lessThan">
      <formula>0</formula>
    </cfRule>
  </conditionalFormatting>
  <conditionalFormatting sqref="R148:R153">
    <cfRule type="cellIs" dxfId="4019" priority="763" operator="lessThan">
      <formula>0.8</formula>
    </cfRule>
    <cfRule type="cellIs" dxfId="4018" priority="764" operator="greaterThan">
      <formula>1</formula>
    </cfRule>
  </conditionalFormatting>
  <conditionalFormatting sqref="R148:R153">
    <cfRule type="cellIs" dxfId="4017" priority="761" operator="greaterThan">
      <formula>1</formula>
    </cfRule>
    <cfRule type="cellIs" dxfId="4016" priority="762" operator="lessThan">
      <formula>0.8</formula>
    </cfRule>
  </conditionalFormatting>
  <conditionalFormatting sqref="P148:P153">
    <cfRule type="cellIs" dxfId="4015" priority="760" operator="greaterThan">
      <formula>0</formula>
    </cfRule>
  </conditionalFormatting>
  <conditionalFormatting sqref="Q148:Q153">
    <cfRule type="cellIs" dxfId="4014" priority="759" operator="lessThan">
      <formula>0</formula>
    </cfRule>
  </conditionalFormatting>
  <conditionalFormatting sqref="R148:R153">
    <cfRule type="cellIs" dxfId="4013" priority="757" operator="lessThan">
      <formula>0.8</formula>
    </cfRule>
    <cfRule type="cellIs" dxfId="4012" priority="758" operator="greaterThan">
      <formula>1</formula>
    </cfRule>
  </conditionalFormatting>
  <conditionalFormatting sqref="R148:R153">
    <cfRule type="cellIs" dxfId="4011" priority="755" operator="greaterThan">
      <formula>1</formula>
    </cfRule>
    <cfRule type="cellIs" dxfId="4010" priority="756" operator="lessThan">
      <formula>0.8</formula>
    </cfRule>
  </conditionalFormatting>
  <conditionalFormatting sqref="P148:P153">
    <cfRule type="cellIs" dxfId="4009" priority="754" operator="greaterThan">
      <formula>0</formula>
    </cfRule>
  </conditionalFormatting>
  <conditionalFormatting sqref="Q148:Q153">
    <cfRule type="cellIs" dxfId="4008" priority="753" operator="lessThan">
      <formula>0</formula>
    </cfRule>
  </conditionalFormatting>
  <conditionalFormatting sqref="R148:R153">
    <cfRule type="cellIs" dxfId="4007" priority="751" operator="lessThan">
      <formula>0.8</formula>
    </cfRule>
    <cfRule type="cellIs" dxfId="4006" priority="752" operator="greaterThan">
      <formula>1</formula>
    </cfRule>
  </conditionalFormatting>
  <conditionalFormatting sqref="R148:R153">
    <cfRule type="cellIs" dxfId="4005" priority="749" operator="greaterThan">
      <formula>1</formula>
    </cfRule>
    <cfRule type="cellIs" dxfId="4004" priority="750" operator="lessThan">
      <formula>0.8</formula>
    </cfRule>
  </conditionalFormatting>
  <conditionalFormatting sqref="P148:P153">
    <cfRule type="cellIs" dxfId="4003" priority="748" operator="greaterThan">
      <formula>0</formula>
    </cfRule>
  </conditionalFormatting>
  <conditionalFormatting sqref="Q148:Q153">
    <cfRule type="cellIs" dxfId="4002" priority="747" operator="lessThan">
      <formula>0</formula>
    </cfRule>
  </conditionalFormatting>
  <conditionalFormatting sqref="R148:R153">
    <cfRule type="cellIs" dxfId="4001" priority="745" operator="lessThan">
      <formula>0.8</formula>
    </cfRule>
    <cfRule type="cellIs" dxfId="4000" priority="746" operator="greaterThan">
      <formula>1</formula>
    </cfRule>
  </conditionalFormatting>
  <conditionalFormatting sqref="R148:R153">
    <cfRule type="cellIs" dxfId="3999" priority="743" operator="greaterThan">
      <formula>1</formula>
    </cfRule>
    <cfRule type="cellIs" dxfId="3998" priority="744" operator="lessThan">
      <formula>0.8</formula>
    </cfRule>
  </conditionalFormatting>
  <conditionalFormatting sqref="P148:P153">
    <cfRule type="cellIs" dxfId="3997" priority="742" operator="greaterThan">
      <formula>0</formula>
    </cfRule>
  </conditionalFormatting>
  <conditionalFormatting sqref="Q148:Q153">
    <cfRule type="cellIs" dxfId="3996" priority="741" operator="lessThan">
      <formula>0</formula>
    </cfRule>
  </conditionalFormatting>
  <conditionalFormatting sqref="R148:R153">
    <cfRule type="cellIs" dxfId="3995" priority="739" operator="lessThan">
      <formula>0.8</formula>
    </cfRule>
    <cfRule type="cellIs" dxfId="3994" priority="740" operator="greaterThan">
      <formula>1</formula>
    </cfRule>
  </conditionalFormatting>
  <conditionalFormatting sqref="R148:R153">
    <cfRule type="cellIs" dxfId="3993" priority="737" operator="greaterThan">
      <formula>1</formula>
    </cfRule>
    <cfRule type="cellIs" dxfId="3992" priority="738" operator="lessThan">
      <formula>0.8</formula>
    </cfRule>
  </conditionalFormatting>
  <conditionalFormatting sqref="P148:P153">
    <cfRule type="cellIs" dxfId="3991" priority="736" operator="greaterThan">
      <formula>0</formula>
    </cfRule>
  </conditionalFormatting>
  <conditionalFormatting sqref="P148:P153">
    <cfRule type="cellIs" dxfId="3990" priority="730" operator="greaterThan">
      <formula>0</formula>
    </cfRule>
  </conditionalFormatting>
  <conditionalFormatting sqref="Q148:Q153">
    <cfRule type="cellIs" dxfId="3989" priority="735" operator="lessThan">
      <formula>0</formula>
    </cfRule>
  </conditionalFormatting>
  <conditionalFormatting sqref="R148:R153">
    <cfRule type="cellIs" dxfId="3988" priority="733" operator="lessThan">
      <formula>0.8</formula>
    </cfRule>
    <cfRule type="cellIs" dxfId="3987" priority="734" operator="greaterThan">
      <formula>1</formula>
    </cfRule>
  </conditionalFormatting>
  <conditionalFormatting sqref="R148:R153">
    <cfRule type="cellIs" dxfId="3986" priority="731" operator="greaterThan">
      <formula>1</formula>
    </cfRule>
    <cfRule type="cellIs" dxfId="3985" priority="732" operator="lessThan">
      <formula>0.8</formula>
    </cfRule>
  </conditionalFormatting>
  <conditionalFormatting sqref="P148:P153">
    <cfRule type="cellIs" dxfId="3984" priority="724" operator="greaterThan">
      <formula>0</formula>
    </cfRule>
  </conditionalFormatting>
  <conditionalFormatting sqref="Q148:Q153">
    <cfRule type="cellIs" dxfId="3983" priority="729" operator="lessThan">
      <formula>0</formula>
    </cfRule>
  </conditionalFormatting>
  <conditionalFormatting sqref="R148:R153">
    <cfRule type="cellIs" dxfId="3982" priority="727" operator="lessThan">
      <formula>0.8</formula>
    </cfRule>
    <cfRule type="cellIs" dxfId="3981" priority="728" operator="greaterThan">
      <formula>1</formula>
    </cfRule>
  </conditionalFormatting>
  <conditionalFormatting sqref="R148:R153">
    <cfRule type="cellIs" dxfId="3980" priority="725" operator="greaterThan">
      <formula>1</formula>
    </cfRule>
    <cfRule type="cellIs" dxfId="3979" priority="726" operator="lessThan">
      <formula>0.8</formula>
    </cfRule>
  </conditionalFormatting>
  <conditionalFormatting sqref="R148:R153">
    <cfRule type="cellIs" dxfId="3978" priority="721" operator="lessThan">
      <formula>0.8</formula>
    </cfRule>
    <cfRule type="cellIs" dxfId="3977" priority="722" operator="greaterThan">
      <formula>1</formula>
    </cfRule>
  </conditionalFormatting>
  <conditionalFormatting sqref="R148:R153">
    <cfRule type="cellIs" dxfId="3976" priority="719" operator="greaterThan">
      <formula>1</formula>
    </cfRule>
    <cfRule type="cellIs" dxfId="3975" priority="720" operator="lessThan">
      <formula>0.8</formula>
    </cfRule>
  </conditionalFormatting>
  <conditionalFormatting sqref="P148:P153">
    <cfRule type="cellIs" dxfId="3974" priority="718" operator="greaterThan">
      <formula>0</formula>
    </cfRule>
  </conditionalFormatting>
  <conditionalFormatting sqref="Q148:Q153">
    <cfRule type="cellIs" dxfId="3973" priority="723" operator="lessThan">
      <formula>0</formula>
    </cfRule>
  </conditionalFormatting>
  <conditionalFormatting sqref="P44:P51">
    <cfRule type="cellIs" dxfId="3972" priority="712" operator="greaterThan">
      <formula>0</formula>
    </cfRule>
  </conditionalFormatting>
  <conditionalFormatting sqref="Q44:Q51">
    <cfRule type="cellIs" dxfId="3971" priority="717" operator="lessThan">
      <formula>0</formula>
    </cfRule>
  </conditionalFormatting>
  <conditionalFormatting sqref="R44:R51">
    <cfRule type="cellIs" dxfId="3970" priority="715" operator="lessThan">
      <formula>0.8</formula>
    </cfRule>
    <cfRule type="cellIs" dxfId="3969" priority="716" operator="greaterThan">
      <formula>1</formula>
    </cfRule>
  </conditionalFormatting>
  <conditionalFormatting sqref="R44:R51">
    <cfRule type="cellIs" dxfId="3968" priority="713" operator="greaterThan">
      <formula>1</formula>
    </cfRule>
    <cfRule type="cellIs" dxfId="3967" priority="714" operator="lessThan">
      <formula>0.8</formula>
    </cfRule>
  </conditionalFormatting>
  <conditionalFormatting sqref="Q84:Q91">
    <cfRule type="cellIs" dxfId="3966" priority="711" operator="lessThan">
      <formula>0</formula>
    </cfRule>
  </conditionalFormatting>
  <conditionalFormatting sqref="R84:R91">
    <cfRule type="cellIs" dxfId="3965" priority="709" operator="lessThan">
      <formula>0.8</formula>
    </cfRule>
    <cfRule type="cellIs" dxfId="3964" priority="710" operator="greaterThan">
      <formula>1</formula>
    </cfRule>
  </conditionalFormatting>
  <conditionalFormatting sqref="R84:R91">
    <cfRule type="cellIs" dxfId="3963" priority="707" operator="greaterThan">
      <formula>1</formula>
    </cfRule>
    <cfRule type="cellIs" dxfId="3962" priority="708" operator="lessThan">
      <formula>0.8</formula>
    </cfRule>
  </conditionalFormatting>
  <conditionalFormatting sqref="P84:P91">
    <cfRule type="cellIs" dxfId="3961" priority="706" operator="greaterThan">
      <formula>0</formula>
    </cfRule>
  </conditionalFormatting>
  <conditionalFormatting sqref="Q84:Q91">
    <cfRule type="cellIs" dxfId="3960" priority="705" operator="lessThan">
      <formula>0</formula>
    </cfRule>
  </conditionalFormatting>
  <conditionalFormatting sqref="R84:R91">
    <cfRule type="cellIs" dxfId="3959" priority="703" operator="lessThan">
      <formula>0.8</formula>
    </cfRule>
    <cfRule type="cellIs" dxfId="3958" priority="704" operator="greaterThan">
      <formula>1</formula>
    </cfRule>
  </conditionalFormatting>
  <conditionalFormatting sqref="R84:R91">
    <cfRule type="cellIs" dxfId="3957" priority="701" operator="greaterThan">
      <formula>1</formula>
    </cfRule>
    <cfRule type="cellIs" dxfId="3956" priority="702" operator="lessThan">
      <formula>0.8</formula>
    </cfRule>
  </conditionalFormatting>
  <conditionalFormatting sqref="P84:P91">
    <cfRule type="cellIs" dxfId="3955" priority="700" operator="greaterThan">
      <formula>0</formula>
    </cfRule>
  </conditionalFormatting>
  <conditionalFormatting sqref="Q84:Q91">
    <cfRule type="cellIs" dxfId="3954" priority="699" operator="lessThan">
      <formula>0</formula>
    </cfRule>
  </conditionalFormatting>
  <conditionalFormatting sqref="R84:R91">
    <cfRule type="cellIs" dxfId="3953" priority="697" operator="lessThan">
      <formula>0.8</formula>
    </cfRule>
    <cfRule type="cellIs" dxfId="3952" priority="698" operator="greaterThan">
      <formula>1</formula>
    </cfRule>
  </conditionalFormatting>
  <conditionalFormatting sqref="R84:R91">
    <cfRule type="cellIs" dxfId="3951" priority="695" operator="greaterThan">
      <formula>1</formula>
    </cfRule>
    <cfRule type="cellIs" dxfId="3950" priority="696" operator="lessThan">
      <formula>0.8</formula>
    </cfRule>
  </conditionalFormatting>
  <conditionalFormatting sqref="P84:P91">
    <cfRule type="cellIs" dxfId="3949" priority="694" operator="greaterThan">
      <formula>0</formula>
    </cfRule>
  </conditionalFormatting>
  <conditionalFormatting sqref="Q84:Q91">
    <cfRule type="cellIs" dxfId="3948" priority="693" operator="lessThan">
      <formula>0</formula>
    </cfRule>
  </conditionalFormatting>
  <conditionalFormatting sqref="R84:R91">
    <cfRule type="cellIs" dxfId="3947" priority="691" operator="lessThan">
      <formula>0.8</formula>
    </cfRule>
    <cfRule type="cellIs" dxfId="3946" priority="692" operator="greaterThan">
      <formula>1</formula>
    </cfRule>
  </conditionalFormatting>
  <conditionalFormatting sqref="R84:R91">
    <cfRule type="cellIs" dxfId="3945" priority="689" operator="greaterThan">
      <formula>1</formula>
    </cfRule>
    <cfRule type="cellIs" dxfId="3944" priority="690" operator="lessThan">
      <formula>0.8</formula>
    </cfRule>
  </conditionalFormatting>
  <conditionalFormatting sqref="P84:P91">
    <cfRule type="cellIs" dxfId="3943" priority="688" operator="greaterThan">
      <formula>0</formula>
    </cfRule>
  </conditionalFormatting>
  <conditionalFormatting sqref="P84:P91">
    <cfRule type="cellIs" dxfId="3942" priority="682" operator="greaterThan">
      <formula>0</formula>
    </cfRule>
  </conditionalFormatting>
  <conditionalFormatting sqref="Q84:Q91">
    <cfRule type="cellIs" dxfId="3941" priority="687" operator="lessThan">
      <formula>0</formula>
    </cfRule>
  </conditionalFormatting>
  <conditionalFormatting sqref="R84:R91">
    <cfRule type="cellIs" dxfId="3940" priority="685" operator="lessThan">
      <formula>0.8</formula>
    </cfRule>
    <cfRule type="cellIs" dxfId="3939" priority="686" operator="greaterThan">
      <formula>1</formula>
    </cfRule>
  </conditionalFormatting>
  <conditionalFormatting sqref="R84:R91">
    <cfRule type="cellIs" dxfId="3938" priority="683" operator="greaterThan">
      <formula>1</formula>
    </cfRule>
    <cfRule type="cellIs" dxfId="3937" priority="684" operator="lessThan">
      <formula>0.8</formula>
    </cfRule>
  </conditionalFormatting>
  <conditionalFormatting sqref="P84:P91">
    <cfRule type="cellIs" dxfId="3936" priority="676" operator="greaterThan">
      <formula>0</formula>
    </cfRule>
  </conditionalFormatting>
  <conditionalFormatting sqref="Q84:Q91">
    <cfRule type="cellIs" dxfId="3935" priority="681" operator="lessThan">
      <formula>0</formula>
    </cfRule>
  </conditionalFormatting>
  <conditionalFormatting sqref="R84:R91">
    <cfRule type="cellIs" dxfId="3934" priority="679" operator="lessThan">
      <formula>0.8</formula>
    </cfRule>
    <cfRule type="cellIs" dxfId="3933" priority="680" operator="greaterThan">
      <formula>1</formula>
    </cfRule>
  </conditionalFormatting>
  <conditionalFormatting sqref="R84:R91">
    <cfRule type="cellIs" dxfId="3932" priority="677" operator="greaterThan">
      <formula>1</formula>
    </cfRule>
    <cfRule type="cellIs" dxfId="3931" priority="678" operator="lessThan">
      <formula>0.8</formula>
    </cfRule>
  </conditionalFormatting>
  <conditionalFormatting sqref="R84:R91">
    <cfRule type="cellIs" dxfId="3930" priority="673" operator="lessThan">
      <formula>0.8</formula>
    </cfRule>
    <cfRule type="cellIs" dxfId="3929" priority="674" operator="greaterThan">
      <formula>1</formula>
    </cfRule>
  </conditionalFormatting>
  <conditionalFormatting sqref="R84:R91">
    <cfRule type="cellIs" dxfId="3928" priority="671" operator="greaterThan">
      <formula>1</formula>
    </cfRule>
    <cfRule type="cellIs" dxfId="3927" priority="672" operator="lessThan">
      <formula>0.8</formula>
    </cfRule>
  </conditionalFormatting>
  <conditionalFormatting sqref="P84:P91">
    <cfRule type="cellIs" dxfId="3926" priority="670" operator="greaterThan">
      <formula>0</formula>
    </cfRule>
  </conditionalFormatting>
  <conditionalFormatting sqref="Q84:Q91">
    <cfRule type="cellIs" dxfId="3925" priority="675" operator="lessThan">
      <formula>0</formula>
    </cfRule>
  </conditionalFormatting>
  <conditionalFormatting sqref="Q84:Q91">
    <cfRule type="cellIs" dxfId="3924" priority="669" operator="lessThan">
      <formula>0</formula>
    </cfRule>
  </conditionalFormatting>
  <conditionalFormatting sqref="R84:R91">
    <cfRule type="cellIs" dxfId="3923" priority="667" operator="lessThan">
      <formula>0.8</formula>
    </cfRule>
    <cfRule type="cellIs" dxfId="3922" priority="668" operator="greaterThan">
      <formula>1</formula>
    </cfRule>
  </conditionalFormatting>
  <conditionalFormatting sqref="R84:R91">
    <cfRule type="cellIs" dxfId="3921" priority="665" operator="greaterThan">
      <formula>1</formula>
    </cfRule>
    <cfRule type="cellIs" dxfId="3920" priority="666" operator="lessThan">
      <formula>0.8</formula>
    </cfRule>
  </conditionalFormatting>
  <conditionalFormatting sqref="P84:P91">
    <cfRule type="cellIs" dxfId="3919" priority="664" operator="greaterThan">
      <formula>0</formula>
    </cfRule>
  </conditionalFormatting>
  <conditionalFormatting sqref="P84:P91">
    <cfRule type="cellIs" dxfId="3918" priority="658" operator="greaterThan">
      <formula>0</formula>
    </cfRule>
  </conditionalFormatting>
  <conditionalFormatting sqref="Q84:Q91">
    <cfRule type="cellIs" dxfId="3917" priority="663" operator="lessThan">
      <formula>0</formula>
    </cfRule>
  </conditionalFormatting>
  <conditionalFormatting sqref="R84:R91">
    <cfRule type="cellIs" dxfId="3916" priority="661" operator="lessThan">
      <formula>0.8</formula>
    </cfRule>
    <cfRule type="cellIs" dxfId="3915" priority="662" operator="greaterThan">
      <formula>1</formula>
    </cfRule>
  </conditionalFormatting>
  <conditionalFormatting sqref="R84:R91">
    <cfRule type="cellIs" dxfId="3914" priority="659" operator="greaterThan">
      <formula>1</formula>
    </cfRule>
    <cfRule type="cellIs" dxfId="3913" priority="660" operator="lessThan">
      <formula>0.8</formula>
    </cfRule>
  </conditionalFormatting>
  <conditionalFormatting sqref="P84:P91">
    <cfRule type="cellIs" dxfId="3912" priority="652" operator="greaterThan">
      <formula>0</formula>
    </cfRule>
  </conditionalFormatting>
  <conditionalFormatting sqref="Q84:Q91">
    <cfRule type="cellIs" dxfId="3911" priority="657" operator="lessThan">
      <formula>0</formula>
    </cfRule>
  </conditionalFormatting>
  <conditionalFormatting sqref="R84:R91">
    <cfRule type="cellIs" dxfId="3910" priority="655" operator="lessThan">
      <formula>0.8</formula>
    </cfRule>
    <cfRule type="cellIs" dxfId="3909" priority="656" operator="greaterThan">
      <formula>1</formula>
    </cfRule>
  </conditionalFormatting>
  <conditionalFormatting sqref="R84:R91">
    <cfRule type="cellIs" dxfId="3908" priority="653" operator="greaterThan">
      <formula>1</formula>
    </cfRule>
    <cfRule type="cellIs" dxfId="3907" priority="654" operator="lessThan">
      <formula>0.8</formula>
    </cfRule>
  </conditionalFormatting>
  <conditionalFormatting sqref="R84:R91">
    <cfRule type="cellIs" dxfId="3906" priority="649" operator="lessThan">
      <formula>0.8</formula>
    </cfRule>
    <cfRule type="cellIs" dxfId="3905" priority="650" operator="greaterThan">
      <formula>1</formula>
    </cfRule>
  </conditionalFormatting>
  <conditionalFormatting sqref="R84:R91">
    <cfRule type="cellIs" dxfId="3904" priority="647" operator="greaterThan">
      <formula>1</formula>
    </cfRule>
    <cfRule type="cellIs" dxfId="3903" priority="648" operator="lessThan">
      <formula>0.8</formula>
    </cfRule>
  </conditionalFormatting>
  <conditionalFormatting sqref="P84:P91">
    <cfRule type="cellIs" dxfId="3902" priority="646" operator="greaterThan">
      <formula>0</formula>
    </cfRule>
  </conditionalFormatting>
  <conditionalFormatting sqref="Q84:Q91">
    <cfRule type="cellIs" dxfId="3901" priority="651" operator="lessThan">
      <formula>0</formula>
    </cfRule>
  </conditionalFormatting>
  <conditionalFormatting sqref="P84:P91">
    <cfRule type="cellIs" dxfId="3900" priority="640" operator="greaterThan">
      <formula>0</formula>
    </cfRule>
  </conditionalFormatting>
  <conditionalFormatting sqref="Q84:Q91">
    <cfRule type="cellIs" dxfId="3899" priority="645" operator="lessThan">
      <formula>0</formula>
    </cfRule>
  </conditionalFormatting>
  <conditionalFormatting sqref="R84:R91">
    <cfRule type="cellIs" dxfId="3898" priority="643" operator="lessThan">
      <formula>0.8</formula>
    </cfRule>
    <cfRule type="cellIs" dxfId="3897" priority="644" operator="greaterThan">
      <formula>1</formula>
    </cfRule>
  </conditionalFormatting>
  <conditionalFormatting sqref="R84:R91">
    <cfRule type="cellIs" dxfId="3896" priority="641" operator="greaterThan">
      <formula>1</formula>
    </cfRule>
    <cfRule type="cellIs" dxfId="3895" priority="642" operator="lessThan">
      <formula>0.8</formula>
    </cfRule>
  </conditionalFormatting>
  <conditionalFormatting sqref="R84:R91">
    <cfRule type="cellIs" dxfId="3894" priority="637" operator="lessThan">
      <formula>0.8</formula>
    </cfRule>
    <cfRule type="cellIs" dxfId="3893" priority="638" operator="greaterThan">
      <formula>1</formula>
    </cfRule>
  </conditionalFormatting>
  <conditionalFormatting sqref="R84:R91">
    <cfRule type="cellIs" dxfId="3892" priority="635" operator="greaterThan">
      <formula>1</formula>
    </cfRule>
    <cfRule type="cellIs" dxfId="3891" priority="636" operator="lessThan">
      <formula>0.8</formula>
    </cfRule>
  </conditionalFormatting>
  <conditionalFormatting sqref="P84:P91">
    <cfRule type="cellIs" dxfId="3890" priority="634" operator="greaterThan">
      <formula>0</formula>
    </cfRule>
  </conditionalFormatting>
  <conditionalFormatting sqref="Q84:Q91">
    <cfRule type="cellIs" dxfId="3889" priority="639" operator="lessThan">
      <formula>0</formula>
    </cfRule>
  </conditionalFormatting>
  <conditionalFormatting sqref="R84:R91">
    <cfRule type="cellIs" dxfId="3888" priority="631" operator="lessThan">
      <formula>0.8</formula>
    </cfRule>
    <cfRule type="cellIs" dxfId="3887" priority="632" operator="greaterThan">
      <formula>1</formula>
    </cfRule>
  </conditionalFormatting>
  <conditionalFormatting sqref="R84:R91">
    <cfRule type="cellIs" dxfId="3886" priority="629" operator="greaterThan">
      <formula>1</formula>
    </cfRule>
    <cfRule type="cellIs" dxfId="3885" priority="630" operator="lessThan">
      <formula>0.8</formula>
    </cfRule>
  </conditionalFormatting>
  <conditionalFormatting sqref="P84:P91">
    <cfRule type="cellIs" dxfId="3884" priority="628" operator="greaterThan">
      <formula>0</formula>
    </cfRule>
  </conditionalFormatting>
  <conditionalFormatting sqref="Q84:Q91">
    <cfRule type="cellIs" dxfId="3883" priority="633" operator="lessThan">
      <formula>0</formula>
    </cfRule>
  </conditionalFormatting>
  <conditionalFormatting sqref="Q84:Q91">
    <cfRule type="cellIs" dxfId="3882" priority="627" operator="lessThan">
      <formula>0</formula>
    </cfRule>
  </conditionalFormatting>
  <conditionalFormatting sqref="R84:R91">
    <cfRule type="cellIs" dxfId="3881" priority="625" operator="lessThan">
      <formula>0.8</formula>
    </cfRule>
    <cfRule type="cellIs" dxfId="3880" priority="626" operator="greaterThan">
      <formula>1</formula>
    </cfRule>
  </conditionalFormatting>
  <conditionalFormatting sqref="R84:R91">
    <cfRule type="cellIs" dxfId="3879" priority="623" operator="greaterThan">
      <formula>1</formula>
    </cfRule>
    <cfRule type="cellIs" dxfId="3878" priority="624" operator="lessThan">
      <formula>0.8</formula>
    </cfRule>
  </conditionalFormatting>
  <conditionalFormatting sqref="P84:P91">
    <cfRule type="cellIs" dxfId="3877" priority="622" operator="greaterThan">
      <formula>0</formula>
    </cfRule>
  </conditionalFormatting>
  <conditionalFormatting sqref="Q84:Q91">
    <cfRule type="cellIs" dxfId="3876" priority="616" operator="lessThan">
      <formula>0</formula>
    </cfRule>
  </conditionalFormatting>
  <conditionalFormatting sqref="R84:R91">
    <cfRule type="cellIs" dxfId="3875" priority="620" operator="lessThan">
      <formula>0.8</formula>
    </cfRule>
    <cfRule type="cellIs" dxfId="3874" priority="621" operator="greaterThan">
      <formula>1</formula>
    </cfRule>
  </conditionalFormatting>
  <conditionalFormatting sqref="R84:R91">
    <cfRule type="cellIs" dxfId="3873" priority="618" operator="greaterThan">
      <formula>1</formula>
    </cfRule>
    <cfRule type="cellIs" dxfId="3872" priority="619" operator="lessThan">
      <formula>0.8</formula>
    </cfRule>
  </conditionalFormatting>
  <conditionalFormatting sqref="P84:P91">
    <cfRule type="cellIs" dxfId="3871" priority="617" operator="greaterThan">
      <formula>0</formula>
    </cfRule>
  </conditionalFormatting>
  <conditionalFormatting sqref="Q84:Q91">
    <cfRule type="cellIs" dxfId="3870" priority="615" operator="lessThan">
      <formula>0</formula>
    </cfRule>
  </conditionalFormatting>
  <conditionalFormatting sqref="R84:R91">
    <cfRule type="cellIs" dxfId="3869" priority="613" operator="lessThan">
      <formula>0.8</formula>
    </cfRule>
    <cfRule type="cellIs" dxfId="3868" priority="614" operator="greaterThan">
      <formula>1</formula>
    </cfRule>
  </conditionalFormatting>
  <conditionalFormatting sqref="R84:R91">
    <cfRule type="cellIs" dxfId="3867" priority="611" operator="greaterThan">
      <formula>1</formula>
    </cfRule>
    <cfRule type="cellIs" dxfId="3866" priority="612" operator="lessThan">
      <formula>0.8</formula>
    </cfRule>
  </conditionalFormatting>
  <conditionalFormatting sqref="P84:P91">
    <cfRule type="cellIs" dxfId="3865" priority="610" operator="greaterThan">
      <formula>0</formula>
    </cfRule>
  </conditionalFormatting>
  <conditionalFormatting sqref="Q84:Q91">
    <cfRule type="cellIs" dxfId="3864" priority="609" operator="lessThan">
      <formula>0</formula>
    </cfRule>
  </conditionalFormatting>
  <conditionalFormatting sqref="R84:R91">
    <cfRule type="cellIs" dxfId="3863" priority="607" operator="lessThan">
      <formula>0.8</formula>
    </cfRule>
    <cfRule type="cellIs" dxfId="3862" priority="608" operator="greaterThan">
      <formula>1</formula>
    </cfRule>
  </conditionalFormatting>
  <conditionalFormatting sqref="R84:R91">
    <cfRule type="cellIs" dxfId="3861" priority="605" operator="greaterThan">
      <formula>1</formula>
    </cfRule>
    <cfRule type="cellIs" dxfId="3860" priority="606" operator="lessThan">
      <formula>0.8</formula>
    </cfRule>
  </conditionalFormatting>
  <conditionalFormatting sqref="P84:P91">
    <cfRule type="cellIs" dxfId="3859" priority="604" operator="greaterThan">
      <formula>0</formula>
    </cfRule>
  </conditionalFormatting>
  <conditionalFormatting sqref="Q84:Q91">
    <cfRule type="cellIs" dxfId="3858" priority="603" operator="lessThan">
      <formula>0</formula>
    </cfRule>
  </conditionalFormatting>
  <conditionalFormatting sqref="R84:R91">
    <cfRule type="cellIs" dxfId="3857" priority="601" operator="lessThan">
      <formula>0.8</formula>
    </cfRule>
    <cfRule type="cellIs" dxfId="3856" priority="602" operator="greaterThan">
      <formula>1</formula>
    </cfRule>
  </conditionalFormatting>
  <conditionalFormatting sqref="R84:R91">
    <cfRule type="cellIs" dxfId="3855" priority="599" operator="greaterThan">
      <formula>1</formula>
    </cfRule>
    <cfRule type="cellIs" dxfId="3854" priority="600" operator="lessThan">
      <formula>0.8</formula>
    </cfRule>
  </conditionalFormatting>
  <conditionalFormatting sqref="P84:P91">
    <cfRule type="cellIs" dxfId="3853" priority="598" operator="greaterThan">
      <formula>0</formula>
    </cfRule>
  </conditionalFormatting>
  <conditionalFormatting sqref="Q84:Q91">
    <cfRule type="cellIs" dxfId="3852" priority="597" operator="lessThan">
      <formula>0</formula>
    </cfRule>
  </conditionalFormatting>
  <conditionalFormatting sqref="R84:R91">
    <cfRule type="cellIs" dxfId="3851" priority="595" operator="lessThan">
      <formula>0.8</formula>
    </cfRule>
    <cfRule type="cellIs" dxfId="3850" priority="596" operator="greaterThan">
      <formula>1</formula>
    </cfRule>
  </conditionalFormatting>
  <conditionalFormatting sqref="R84:R91">
    <cfRule type="cellIs" dxfId="3849" priority="593" operator="greaterThan">
      <formula>1</formula>
    </cfRule>
    <cfRule type="cellIs" dxfId="3848" priority="594" operator="lessThan">
      <formula>0.8</formula>
    </cfRule>
  </conditionalFormatting>
  <conditionalFormatting sqref="P84:P91">
    <cfRule type="cellIs" dxfId="3847" priority="592" operator="greaterThan">
      <formula>0</formula>
    </cfRule>
  </conditionalFormatting>
  <conditionalFormatting sqref="Q84:Q91">
    <cfRule type="cellIs" dxfId="3846" priority="591" operator="lessThan">
      <formula>0</formula>
    </cfRule>
  </conditionalFormatting>
  <conditionalFormatting sqref="R84:R91">
    <cfRule type="cellIs" dxfId="3845" priority="589" operator="lessThan">
      <formula>0.8</formula>
    </cfRule>
    <cfRule type="cellIs" dxfId="3844" priority="590" operator="greaterThan">
      <formula>1</formula>
    </cfRule>
  </conditionalFormatting>
  <conditionalFormatting sqref="R84:R91">
    <cfRule type="cellIs" dxfId="3843" priority="587" operator="greaterThan">
      <formula>1</formula>
    </cfRule>
    <cfRule type="cellIs" dxfId="3842" priority="588" operator="lessThan">
      <formula>0.8</formula>
    </cfRule>
  </conditionalFormatting>
  <conditionalFormatting sqref="P84:P91">
    <cfRule type="cellIs" dxfId="3841" priority="586" operator="greaterThan">
      <formula>0</formula>
    </cfRule>
  </conditionalFormatting>
  <conditionalFormatting sqref="P84:P91">
    <cfRule type="cellIs" dxfId="3840" priority="580" operator="greaterThan">
      <formula>0</formula>
    </cfRule>
  </conditionalFormatting>
  <conditionalFormatting sqref="Q84:Q91">
    <cfRule type="cellIs" dxfId="3839" priority="585" operator="lessThan">
      <formula>0</formula>
    </cfRule>
  </conditionalFormatting>
  <conditionalFormatting sqref="R84:R91">
    <cfRule type="cellIs" dxfId="3838" priority="583" operator="lessThan">
      <formula>0.8</formula>
    </cfRule>
    <cfRule type="cellIs" dxfId="3837" priority="584" operator="greaterThan">
      <formula>1</formula>
    </cfRule>
  </conditionalFormatting>
  <conditionalFormatting sqref="R84:R91">
    <cfRule type="cellIs" dxfId="3836" priority="581" operator="greaterThan">
      <formula>1</formula>
    </cfRule>
    <cfRule type="cellIs" dxfId="3835" priority="582" operator="lessThan">
      <formula>0.8</formula>
    </cfRule>
  </conditionalFormatting>
  <conditionalFormatting sqref="P84:P91">
    <cfRule type="cellIs" dxfId="3834" priority="574" operator="greaterThan">
      <formula>0</formula>
    </cfRule>
  </conditionalFormatting>
  <conditionalFormatting sqref="Q84:Q91">
    <cfRule type="cellIs" dxfId="3833" priority="579" operator="lessThan">
      <formula>0</formula>
    </cfRule>
  </conditionalFormatting>
  <conditionalFormatting sqref="R84:R91">
    <cfRule type="cellIs" dxfId="3832" priority="577" operator="lessThan">
      <formula>0.8</formula>
    </cfRule>
    <cfRule type="cellIs" dxfId="3831" priority="578" operator="greaterThan">
      <formula>1</formula>
    </cfRule>
  </conditionalFormatting>
  <conditionalFormatting sqref="R84:R91">
    <cfRule type="cellIs" dxfId="3830" priority="575" operator="greaterThan">
      <formula>1</formula>
    </cfRule>
    <cfRule type="cellIs" dxfId="3829" priority="576" operator="lessThan">
      <formula>0.8</formula>
    </cfRule>
  </conditionalFormatting>
  <conditionalFormatting sqref="R84:R91">
    <cfRule type="cellIs" dxfId="3828" priority="571" operator="lessThan">
      <formula>0.8</formula>
    </cfRule>
    <cfRule type="cellIs" dxfId="3827" priority="572" operator="greaterThan">
      <formula>1</formula>
    </cfRule>
  </conditionalFormatting>
  <conditionalFormatting sqref="R84:R91">
    <cfRule type="cellIs" dxfId="3826" priority="569" operator="greaterThan">
      <formula>1</formula>
    </cfRule>
    <cfRule type="cellIs" dxfId="3825" priority="570" operator="lessThan">
      <formula>0.8</formula>
    </cfRule>
  </conditionalFormatting>
  <conditionalFormatting sqref="P84:P91">
    <cfRule type="cellIs" dxfId="3824" priority="568" operator="greaterThan">
      <formula>0</formula>
    </cfRule>
  </conditionalFormatting>
  <conditionalFormatting sqref="Q84:Q91">
    <cfRule type="cellIs" dxfId="3823" priority="573" operator="lessThan">
      <formula>0</formula>
    </cfRule>
  </conditionalFormatting>
  <conditionalFormatting sqref="Q84:Q91">
    <cfRule type="cellIs" dxfId="3822" priority="567" operator="lessThan">
      <formula>0</formula>
    </cfRule>
  </conditionalFormatting>
  <conditionalFormatting sqref="R84:R91">
    <cfRule type="cellIs" dxfId="3821" priority="565" operator="lessThan">
      <formula>0.8</formula>
    </cfRule>
    <cfRule type="cellIs" dxfId="3820" priority="566" operator="greaterThan">
      <formula>1</formula>
    </cfRule>
  </conditionalFormatting>
  <conditionalFormatting sqref="R84:R91">
    <cfRule type="cellIs" dxfId="3819" priority="563" operator="greaterThan">
      <formula>1</formula>
    </cfRule>
    <cfRule type="cellIs" dxfId="3818" priority="564" operator="lessThan">
      <formula>0.8</formula>
    </cfRule>
  </conditionalFormatting>
  <conditionalFormatting sqref="P84:P91">
    <cfRule type="cellIs" dxfId="3817" priority="562" operator="greaterThan">
      <formula>0</formula>
    </cfRule>
  </conditionalFormatting>
  <conditionalFormatting sqref="Q84:Q91">
    <cfRule type="cellIs" dxfId="3816" priority="561" operator="lessThan">
      <formula>0</formula>
    </cfRule>
  </conditionalFormatting>
  <conditionalFormatting sqref="R84:R91">
    <cfRule type="cellIs" dxfId="3815" priority="559" operator="lessThan">
      <formula>0.8</formula>
    </cfRule>
    <cfRule type="cellIs" dxfId="3814" priority="560" operator="greaterThan">
      <formula>1</formula>
    </cfRule>
  </conditionalFormatting>
  <conditionalFormatting sqref="R84:R91">
    <cfRule type="cellIs" dxfId="3813" priority="557" operator="greaterThan">
      <formula>1</formula>
    </cfRule>
    <cfRule type="cellIs" dxfId="3812" priority="558" operator="lessThan">
      <formula>0.8</formula>
    </cfRule>
  </conditionalFormatting>
  <conditionalFormatting sqref="P84:P91">
    <cfRule type="cellIs" dxfId="3811" priority="556" operator="greaterThan">
      <formula>0</formula>
    </cfRule>
  </conditionalFormatting>
  <conditionalFormatting sqref="Q84:Q91">
    <cfRule type="cellIs" dxfId="3810" priority="555" operator="lessThan">
      <formula>0</formula>
    </cfRule>
  </conditionalFormatting>
  <conditionalFormatting sqref="R84:R91">
    <cfRule type="cellIs" dxfId="3809" priority="553" operator="lessThan">
      <formula>0.8</formula>
    </cfRule>
    <cfRule type="cellIs" dxfId="3808" priority="554" operator="greaterThan">
      <formula>1</formula>
    </cfRule>
  </conditionalFormatting>
  <conditionalFormatting sqref="R84:R91">
    <cfRule type="cellIs" dxfId="3807" priority="551" operator="greaterThan">
      <formula>1</formula>
    </cfRule>
    <cfRule type="cellIs" dxfId="3806" priority="552" operator="lessThan">
      <formula>0.8</formula>
    </cfRule>
  </conditionalFormatting>
  <conditionalFormatting sqref="P84:P91">
    <cfRule type="cellIs" dxfId="3805" priority="550" operator="greaterThan">
      <formula>0</formula>
    </cfRule>
  </conditionalFormatting>
  <conditionalFormatting sqref="Q84:Q91">
    <cfRule type="cellIs" dxfId="3804" priority="549" operator="lessThan">
      <formula>0</formula>
    </cfRule>
  </conditionalFormatting>
  <conditionalFormatting sqref="R84:R91">
    <cfRule type="cellIs" dxfId="3803" priority="547" operator="lessThan">
      <formula>0.8</formula>
    </cfRule>
    <cfRule type="cellIs" dxfId="3802" priority="548" operator="greaterThan">
      <formula>1</formula>
    </cfRule>
  </conditionalFormatting>
  <conditionalFormatting sqref="R84:R91">
    <cfRule type="cellIs" dxfId="3801" priority="545" operator="greaterThan">
      <formula>1</formula>
    </cfRule>
    <cfRule type="cellIs" dxfId="3800" priority="546" operator="lessThan">
      <formula>0.8</formula>
    </cfRule>
  </conditionalFormatting>
  <conditionalFormatting sqref="P84:P91">
    <cfRule type="cellIs" dxfId="3799" priority="544" operator="greaterThan">
      <formula>0</formula>
    </cfRule>
  </conditionalFormatting>
  <conditionalFormatting sqref="P84:P91">
    <cfRule type="cellIs" dxfId="3798" priority="538" operator="greaterThan">
      <formula>0</formula>
    </cfRule>
  </conditionalFormatting>
  <conditionalFormatting sqref="Q84:Q91">
    <cfRule type="cellIs" dxfId="3797" priority="543" operator="lessThan">
      <formula>0</formula>
    </cfRule>
  </conditionalFormatting>
  <conditionalFormatting sqref="R84:R91">
    <cfRule type="cellIs" dxfId="3796" priority="541" operator="lessThan">
      <formula>0.8</formula>
    </cfRule>
    <cfRule type="cellIs" dxfId="3795" priority="542" operator="greaterThan">
      <formula>1</formula>
    </cfRule>
  </conditionalFormatting>
  <conditionalFormatting sqref="R84:R91">
    <cfRule type="cellIs" dxfId="3794" priority="539" operator="greaterThan">
      <formula>1</formula>
    </cfRule>
    <cfRule type="cellIs" dxfId="3793" priority="540" operator="lessThan">
      <formula>0.8</formula>
    </cfRule>
  </conditionalFormatting>
  <conditionalFormatting sqref="P84:P91">
    <cfRule type="cellIs" dxfId="3792" priority="532" operator="greaterThan">
      <formula>0</formula>
    </cfRule>
  </conditionalFormatting>
  <conditionalFormatting sqref="Q84:Q91">
    <cfRule type="cellIs" dxfId="3791" priority="537" operator="lessThan">
      <formula>0</formula>
    </cfRule>
  </conditionalFormatting>
  <conditionalFormatting sqref="R84:R91">
    <cfRule type="cellIs" dxfId="3790" priority="535" operator="lessThan">
      <formula>0.8</formula>
    </cfRule>
    <cfRule type="cellIs" dxfId="3789" priority="536" operator="greaterThan">
      <formula>1</formula>
    </cfRule>
  </conditionalFormatting>
  <conditionalFormatting sqref="R84:R91">
    <cfRule type="cellIs" dxfId="3788" priority="533" operator="greaterThan">
      <formula>1</formula>
    </cfRule>
    <cfRule type="cellIs" dxfId="3787" priority="534" operator="lessThan">
      <formula>0.8</formula>
    </cfRule>
  </conditionalFormatting>
  <conditionalFormatting sqref="R84:R91">
    <cfRule type="cellIs" dxfId="3786" priority="529" operator="lessThan">
      <formula>0.8</formula>
    </cfRule>
    <cfRule type="cellIs" dxfId="3785" priority="530" operator="greaterThan">
      <formula>1</formula>
    </cfRule>
  </conditionalFormatting>
  <conditionalFormatting sqref="R84:R91">
    <cfRule type="cellIs" dxfId="3784" priority="527" operator="greaterThan">
      <formula>1</formula>
    </cfRule>
    <cfRule type="cellIs" dxfId="3783" priority="528" operator="lessThan">
      <formula>0.8</formula>
    </cfRule>
  </conditionalFormatting>
  <conditionalFormatting sqref="P84:P91">
    <cfRule type="cellIs" dxfId="3782" priority="526" operator="greaterThan">
      <formula>0</formula>
    </cfRule>
  </conditionalFormatting>
  <conditionalFormatting sqref="Q84:Q91">
    <cfRule type="cellIs" dxfId="3781" priority="531" operator="lessThan">
      <formula>0</formula>
    </cfRule>
  </conditionalFormatting>
  <conditionalFormatting sqref="Q84:Q91">
    <cfRule type="cellIs" dxfId="3780" priority="525" operator="lessThan">
      <formula>0</formula>
    </cfRule>
  </conditionalFormatting>
  <conditionalFormatting sqref="R84:R91">
    <cfRule type="cellIs" dxfId="3779" priority="523" operator="lessThan">
      <formula>0.8</formula>
    </cfRule>
    <cfRule type="cellIs" dxfId="3778" priority="524" operator="greaterThan">
      <formula>1</formula>
    </cfRule>
  </conditionalFormatting>
  <conditionalFormatting sqref="R84:R91">
    <cfRule type="cellIs" dxfId="3777" priority="521" operator="greaterThan">
      <formula>1</formula>
    </cfRule>
    <cfRule type="cellIs" dxfId="3776" priority="522" operator="lessThan">
      <formula>0.8</formula>
    </cfRule>
  </conditionalFormatting>
  <conditionalFormatting sqref="P84:P91">
    <cfRule type="cellIs" dxfId="3775" priority="520" operator="greaterThan">
      <formula>0</formula>
    </cfRule>
  </conditionalFormatting>
  <conditionalFormatting sqref="P84:P91">
    <cfRule type="cellIs" dxfId="3774" priority="514" operator="greaterThan">
      <formula>0</formula>
    </cfRule>
  </conditionalFormatting>
  <conditionalFormatting sqref="Q84:Q91">
    <cfRule type="cellIs" dxfId="3773" priority="519" operator="lessThan">
      <formula>0</formula>
    </cfRule>
  </conditionalFormatting>
  <conditionalFormatting sqref="R84:R91">
    <cfRule type="cellIs" dxfId="3772" priority="517" operator="lessThan">
      <formula>0.8</formula>
    </cfRule>
    <cfRule type="cellIs" dxfId="3771" priority="518" operator="greaterThan">
      <formula>1</formula>
    </cfRule>
  </conditionalFormatting>
  <conditionalFormatting sqref="R84:R91">
    <cfRule type="cellIs" dxfId="3770" priority="515" operator="greaterThan">
      <formula>1</formula>
    </cfRule>
    <cfRule type="cellIs" dxfId="3769" priority="516" operator="lessThan">
      <formula>0.8</formula>
    </cfRule>
  </conditionalFormatting>
  <conditionalFormatting sqref="P84:P91">
    <cfRule type="cellIs" dxfId="3768" priority="508" operator="greaterThan">
      <formula>0</formula>
    </cfRule>
  </conditionalFormatting>
  <conditionalFormatting sqref="Q84:Q91">
    <cfRule type="cellIs" dxfId="3767" priority="513" operator="lessThan">
      <formula>0</formula>
    </cfRule>
  </conditionalFormatting>
  <conditionalFormatting sqref="R84:R91">
    <cfRule type="cellIs" dxfId="3766" priority="511" operator="lessThan">
      <formula>0.8</formula>
    </cfRule>
    <cfRule type="cellIs" dxfId="3765" priority="512" operator="greaterThan">
      <formula>1</formula>
    </cfRule>
  </conditionalFormatting>
  <conditionalFormatting sqref="R84:R91">
    <cfRule type="cellIs" dxfId="3764" priority="509" operator="greaterThan">
      <formula>1</formula>
    </cfRule>
    <cfRule type="cellIs" dxfId="3763" priority="510" operator="lessThan">
      <formula>0.8</formula>
    </cfRule>
  </conditionalFormatting>
  <conditionalFormatting sqref="R84:R91">
    <cfRule type="cellIs" dxfId="3762" priority="505" operator="lessThan">
      <formula>0.8</formula>
    </cfRule>
    <cfRule type="cellIs" dxfId="3761" priority="506" operator="greaterThan">
      <formula>1</formula>
    </cfRule>
  </conditionalFormatting>
  <conditionalFormatting sqref="R84:R91">
    <cfRule type="cellIs" dxfId="3760" priority="503" operator="greaterThan">
      <formula>1</formula>
    </cfRule>
    <cfRule type="cellIs" dxfId="3759" priority="504" operator="lessThan">
      <formula>0.8</formula>
    </cfRule>
  </conditionalFormatting>
  <conditionalFormatting sqref="P84:P91">
    <cfRule type="cellIs" dxfId="3758" priority="502" operator="greaterThan">
      <formula>0</formula>
    </cfRule>
  </conditionalFormatting>
  <conditionalFormatting sqref="Q84:Q91">
    <cfRule type="cellIs" dxfId="3757" priority="507" operator="lessThan">
      <formula>0</formula>
    </cfRule>
  </conditionalFormatting>
  <conditionalFormatting sqref="P84:P91">
    <cfRule type="cellIs" dxfId="3756" priority="496" operator="greaterThan">
      <formula>0</formula>
    </cfRule>
  </conditionalFormatting>
  <conditionalFormatting sqref="Q84:Q91">
    <cfRule type="cellIs" dxfId="3755" priority="501" operator="lessThan">
      <formula>0</formula>
    </cfRule>
  </conditionalFormatting>
  <conditionalFormatting sqref="R84:R91">
    <cfRule type="cellIs" dxfId="3754" priority="499" operator="lessThan">
      <formula>0.8</formula>
    </cfRule>
    <cfRule type="cellIs" dxfId="3753" priority="500" operator="greaterThan">
      <formula>1</formula>
    </cfRule>
  </conditionalFormatting>
  <conditionalFormatting sqref="R84:R91">
    <cfRule type="cellIs" dxfId="3752" priority="497" operator="greaterThan">
      <formula>1</formula>
    </cfRule>
    <cfRule type="cellIs" dxfId="3751" priority="498" operator="lessThan">
      <formula>0.8</formula>
    </cfRule>
  </conditionalFormatting>
  <conditionalFormatting sqref="R84:R91">
    <cfRule type="cellIs" dxfId="3750" priority="493" operator="lessThan">
      <formula>0.8</formula>
    </cfRule>
    <cfRule type="cellIs" dxfId="3749" priority="494" operator="greaterThan">
      <formula>1</formula>
    </cfRule>
  </conditionalFormatting>
  <conditionalFormatting sqref="R84:R91">
    <cfRule type="cellIs" dxfId="3748" priority="491" operator="greaterThan">
      <formula>1</formula>
    </cfRule>
    <cfRule type="cellIs" dxfId="3747" priority="492" operator="lessThan">
      <formula>0.8</formula>
    </cfRule>
  </conditionalFormatting>
  <conditionalFormatting sqref="P84:P91">
    <cfRule type="cellIs" dxfId="3746" priority="490" operator="greaterThan">
      <formula>0</formula>
    </cfRule>
  </conditionalFormatting>
  <conditionalFormatting sqref="Q84:Q91">
    <cfRule type="cellIs" dxfId="3745" priority="495" operator="lessThan">
      <formula>0</formula>
    </cfRule>
  </conditionalFormatting>
  <conditionalFormatting sqref="R84:R91">
    <cfRule type="cellIs" dxfId="3744" priority="487" operator="lessThan">
      <formula>0.8</formula>
    </cfRule>
    <cfRule type="cellIs" dxfId="3743" priority="488" operator="greaterThan">
      <formula>1</formula>
    </cfRule>
  </conditionalFormatting>
  <conditionalFormatting sqref="R84:R91">
    <cfRule type="cellIs" dxfId="3742" priority="485" operator="greaterThan">
      <formula>1</formula>
    </cfRule>
    <cfRule type="cellIs" dxfId="3741" priority="486" operator="lessThan">
      <formula>0.8</formula>
    </cfRule>
  </conditionalFormatting>
  <conditionalFormatting sqref="P84:P91">
    <cfRule type="cellIs" dxfId="3740" priority="484" operator="greaterThan">
      <formula>0</formula>
    </cfRule>
  </conditionalFormatting>
  <conditionalFormatting sqref="Q84:Q91">
    <cfRule type="cellIs" dxfId="3739" priority="489" operator="lessThan">
      <formula>0</formula>
    </cfRule>
  </conditionalFormatting>
  <conditionalFormatting sqref="Q84:Q91">
    <cfRule type="cellIs" dxfId="3738" priority="483" operator="lessThan">
      <formula>0</formula>
    </cfRule>
  </conditionalFormatting>
  <conditionalFormatting sqref="R84:R91">
    <cfRule type="cellIs" dxfId="3737" priority="481" operator="lessThan">
      <formula>0.8</formula>
    </cfRule>
    <cfRule type="cellIs" dxfId="3736" priority="482" operator="greaterThan">
      <formula>1</formula>
    </cfRule>
  </conditionalFormatting>
  <conditionalFormatting sqref="R84:R91">
    <cfRule type="cellIs" dxfId="3735" priority="479" operator="greaterThan">
      <formula>1</formula>
    </cfRule>
    <cfRule type="cellIs" dxfId="3734" priority="480" operator="lessThan">
      <formula>0.8</formula>
    </cfRule>
  </conditionalFormatting>
  <conditionalFormatting sqref="P84:P91">
    <cfRule type="cellIs" dxfId="3733" priority="478" operator="greaterThan">
      <formula>0</formula>
    </cfRule>
  </conditionalFormatting>
  <conditionalFormatting sqref="Q84:Q91">
    <cfRule type="cellIs" dxfId="3732" priority="472" operator="lessThan">
      <formula>0</formula>
    </cfRule>
  </conditionalFormatting>
  <conditionalFormatting sqref="R84:R91">
    <cfRule type="cellIs" dxfId="3731" priority="476" operator="lessThan">
      <formula>0.8</formula>
    </cfRule>
    <cfRule type="cellIs" dxfId="3730" priority="477" operator="greaterThan">
      <formula>1</formula>
    </cfRule>
  </conditionalFormatting>
  <conditionalFormatting sqref="R84:R91">
    <cfRule type="cellIs" dxfId="3729" priority="474" operator="greaterThan">
      <formula>1</formula>
    </cfRule>
    <cfRule type="cellIs" dxfId="3728" priority="475" operator="lessThan">
      <formula>0.8</formula>
    </cfRule>
  </conditionalFormatting>
  <conditionalFormatting sqref="P84:P91">
    <cfRule type="cellIs" dxfId="3727" priority="473" operator="greaterThan">
      <formula>0</formula>
    </cfRule>
  </conditionalFormatting>
  <conditionalFormatting sqref="Q84:Q91">
    <cfRule type="cellIs" dxfId="3726" priority="471" operator="lessThan">
      <formula>0</formula>
    </cfRule>
  </conditionalFormatting>
  <conditionalFormatting sqref="R84:R91">
    <cfRule type="cellIs" dxfId="3725" priority="469" operator="lessThan">
      <formula>0.8</formula>
    </cfRule>
    <cfRule type="cellIs" dxfId="3724" priority="470" operator="greaterThan">
      <formula>1</formula>
    </cfRule>
  </conditionalFormatting>
  <conditionalFormatting sqref="R84:R91">
    <cfRule type="cellIs" dxfId="3723" priority="467" operator="greaterThan">
      <formula>1</formula>
    </cfRule>
    <cfRule type="cellIs" dxfId="3722" priority="468" operator="lessThan">
      <formula>0.8</formula>
    </cfRule>
  </conditionalFormatting>
  <conditionalFormatting sqref="P84:P91">
    <cfRule type="cellIs" dxfId="3721" priority="466" operator="greaterThan">
      <formula>0</formula>
    </cfRule>
  </conditionalFormatting>
  <conditionalFormatting sqref="Q84:Q91">
    <cfRule type="cellIs" dxfId="3720" priority="465" operator="lessThan">
      <formula>0</formula>
    </cfRule>
  </conditionalFormatting>
  <conditionalFormatting sqref="R84:R91">
    <cfRule type="cellIs" dxfId="3719" priority="463" operator="lessThan">
      <formula>0.8</formula>
    </cfRule>
    <cfRule type="cellIs" dxfId="3718" priority="464" operator="greaterThan">
      <formula>1</formula>
    </cfRule>
  </conditionalFormatting>
  <conditionalFormatting sqref="R84:R91">
    <cfRule type="cellIs" dxfId="3717" priority="461" operator="greaterThan">
      <formula>1</formula>
    </cfRule>
    <cfRule type="cellIs" dxfId="3716" priority="462" operator="lessThan">
      <formula>0.8</formula>
    </cfRule>
  </conditionalFormatting>
  <conditionalFormatting sqref="P84:P91">
    <cfRule type="cellIs" dxfId="3715" priority="460" operator="greaterThan">
      <formula>0</formula>
    </cfRule>
  </conditionalFormatting>
  <conditionalFormatting sqref="Q84:Q91">
    <cfRule type="cellIs" dxfId="3714" priority="459" operator="lessThan">
      <formula>0</formula>
    </cfRule>
  </conditionalFormatting>
  <conditionalFormatting sqref="R84:R91">
    <cfRule type="cellIs" dxfId="3713" priority="457" operator="lessThan">
      <formula>0.8</formula>
    </cfRule>
    <cfRule type="cellIs" dxfId="3712" priority="458" operator="greaterThan">
      <formula>1</formula>
    </cfRule>
  </conditionalFormatting>
  <conditionalFormatting sqref="R84:R91">
    <cfRule type="cellIs" dxfId="3711" priority="455" operator="greaterThan">
      <formula>1</formula>
    </cfRule>
    <cfRule type="cellIs" dxfId="3710" priority="456" operator="lessThan">
      <formula>0.8</formula>
    </cfRule>
  </conditionalFormatting>
  <conditionalFormatting sqref="P84:P91">
    <cfRule type="cellIs" dxfId="3709" priority="454" operator="greaterThan">
      <formula>0</formula>
    </cfRule>
  </conditionalFormatting>
  <conditionalFormatting sqref="Q84:Q91">
    <cfRule type="cellIs" dxfId="3708" priority="453" operator="lessThan">
      <formula>0</formula>
    </cfRule>
  </conditionalFormatting>
  <conditionalFormatting sqref="R84:R91">
    <cfRule type="cellIs" dxfId="3707" priority="451" operator="lessThan">
      <formula>0.8</formula>
    </cfRule>
    <cfRule type="cellIs" dxfId="3706" priority="452" operator="greaterThan">
      <formula>1</formula>
    </cfRule>
  </conditionalFormatting>
  <conditionalFormatting sqref="R84:R91">
    <cfRule type="cellIs" dxfId="3705" priority="449" operator="greaterThan">
      <formula>1</formula>
    </cfRule>
    <cfRule type="cellIs" dxfId="3704" priority="450" operator="lessThan">
      <formula>0.8</formula>
    </cfRule>
  </conditionalFormatting>
  <conditionalFormatting sqref="P84:P91">
    <cfRule type="cellIs" dxfId="3703" priority="448" operator="greaterThan">
      <formula>0</formula>
    </cfRule>
  </conditionalFormatting>
  <conditionalFormatting sqref="Q84:Q91">
    <cfRule type="cellIs" dxfId="3702" priority="447" operator="lessThan">
      <formula>0</formula>
    </cfRule>
  </conditionalFormatting>
  <conditionalFormatting sqref="R84:R91">
    <cfRule type="cellIs" dxfId="3701" priority="445" operator="lessThan">
      <formula>0.8</formula>
    </cfRule>
    <cfRule type="cellIs" dxfId="3700" priority="446" operator="greaterThan">
      <formula>1</formula>
    </cfRule>
  </conditionalFormatting>
  <conditionalFormatting sqref="R84:R91">
    <cfRule type="cellIs" dxfId="3699" priority="443" operator="greaterThan">
      <formula>1</formula>
    </cfRule>
    <cfRule type="cellIs" dxfId="3698" priority="444" operator="lessThan">
      <formula>0.8</formula>
    </cfRule>
  </conditionalFormatting>
  <conditionalFormatting sqref="P84:P91">
    <cfRule type="cellIs" dxfId="3697" priority="442" operator="greaterThan">
      <formula>0</formula>
    </cfRule>
  </conditionalFormatting>
  <conditionalFormatting sqref="P84:P91">
    <cfRule type="cellIs" dxfId="3696" priority="436" operator="greaterThan">
      <formula>0</formula>
    </cfRule>
  </conditionalFormatting>
  <conditionalFormatting sqref="Q84:Q91">
    <cfRule type="cellIs" dxfId="3695" priority="441" operator="lessThan">
      <formula>0</formula>
    </cfRule>
  </conditionalFormatting>
  <conditionalFormatting sqref="R84:R91">
    <cfRule type="cellIs" dxfId="3694" priority="439" operator="lessThan">
      <formula>0.8</formula>
    </cfRule>
    <cfRule type="cellIs" dxfId="3693" priority="440" operator="greaterThan">
      <formula>1</formula>
    </cfRule>
  </conditionalFormatting>
  <conditionalFormatting sqref="R84:R91">
    <cfRule type="cellIs" dxfId="3692" priority="437" operator="greaterThan">
      <formula>1</formula>
    </cfRule>
    <cfRule type="cellIs" dxfId="3691" priority="438" operator="lessThan">
      <formula>0.8</formula>
    </cfRule>
  </conditionalFormatting>
  <conditionalFormatting sqref="P84:P91">
    <cfRule type="cellIs" dxfId="3690" priority="430" operator="greaterThan">
      <formula>0</formula>
    </cfRule>
  </conditionalFormatting>
  <conditionalFormatting sqref="Q84:Q91">
    <cfRule type="cellIs" dxfId="3689" priority="435" operator="lessThan">
      <formula>0</formula>
    </cfRule>
  </conditionalFormatting>
  <conditionalFormatting sqref="R84:R91">
    <cfRule type="cellIs" dxfId="3688" priority="433" operator="lessThan">
      <formula>0.8</formula>
    </cfRule>
    <cfRule type="cellIs" dxfId="3687" priority="434" operator="greaterThan">
      <formula>1</formula>
    </cfRule>
  </conditionalFormatting>
  <conditionalFormatting sqref="R84:R91">
    <cfRule type="cellIs" dxfId="3686" priority="431" operator="greaterThan">
      <formula>1</formula>
    </cfRule>
    <cfRule type="cellIs" dxfId="3685" priority="432" operator="lessThan">
      <formula>0.8</formula>
    </cfRule>
  </conditionalFormatting>
  <conditionalFormatting sqref="R84:R91">
    <cfRule type="cellIs" dxfId="3684" priority="427" operator="lessThan">
      <formula>0.8</formula>
    </cfRule>
    <cfRule type="cellIs" dxfId="3683" priority="428" operator="greaterThan">
      <formula>1</formula>
    </cfRule>
  </conditionalFormatting>
  <conditionalFormatting sqref="R84:R91">
    <cfRule type="cellIs" dxfId="3682" priority="425" operator="greaterThan">
      <formula>1</formula>
    </cfRule>
    <cfRule type="cellIs" dxfId="3681" priority="426" operator="lessThan">
      <formula>0.8</formula>
    </cfRule>
  </conditionalFormatting>
  <conditionalFormatting sqref="P84:P91">
    <cfRule type="cellIs" dxfId="3680" priority="424" operator="greaterThan">
      <formula>0</formula>
    </cfRule>
  </conditionalFormatting>
  <conditionalFormatting sqref="Q84:Q91">
    <cfRule type="cellIs" dxfId="3679" priority="429" operator="lessThan">
      <formula>0</formula>
    </cfRule>
  </conditionalFormatting>
  <conditionalFormatting sqref="Q84:Q91">
    <cfRule type="cellIs" dxfId="3678" priority="418" operator="lessThan">
      <formula>0</formula>
    </cfRule>
  </conditionalFormatting>
  <conditionalFormatting sqref="P84:P91">
    <cfRule type="cellIs" dxfId="3677" priority="419" operator="greaterThan">
      <formula>0</formula>
    </cfRule>
  </conditionalFormatting>
  <conditionalFormatting sqref="R84:R91">
    <cfRule type="cellIs" dxfId="3676" priority="422" operator="lessThan">
      <formula>0.8</formula>
    </cfRule>
    <cfRule type="cellIs" dxfId="3675" priority="423" operator="greaterThan">
      <formula>1</formula>
    </cfRule>
  </conditionalFormatting>
  <conditionalFormatting sqref="R84:R91">
    <cfRule type="cellIs" dxfId="3674" priority="420" operator="greaterThan">
      <formula>1</formula>
    </cfRule>
    <cfRule type="cellIs" dxfId="3673" priority="421" operator="lessThan">
      <formula>0.8</formula>
    </cfRule>
  </conditionalFormatting>
  <conditionalFormatting sqref="Q84:Q91">
    <cfRule type="cellIs" dxfId="3672" priority="412" operator="lessThan">
      <formula>0</formula>
    </cfRule>
  </conditionalFormatting>
  <conditionalFormatting sqref="R84:R91">
    <cfRule type="cellIs" dxfId="3671" priority="416" operator="lessThan">
      <formula>0.8</formula>
    </cfRule>
    <cfRule type="cellIs" dxfId="3670" priority="417" operator="greaterThan">
      <formula>1</formula>
    </cfRule>
  </conditionalFormatting>
  <conditionalFormatting sqref="R84:R91">
    <cfRule type="cellIs" dxfId="3669" priority="414" operator="greaterThan">
      <formula>1</formula>
    </cfRule>
    <cfRule type="cellIs" dxfId="3668" priority="415" operator="lessThan">
      <formula>0.8</formula>
    </cfRule>
  </conditionalFormatting>
  <conditionalFormatting sqref="P84:P91">
    <cfRule type="cellIs" dxfId="3667" priority="413" operator="greaterThan">
      <formula>0</formula>
    </cfRule>
  </conditionalFormatting>
  <conditionalFormatting sqref="Q84:Q91">
    <cfRule type="cellIs" dxfId="3666" priority="411" operator="lessThan">
      <formula>0</formula>
    </cfRule>
  </conditionalFormatting>
  <conditionalFormatting sqref="R84:R91">
    <cfRule type="cellIs" dxfId="3665" priority="409" operator="lessThan">
      <formula>0.8</formula>
    </cfRule>
    <cfRule type="cellIs" dxfId="3664" priority="410" operator="greaterThan">
      <formula>1</formula>
    </cfRule>
  </conditionalFormatting>
  <conditionalFormatting sqref="R84:R91">
    <cfRule type="cellIs" dxfId="3663" priority="407" operator="greaterThan">
      <formula>1</formula>
    </cfRule>
    <cfRule type="cellIs" dxfId="3662" priority="408" operator="lessThan">
      <formula>0.8</formula>
    </cfRule>
  </conditionalFormatting>
  <conditionalFormatting sqref="P84:P91">
    <cfRule type="cellIs" dxfId="3661" priority="406" operator="greaterThan">
      <formula>0</formula>
    </cfRule>
  </conditionalFormatting>
  <conditionalFormatting sqref="Q84:Q91">
    <cfRule type="cellIs" dxfId="3660" priority="405" operator="lessThan">
      <formula>0</formula>
    </cfRule>
  </conditionalFormatting>
  <conditionalFormatting sqref="R84:R91">
    <cfRule type="cellIs" dxfId="3659" priority="403" operator="lessThan">
      <formula>0.8</formula>
    </cfRule>
    <cfRule type="cellIs" dxfId="3658" priority="404" operator="greaterThan">
      <formula>1</formula>
    </cfRule>
  </conditionalFormatting>
  <conditionalFormatting sqref="R84:R91">
    <cfRule type="cellIs" dxfId="3657" priority="401" operator="greaterThan">
      <formula>1</formula>
    </cfRule>
    <cfRule type="cellIs" dxfId="3656" priority="402" operator="lessThan">
      <formula>0.8</formula>
    </cfRule>
  </conditionalFormatting>
  <conditionalFormatting sqref="P84:P91">
    <cfRule type="cellIs" dxfId="3655" priority="400" operator="greaterThan">
      <formula>0</formula>
    </cfRule>
  </conditionalFormatting>
  <conditionalFormatting sqref="Q84:Q91">
    <cfRule type="cellIs" dxfId="3654" priority="399" operator="lessThan">
      <formula>0</formula>
    </cfRule>
  </conditionalFormatting>
  <conditionalFormatting sqref="R84:R91">
    <cfRule type="cellIs" dxfId="3653" priority="397" operator="lessThan">
      <formula>0.8</formula>
    </cfRule>
    <cfRule type="cellIs" dxfId="3652" priority="398" operator="greaterThan">
      <formula>1</formula>
    </cfRule>
  </conditionalFormatting>
  <conditionalFormatting sqref="R84:R91">
    <cfRule type="cellIs" dxfId="3651" priority="395" operator="greaterThan">
      <formula>1</formula>
    </cfRule>
    <cfRule type="cellIs" dxfId="3650" priority="396" operator="lessThan">
      <formula>0.8</formula>
    </cfRule>
  </conditionalFormatting>
  <conditionalFormatting sqref="P84:P91">
    <cfRule type="cellIs" dxfId="3649" priority="394" operator="greaterThan">
      <formula>0</formula>
    </cfRule>
  </conditionalFormatting>
  <conditionalFormatting sqref="Q84:Q91">
    <cfRule type="cellIs" dxfId="3648" priority="393" operator="lessThan">
      <formula>0</formula>
    </cfRule>
  </conditionalFormatting>
  <conditionalFormatting sqref="R84:R91">
    <cfRule type="cellIs" dxfId="3647" priority="391" operator="lessThan">
      <formula>0.8</formula>
    </cfRule>
    <cfRule type="cellIs" dxfId="3646" priority="392" operator="greaterThan">
      <formula>1</formula>
    </cfRule>
  </conditionalFormatting>
  <conditionalFormatting sqref="R84:R91">
    <cfRule type="cellIs" dxfId="3645" priority="389" operator="greaterThan">
      <formula>1</formula>
    </cfRule>
    <cfRule type="cellIs" dxfId="3644" priority="390" operator="lessThan">
      <formula>0.8</formula>
    </cfRule>
  </conditionalFormatting>
  <conditionalFormatting sqref="P84:P91">
    <cfRule type="cellIs" dxfId="3643" priority="388" operator="greaterThan">
      <formula>0</formula>
    </cfRule>
  </conditionalFormatting>
  <conditionalFormatting sqref="Q84:Q91">
    <cfRule type="cellIs" dxfId="3642" priority="387" operator="lessThan">
      <formula>0</formula>
    </cfRule>
  </conditionalFormatting>
  <conditionalFormatting sqref="R84:R91">
    <cfRule type="cellIs" dxfId="3641" priority="385" operator="lessThan">
      <formula>0.8</formula>
    </cfRule>
    <cfRule type="cellIs" dxfId="3640" priority="386" operator="greaterThan">
      <formula>1</formula>
    </cfRule>
  </conditionalFormatting>
  <conditionalFormatting sqref="R84:R91">
    <cfRule type="cellIs" dxfId="3639" priority="383" operator="greaterThan">
      <formula>1</formula>
    </cfRule>
    <cfRule type="cellIs" dxfId="3638" priority="384" operator="lessThan">
      <formula>0.8</formula>
    </cfRule>
  </conditionalFormatting>
  <conditionalFormatting sqref="P84:P91">
    <cfRule type="cellIs" dxfId="3637" priority="382" operator="greaterThan">
      <formula>0</formula>
    </cfRule>
  </conditionalFormatting>
  <conditionalFormatting sqref="Q84:Q91">
    <cfRule type="cellIs" dxfId="3636" priority="381" operator="lessThan">
      <formula>0</formula>
    </cfRule>
  </conditionalFormatting>
  <conditionalFormatting sqref="R84:R91">
    <cfRule type="cellIs" dxfId="3635" priority="379" operator="lessThan">
      <formula>0.8</formula>
    </cfRule>
    <cfRule type="cellIs" dxfId="3634" priority="380" operator="greaterThan">
      <formula>1</formula>
    </cfRule>
  </conditionalFormatting>
  <conditionalFormatting sqref="R84:R91">
    <cfRule type="cellIs" dxfId="3633" priority="377" operator="greaterThan">
      <formula>1</formula>
    </cfRule>
    <cfRule type="cellIs" dxfId="3632" priority="378" operator="lessThan">
      <formula>0.8</formula>
    </cfRule>
  </conditionalFormatting>
  <conditionalFormatting sqref="P84:P91">
    <cfRule type="cellIs" dxfId="3631" priority="376" operator="greaterThan">
      <formula>0</formula>
    </cfRule>
  </conditionalFormatting>
  <conditionalFormatting sqref="Q84:Q91">
    <cfRule type="cellIs" dxfId="3630" priority="375" operator="lessThan">
      <formula>0</formula>
    </cfRule>
  </conditionalFormatting>
  <conditionalFormatting sqref="R84:R91">
    <cfRule type="cellIs" dxfId="3629" priority="373" operator="lessThan">
      <formula>0.8</formula>
    </cfRule>
    <cfRule type="cellIs" dxfId="3628" priority="374" operator="greaterThan">
      <formula>1</formula>
    </cfRule>
  </conditionalFormatting>
  <conditionalFormatting sqref="R84:R91">
    <cfRule type="cellIs" dxfId="3627" priority="371" operator="greaterThan">
      <formula>1</formula>
    </cfRule>
    <cfRule type="cellIs" dxfId="3626" priority="372" operator="lessThan">
      <formula>0.8</formula>
    </cfRule>
  </conditionalFormatting>
  <conditionalFormatting sqref="P84:P91">
    <cfRule type="cellIs" dxfId="3625" priority="370" operator="greaterThan">
      <formula>0</formula>
    </cfRule>
  </conditionalFormatting>
  <conditionalFormatting sqref="P84:P91">
    <cfRule type="cellIs" dxfId="3624" priority="364" operator="greaterThan">
      <formula>0</formula>
    </cfRule>
  </conditionalFormatting>
  <conditionalFormatting sqref="Q84:Q91">
    <cfRule type="cellIs" dxfId="3623" priority="369" operator="lessThan">
      <formula>0</formula>
    </cfRule>
  </conditionalFormatting>
  <conditionalFormatting sqref="R84:R91">
    <cfRule type="cellIs" dxfId="3622" priority="367" operator="lessThan">
      <formula>0.8</formula>
    </cfRule>
    <cfRule type="cellIs" dxfId="3621" priority="368" operator="greaterThan">
      <formula>1</formula>
    </cfRule>
  </conditionalFormatting>
  <conditionalFormatting sqref="R84:R91">
    <cfRule type="cellIs" dxfId="3620" priority="365" operator="greaterThan">
      <formula>1</formula>
    </cfRule>
    <cfRule type="cellIs" dxfId="3619" priority="366" operator="lessThan">
      <formula>0.8</formula>
    </cfRule>
  </conditionalFormatting>
  <conditionalFormatting sqref="P84:P91">
    <cfRule type="cellIs" dxfId="3618" priority="358" operator="greaterThan">
      <formula>0</formula>
    </cfRule>
  </conditionalFormatting>
  <conditionalFormatting sqref="Q84:Q91">
    <cfRule type="cellIs" dxfId="3617" priority="363" operator="lessThan">
      <formula>0</formula>
    </cfRule>
  </conditionalFormatting>
  <conditionalFormatting sqref="R84:R91">
    <cfRule type="cellIs" dxfId="3616" priority="361" operator="lessThan">
      <formula>0.8</formula>
    </cfRule>
    <cfRule type="cellIs" dxfId="3615" priority="362" operator="greaterThan">
      <formula>1</formula>
    </cfRule>
  </conditionalFormatting>
  <conditionalFormatting sqref="R84:R91">
    <cfRule type="cellIs" dxfId="3614" priority="359" operator="greaterThan">
      <formula>1</formula>
    </cfRule>
    <cfRule type="cellIs" dxfId="3613" priority="360" operator="lessThan">
      <formula>0.8</formula>
    </cfRule>
  </conditionalFormatting>
  <conditionalFormatting sqref="R84:R91">
    <cfRule type="cellIs" dxfId="3612" priority="355" operator="lessThan">
      <formula>0.8</formula>
    </cfRule>
    <cfRule type="cellIs" dxfId="3611" priority="356" operator="greaterThan">
      <formula>1</formula>
    </cfRule>
  </conditionalFormatting>
  <conditionalFormatting sqref="R84:R91">
    <cfRule type="cellIs" dxfId="3610" priority="353" operator="greaterThan">
      <formula>1</formula>
    </cfRule>
    <cfRule type="cellIs" dxfId="3609" priority="354" operator="lessThan">
      <formula>0.8</formula>
    </cfRule>
  </conditionalFormatting>
  <conditionalFormatting sqref="P84:P91">
    <cfRule type="cellIs" dxfId="3608" priority="352" operator="greaterThan">
      <formula>0</formula>
    </cfRule>
  </conditionalFormatting>
  <conditionalFormatting sqref="Q84:Q91">
    <cfRule type="cellIs" dxfId="3607" priority="357" operator="lessThan">
      <formula>0</formula>
    </cfRule>
  </conditionalFormatting>
  <conditionalFormatting sqref="Q84:Q91">
    <cfRule type="cellIs" dxfId="3606" priority="351" operator="lessThan">
      <formula>0</formula>
    </cfRule>
  </conditionalFormatting>
  <conditionalFormatting sqref="R84:R91">
    <cfRule type="cellIs" dxfId="3605" priority="349" operator="lessThan">
      <formula>0.8</formula>
    </cfRule>
    <cfRule type="cellIs" dxfId="3604" priority="350" operator="greaterThan">
      <formula>1</formula>
    </cfRule>
  </conditionalFormatting>
  <conditionalFormatting sqref="R84:R91">
    <cfRule type="cellIs" dxfId="3603" priority="347" operator="greaterThan">
      <formula>1</formula>
    </cfRule>
    <cfRule type="cellIs" dxfId="3602" priority="348" operator="lessThan">
      <formula>0.8</formula>
    </cfRule>
  </conditionalFormatting>
  <conditionalFormatting sqref="P84:P91">
    <cfRule type="cellIs" dxfId="3601" priority="346" operator="greaterThan">
      <formula>0</formula>
    </cfRule>
  </conditionalFormatting>
  <conditionalFormatting sqref="P84:P91">
    <cfRule type="cellIs" dxfId="3600" priority="340" operator="greaterThan">
      <formula>0</formula>
    </cfRule>
  </conditionalFormatting>
  <conditionalFormatting sqref="Q84:Q91">
    <cfRule type="cellIs" dxfId="3599" priority="345" operator="lessThan">
      <formula>0</formula>
    </cfRule>
  </conditionalFormatting>
  <conditionalFormatting sqref="R84:R91">
    <cfRule type="cellIs" dxfId="3598" priority="343" operator="lessThan">
      <formula>0.8</formula>
    </cfRule>
    <cfRule type="cellIs" dxfId="3597" priority="344" operator="greaterThan">
      <formula>1</formula>
    </cfRule>
  </conditionalFormatting>
  <conditionalFormatting sqref="R84:R91">
    <cfRule type="cellIs" dxfId="3596" priority="341" operator="greaterThan">
      <formula>1</formula>
    </cfRule>
    <cfRule type="cellIs" dxfId="3595" priority="342" operator="lessThan">
      <formula>0.8</formula>
    </cfRule>
  </conditionalFormatting>
  <conditionalFormatting sqref="P84:P91">
    <cfRule type="cellIs" dxfId="3594" priority="334" operator="greaterThan">
      <formula>0</formula>
    </cfRule>
  </conditionalFormatting>
  <conditionalFormatting sqref="Q84:Q91">
    <cfRule type="cellIs" dxfId="3593" priority="339" operator="lessThan">
      <formula>0</formula>
    </cfRule>
  </conditionalFormatting>
  <conditionalFormatting sqref="R84:R91">
    <cfRule type="cellIs" dxfId="3592" priority="337" operator="lessThan">
      <formula>0.8</formula>
    </cfRule>
    <cfRule type="cellIs" dxfId="3591" priority="338" operator="greaterThan">
      <formula>1</formula>
    </cfRule>
  </conditionalFormatting>
  <conditionalFormatting sqref="R84:R91">
    <cfRule type="cellIs" dxfId="3590" priority="335" operator="greaterThan">
      <formula>1</formula>
    </cfRule>
    <cfRule type="cellIs" dxfId="3589" priority="336" operator="lessThan">
      <formula>0.8</formula>
    </cfRule>
  </conditionalFormatting>
  <conditionalFormatting sqref="R84:R91">
    <cfRule type="cellIs" dxfId="3588" priority="331" operator="lessThan">
      <formula>0.8</formula>
    </cfRule>
    <cfRule type="cellIs" dxfId="3587" priority="332" operator="greaterThan">
      <formula>1</formula>
    </cfRule>
  </conditionalFormatting>
  <conditionalFormatting sqref="R84:R91">
    <cfRule type="cellIs" dxfId="3586" priority="329" operator="greaterThan">
      <formula>1</formula>
    </cfRule>
    <cfRule type="cellIs" dxfId="3585" priority="330" operator="lessThan">
      <formula>0.8</formula>
    </cfRule>
  </conditionalFormatting>
  <conditionalFormatting sqref="P84:P91">
    <cfRule type="cellIs" dxfId="3584" priority="328" operator="greaterThan">
      <formula>0</formula>
    </cfRule>
  </conditionalFormatting>
  <conditionalFormatting sqref="Q84:Q91">
    <cfRule type="cellIs" dxfId="3583" priority="333" operator="lessThan">
      <formula>0</formula>
    </cfRule>
  </conditionalFormatting>
  <conditionalFormatting sqref="P84:P91">
    <cfRule type="cellIs" dxfId="3582" priority="322" operator="greaterThan">
      <formula>0</formula>
    </cfRule>
  </conditionalFormatting>
  <conditionalFormatting sqref="Q84:Q91">
    <cfRule type="cellIs" dxfId="3581" priority="327" operator="lessThan">
      <formula>0</formula>
    </cfRule>
  </conditionalFormatting>
  <conditionalFormatting sqref="R84:R91">
    <cfRule type="cellIs" dxfId="3580" priority="325" operator="lessThan">
      <formula>0.8</formula>
    </cfRule>
    <cfRule type="cellIs" dxfId="3579" priority="326" operator="greaterThan">
      <formula>1</formula>
    </cfRule>
  </conditionalFormatting>
  <conditionalFormatting sqref="R84:R91">
    <cfRule type="cellIs" dxfId="3578" priority="323" operator="greaterThan">
      <formula>1</formula>
    </cfRule>
    <cfRule type="cellIs" dxfId="3577" priority="324" operator="lessThan">
      <formula>0.8</formula>
    </cfRule>
  </conditionalFormatting>
  <conditionalFormatting sqref="R84:R91">
    <cfRule type="cellIs" dxfId="3576" priority="319" operator="lessThan">
      <formula>0.8</formula>
    </cfRule>
    <cfRule type="cellIs" dxfId="3575" priority="320" operator="greaterThan">
      <formula>1</formula>
    </cfRule>
  </conditionalFormatting>
  <conditionalFormatting sqref="R84:R91">
    <cfRule type="cellIs" dxfId="3574" priority="317" operator="greaterThan">
      <formula>1</formula>
    </cfRule>
    <cfRule type="cellIs" dxfId="3573" priority="318" operator="lessThan">
      <formula>0.8</formula>
    </cfRule>
  </conditionalFormatting>
  <conditionalFormatting sqref="P84:P91">
    <cfRule type="cellIs" dxfId="3572" priority="316" operator="greaterThan">
      <formula>0</formula>
    </cfRule>
  </conditionalFormatting>
  <conditionalFormatting sqref="Q84:Q91">
    <cfRule type="cellIs" dxfId="3571" priority="321" operator="lessThan">
      <formula>0</formula>
    </cfRule>
  </conditionalFormatting>
  <conditionalFormatting sqref="R84:R91">
    <cfRule type="cellIs" dxfId="3570" priority="313" operator="lessThan">
      <formula>0.8</formula>
    </cfRule>
    <cfRule type="cellIs" dxfId="3569" priority="314" operator="greaterThan">
      <formula>1</formula>
    </cfRule>
  </conditionalFormatting>
  <conditionalFormatting sqref="R84:R91">
    <cfRule type="cellIs" dxfId="3568" priority="311" operator="greaterThan">
      <formula>1</formula>
    </cfRule>
    <cfRule type="cellIs" dxfId="3567" priority="312" operator="lessThan">
      <formula>0.8</formula>
    </cfRule>
  </conditionalFormatting>
  <conditionalFormatting sqref="P84:P91">
    <cfRule type="cellIs" dxfId="3566" priority="310" operator="greaterThan">
      <formula>0</formula>
    </cfRule>
  </conditionalFormatting>
  <conditionalFormatting sqref="Q84:Q91">
    <cfRule type="cellIs" dxfId="3565" priority="315" operator="lessThan">
      <formula>0</formula>
    </cfRule>
  </conditionalFormatting>
  <conditionalFormatting sqref="Q84:Q91">
    <cfRule type="cellIs" dxfId="3564" priority="309" operator="lessThan">
      <formula>0</formula>
    </cfRule>
  </conditionalFormatting>
  <conditionalFormatting sqref="R84:R91">
    <cfRule type="cellIs" dxfId="3563" priority="307" operator="lessThan">
      <formula>0.8</formula>
    </cfRule>
    <cfRule type="cellIs" dxfId="3562" priority="308" operator="greaterThan">
      <formula>1</formula>
    </cfRule>
  </conditionalFormatting>
  <conditionalFormatting sqref="R84:R91">
    <cfRule type="cellIs" dxfId="3561" priority="305" operator="greaterThan">
      <formula>1</formula>
    </cfRule>
    <cfRule type="cellIs" dxfId="3560" priority="306" operator="lessThan">
      <formula>0.8</formula>
    </cfRule>
  </conditionalFormatting>
  <conditionalFormatting sqref="P84:P91">
    <cfRule type="cellIs" dxfId="3559" priority="304" operator="greaterThan">
      <formula>0</formula>
    </cfRule>
  </conditionalFormatting>
  <conditionalFormatting sqref="Q84:Q91">
    <cfRule type="cellIs" dxfId="3558" priority="298" operator="lessThan">
      <formula>0</formula>
    </cfRule>
  </conditionalFormatting>
  <conditionalFormatting sqref="R84:R91">
    <cfRule type="cellIs" dxfId="3557" priority="302" operator="lessThan">
      <formula>0.8</formula>
    </cfRule>
    <cfRule type="cellIs" dxfId="3556" priority="303" operator="greaterThan">
      <formula>1</formula>
    </cfRule>
  </conditionalFormatting>
  <conditionalFormatting sqref="R84:R91">
    <cfRule type="cellIs" dxfId="3555" priority="300" operator="greaterThan">
      <formula>1</formula>
    </cfRule>
    <cfRule type="cellIs" dxfId="3554" priority="301" operator="lessThan">
      <formula>0.8</formula>
    </cfRule>
  </conditionalFormatting>
  <conditionalFormatting sqref="P84:P91">
    <cfRule type="cellIs" dxfId="3553" priority="299" operator="greaterThan">
      <formula>0</formula>
    </cfRule>
  </conditionalFormatting>
  <conditionalFormatting sqref="Q84:Q91">
    <cfRule type="cellIs" dxfId="3552" priority="297" operator="lessThan">
      <formula>0</formula>
    </cfRule>
  </conditionalFormatting>
  <conditionalFormatting sqref="R84:R91">
    <cfRule type="cellIs" dxfId="3551" priority="295" operator="lessThan">
      <formula>0.8</formula>
    </cfRule>
    <cfRule type="cellIs" dxfId="3550" priority="296" operator="greaterThan">
      <formula>1</formula>
    </cfRule>
  </conditionalFormatting>
  <conditionalFormatting sqref="R84:R91">
    <cfRule type="cellIs" dxfId="3549" priority="293" operator="greaterThan">
      <formula>1</formula>
    </cfRule>
    <cfRule type="cellIs" dxfId="3548" priority="294" operator="lessThan">
      <formula>0.8</formula>
    </cfRule>
  </conditionalFormatting>
  <conditionalFormatting sqref="P84:P91">
    <cfRule type="cellIs" dxfId="3547" priority="292" operator="greaterThan">
      <formula>0</formula>
    </cfRule>
  </conditionalFormatting>
  <conditionalFormatting sqref="Q84:Q91">
    <cfRule type="cellIs" dxfId="3546" priority="291" operator="lessThan">
      <formula>0</formula>
    </cfRule>
  </conditionalFormatting>
  <conditionalFormatting sqref="R84:R91">
    <cfRule type="cellIs" dxfId="3545" priority="289" operator="lessThan">
      <formula>0.8</formula>
    </cfRule>
    <cfRule type="cellIs" dxfId="3544" priority="290" operator="greaterThan">
      <formula>1</formula>
    </cfRule>
  </conditionalFormatting>
  <conditionalFormatting sqref="R84:R91">
    <cfRule type="cellIs" dxfId="3543" priority="287" operator="greaterThan">
      <formula>1</formula>
    </cfRule>
    <cfRule type="cellIs" dxfId="3542" priority="288" operator="lessThan">
      <formula>0.8</formula>
    </cfRule>
  </conditionalFormatting>
  <conditionalFormatting sqref="P84:P91">
    <cfRule type="cellIs" dxfId="3541" priority="286" operator="greaterThan">
      <formula>0</formula>
    </cfRule>
  </conditionalFormatting>
  <conditionalFormatting sqref="Q84:Q91">
    <cfRule type="cellIs" dxfId="3540" priority="285" operator="lessThan">
      <formula>0</formula>
    </cfRule>
  </conditionalFormatting>
  <conditionalFormatting sqref="R84:R91">
    <cfRule type="cellIs" dxfId="3539" priority="283" operator="lessThan">
      <formula>0.8</formula>
    </cfRule>
    <cfRule type="cellIs" dxfId="3538" priority="284" operator="greaterThan">
      <formula>1</formula>
    </cfRule>
  </conditionalFormatting>
  <conditionalFormatting sqref="R84:R91">
    <cfRule type="cellIs" dxfId="3537" priority="281" operator="greaterThan">
      <formula>1</formula>
    </cfRule>
    <cfRule type="cellIs" dxfId="3536" priority="282" operator="lessThan">
      <formula>0.8</formula>
    </cfRule>
  </conditionalFormatting>
  <conditionalFormatting sqref="P84:P91">
    <cfRule type="cellIs" dxfId="3535" priority="280" operator="greaterThan">
      <formula>0</formula>
    </cfRule>
  </conditionalFormatting>
  <conditionalFormatting sqref="Q84:Q91">
    <cfRule type="cellIs" dxfId="3534" priority="279" operator="lessThan">
      <formula>0</formula>
    </cfRule>
  </conditionalFormatting>
  <conditionalFormatting sqref="R84:R91">
    <cfRule type="cellIs" dxfId="3533" priority="277" operator="lessThan">
      <formula>0.8</formula>
    </cfRule>
    <cfRule type="cellIs" dxfId="3532" priority="278" operator="greaterThan">
      <formula>1</formula>
    </cfRule>
  </conditionalFormatting>
  <conditionalFormatting sqref="R84:R91">
    <cfRule type="cellIs" dxfId="3531" priority="275" operator="greaterThan">
      <formula>1</formula>
    </cfRule>
    <cfRule type="cellIs" dxfId="3530" priority="276" operator="lessThan">
      <formula>0.8</formula>
    </cfRule>
  </conditionalFormatting>
  <conditionalFormatting sqref="P84:P91">
    <cfRule type="cellIs" dxfId="3529" priority="274" operator="greaterThan">
      <formula>0</formula>
    </cfRule>
  </conditionalFormatting>
  <conditionalFormatting sqref="Q84:Q91">
    <cfRule type="cellIs" dxfId="3528" priority="273" operator="lessThan">
      <formula>0</formula>
    </cfRule>
  </conditionalFormatting>
  <conditionalFormatting sqref="R84:R91">
    <cfRule type="cellIs" dxfId="3527" priority="271" operator="lessThan">
      <formula>0.8</formula>
    </cfRule>
    <cfRule type="cellIs" dxfId="3526" priority="272" operator="greaterThan">
      <formula>1</formula>
    </cfRule>
  </conditionalFormatting>
  <conditionalFormatting sqref="R84:R91">
    <cfRule type="cellIs" dxfId="3525" priority="269" operator="greaterThan">
      <formula>1</formula>
    </cfRule>
    <cfRule type="cellIs" dxfId="3524" priority="270" operator="lessThan">
      <formula>0.8</formula>
    </cfRule>
  </conditionalFormatting>
  <conditionalFormatting sqref="P84:P91">
    <cfRule type="cellIs" dxfId="3523" priority="268" operator="greaterThan">
      <formula>0</formula>
    </cfRule>
  </conditionalFormatting>
  <conditionalFormatting sqref="P84:P91">
    <cfRule type="cellIs" dxfId="3522" priority="262" operator="greaterThan">
      <formula>0</formula>
    </cfRule>
  </conditionalFormatting>
  <conditionalFormatting sqref="Q84:Q91">
    <cfRule type="cellIs" dxfId="3521" priority="267" operator="lessThan">
      <formula>0</formula>
    </cfRule>
  </conditionalFormatting>
  <conditionalFormatting sqref="R84:R91">
    <cfRule type="cellIs" dxfId="3520" priority="265" operator="lessThan">
      <formula>0.8</formula>
    </cfRule>
    <cfRule type="cellIs" dxfId="3519" priority="266" operator="greaterThan">
      <formula>1</formula>
    </cfRule>
  </conditionalFormatting>
  <conditionalFormatting sqref="R84:R91">
    <cfRule type="cellIs" dxfId="3518" priority="263" operator="greaterThan">
      <formula>1</formula>
    </cfRule>
    <cfRule type="cellIs" dxfId="3517" priority="264" operator="lessThan">
      <formula>0.8</formula>
    </cfRule>
  </conditionalFormatting>
  <conditionalFormatting sqref="P84:P91">
    <cfRule type="cellIs" dxfId="3516" priority="256" operator="greaterThan">
      <formula>0</formula>
    </cfRule>
  </conditionalFormatting>
  <conditionalFormatting sqref="Q84:Q91">
    <cfRule type="cellIs" dxfId="3515" priority="261" operator="lessThan">
      <formula>0</formula>
    </cfRule>
  </conditionalFormatting>
  <conditionalFormatting sqref="R84:R91">
    <cfRule type="cellIs" dxfId="3514" priority="259" operator="lessThan">
      <formula>0.8</formula>
    </cfRule>
    <cfRule type="cellIs" dxfId="3513" priority="260" operator="greaterThan">
      <formula>1</formula>
    </cfRule>
  </conditionalFormatting>
  <conditionalFormatting sqref="R84:R91">
    <cfRule type="cellIs" dxfId="3512" priority="257" operator="greaterThan">
      <formula>1</formula>
    </cfRule>
    <cfRule type="cellIs" dxfId="3511" priority="258" operator="lessThan">
      <formula>0.8</formula>
    </cfRule>
  </conditionalFormatting>
  <conditionalFormatting sqref="R84:R91">
    <cfRule type="cellIs" dxfId="3510" priority="253" operator="lessThan">
      <formula>0.8</formula>
    </cfRule>
    <cfRule type="cellIs" dxfId="3509" priority="254" operator="greaterThan">
      <formula>1</formula>
    </cfRule>
  </conditionalFormatting>
  <conditionalFormatting sqref="R84:R91">
    <cfRule type="cellIs" dxfId="3508" priority="251" operator="greaterThan">
      <formula>1</formula>
    </cfRule>
    <cfRule type="cellIs" dxfId="3507" priority="252" operator="lessThan">
      <formula>0.8</formula>
    </cfRule>
  </conditionalFormatting>
  <conditionalFormatting sqref="P84:P91">
    <cfRule type="cellIs" dxfId="3506" priority="250" operator="greaterThan">
      <formula>0</formula>
    </cfRule>
  </conditionalFormatting>
  <conditionalFormatting sqref="Q84:Q91">
    <cfRule type="cellIs" dxfId="3505" priority="255" operator="lessThan">
      <formula>0</formula>
    </cfRule>
  </conditionalFormatting>
  <conditionalFormatting sqref="Q84:Q91">
    <cfRule type="cellIs" dxfId="3504" priority="249" operator="lessThan">
      <formula>0</formula>
    </cfRule>
  </conditionalFormatting>
  <conditionalFormatting sqref="R84:R91">
    <cfRule type="cellIs" dxfId="3503" priority="247" operator="lessThan">
      <formula>0.8</formula>
    </cfRule>
    <cfRule type="cellIs" dxfId="3502" priority="248" operator="greaterThan">
      <formula>1</formula>
    </cfRule>
  </conditionalFormatting>
  <conditionalFormatting sqref="R84:R91">
    <cfRule type="cellIs" dxfId="3501" priority="245" operator="greaterThan">
      <formula>1</formula>
    </cfRule>
    <cfRule type="cellIs" dxfId="3500" priority="246" operator="lessThan">
      <formula>0.8</formula>
    </cfRule>
  </conditionalFormatting>
  <conditionalFormatting sqref="P84:P91">
    <cfRule type="cellIs" dxfId="3499" priority="244" operator="greaterThan">
      <formula>0</formula>
    </cfRule>
  </conditionalFormatting>
  <conditionalFormatting sqref="Q84:Q91">
    <cfRule type="cellIs" dxfId="3498" priority="243" operator="lessThan">
      <formula>0</formula>
    </cfRule>
  </conditionalFormatting>
  <conditionalFormatting sqref="R84:R91">
    <cfRule type="cellIs" dxfId="3497" priority="241" operator="lessThan">
      <formula>0.8</formula>
    </cfRule>
    <cfRule type="cellIs" dxfId="3496" priority="242" operator="greaterThan">
      <formula>1</formula>
    </cfRule>
  </conditionalFormatting>
  <conditionalFormatting sqref="R84:R91">
    <cfRule type="cellIs" dxfId="3495" priority="239" operator="greaterThan">
      <formula>1</formula>
    </cfRule>
    <cfRule type="cellIs" dxfId="3494" priority="240" operator="lessThan">
      <formula>0.8</formula>
    </cfRule>
  </conditionalFormatting>
  <conditionalFormatting sqref="P84:P91">
    <cfRule type="cellIs" dxfId="3493" priority="238" operator="greaterThan">
      <formula>0</formula>
    </cfRule>
  </conditionalFormatting>
  <conditionalFormatting sqref="Q84:Q91">
    <cfRule type="cellIs" dxfId="3492" priority="237" operator="lessThan">
      <formula>0</formula>
    </cfRule>
  </conditionalFormatting>
  <conditionalFormatting sqref="R84:R91">
    <cfRule type="cellIs" dxfId="3491" priority="235" operator="lessThan">
      <formula>0.8</formula>
    </cfRule>
    <cfRule type="cellIs" dxfId="3490" priority="236" operator="greaterThan">
      <formula>1</formula>
    </cfRule>
  </conditionalFormatting>
  <conditionalFormatting sqref="R84:R91">
    <cfRule type="cellIs" dxfId="3489" priority="233" operator="greaterThan">
      <formula>1</formula>
    </cfRule>
    <cfRule type="cellIs" dxfId="3488" priority="234" operator="lessThan">
      <formula>0.8</formula>
    </cfRule>
  </conditionalFormatting>
  <conditionalFormatting sqref="P84:P91">
    <cfRule type="cellIs" dxfId="3487" priority="232" operator="greaterThan">
      <formula>0</formula>
    </cfRule>
  </conditionalFormatting>
  <conditionalFormatting sqref="Q84:Q91">
    <cfRule type="cellIs" dxfId="3486" priority="231" operator="lessThan">
      <formula>0</formula>
    </cfRule>
  </conditionalFormatting>
  <conditionalFormatting sqref="R84:R91">
    <cfRule type="cellIs" dxfId="3485" priority="229" operator="lessThan">
      <formula>0.8</formula>
    </cfRule>
    <cfRule type="cellIs" dxfId="3484" priority="230" operator="greaterThan">
      <formula>1</formula>
    </cfRule>
  </conditionalFormatting>
  <conditionalFormatting sqref="R84:R91">
    <cfRule type="cellIs" dxfId="3483" priority="227" operator="greaterThan">
      <formula>1</formula>
    </cfRule>
    <cfRule type="cellIs" dxfId="3482" priority="228" operator="lessThan">
      <formula>0.8</formula>
    </cfRule>
  </conditionalFormatting>
  <conditionalFormatting sqref="P84:P91">
    <cfRule type="cellIs" dxfId="3481" priority="226" operator="greaterThan">
      <formula>0</formula>
    </cfRule>
  </conditionalFormatting>
  <conditionalFormatting sqref="P84:P91">
    <cfRule type="cellIs" dxfId="3480" priority="220" operator="greaterThan">
      <formula>0</formula>
    </cfRule>
  </conditionalFormatting>
  <conditionalFormatting sqref="Q84:Q91">
    <cfRule type="cellIs" dxfId="3479" priority="225" operator="lessThan">
      <formula>0</formula>
    </cfRule>
  </conditionalFormatting>
  <conditionalFormatting sqref="R84:R91">
    <cfRule type="cellIs" dxfId="3478" priority="223" operator="lessThan">
      <formula>0.8</formula>
    </cfRule>
    <cfRule type="cellIs" dxfId="3477" priority="224" operator="greaterThan">
      <formula>1</formula>
    </cfRule>
  </conditionalFormatting>
  <conditionalFormatting sqref="R84:R91">
    <cfRule type="cellIs" dxfId="3476" priority="221" operator="greaterThan">
      <formula>1</formula>
    </cfRule>
    <cfRule type="cellIs" dxfId="3475" priority="222" operator="lessThan">
      <formula>0.8</formula>
    </cfRule>
  </conditionalFormatting>
  <conditionalFormatting sqref="P84:P91">
    <cfRule type="cellIs" dxfId="3474" priority="214" operator="greaterThan">
      <formula>0</formula>
    </cfRule>
  </conditionalFormatting>
  <conditionalFormatting sqref="Q84:Q91">
    <cfRule type="cellIs" dxfId="3473" priority="219" operator="lessThan">
      <formula>0</formula>
    </cfRule>
  </conditionalFormatting>
  <conditionalFormatting sqref="R84:R91">
    <cfRule type="cellIs" dxfId="3472" priority="217" operator="lessThan">
      <formula>0.8</formula>
    </cfRule>
    <cfRule type="cellIs" dxfId="3471" priority="218" operator="greaterThan">
      <formula>1</formula>
    </cfRule>
  </conditionalFormatting>
  <conditionalFormatting sqref="R84:R91">
    <cfRule type="cellIs" dxfId="3470" priority="215" operator="greaterThan">
      <formula>1</formula>
    </cfRule>
    <cfRule type="cellIs" dxfId="3469" priority="216" operator="lessThan">
      <formula>0.8</formula>
    </cfRule>
  </conditionalFormatting>
  <conditionalFormatting sqref="R84:R91">
    <cfRule type="cellIs" dxfId="3468" priority="211" operator="lessThan">
      <formula>0.8</formula>
    </cfRule>
    <cfRule type="cellIs" dxfId="3467" priority="212" operator="greaterThan">
      <formula>1</formula>
    </cfRule>
  </conditionalFormatting>
  <conditionalFormatting sqref="R84:R91">
    <cfRule type="cellIs" dxfId="3466" priority="209" operator="greaterThan">
      <formula>1</formula>
    </cfRule>
    <cfRule type="cellIs" dxfId="3465" priority="210" operator="lessThan">
      <formula>0.8</formula>
    </cfRule>
  </conditionalFormatting>
  <conditionalFormatting sqref="P84:P91">
    <cfRule type="cellIs" dxfId="3464" priority="208" operator="greaterThan">
      <formula>0</formula>
    </cfRule>
  </conditionalFormatting>
  <conditionalFormatting sqref="Q84:Q91">
    <cfRule type="cellIs" dxfId="3463" priority="213" operator="lessThan">
      <formula>0</formula>
    </cfRule>
  </conditionalFormatting>
  <conditionalFormatting sqref="Q84:Q91">
    <cfRule type="cellIs" dxfId="3462" priority="207" operator="lessThan">
      <formula>0</formula>
    </cfRule>
  </conditionalFormatting>
  <conditionalFormatting sqref="R84:R91">
    <cfRule type="cellIs" dxfId="3461" priority="205" operator="lessThan">
      <formula>0.8</formula>
    </cfRule>
    <cfRule type="cellIs" dxfId="3460" priority="206" operator="greaterThan">
      <formula>1</formula>
    </cfRule>
  </conditionalFormatting>
  <conditionalFormatting sqref="R84:R91">
    <cfRule type="cellIs" dxfId="3459" priority="203" operator="greaterThan">
      <formula>1</formula>
    </cfRule>
    <cfRule type="cellIs" dxfId="3458" priority="204" operator="lessThan">
      <formula>0.8</formula>
    </cfRule>
  </conditionalFormatting>
  <conditionalFormatting sqref="P84:P91">
    <cfRule type="cellIs" dxfId="3457" priority="202" operator="greaterThan">
      <formula>0</formula>
    </cfRule>
  </conditionalFormatting>
  <conditionalFormatting sqref="P84:P91">
    <cfRule type="cellIs" dxfId="3456" priority="196" operator="greaterThan">
      <formula>0</formula>
    </cfRule>
  </conditionalFormatting>
  <conditionalFormatting sqref="Q84:Q91">
    <cfRule type="cellIs" dxfId="3455" priority="201" operator="lessThan">
      <formula>0</formula>
    </cfRule>
  </conditionalFormatting>
  <conditionalFormatting sqref="R84:R91">
    <cfRule type="cellIs" dxfId="3454" priority="199" operator="lessThan">
      <formula>0.8</formula>
    </cfRule>
    <cfRule type="cellIs" dxfId="3453" priority="200" operator="greaterThan">
      <formula>1</formula>
    </cfRule>
  </conditionalFormatting>
  <conditionalFormatting sqref="R84:R91">
    <cfRule type="cellIs" dxfId="3452" priority="197" operator="greaterThan">
      <formula>1</formula>
    </cfRule>
    <cfRule type="cellIs" dxfId="3451" priority="198" operator="lessThan">
      <formula>0.8</formula>
    </cfRule>
  </conditionalFormatting>
  <conditionalFormatting sqref="P84:P91">
    <cfRule type="cellIs" dxfId="3450" priority="190" operator="greaterThan">
      <formula>0</formula>
    </cfRule>
  </conditionalFormatting>
  <conditionalFormatting sqref="Q84:Q91">
    <cfRule type="cellIs" dxfId="3449" priority="195" operator="lessThan">
      <formula>0</formula>
    </cfRule>
  </conditionalFormatting>
  <conditionalFormatting sqref="R84:R91">
    <cfRule type="cellIs" dxfId="3448" priority="193" operator="lessThan">
      <formula>0.8</formula>
    </cfRule>
    <cfRule type="cellIs" dxfId="3447" priority="194" operator="greaterThan">
      <formula>1</formula>
    </cfRule>
  </conditionalFormatting>
  <conditionalFormatting sqref="R84:R91">
    <cfRule type="cellIs" dxfId="3446" priority="191" operator="greaterThan">
      <formula>1</formula>
    </cfRule>
    <cfRule type="cellIs" dxfId="3445" priority="192" operator="lessThan">
      <formula>0.8</formula>
    </cfRule>
  </conditionalFormatting>
  <conditionalFormatting sqref="R84:R91">
    <cfRule type="cellIs" dxfId="3444" priority="187" operator="lessThan">
      <formula>0.8</formula>
    </cfRule>
    <cfRule type="cellIs" dxfId="3443" priority="188" operator="greaterThan">
      <formula>1</formula>
    </cfRule>
  </conditionalFormatting>
  <conditionalFormatting sqref="R84:R91">
    <cfRule type="cellIs" dxfId="3442" priority="185" operator="greaterThan">
      <formula>1</formula>
    </cfRule>
    <cfRule type="cellIs" dxfId="3441" priority="186" operator="lessThan">
      <formula>0.8</formula>
    </cfRule>
  </conditionalFormatting>
  <conditionalFormatting sqref="P84:P91">
    <cfRule type="cellIs" dxfId="3440" priority="184" operator="greaterThan">
      <formula>0</formula>
    </cfRule>
  </conditionalFormatting>
  <conditionalFormatting sqref="Q84:Q91">
    <cfRule type="cellIs" dxfId="3439" priority="189" operator="lessThan">
      <formula>0</formula>
    </cfRule>
  </conditionalFormatting>
  <conditionalFormatting sqref="P84:P91">
    <cfRule type="cellIs" dxfId="3438" priority="178" operator="greaterThan">
      <formula>0</formula>
    </cfRule>
  </conditionalFormatting>
  <conditionalFormatting sqref="Q84:Q91">
    <cfRule type="cellIs" dxfId="3437" priority="183" operator="lessThan">
      <formula>0</formula>
    </cfRule>
  </conditionalFormatting>
  <conditionalFormatting sqref="R84:R91">
    <cfRule type="cellIs" dxfId="3436" priority="181" operator="lessThan">
      <formula>0.8</formula>
    </cfRule>
    <cfRule type="cellIs" dxfId="3435" priority="182" operator="greaterThan">
      <formula>1</formula>
    </cfRule>
  </conditionalFormatting>
  <conditionalFormatting sqref="R84:R91">
    <cfRule type="cellIs" dxfId="3434" priority="179" operator="greaterThan">
      <formula>1</formula>
    </cfRule>
    <cfRule type="cellIs" dxfId="3433" priority="180" operator="lessThan">
      <formula>0.8</formula>
    </cfRule>
  </conditionalFormatting>
  <conditionalFormatting sqref="R84:R91">
    <cfRule type="cellIs" dxfId="3432" priority="175" operator="lessThan">
      <formula>0.8</formula>
    </cfRule>
    <cfRule type="cellIs" dxfId="3431" priority="176" operator="greaterThan">
      <formula>1</formula>
    </cfRule>
  </conditionalFormatting>
  <conditionalFormatting sqref="R84:R91">
    <cfRule type="cellIs" dxfId="3430" priority="173" operator="greaterThan">
      <formula>1</formula>
    </cfRule>
    <cfRule type="cellIs" dxfId="3429" priority="174" operator="lessThan">
      <formula>0.8</formula>
    </cfRule>
  </conditionalFormatting>
  <conditionalFormatting sqref="P84:P91">
    <cfRule type="cellIs" dxfId="3428" priority="172" operator="greaterThan">
      <formula>0</formula>
    </cfRule>
  </conditionalFormatting>
  <conditionalFormatting sqref="Q84:Q91">
    <cfRule type="cellIs" dxfId="3427" priority="177" operator="lessThan">
      <formula>0</formula>
    </cfRule>
  </conditionalFormatting>
  <conditionalFormatting sqref="R84:R91">
    <cfRule type="cellIs" dxfId="3426" priority="169" operator="lessThan">
      <formula>0.8</formula>
    </cfRule>
    <cfRule type="cellIs" dxfId="3425" priority="170" operator="greaterThan">
      <formula>1</formula>
    </cfRule>
  </conditionalFormatting>
  <conditionalFormatting sqref="R84:R91">
    <cfRule type="cellIs" dxfId="3424" priority="167" operator="greaterThan">
      <formula>1</formula>
    </cfRule>
    <cfRule type="cellIs" dxfId="3423" priority="168" operator="lessThan">
      <formula>0.8</formula>
    </cfRule>
  </conditionalFormatting>
  <conditionalFormatting sqref="P84:P91">
    <cfRule type="cellIs" dxfId="3422" priority="166" operator="greaterThan">
      <formula>0</formula>
    </cfRule>
  </conditionalFormatting>
  <conditionalFormatting sqref="Q84:Q91">
    <cfRule type="cellIs" dxfId="3421" priority="171" operator="lessThan">
      <formula>0</formula>
    </cfRule>
  </conditionalFormatting>
  <conditionalFormatting sqref="Q84:Q91">
    <cfRule type="cellIs" dxfId="3420" priority="165" operator="lessThan">
      <formula>0</formula>
    </cfRule>
  </conditionalFormatting>
  <conditionalFormatting sqref="R84:R91">
    <cfRule type="cellIs" dxfId="3419" priority="163" operator="lessThan">
      <formula>0.8</formula>
    </cfRule>
    <cfRule type="cellIs" dxfId="3418" priority="164" operator="greaterThan">
      <formula>1</formula>
    </cfRule>
  </conditionalFormatting>
  <conditionalFormatting sqref="R84:R91">
    <cfRule type="cellIs" dxfId="3417" priority="161" operator="greaterThan">
      <formula>1</formula>
    </cfRule>
    <cfRule type="cellIs" dxfId="3416" priority="162" operator="lessThan">
      <formula>0.8</formula>
    </cfRule>
  </conditionalFormatting>
  <conditionalFormatting sqref="P84:P91">
    <cfRule type="cellIs" dxfId="3415" priority="160" operator="greaterThan">
      <formula>0</formula>
    </cfRule>
  </conditionalFormatting>
  <conditionalFormatting sqref="Q84:Q91">
    <cfRule type="cellIs" dxfId="3414" priority="154" operator="lessThan">
      <formula>0</formula>
    </cfRule>
  </conditionalFormatting>
  <conditionalFormatting sqref="R84:R91">
    <cfRule type="cellIs" dxfId="3413" priority="158" operator="lessThan">
      <formula>0.8</formula>
    </cfRule>
    <cfRule type="cellIs" dxfId="3412" priority="159" operator="greaterThan">
      <formula>1</formula>
    </cfRule>
  </conditionalFormatting>
  <conditionalFormatting sqref="R84:R91">
    <cfRule type="cellIs" dxfId="3411" priority="156" operator="greaterThan">
      <formula>1</formula>
    </cfRule>
    <cfRule type="cellIs" dxfId="3410" priority="157" operator="lessThan">
      <formula>0.8</formula>
    </cfRule>
  </conditionalFormatting>
  <conditionalFormatting sqref="P84:P91">
    <cfRule type="cellIs" dxfId="3409" priority="155" operator="greaterThan">
      <formula>0</formula>
    </cfRule>
  </conditionalFormatting>
  <conditionalFormatting sqref="Q84:Q91">
    <cfRule type="cellIs" dxfId="3408" priority="153" operator="lessThan">
      <formula>0</formula>
    </cfRule>
  </conditionalFormatting>
  <conditionalFormatting sqref="R84:R91">
    <cfRule type="cellIs" dxfId="3407" priority="151" operator="lessThan">
      <formula>0.8</formula>
    </cfRule>
    <cfRule type="cellIs" dxfId="3406" priority="152" operator="greaterThan">
      <formula>1</formula>
    </cfRule>
  </conditionalFormatting>
  <conditionalFormatting sqref="R84:R91">
    <cfRule type="cellIs" dxfId="3405" priority="149" operator="greaterThan">
      <formula>1</formula>
    </cfRule>
    <cfRule type="cellIs" dxfId="3404" priority="150" operator="lessThan">
      <formula>0.8</formula>
    </cfRule>
  </conditionalFormatting>
  <conditionalFormatting sqref="P84:P91">
    <cfRule type="cellIs" dxfId="3403" priority="148" operator="greaterThan">
      <formula>0</formula>
    </cfRule>
  </conditionalFormatting>
  <conditionalFormatting sqref="Q84:Q91">
    <cfRule type="cellIs" dxfId="3402" priority="147" operator="lessThan">
      <formula>0</formula>
    </cfRule>
  </conditionalFormatting>
  <conditionalFormatting sqref="R84:R91">
    <cfRule type="cellIs" dxfId="3401" priority="145" operator="lessThan">
      <formula>0.8</formula>
    </cfRule>
    <cfRule type="cellIs" dxfId="3400" priority="146" operator="greaterThan">
      <formula>1</formula>
    </cfRule>
  </conditionalFormatting>
  <conditionalFormatting sqref="R84:R91">
    <cfRule type="cellIs" dxfId="3399" priority="143" operator="greaterThan">
      <formula>1</formula>
    </cfRule>
    <cfRule type="cellIs" dxfId="3398" priority="144" operator="lessThan">
      <formula>0.8</formula>
    </cfRule>
  </conditionalFormatting>
  <conditionalFormatting sqref="P84:P91">
    <cfRule type="cellIs" dxfId="3397" priority="142" operator="greaterThan">
      <formula>0</formula>
    </cfRule>
  </conditionalFormatting>
  <conditionalFormatting sqref="Q84:Q91">
    <cfRule type="cellIs" dxfId="3396" priority="141" operator="lessThan">
      <formula>0</formula>
    </cfRule>
  </conditionalFormatting>
  <conditionalFormatting sqref="R84:R91">
    <cfRule type="cellIs" dxfId="3395" priority="139" operator="lessThan">
      <formula>0.8</formula>
    </cfRule>
    <cfRule type="cellIs" dxfId="3394" priority="140" operator="greaterThan">
      <formula>1</formula>
    </cfRule>
  </conditionalFormatting>
  <conditionalFormatting sqref="R84:R91">
    <cfRule type="cellIs" dxfId="3393" priority="137" operator="greaterThan">
      <formula>1</formula>
    </cfRule>
    <cfRule type="cellIs" dxfId="3392" priority="138" operator="lessThan">
      <formula>0.8</formula>
    </cfRule>
  </conditionalFormatting>
  <conditionalFormatting sqref="P84:P91">
    <cfRule type="cellIs" dxfId="3391" priority="136" operator="greaterThan">
      <formula>0</formula>
    </cfRule>
  </conditionalFormatting>
  <conditionalFormatting sqref="Q84:Q91">
    <cfRule type="cellIs" dxfId="3390" priority="135" operator="lessThan">
      <formula>0</formula>
    </cfRule>
  </conditionalFormatting>
  <conditionalFormatting sqref="R84:R91">
    <cfRule type="cellIs" dxfId="3389" priority="133" operator="lessThan">
      <formula>0.8</formula>
    </cfRule>
    <cfRule type="cellIs" dxfId="3388" priority="134" operator="greaterThan">
      <formula>1</formula>
    </cfRule>
  </conditionalFormatting>
  <conditionalFormatting sqref="R84:R91">
    <cfRule type="cellIs" dxfId="3387" priority="131" operator="greaterThan">
      <formula>1</formula>
    </cfRule>
    <cfRule type="cellIs" dxfId="3386" priority="132" operator="lessThan">
      <formula>0.8</formula>
    </cfRule>
  </conditionalFormatting>
  <conditionalFormatting sqref="P84:P91">
    <cfRule type="cellIs" dxfId="3385" priority="130" operator="greaterThan">
      <formula>0</formula>
    </cfRule>
  </conditionalFormatting>
  <conditionalFormatting sqref="Q84:Q91">
    <cfRule type="cellIs" dxfId="3384" priority="129" operator="lessThan">
      <formula>0</formula>
    </cfRule>
  </conditionalFormatting>
  <conditionalFormatting sqref="R84:R91">
    <cfRule type="cellIs" dxfId="3383" priority="127" operator="lessThan">
      <formula>0.8</formula>
    </cfRule>
    <cfRule type="cellIs" dxfId="3382" priority="128" operator="greaterThan">
      <formula>1</formula>
    </cfRule>
  </conditionalFormatting>
  <conditionalFormatting sqref="R84:R91">
    <cfRule type="cellIs" dxfId="3381" priority="125" operator="greaterThan">
      <formula>1</formula>
    </cfRule>
    <cfRule type="cellIs" dxfId="3380" priority="126" operator="lessThan">
      <formula>0.8</formula>
    </cfRule>
  </conditionalFormatting>
  <conditionalFormatting sqref="P84:P91">
    <cfRule type="cellIs" dxfId="3379" priority="124" operator="greaterThan">
      <formula>0</formula>
    </cfRule>
  </conditionalFormatting>
  <conditionalFormatting sqref="P84:P91">
    <cfRule type="cellIs" dxfId="3378" priority="118" operator="greaterThan">
      <formula>0</formula>
    </cfRule>
  </conditionalFormatting>
  <conditionalFormatting sqref="Q84:Q91">
    <cfRule type="cellIs" dxfId="3377" priority="123" operator="lessThan">
      <formula>0</formula>
    </cfRule>
  </conditionalFormatting>
  <conditionalFormatting sqref="R84:R91">
    <cfRule type="cellIs" dxfId="3376" priority="121" operator="lessThan">
      <formula>0.8</formula>
    </cfRule>
    <cfRule type="cellIs" dxfId="3375" priority="122" operator="greaterThan">
      <formula>1</formula>
    </cfRule>
  </conditionalFormatting>
  <conditionalFormatting sqref="R84:R91">
    <cfRule type="cellIs" dxfId="3374" priority="119" operator="greaterThan">
      <formula>1</formula>
    </cfRule>
    <cfRule type="cellIs" dxfId="3373" priority="120" operator="lessThan">
      <formula>0.8</formula>
    </cfRule>
  </conditionalFormatting>
  <conditionalFormatting sqref="P84:P91">
    <cfRule type="cellIs" dxfId="3372" priority="112" operator="greaterThan">
      <formula>0</formula>
    </cfRule>
  </conditionalFormatting>
  <conditionalFormatting sqref="Q84:Q91">
    <cfRule type="cellIs" dxfId="3371" priority="117" operator="lessThan">
      <formula>0</formula>
    </cfRule>
  </conditionalFormatting>
  <conditionalFormatting sqref="R84:R91">
    <cfRule type="cellIs" dxfId="3370" priority="115" operator="lessThan">
      <formula>0.8</formula>
    </cfRule>
    <cfRule type="cellIs" dxfId="3369" priority="116" operator="greaterThan">
      <formula>1</formula>
    </cfRule>
  </conditionalFormatting>
  <conditionalFormatting sqref="R84:R91">
    <cfRule type="cellIs" dxfId="3368" priority="113" operator="greaterThan">
      <formula>1</formula>
    </cfRule>
    <cfRule type="cellIs" dxfId="3367" priority="114" operator="lessThan">
      <formula>0.8</formula>
    </cfRule>
  </conditionalFormatting>
  <conditionalFormatting sqref="R84:R91">
    <cfRule type="cellIs" dxfId="3366" priority="109" operator="lessThan">
      <formula>0.8</formula>
    </cfRule>
    <cfRule type="cellIs" dxfId="3365" priority="110" operator="greaterThan">
      <formula>1</formula>
    </cfRule>
  </conditionalFormatting>
  <conditionalFormatting sqref="R84:R91">
    <cfRule type="cellIs" dxfId="3364" priority="107" operator="greaterThan">
      <formula>1</formula>
    </cfRule>
    <cfRule type="cellIs" dxfId="3363" priority="108" operator="lessThan">
      <formula>0.8</formula>
    </cfRule>
  </conditionalFormatting>
  <conditionalFormatting sqref="P84:P91">
    <cfRule type="cellIs" dxfId="3362" priority="106" operator="greaterThan">
      <formula>0</formula>
    </cfRule>
  </conditionalFormatting>
  <conditionalFormatting sqref="Q84:Q91">
    <cfRule type="cellIs" dxfId="3361" priority="111" operator="lessThan">
      <formula>0</formula>
    </cfRule>
  </conditionalFormatting>
  <conditionalFormatting sqref="Q84:Q91">
    <cfRule type="cellIs" dxfId="3360" priority="100" operator="lessThan">
      <formula>0</formula>
    </cfRule>
  </conditionalFormatting>
  <conditionalFormatting sqref="P84:P91">
    <cfRule type="cellIs" dxfId="3359" priority="101" operator="greaterThan">
      <formula>0</formula>
    </cfRule>
  </conditionalFormatting>
  <conditionalFormatting sqref="R84:R91">
    <cfRule type="cellIs" dxfId="3358" priority="104" operator="lessThan">
      <formula>0.8</formula>
    </cfRule>
    <cfRule type="cellIs" dxfId="3357" priority="105" operator="greaterThan">
      <formula>1</formula>
    </cfRule>
  </conditionalFormatting>
  <conditionalFormatting sqref="R84:R91">
    <cfRule type="cellIs" dxfId="3356" priority="102" operator="greaterThan">
      <formula>1</formula>
    </cfRule>
    <cfRule type="cellIs" dxfId="3355" priority="103" operator="lessThan">
      <formula>0.8</formula>
    </cfRule>
  </conditionalFormatting>
  <conditionalFormatting sqref="Q84:Q91">
    <cfRule type="cellIs" dxfId="3354" priority="94" operator="lessThan">
      <formula>0</formula>
    </cfRule>
  </conditionalFormatting>
  <conditionalFormatting sqref="R84:R91">
    <cfRule type="cellIs" dxfId="3353" priority="98" operator="lessThan">
      <formula>0.8</formula>
    </cfRule>
    <cfRule type="cellIs" dxfId="3352" priority="99" operator="greaterThan">
      <formula>1</formula>
    </cfRule>
  </conditionalFormatting>
  <conditionalFormatting sqref="R84:R91">
    <cfRule type="cellIs" dxfId="3351" priority="96" operator="greaterThan">
      <formula>1</formula>
    </cfRule>
    <cfRule type="cellIs" dxfId="3350" priority="97" operator="lessThan">
      <formula>0.8</formula>
    </cfRule>
  </conditionalFormatting>
  <conditionalFormatting sqref="P84:P91">
    <cfRule type="cellIs" dxfId="3349" priority="95" operator="greaterThan">
      <formula>0</formula>
    </cfRule>
  </conditionalFormatting>
  <conditionalFormatting sqref="Q84:Q91">
    <cfRule type="cellIs" dxfId="3348" priority="93" operator="lessThan">
      <formula>0</formula>
    </cfRule>
  </conditionalFormatting>
  <conditionalFormatting sqref="R84:R91">
    <cfRule type="cellIs" dxfId="3347" priority="91" operator="lessThan">
      <formula>0.8</formula>
    </cfRule>
    <cfRule type="cellIs" dxfId="3346" priority="92" operator="greaterThan">
      <formula>1</formula>
    </cfRule>
  </conditionalFormatting>
  <conditionalFormatting sqref="R84:R91">
    <cfRule type="cellIs" dxfId="3345" priority="89" operator="greaterThan">
      <formula>1</formula>
    </cfRule>
    <cfRule type="cellIs" dxfId="3344" priority="90" operator="lessThan">
      <formula>0.8</formula>
    </cfRule>
  </conditionalFormatting>
  <conditionalFormatting sqref="P84:P91">
    <cfRule type="cellIs" dxfId="3343" priority="88" operator="greaterThan">
      <formula>0</formula>
    </cfRule>
  </conditionalFormatting>
  <conditionalFormatting sqref="Q84:Q91">
    <cfRule type="cellIs" dxfId="3342" priority="87" operator="lessThan">
      <formula>0</formula>
    </cfRule>
  </conditionalFormatting>
  <conditionalFormatting sqref="R84:R91">
    <cfRule type="cellIs" dxfId="3341" priority="85" operator="lessThan">
      <formula>0.8</formula>
    </cfRule>
    <cfRule type="cellIs" dxfId="3340" priority="86" operator="greaterThan">
      <formula>1</formula>
    </cfRule>
  </conditionalFormatting>
  <conditionalFormatting sqref="R84:R91">
    <cfRule type="cellIs" dxfId="3339" priority="83" operator="greaterThan">
      <formula>1</formula>
    </cfRule>
    <cfRule type="cellIs" dxfId="3338" priority="84" operator="lessThan">
      <formula>0.8</formula>
    </cfRule>
  </conditionalFormatting>
  <conditionalFormatting sqref="P84:P91">
    <cfRule type="cellIs" dxfId="3337" priority="82" operator="greaterThan">
      <formula>0</formula>
    </cfRule>
  </conditionalFormatting>
  <conditionalFormatting sqref="Q84:Q91">
    <cfRule type="cellIs" dxfId="3336" priority="81" operator="lessThan">
      <formula>0</formula>
    </cfRule>
  </conditionalFormatting>
  <conditionalFormatting sqref="R84:R91">
    <cfRule type="cellIs" dxfId="3335" priority="79" operator="lessThan">
      <formula>0.8</formula>
    </cfRule>
    <cfRule type="cellIs" dxfId="3334" priority="80" operator="greaterThan">
      <formula>1</formula>
    </cfRule>
  </conditionalFormatting>
  <conditionalFormatting sqref="R84:R91">
    <cfRule type="cellIs" dxfId="3333" priority="77" operator="greaterThan">
      <formula>1</formula>
    </cfRule>
    <cfRule type="cellIs" dxfId="3332" priority="78" operator="lessThan">
      <formula>0.8</formula>
    </cfRule>
  </conditionalFormatting>
  <conditionalFormatting sqref="P84:P91">
    <cfRule type="cellIs" dxfId="3331" priority="76" operator="greaterThan">
      <formula>0</formula>
    </cfRule>
  </conditionalFormatting>
  <conditionalFormatting sqref="Q162:Q166">
    <cfRule type="cellIs" dxfId="3330" priority="75" operator="lessThan">
      <formula>0</formula>
    </cfRule>
  </conditionalFormatting>
  <conditionalFormatting sqref="R162:R166">
    <cfRule type="cellIs" dxfId="3329" priority="73" operator="lessThan">
      <formula>0.8</formula>
    </cfRule>
    <cfRule type="cellIs" dxfId="3328" priority="74" operator="greaterThan">
      <formula>1</formula>
    </cfRule>
  </conditionalFormatting>
  <conditionalFormatting sqref="R162:R166">
    <cfRule type="cellIs" dxfId="3327" priority="71" operator="greaterThan">
      <formula>1</formula>
    </cfRule>
    <cfRule type="cellIs" dxfId="3326" priority="72" operator="lessThan">
      <formula>0.8</formula>
    </cfRule>
  </conditionalFormatting>
  <conditionalFormatting sqref="P162:P166">
    <cfRule type="cellIs" dxfId="3325" priority="70" operator="greaterThan">
      <formula>0</formula>
    </cfRule>
  </conditionalFormatting>
  <conditionalFormatting sqref="P167:P168">
    <cfRule type="cellIs" dxfId="3324" priority="64" operator="greaterThan">
      <formula>0</formula>
    </cfRule>
  </conditionalFormatting>
  <conditionalFormatting sqref="R167:R168">
    <cfRule type="cellIs" dxfId="3323" priority="67" operator="lessThan">
      <formula>0.8</formula>
    </cfRule>
    <cfRule type="cellIs" dxfId="3322" priority="68" operator="greaterThan">
      <formula>1</formula>
    </cfRule>
  </conditionalFormatting>
  <conditionalFormatting sqref="R167:R168">
    <cfRule type="cellIs" dxfId="3321" priority="65" operator="greaterThan">
      <formula>1</formula>
    </cfRule>
    <cfRule type="cellIs" dxfId="3320" priority="66" operator="lessThan">
      <formula>0.8</formula>
    </cfRule>
  </conditionalFormatting>
  <conditionalFormatting sqref="Q167:Q168">
    <cfRule type="cellIs" dxfId="3319" priority="69" operator="lessThan">
      <formula>0</formula>
    </cfRule>
  </conditionalFormatting>
  <conditionalFormatting sqref="Q161">
    <cfRule type="cellIs" dxfId="3318" priority="63" operator="lessThan">
      <formula>0</formula>
    </cfRule>
  </conditionalFormatting>
  <conditionalFormatting sqref="R161">
    <cfRule type="cellIs" dxfId="3317" priority="61" operator="lessThan">
      <formula>0.8</formula>
    </cfRule>
    <cfRule type="cellIs" dxfId="3316" priority="62" operator="greaterThan">
      <formula>1</formula>
    </cfRule>
  </conditionalFormatting>
  <conditionalFormatting sqref="R161">
    <cfRule type="cellIs" dxfId="3315" priority="59" operator="greaterThan">
      <formula>1</formula>
    </cfRule>
    <cfRule type="cellIs" dxfId="3314" priority="60" operator="lessThan">
      <formula>0.8</formula>
    </cfRule>
  </conditionalFormatting>
  <conditionalFormatting sqref="P161">
    <cfRule type="cellIs" dxfId="3313" priority="58" operator="greaterThan">
      <formula>0</formula>
    </cfRule>
  </conditionalFormatting>
  <conditionalFormatting sqref="Q162:Q166">
    <cfRule type="cellIs" dxfId="3312" priority="57" operator="lessThan">
      <formula>0</formula>
    </cfRule>
  </conditionalFormatting>
  <conditionalFormatting sqref="R162:R166">
    <cfRule type="cellIs" dxfId="3311" priority="55" operator="lessThan">
      <formula>0.8</formula>
    </cfRule>
    <cfRule type="cellIs" dxfId="3310" priority="56" operator="greaterThan">
      <formula>1</formula>
    </cfRule>
  </conditionalFormatting>
  <conditionalFormatting sqref="R162:R166">
    <cfRule type="cellIs" dxfId="3309" priority="53" operator="greaterThan">
      <formula>1</formula>
    </cfRule>
    <cfRule type="cellIs" dxfId="3308" priority="54" operator="lessThan">
      <formula>0.8</formula>
    </cfRule>
  </conditionalFormatting>
  <conditionalFormatting sqref="P162:P166">
    <cfRule type="cellIs" dxfId="3307" priority="52" operator="greaterThan">
      <formula>0</formula>
    </cfRule>
  </conditionalFormatting>
  <conditionalFormatting sqref="Q162:Q166">
    <cfRule type="cellIs" dxfId="3306" priority="51" operator="lessThan">
      <formula>0</formula>
    </cfRule>
  </conditionalFormatting>
  <conditionalFormatting sqref="R162:R166">
    <cfRule type="cellIs" dxfId="3305" priority="49" operator="lessThan">
      <formula>0.8</formula>
    </cfRule>
    <cfRule type="cellIs" dxfId="3304" priority="50" operator="greaterThan">
      <formula>1</formula>
    </cfRule>
  </conditionalFormatting>
  <conditionalFormatting sqref="R162:R166">
    <cfRule type="cellIs" dxfId="3303" priority="47" operator="greaterThan">
      <formula>1</formula>
    </cfRule>
    <cfRule type="cellIs" dxfId="3302" priority="48" operator="lessThan">
      <formula>0.8</formula>
    </cfRule>
  </conditionalFormatting>
  <conditionalFormatting sqref="P162:P166">
    <cfRule type="cellIs" dxfId="3301" priority="46" operator="greaterThan">
      <formula>0</formula>
    </cfRule>
  </conditionalFormatting>
  <conditionalFormatting sqref="Q167:Q168">
    <cfRule type="cellIs" dxfId="3300" priority="45" operator="lessThan">
      <formula>0</formula>
    </cfRule>
  </conditionalFormatting>
  <conditionalFormatting sqref="R167:R168">
    <cfRule type="cellIs" dxfId="3299" priority="43" operator="lessThan">
      <formula>0.8</formula>
    </cfRule>
    <cfRule type="cellIs" dxfId="3298" priority="44" operator="greaterThan">
      <formula>1</formula>
    </cfRule>
  </conditionalFormatting>
  <conditionalFormatting sqref="R167:R168">
    <cfRule type="cellIs" dxfId="3297" priority="41" operator="greaterThan">
      <formula>1</formula>
    </cfRule>
    <cfRule type="cellIs" dxfId="3296" priority="42" operator="lessThan">
      <formula>0.8</formula>
    </cfRule>
  </conditionalFormatting>
  <conditionalFormatting sqref="P167:P168">
    <cfRule type="cellIs" dxfId="3295" priority="40" operator="greaterThan">
      <formula>0</formula>
    </cfRule>
  </conditionalFormatting>
  <conditionalFormatting sqref="Q161">
    <cfRule type="cellIs" dxfId="3294" priority="39" operator="lessThan">
      <formula>0</formula>
    </cfRule>
  </conditionalFormatting>
  <conditionalFormatting sqref="R161">
    <cfRule type="cellIs" dxfId="3293" priority="37" operator="lessThan">
      <formula>0.8</formula>
    </cfRule>
    <cfRule type="cellIs" dxfId="3292" priority="38" operator="greaterThan">
      <formula>1</formula>
    </cfRule>
  </conditionalFormatting>
  <conditionalFormatting sqref="R161">
    <cfRule type="cellIs" dxfId="3291" priority="35" operator="greaterThan">
      <formula>1</formula>
    </cfRule>
    <cfRule type="cellIs" dxfId="3290" priority="36" operator="lessThan">
      <formula>0.8</formula>
    </cfRule>
  </conditionalFormatting>
  <conditionalFormatting sqref="P161">
    <cfRule type="cellIs" dxfId="3289" priority="34" operator="greaterThan">
      <formula>0</formula>
    </cfRule>
  </conditionalFormatting>
  <conditionalFormatting sqref="Q162:Q166">
    <cfRule type="cellIs" dxfId="3288" priority="33" operator="lessThan">
      <formula>0</formula>
    </cfRule>
  </conditionalFormatting>
  <conditionalFormatting sqref="R162:R166">
    <cfRule type="cellIs" dxfId="3287" priority="31" operator="lessThan">
      <formula>0.8</formula>
    </cfRule>
    <cfRule type="cellIs" dxfId="3286" priority="32" operator="greaterThan">
      <formula>1</formula>
    </cfRule>
  </conditionalFormatting>
  <conditionalFormatting sqref="R162:R166">
    <cfRule type="cellIs" dxfId="3285" priority="29" operator="greaterThan">
      <formula>1</formula>
    </cfRule>
    <cfRule type="cellIs" dxfId="3284" priority="30" operator="lessThan">
      <formula>0.8</formula>
    </cfRule>
  </conditionalFormatting>
  <conditionalFormatting sqref="P162:P166">
    <cfRule type="cellIs" dxfId="3283" priority="28" operator="greaterThan">
      <formula>0</formula>
    </cfRule>
  </conditionalFormatting>
  <conditionalFormatting sqref="Q161">
    <cfRule type="cellIs" dxfId="3282" priority="27" operator="lessThan">
      <formula>0</formula>
    </cfRule>
  </conditionalFormatting>
  <conditionalFormatting sqref="R161">
    <cfRule type="cellIs" dxfId="3281" priority="25" operator="lessThan">
      <formula>0.8</formula>
    </cfRule>
    <cfRule type="cellIs" dxfId="3280" priority="26" operator="greaterThan">
      <formula>1</formula>
    </cfRule>
  </conditionalFormatting>
  <conditionalFormatting sqref="R161">
    <cfRule type="cellIs" dxfId="3279" priority="23" operator="greaterThan">
      <formula>1</formula>
    </cfRule>
    <cfRule type="cellIs" dxfId="3278" priority="24" operator="lessThan">
      <formula>0.8</formula>
    </cfRule>
  </conditionalFormatting>
  <conditionalFormatting sqref="P161">
    <cfRule type="cellIs" dxfId="3277" priority="22" operator="greaterThan">
      <formula>0</formula>
    </cfRule>
  </conditionalFormatting>
  <conditionalFormatting sqref="Q162:Q166">
    <cfRule type="cellIs" dxfId="3276" priority="21" operator="lessThan">
      <formula>0</formula>
    </cfRule>
  </conditionalFormatting>
  <conditionalFormatting sqref="R162:R166">
    <cfRule type="cellIs" dxfId="3275" priority="19" operator="lessThan">
      <formula>0.8</formula>
    </cfRule>
    <cfRule type="cellIs" dxfId="3274" priority="20" operator="greaterThan">
      <formula>1</formula>
    </cfRule>
  </conditionalFormatting>
  <conditionalFormatting sqref="R162:R166">
    <cfRule type="cellIs" dxfId="3273" priority="17" operator="greaterThan">
      <formula>1</formula>
    </cfRule>
    <cfRule type="cellIs" dxfId="3272" priority="18" operator="lessThan">
      <formula>0.8</formula>
    </cfRule>
  </conditionalFormatting>
  <conditionalFormatting sqref="P162:P166">
    <cfRule type="cellIs" dxfId="3271" priority="16" operator="greaterThan">
      <formula>0</formula>
    </cfRule>
  </conditionalFormatting>
  <conditionalFormatting sqref="Q161">
    <cfRule type="cellIs" dxfId="3270" priority="15" operator="lessThan">
      <formula>0</formula>
    </cfRule>
  </conditionalFormatting>
  <conditionalFormatting sqref="R161">
    <cfRule type="cellIs" dxfId="3269" priority="13" operator="lessThan">
      <formula>0.8</formula>
    </cfRule>
    <cfRule type="cellIs" dxfId="3268" priority="14" operator="greaterThan">
      <formula>1</formula>
    </cfRule>
  </conditionalFormatting>
  <conditionalFormatting sqref="R161">
    <cfRule type="cellIs" dxfId="3267" priority="11" operator="greaterThan">
      <formula>1</formula>
    </cfRule>
    <cfRule type="cellIs" dxfId="3266" priority="12" operator="lessThan">
      <formula>0.8</formula>
    </cfRule>
  </conditionalFormatting>
  <conditionalFormatting sqref="P161">
    <cfRule type="cellIs" dxfId="3265" priority="10" operator="greaterThan">
      <formula>0</formula>
    </cfRule>
  </conditionalFormatting>
  <conditionalFormatting sqref="P167:P168">
    <cfRule type="cellIs" dxfId="3264" priority="4" operator="greaterThan">
      <formula>0</formula>
    </cfRule>
  </conditionalFormatting>
  <conditionalFormatting sqref="R167:R168">
    <cfRule type="cellIs" dxfId="3263" priority="7" operator="lessThan">
      <formula>0.8</formula>
    </cfRule>
    <cfRule type="cellIs" dxfId="3262" priority="8" operator="greaterThan">
      <formula>1</formula>
    </cfRule>
  </conditionalFormatting>
  <conditionalFormatting sqref="R167:R168">
    <cfRule type="cellIs" dxfId="3261" priority="5" operator="greaterThan">
      <formula>1</formula>
    </cfRule>
    <cfRule type="cellIs" dxfId="3260" priority="6" operator="lessThan">
      <formula>0.8</formula>
    </cfRule>
  </conditionalFormatting>
  <conditionalFormatting sqref="Q167:Q168">
    <cfRule type="cellIs" dxfId="3259" priority="9" operator="lessThan">
      <formula>0</formula>
    </cfRule>
  </conditionalFormatting>
  <conditionalFormatting sqref="AF30">
    <cfRule type="cellIs" dxfId="3258" priority="3" operator="lessThan">
      <formula>0</formula>
    </cfRule>
  </conditionalFormatting>
  <conditionalFormatting sqref="AG30">
    <cfRule type="cellIs" dxfId="3257" priority="1" operator="greaterThan">
      <formula>1</formula>
    </cfRule>
    <cfRule type="cellIs" dxfId="325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abSelected="1" zoomScale="40" zoomScaleNormal="40" workbookViewId="0">
      <selection activeCell="R31" sqref="R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577" t="s">
        <v>0</v>
      </c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9"/>
      <c r="N1" s="1"/>
      <c r="O1" s="1"/>
    </row>
    <row r="2" spans="2:17" ht="27.75" customHeight="1">
      <c r="B2" s="577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9"/>
      <c r="N2" s="1"/>
      <c r="O2" s="1"/>
    </row>
    <row r="3" spans="2:17" ht="46.5" customHeight="1">
      <c r="B3" s="570" t="s">
        <v>1</v>
      </c>
      <c r="C3" s="531"/>
      <c r="D3" s="580" t="s">
        <v>660</v>
      </c>
      <c r="E3" s="581"/>
      <c r="F3" s="570" t="s">
        <v>2</v>
      </c>
      <c r="G3" s="531"/>
      <c r="H3" s="582">
        <v>259881</v>
      </c>
      <c r="I3" s="583"/>
      <c r="J3" s="570" t="s">
        <v>3</v>
      </c>
      <c r="K3" s="531"/>
      <c r="L3" s="575">
        <v>8549290.5630523376</v>
      </c>
      <c r="M3" s="576"/>
      <c r="N3" s="378"/>
      <c r="O3" s="378"/>
      <c r="P3" s="378"/>
      <c r="Q3" s="378"/>
    </row>
    <row r="4" spans="2:17" ht="24" customHeight="1">
      <c r="B4" s="570" t="s">
        <v>188</v>
      </c>
      <c r="C4" s="531"/>
      <c r="D4" s="562" t="s">
        <v>188</v>
      </c>
      <c r="E4" s="563"/>
      <c r="F4" s="573" t="s">
        <v>189</v>
      </c>
      <c r="G4" s="574"/>
      <c r="H4" s="573" t="s">
        <v>190</v>
      </c>
      <c r="I4" s="574"/>
      <c r="J4" s="573" t="s">
        <v>191</v>
      </c>
      <c r="K4" s="574"/>
      <c r="L4" s="575" t="s">
        <v>192</v>
      </c>
      <c r="M4" s="576"/>
      <c r="N4" s="556" t="s">
        <v>4</v>
      </c>
      <c r="O4" s="557"/>
      <c r="P4" s="557" t="s">
        <v>5</v>
      </c>
      <c r="Q4" s="557"/>
    </row>
    <row r="5" spans="2:17" ht="24" customHeight="1">
      <c r="B5" s="558" t="s">
        <v>50</v>
      </c>
      <c r="C5" s="537"/>
      <c r="D5" s="562" t="s">
        <v>193</v>
      </c>
      <c r="E5" s="563"/>
      <c r="F5" s="562" t="s">
        <v>6</v>
      </c>
      <c r="G5" s="563"/>
      <c r="H5" s="564" t="s">
        <v>7</v>
      </c>
      <c r="I5" s="565"/>
      <c r="J5" s="566" t="s">
        <v>8</v>
      </c>
      <c r="K5" s="567"/>
      <c r="L5" s="568" t="s">
        <v>9</v>
      </c>
      <c r="M5" s="569"/>
      <c r="N5" s="3" t="s">
        <v>10</v>
      </c>
      <c r="O5" s="4" t="s">
        <v>11</v>
      </c>
      <c r="P5" s="3" t="s">
        <v>10</v>
      </c>
      <c r="Q5" s="4" t="s">
        <v>12</v>
      </c>
    </row>
    <row r="6" spans="2:17" ht="39.6" customHeight="1">
      <c r="B6" s="559"/>
      <c r="C6" s="560"/>
      <c r="D6" s="570" t="s">
        <v>13</v>
      </c>
      <c r="E6" s="531"/>
      <c r="F6" s="571">
        <f>AVERAGE(D13:O13,P13:Q13,D30:E30,G30:H30,J30:M30)</f>
        <v>384.36375103743626</v>
      </c>
      <c r="G6" s="572"/>
      <c r="H6" s="550">
        <f>AVERAGE(D13:P13,Q13)</f>
        <v>141.85732305882846</v>
      </c>
      <c r="I6" s="551"/>
      <c r="J6" s="550">
        <f>AVERAGE(D30:E30,G30:H30)</f>
        <v>736.25</v>
      </c>
      <c r="K6" s="551"/>
      <c r="L6" s="552">
        <f>AVERAGE(J30:M30)</f>
        <v>881.25</v>
      </c>
      <c r="M6" s="553"/>
      <c r="N6" s="554">
        <v>0</v>
      </c>
      <c r="O6" s="539">
        <v>0</v>
      </c>
      <c r="P6" s="555">
        <v>6</v>
      </c>
      <c r="Q6" s="539">
        <v>6</v>
      </c>
    </row>
    <row r="7" spans="2:17" s="5" customFormat="1" ht="39.6" customHeight="1">
      <c r="B7" s="559"/>
      <c r="C7" s="560"/>
      <c r="D7" s="540" t="s">
        <v>14</v>
      </c>
      <c r="E7" s="541"/>
      <c r="F7" s="542">
        <f>AVERAGE(D14:O14,P14:Q14,D31:E31,J31:M31,G31:H31)</f>
        <v>319.21739782124104</v>
      </c>
      <c r="G7" s="543"/>
      <c r="H7" s="544">
        <f>AVERAGE(D14:P14,Q14)</f>
        <v>127.83541699420024</v>
      </c>
      <c r="I7" s="545"/>
      <c r="J7" s="544">
        <f>AVERAGE(D31:E31,G31:H31)</f>
        <v>720.26416726166553</v>
      </c>
      <c r="K7" s="545"/>
      <c r="L7" s="546">
        <f>AVERAGE(J31:M31)</f>
        <v>588.00756127545947</v>
      </c>
      <c r="M7" s="547"/>
      <c r="N7" s="554"/>
      <c r="O7" s="539"/>
      <c r="P7" s="555"/>
      <c r="Q7" s="539"/>
    </row>
    <row r="8" spans="2:17" s="5" customFormat="1" ht="39.6" customHeight="1">
      <c r="B8" s="561"/>
      <c r="C8" s="538"/>
      <c r="D8" s="540" t="s">
        <v>15</v>
      </c>
      <c r="E8" s="541"/>
      <c r="F8" s="548">
        <f>AVERAGE(D15:O15,P15:Q15,D32:E32,G32:H32,J32:K32,L32)</f>
        <v>0.8600642953067853</v>
      </c>
      <c r="G8" s="549"/>
      <c r="H8" s="548">
        <f>AVERAGE(D15:O15,P15:Q15)</f>
        <v>0.89657810025429596</v>
      </c>
      <c r="I8" s="549"/>
      <c r="J8" s="548">
        <f>AVERAGE(D32:E32,G32:H32)</f>
        <v>0.95676991842444958</v>
      </c>
      <c r="K8" s="549"/>
      <c r="L8" s="548">
        <f>AVERAGE(J32:M32)</f>
        <v>0.65334173475051049</v>
      </c>
      <c r="M8" s="549"/>
      <c r="N8" s="554"/>
      <c r="O8" s="539"/>
      <c r="P8" s="555"/>
      <c r="Q8" s="539"/>
    </row>
    <row r="9" spans="2:17" ht="25.5" customHeight="1" thickBot="1"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</row>
    <row r="10" spans="2:17" ht="30" customHeight="1">
      <c r="B10" s="527" t="s">
        <v>277</v>
      </c>
      <c r="C10" s="533"/>
      <c r="D10" s="534" t="s">
        <v>278</v>
      </c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6"/>
    </row>
    <row r="11" spans="2:17" ht="17.25" customHeight="1">
      <c r="B11" s="518" t="s">
        <v>279</v>
      </c>
      <c r="C11" s="537"/>
      <c r="D11" s="379">
        <v>1</v>
      </c>
      <c r="E11" s="379">
        <v>2</v>
      </c>
      <c r="F11" s="379">
        <v>3</v>
      </c>
      <c r="G11" s="379">
        <v>4</v>
      </c>
      <c r="H11" s="379">
        <v>5</v>
      </c>
      <c r="I11" s="379">
        <v>6</v>
      </c>
      <c r="J11" s="379">
        <v>7</v>
      </c>
      <c r="K11" s="379">
        <v>8</v>
      </c>
      <c r="L11" s="379">
        <v>9</v>
      </c>
      <c r="M11" s="379">
        <v>10</v>
      </c>
      <c r="N11" s="379">
        <v>11</v>
      </c>
      <c r="O11" s="379">
        <v>12</v>
      </c>
      <c r="P11" s="379">
        <v>13</v>
      </c>
      <c r="Q11" s="380">
        <v>14</v>
      </c>
    </row>
    <row r="12" spans="2:17" ht="33.9" customHeight="1">
      <c r="B12" s="520"/>
      <c r="C12" s="538"/>
      <c r="D12" s="14" t="s">
        <v>280</v>
      </c>
      <c r="E12" s="379" t="s">
        <v>281</v>
      </c>
      <c r="F12" s="379" t="s">
        <v>282</v>
      </c>
      <c r="G12" s="379" t="s">
        <v>283</v>
      </c>
      <c r="H12" s="14" t="s">
        <v>284</v>
      </c>
      <c r="I12" s="379" t="s">
        <v>285</v>
      </c>
      <c r="J12" s="379" t="s">
        <v>286</v>
      </c>
      <c r="K12" s="379" t="s">
        <v>287</v>
      </c>
      <c r="L12" s="379" t="s">
        <v>288</v>
      </c>
      <c r="M12" s="379" t="s">
        <v>289</v>
      </c>
      <c r="N12" s="379" t="s">
        <v>290</v>
      </c>
      <c r="O12" s="379" t="s">
        <v>291</v>
      </c>
      <c r="P12" s="379" t="s">
        <v>292</v>
      </c>
      <c r="Q12" s="380" t="s">
        <v>27</v>
      </c>
    </row>
    <row r="13" spans="2:17" ht="39.9" customHeight="1">
      <c r="B13" s="522" t="s">
        <v>50</v>
      </c>
      <c r="C13" s="14" t="s">
        <v>293</v>
      </c>
      <c r="D13" s="19">
        <v>133.76218323586747</v>
      </c>
      <c r="E13" s="19">
        <v>116.95452069716777</v>
      </c>
      <c r="F13" s="19">
        <v>182.47499999999999</v>
      </c>
      <c r="G13" s="19">
        <v>369.04761904761904</v>
      </c>
      <c r="H13" s="19">
        <v>228.57142857142858</v>
      </c>
      <c r="I13" s="19">
        <v>92.122938064114535</v>
      </c>
      <c r="J13" s="19">
        <v>77.529239766081872</v>
      </c>
      <c r="K13" s="19">
        <v>112.10838779956428</v>
      </c>
      <c r="L13" s="19">
        <v>97.11904761904762</v>
      </c>
      <c r="M13" s="19">
        <v>83.102145341567436</v>
      </c>
      <c r="N13" s="19">
        <v>84.321731488648098</v>
      </c>
      <c r="O13" s="19">
        <v>80.035087719298247</v>
      </c>
      <c r="P13" s="19">
        <v>178.85319347319347</v>
      </c>
      <c r="Q13" s="21">
        <v>150</v>
      </c>
    </row>
    <row r="14" spans="2:17" ht="39.9" customHeight="1">
      <c r="B14" s="523"/>
      <c r="C14" s="14" t="s">
        <v>294</v>
      </c>
      <c r="D14" s="19">
        <v>124.26319338171494</v>
      </c>
      <c r="E14" s="19">
        <v>102.22232691606901</v>
      </c>
      <c r="F14" s="19">
        <v>155.97843610499086</v>
      </c>
      <c r="G14" s="19">
        <v>327.64318581906133</v>
      </c>
      <c r="H14" s="19">
        <v>222.82971544091387</v>
      </c>
      <c r="I14" s="19">
        <v>80.688009491519821</v>
      </c>
      <c r="J14" s="19">
        <v>71.163631442062325</v>
      </c>
      <c r="K14" s="19">
        <v>103.31376064852202</v>
      </c>
      <c r="L14" s="19">
        <v>83.362428825596041</v>
      </c>
      <c r="M14" s="19">
        <v>74.682831875718307</v>
      </c>
      <c r="N14" s="19">
        <v>77.786783103288982</v>
      </c>
      <c r="O14" s="19">
        <v>64.946447789986323</v>
      </c>
      <c r="P14" s="19">
        <v>167.52994178021453</v>
      </c>
      <c r="Q14" s="9">
        <v>133.2851452991452</v>
      </c>
    </row>
    <row r="15" spans="2:17" ht="39.9" customHeight="1">
      <c r="B15" s="524"/>
      <c r="C15" s="379" t="s">
        <v>295</v>
      </c>
      <c r="D15" s="10">
        <f t="shared" ref="D15:Q15" si="0">D14/D13</f>
        <v>0.9289859837484663</v>
      </c>
      <c r="E15" s="10">
        <f t="shared" si="0"/>
        <v>0.87403484967250589</v>
      </c>
      <c r="F15" s="10">
        <f t="shared" si="0"/>
        <v>0.85479345721326683</v>
      </c>
      <c r="G15" s="10">
        <f t="shared" si="0"/>
        <v>0.88780734221939206</v>
      </c>
      <c r="H15" s="10">
        <f t="shared" si="0"/>
        <v>0.97488000505399819</v>
      </c>
      <c r="I15" s="10">
        <f t="shared" si="0"/>
        <v>0.87587316673903326</v>
      </c>
      <c r="J15" s="10">
        <f t="shared" si="0"/>
        <v>0.91789409591496562</v>
      </c>
      <c r="K15" s="10">
        <f t="shared" si="0"/>
        <v>0.92155246075997499</v>
      </c>
      <c r="L15" s="10">
        <f t="shared" si="0"/>
        <v>0.85835303031993959</v>
      </c>
      <c r="M15" s="10">
        <f t="shared" si="0"/>
        <v>0.8986871706952454</v>
      </c>
      <c r="N15" s="10">
        <f t="shared" si="0"/>
        <v>0.92249983165681448</v>
      </c>
      <c r="O15" s="10">
        <f t="shared" si="0"/>
        <v>0.81147468742420437</v>
      </c>
      <c r="P15" s="381">
        <f t="shared" si="0"/>
        <v>0.9366896868147</v>
      </c>
      <c r="Q15" s="11">
        <f t="shared" si="0"/>
        <v>0.88856763532763461</v>
      </c>
    </row>
    <row r="16" spans="2:17" ht="22.8" customHeight="1">
      <c r="B16" s="525" t="s">
        <v>296</v>
      </c>
      <c r="C16" s="379" t="s">
        <v>297</v>
      </c>
      <c r="D16" s="12">
        <v>0.29166666666666669</v>
      </c>
      <c r="E16" s="12">
        <v>0.16666666666666666</v>
      </c>
      <c r="F16" s="12">
        <v>0.16666666666666666</v>
      </c>
      <c r="G16" s="12">
        <v>0.16666666666666666</v>
      </c>
      <c r="H16" s="12">
        <v>0.16666666666666666</v>
      </c>
      <c r="I16" s="12">
        <v>0.29166666666666669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82">
        <v>0.17361111111111113</v>
      </c>
    </row>
    <row r="17" spans="2:17" ht="22.8" customHeight="1">
      <c r="B17" s="526"/>
      <c r="C17" s="379" t="s">
        <v>51</v>
      </c>
      <c r="D17" s="12">
        <v>0.73124999999999996</v>
      </c>
      <c r="E17" s="12">
        <v>0.63541666666666663</v>
      </c>
      <c r="F17" s="12">
        <v>0.5</v>
      </c>
      <c r="G17" s="12">
        <v>0.59861111111111098</v>
      </c>
      <c r="H17" s="12">
        <v>0.7597222222222223</v>
      </c>
      <c r="I17" s="12">
        <v>0.79861111111111094</v>
      </c>
      <c r="J17" s="12">
        <v>0.80902777777777779</v>
      </c>
      <c r="K17" s="12">
        <v>0.7715277777777777</v>
      </c>
      <c r="L17" s="12">
        <v>0.88888888888888884</v>
      </c>
      <c r="M17" s="12">
        <v>0.96666666666666645</v>
      </c>
      <c r="N17" s="12">
        <v>0.99652777777777779</v>
      </c>
      <c r="O17" s="22">
        <v>0.97777777777777763</v>
      </c>
      <c r="P17" s="12">
        <v>0.65763888888888888</v>
      </c>
      <c r="Q17" s="382">
        <v>0.54513888888888895</v>
      </c>
    </row>
    <row r="18" spans="2:17" ht="22.8" customHeight="1">
      <c r="B18" s="529" t="s">
        <v>29</v>
      </c>
      <c r="C18" s="383" t="s">
        <v>298</v>
      </c>
      <c r="D18" s="384" t="s">
        <v>30</v>
      </c>
      <c r="E18" s="384" t="s">
        <v>30</v>
      </c>
      <c r="F18" s="384" t="s">
        <v>30</v>
      </c>
      <c r="G18" s="384" t="s">
        <v>30</v>
      </c>
      <c r="H18" s="384" t="s">
        <v>30</v>
      </c>
      <c r="I18" s="384" t="s">
        <v>30</v>
      </c>
      <c r="J18" s="384" t="s">
        <v>30</v>
      </c>
      <c r="K18" s="384" t="s">
        <v>30</v>
      </c>
      <c r="L18" s="384" t="s">
        <v>30</v>
      </c>
      <c r="M18" s="384" t="s">
        <v>30</v>
      </c>
      <c r="N18" s="384" t="s">
        <v>30</v>
      </c>
      <c r="O18" s="384" t="s">
        <v>30</v>
      </c>
      <c r="P18" s="384" t="s">
        <v>30</v>
      </c>
      <c r="Q18" s="385"/>
    </row>
    <row r="19" spans="2:17" ht="22.8" customHeight="1">
      <c r="B19" s="530"/>
      <c r="C19" s="383" t="s">
        <v>299</v>
      </c>
      <c r="D19" s="384" t="s">
        <v>30</v>
      </c>
      <c r="E19" s="384" t="s">
        <v>30</v>
      </c>
      <c r="F19" s="384" t="s">
        <v>30</v>
      </c>
      <c r="G19" s="384" t="s">
        <v>30</v>
      </c>
      <c r="H19" s="384" t="s">
        <v>30</v>
      </c>
      <c r="I19" s="384" t="s">
        <v>30</v>
      </c>
      <c r="J19" s="384" t="s">
        <v>30</v>
      </c>
      <c r="K19" s="384" t="s">
        <v>30</v>
      </c>
      <c r="L19" s="384" t="s">
        <v>30</v>
      </c>
      <c r="M19" s="384" t="s">
        <v>30</v>
      </c>
      <c r="N19" s="384" t="s">
        <v>30</v>
      </c>
      <c r="O19" s="384" t="s">
        <v>30</v>
      </c>
      <c r="P19" s="384" t="s">
        <v>30</v>
      </c>
      <c r="Q19" s="385"/>
    </row>
    <row r="20" spans="2:17" ht="22.8" customHeight="1">
      <c r="B20" s="529" t="s">
        <v>31</v>
      </c>
      <c r="C20" s="383" t="s">
        <v>298</v>
      </c>
      <c r="D20" s="384">
        <v>1</v>
      </c>
      <c r="E20" s="384" t="s">
        <v>30</v>
      </c>
      <c r="F20" s="384">
        <v>2</v>
      </c>
      <c r="G20" s="384">
        <v>1</v>
      </c>
      <c r="H20" s="384" t="s">
        <v>30</v>
      </c>
      <c r="I20" s="384">
        <v>1</v>
      </c>
      <c r="J20" s="384" t="s">
        <v>30</v>
      </c>
      <c r="K20" s="384">
        <v>1</v>
      </c>
      <c r="L20" s="384" t="s">
        <v>30</v>
      </c>
      <c r="M20" s="384" t="s">
        <v>30</v>
      </c>
      <c r="N20" s="384" t="s">
        <v>30</v>
      </c>
      <c r="O20" s="384" t="s">
        <v>30</v>
      </c>
      <c r="P20" s="384" t="s">
        <v>30</v>
      </c>
      <c r="Q20" s="385"/>
    </row>
    <row r="21" spans="2:17" ht="22.8" customHeight="1">
      <c r="B21" s="530"/>
      <c r="C21" s="383" t="s">
        <v>300</v>
      </c>
      <c r="D21" s="384">
        <v>1</v>
      </c>
      <c r="E21" s="384">
        <v>1</v>
      </c>
      <c r="F21" s="384" t="s">
        <v>30</v>
      </c>
      <c r="G21" s="384">
        <v>1</v>
      </c>
      <c r="H21" s="384" t="s">
        <v>30</v>
      </c>
      <c r="I21" s="384">
        <v>1</v>
      </c>
      <c r="J21" s="384" t="s">
        <v>30</v>
      </c>
      <c r="K21" s="384" t="s">
        <v>30</v>
      </c>
      <c r="L21" s="384">
        <v>2</v>
      </c>
      <c r="M21" s="384" t="s">
        <v>30</v>
      </c>
      <c r="N21" s="384" t="s">
        <v>30</v>
      </c>
      <c r="O21" s="384" t="s">
        <v>30</v>
      </c>
      <c r="P21" s="384" t="s">
        <v>30</v>
      </c>
      <c r="Q21" s="385"/>
    </row>
    <row r="22" spans="2:17" ht="22.8" customHeight="1">
      <c r="B22" s="508" t="s">
        <v>301</v>
      </c>
      <c r="C22" s="531"/>
      <c r="D22" s="386">
        <v>19.666666666666668</v>
      </c>
      <c r="E22" s="386">
        <v>17.666666666666668</v>
      </c>
      <c r="F22" s="386">
        <v>12.5</v>
      </c>
      <c r="G22" s="386">
        <v>5.666666666666667</v>
      </c>
      <c r="H22" s="386">
        <v>6.6</v>
      </c>
      <c r="I22" s="386">
        <v>16.5</v>
      </c>
      <c r="J22" s="386">
        <v>18.399999999999999</v>
      </c>
      <c r="K22" s="386">
        <v>16.166666666666668</v>
      </c>
      <c r="L22" s="386">
        <v>15.875</v>
      </c>
      <c r="M22" s="386">
        <v>18.666666666666668</v>
      </c>
      <c r="N22" s="386">
        <v>17.75</v>
      </c>
      <c r="O22" s="386">
        <v>18.600000000000001</v>
      </c>
      <c r="P22" s="386">
        <v>13.2</v>
      </c>
      <c r="Q22" s="387">
        <v>11.4</v>
      </c>
    </row>
    <row r="23" spans="2:17" ht="22.8" customHeight="1">
      <c r="B23" s="508" t="s">
        <v>302</v>
      </c>
      <c r="C23" s="531"/>
      <c r="D23" s="14" t="s">
        <v>32</v>
      </c>
      <c r="E23" s="14" t="s">
        <v>32</v>
      </c>
      <c r="F23" s="14" t="s">
        <v>32</v>
      </c>
      <c r="G23" s="14" t="s">
        <v>33</v>
      </c>
      <c r="H23" s="14" t="s">
        <v>34</v>
      </c>
      <c r="I23" s="14" t="s">
        <v>35</v>
      </c>
      <c r="J23" s="14" t="s">
        <v>35</v>
      </c>
      <c r="K23" s="14" t="s">
        <v>35</v>
      </c>
      <c r="L23" s="14" t="s">
        <v>35</v>
      </c>
      <c r="M23" s="14" t="s">
        <v>35</v>
      </c>
      <c r="N23" s="14" t="s">
        <v>35</v>
      </c>
      <c r="O23" s="14" t="s">
        <v>35</v>
      </c>
      <c r="P23" s="7" t="s">
        <v>36</v>
      </c>
      <c r="Q23" s="15" t="s">
        <v>36</v>
      </c>
    </row>
    <row r="24" spans="2:17" ht="22.8" customHeight="1">
      <c r="B24" s="508" t="s">
        <v>303</v>
      </c>
      <c r="C24" s="53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17" ht="22.8" customHeight="1" thickBot="1">
      <c r="B25" s="510" t="s">
        <v>304</v>
      </c>
      <c r="C25" s="532"/>
      <c r="D25" s="16"/>
      <c r="E25" s="17" t="s">
        <v>37</v>
      </c>
      <c r="F25" s="17"/>
      <c r="G25" s="17" t="s">
        <v>38</v>
      </c>
      <c r="H25" s="17" t="s">
        <v>38</v>
      </c>
      <c r="I25" s="17"/>
      <c r="J25" s="17"/>
      <c r="K25" s="17" t="s">
        <v>39</v>
      </c>
      <c r="L25" s="17"/>
      <c r="M25" s="17"/>
      <c r="N25" s="17"/>
      <c r="O25" s="17"/>
      <c r="P25" s="17" t="s">
        <v>40</v>
      </c>
      <c r="Q25" s="18"/>
    </row>
    <row r="26" spans="2:17" ht="18.600000000000001" thickBot="1">
      <c r="B26" s="378"/>
      <c r="C26" s="378"/>
      <c r="D26" s="378"/>
      <c r="E26" s="378"/>
      <c r="F26" s="378"/>
      <c r="G26" s="378"/>
      <c r="H26" s="378"/>
      <c r="I26" s="378"/>
      <c r="J26" s="378"/>
      <c r="K26" s="378"/>
      <c r="L26" s="378"/>
      <c r="M26" s="378"/>
      <c r="N26" s="378"/>
      <c r="O26" s="378"/>
      <c r="P26" s="378"/>
      <c r="Q26" s="378"/>
    </row>
    <row r="27" spans="2:17" ht="30" customHeight="1">
      <c r="B27" s="527"/>
      <c r="C27" s="528"/>
      <c r="D27" s="512" t="s">
        <v>306</v>
      </c>
      <c r="E27" s="513"/>
      <c r="F27" s="513"/>
      <c r="G27" s="513"/>
      <c r="H27" s="514"/>
      <c r="I27" s="515" t="s">
        <v>307</v>
      </c>
      <c r="J27" s="516"/>
      <c r="K27" s="516"/>
      <c r="L27" s="516"/>
      <c r="M27" s="517"/>
      <c r="N27" s="378"/>
      <c r="O27" s="378"/>
      <c r="P27" s="378"/>
      <c r="Q27" s="378"/>
    </row>
    <row r="28" spans="2:17" ht="17.25" customHeight="1">
      <c r="B28" s="518" t="s">
        <v>279</v>
      </c>
      <c r="C28" s="519"/>
      <c r="D28" s="388">
        <v>1</v>
      </c>
      <c r="E28" s="505">
        <v>2</v>
      </c>
      <c r="F28" s="379">
        <v>3</v>
      </c>
      <c r="G28" s="379">
        <v>4</v>
      </c>
      <c r="H28" s="380">
        <v>5</v>
      </c>
      <c r="I28" s="388">
        <v>1</v>
      </c>
      <c r="J28" s="379">
        <v>2</v>
      </c>
      <c r="K28" s="379">
        <v>3</v>
      </c>
      <c r="L28" s="379">
        <v>4</v>
      </c>
      <c r="M28" s="380">
        <v>5</v>
      </c>
      <c r="N28" s="378"/>
      <c r="O28" s="378"/>
      <c r="P28" s="378"/>
      <c r="Q28" s="378"/>
    </row>
    <row r="29" spans="2:17" ht="37.5" customHeight="1">
      <c r="B29" s="520"/>
      <c r="C29" s="521"/>
      <c r="D29" s="390" t="s">
        <v>41</v>
      </c>
      <c r="E29" s="391" t="s">
        <v>42</v>
      </c>
      <c r="F29" s="14" t="s">
        <v>43</v>
      </c>
      <c r="G29" s="14" t="s">
        <v>44</v>
      </c>
      <c r="H29" s="392" t="s">
        <v>45</v>
      </c>
      <c r="I29" s="390" t="s">
        <v>46</v>
      </c>
      <c r="J29" s="14" t="s">
        <v>42</v>
      </c>
      <c r="K29" s="14" t="s">
        <v>43</v>
      </c>
      <c r="L29" s="14" t="s">
        <v>44</v>
      </c>
      <c r="M29" s="392" t="s">
        <v>45</v>
      </c>
      <c r="N29" s="378"/>
      <c r="O29" s="378"/>
      <c r="P29" s="378"/>
      <c r="Q29" s="378"/>
    </row>
    <row r="30" spans="2:17" ht="39.9" customHeight="1">
      <c r="B30" s="522" t="s">
        <v>50</v>
      </c>
      <c r="C30" s="393" t="s">
        <v>293</v>
      </c>
      <c r="D30" s="20">
        <v>320</v>
      </c>
      <c r="E30" s="507">
        <v>825</v>
      </c>
      <c r="F30" s="19">
        <v>825</v>
      </c>
      <c r="G30" s="19">
        <v>900</v>
      </c>
      <c r="H30" s="21">
        <v>900</v>
      </c>
      <c r="I30" s="395">
        <v>680</v>
      </c>
      <c r="J30" s="19">
        <v>825</v>
      </c>
      <c r="K30" s="19">
        <v>900</v>
      </c>
      <c r="L30" s="19">
        <v>900</v>
      </c>
      <c r="M30" s="21">
        <v>900</v>
      </c>
      <c r="N30" s="378"/>
      <c r="O30" s="378"/>
      <c r="P30" s="378"/>
      <c r="Q30" s="378"/>
    </row>
    <row r="31" spans="2:17" ht="39.9" customHeight="1">
      <c r="B31" s="523"/>
      <c r="C31" s="393" t="s">
        <v>294</v>
      </c>
      <c r="D31" s="396">
        <v>272.11111111111131</v>
      </c>
      <c r="E31" s="8">
        <v>771.25013231713785</v>
      </c>
      <c r="F31" s="8">
        <v>0</v>
      </c>
      <c r="G31" s="8">
        <v>897.408597250703</v>
      </c>
      <c r="H31" s="397">
        <v>940.28682836771009</v>
      </c>
      <c r="I31" s="396">
        <v>0</v>
      </c>
      <c r="J31" s="8">
        <v>0</v>
      </c>
      <c r="K31" s="8">
        <v>606.91666666666652</v>
      </c>
      <c r="L31" s="8">
        <v>907.04274509942957</v>
      </c>
      <c r="M31" s="397">
        <v>838.07083333574167</v>
      </c>
      <c r="N31" s="378"/>
      <c r="O31" s="378"/>
      <c r="P31" s="378"/>
      <c r="Q31" s="378"/>
    </row>
    <row r="32" spans="2:17" ht="39.9" customHeight="1">
      <c r="B32" s="524"/>
      <c r="C32" s="506" t="s">
        <v>295</v>
      </c>
      <c r="D32" s="399">
        <f t="shared" ref="D32:M32" si="1">D31/D30</f>
        <v>0.85034722222222281</v>
      </c>
      <c r="E32" s="10">
        <f t="shared" si="1"/>
        <v>0.93484864523289435</v>
      </c>
      <c r="F32" s="10">
        <f t="shared" si="1"/>
        <v>0</v>
      </c>
      <c r="G32" s="10">
        <f t="shared" si="1"/>
        <v>0.99712066361189222</v>
      </c>
      <c r="H32" s="10">
        <f t="shared" si="1"/>
        <v>1.0447631426307891</v>
      </c>
      <c r="I32" s="396">
        <f t="shared" si="1"/>
        <v>0</v>
      </c>
      <c r="J32" s="10">
        <f t="shared" si="1"/>
        <v>0</v>
      </c>
      <c r="K32" s="10">
        <f t="shared" si="1"/>
        <v>0.67435185185185165</v>
      </c>
      <c r="L32" s="10">
        <f t="shared" si="1"/>
        <v>1.0078252723326995</v>
      </c>
      <c r="M32" s="11">
        <f t="shared" si="1"/>
        <v>0.93118981481749075</v>
      </c>
      <c r="N32" s="378"/>
      <c r="O32" s="378"/>
      <c r="P32" s="378"/>
      <c r="Q32" s="378"/>
    </row>
    <row r="33" spans="2:17" ht="25.8" customHeight="1">
      <c r="B33" s="525" t="s">
        <v>296</v>
      </c>
      <c r="C33" s="506" t="s">
        <v>297</v>
      </c>
      <c r="D33" s="400">
        <v>0.18055555555555555</v>
      </c>
      <c r="E33" s="12">
        <v>0.18055555555555555</v>
      </c>
      <c r="F33" s="12">
        <v>0</v>
      </c>
      <c r="G33" s="12">
        <v>3113.6842105263136</v>
      </c>
      <c r="H33" s="382">
        <v>0.18055555555555555</v>
      </c>
      <c r="I33" s="400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78"/>
      <c r="O33" s="378"/>
      <c r="P33" s="378"/>
      <c r="Q33" s="378"/>
    </row>
    <row r="34" spans="2:17" ht="25.8" customHeight="1">
      <c r="B34" s="526"/>
      <c r="C34" s="506" t="s">
        <v>51</v>
      </c>
      <c r="D34" s="400">
        <v>0.22430555555555556</v>
      </c>
      <c r="E34" s="12">
        <v>0.32013888888888892</v>
      </c>
      <c r="F34" s="12">
        <v>0</v>
      </c>
      <c r="G34" s="12">
        <v>1056.6666666666677</v>
      </c>
      <c r="H34" s="382">
        <v>0.43055555555555558</v>
      </c>
      <c r="I34" s="23">
        <v>0</v>
      </c>
      <c r="J34" s="12">
        <v>0</v>
      </c>
      <c r="K34" s="12">
        <v>0.90625</v>
      </c>
      <c r="L34" s="12">
        <v>46119.104166666664</v>
      </c>
      <c r="M34" s="13">
        <v>46119.038194444445</v>
      </c>
      <c r="N34" s="378"/>
      <c r="O34" s="378"/>
      <c r="P34" s="378"/>
      <c r="Q34" s="378"/>
    </row>
    <row r="35" spans="2:17" ht="25.8" customHeight="1">
      <c r="B35" s="508" t="s">
        <v>301</v>
      </c>
      <c r="C35" s="509"/>
      <c r="D35" s="401">
        <v>5.5</v>
      </c>
      <c r="E35" s="402">
        <v>3.6666666666666665</v>
      </c>
      <c r="F35" s="402">
        <v>0</v>
      </c>
      <c r="G35" s="402">
        <v>3.6</v>
      </c>
      <c r="H35" s="403">
        <v>3.4</v>
      </c>
      <c r="I35" s="404">
        <v>0</v>
      </c>
      <c r="J35" s="402">
        <v>0</v>
      </c>
      <c r="K35" s="402">
        <v>3.75</v>
      </c>
      <c r="L35" s="402">
        <v>3.4</v>
      </c>
      <c r="M35" s="387">
        <v>3.5</v>
      </c>
      <c r="N35" s="378"/>
      <c r="O35" s="378"/>
      <c r="P35" s="378"/>
      <c r="Q35" s="378"/>
    </row>
    <row r="36" spans="2:17" ht="25.8" customHeight="1">
      <c r="B36" s="508" t="s">
        <v>302</v>
      </c>
      <c r="C36" s="509"/>
      <c r="D36" s="405" t="s">
        <v>41</v>
      </c>
      <c r="E36" s="24" t="s">
        <v>47</v>
      </c>
      <c r="F36" s="24" t="s">
        <v>47</v>
      </c>
      <c r="G36" s="24" t="s">
        <v>48</v>
      </c>
      <c r="H36" s="15" t="s">
        <v>48</v>
      </c>
      <c r="I36" s="406" t="s">
        <v>49</v>
      </c>
      <c r="J36" s="24" t="s">
        <v>47</v>
      </c>
      <c r="K36" s="24" t="s">
        <v>47</v>
      </c>
      <c r="L36" s="24" t="s">
        <v>48</v>
      </c>
      <c r="M36" s="15" t="s">
        <v>48</v>
      </c>
      <c r="N36" s="378"/>
      <c r="O36" s="378"/>
      <c r="P36" s="378"/>
      <c r="Q36" s="378"/>
    </row>
    <row r="37" spans="2:17" ht="25.8" customHeight="1">
      <c r="B37" s="508" t="s">
        <v>303</v>
      </c>
      <c r="C37" s="509"/>
      <c r="D37" s="407"/>
      <c r="E37" s="408"/>
      <c r="F37" s="409"/>
      <c r="G37" s="409"/>
      <c r="H37" s="410"/>
      <c r="I37" s="25"/>
      <c r="J37" s="24"/>
      <c r="K37" s="24"/>
      <c r="L37" s="24"/>
      <c r="M37" s="15"/>
      <c r="N37" s="378"/>
      <c r="O37" s="378"/>
      <c r="P37" s="378"/>
      <c r="Q37" s="378"/>
    </row>
    <row r="38" spans="2:17" ht="25.8" customHeight="1" thickBot="1">
      <c r="B38" s="510" t="s">
        <v>304</v>
      </c>
      <c r="C38" s="511"/>
      <c r="D38" s="26"/>
      <c r="E38" s="411"/>
      <c r="F38" s="17"/>
      <c r="G38" s="16"/>
      <c r="H38" s="18"/>
      <c r="I38" s="26"/>
      <c r="J38" s="16"/>
      <c r="K38" s="16"/>
      <c r="L38" s="16"/>
      <c r="M38" s="18"/>
      <c r="N38" s="378"/>
      <c r="O38" s="378"/>
      <c r="P38" s="378"/>
      <c r="Q38" s="378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6515" priority="4" operator="lessThan">
      <formula>0.8</formula>
    </cfRule>
  </conditionalFormatting>
  <conditionalFormatting sqref="J32:L32">
    <cfRule type="cellIs" dxfId="6514" priority="3" operator="lessThan">
      <formula>0.8</formula>
    </cfRule>
  </conditionalFormatting>
  <conditionalFormatting sqref="M32">
    <cfRule type="cellIs" dxfId="6513" priority="2" operator="lessThan">
      <formula>0.8</formula>
    </cfRule>
  </conditionalFormatting>
  <conditionalFormatting sqref="H32">
    <cfRule type="cellIs" dxfId="651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" sqref="G11"/>
    </sheetView>
  </sheetViews>
  <sheetFormatPr defaultColWidth="7.88671875" defaultRowHeight="15.6"/>
  <cols>
    <col min="1" max="1" width="13.6640625" style="289" customWidth="1"/>
    <col min="2" max="2" width="12.77734375" style="289" customWidth="1"/>
    <col min="3" max="3" width="12.77734375" style="360" hidden="1" customWidth="1"/>
    <col min="4" max="5" width="18.33203125" style="289" customWidth="1"/>
    <col min="6" max="6" width="9.77734375" style="358" customWidth="1"/>
    <col min="7" max="7" width="21.109375" style="289" bestFit="1" customWidth="1"/>
    <col min="8" max="8" width="15.6640625" style="289" customWidth="1"/>
    <col min="9" max="9" width="12.21875" style="289" bestFit="1" customWidth="1"/>
    <col min="10" max="15" width="9.77734375" style="289" customWidth="1"/>
    <col min="16" max="16" width="9.77734375" style="359" customWidth="1"/>
    <col min="17" max="18" width="9.77734375" style="289" customWidth="1"/>
    <col min="19" max="16384" width="7.88671875" style="289"/>
  </cols>
  <sheetData>
    <row r="1" spans="1:18" ht="26.25" customHeight="1">
      <c r="A1" s="280" t="s">
        <v>570</v>
      </c>
      <c r="B1" s="281"/>
      <c r="C1" s="282"/>
      <c r="D1" s="283" t="s">
        <v>571</v>
      </c>
      <c r="E1" s="284">
        <f>SUM(G5:G124)</f>
        <v>80768</v>
      </c>
      <c r="F1" s="285" t="s">
        <v>3</v>
      </c>
      <c r="G1" s="286">
        <f>SUM(H5:H124)</f>
        <v>1427564.2473506494</v>
      </c>
      <c r="H1" s="287" t="s">
        <v>572</v>
      </c>
      <c r="I1" s="288">
        <f>+J16+J64+J24+J38+J51+J81+J100+J91+J57+J124+J111</f>
        <v>34.81666666666667</v>
      </c>
      <c r="J1" s="584" t="s">
        <v>573</v>
      </c>
      <c r="K1" s="585"/>
      <c r="L1" s="586"/>
      <c r="M1" s="584" t="s">
        <v>574</v>
      </c>
      <c r="N1" s="585"/>
      <c r="O1" s="585"/>
      <c r="P1" s="585"/>
      <c r="Q1" s="585"/>
      <c r="R1" s="586"/>
    </row>
    <row r="2" spans="1:18" ht="26.25" customHeight="1" thickBot="1">
      <c r="A2" s="590" t="s">
        <v>575</v>
      </c>
      <c r="B2" s="591"/>
      <c r="C2" s="290"/>
      <c r="D2" s="475" t="s">
        <v>576</v>
      </c>
      <c r="E2" s="291">
        <f>AVERAGE(L16,L24,L38,L51,L100,L111,L91)</f>
        <v>538.12116009869806</v>
      </c>
      <c r="F2" s="292" t="s">
        <v>55</v>
      </c>
      <c r="G2" s="293">
        <f>G1/E1</f>
        <v>17.674874298616402</v>
      </c>
      <c r="H2" s="294" t="s">
        <v>577</v>
      </c>
      <c r="I2" s="295">
        <f>COUNT(I5:I124)</f>
        <v>0</v>
      </c>
      <c r="J2" s="587"/>
      <c r="K2" s="588"/>
      <c r="L2" s="589"/>
      <c r="M2" s="587"/>
      <c r="N2" s="588"/>
      <c r="O2" s="588"/>
      <c r="P2" s="588"/>
      <c r="Q2" s="588"/>
      <c r="R2" s="589"/>
    </row>
    <row r="3" spans="1:18" ht="23.25" customHeight="1">
      <c r="A3" s="592" t="s">
        <v>578</v>
      </c>
      <c r="B3" s="594" t="s">
        <v>579</v>
      </c>
      <c r="C3" s="477"/>
      <c r="D3" s="595" t="s">
        <v>580</v>
      </c>
      <c r="E3" s="595"/>
      <c r="F3" s="596" t="s">
        <v>58</v>
      </c>
      <c r="G3" s="597" t="s">
        <v>581</v>
      </c>
      <c r="H3" s="598" t="s">
        <v>582</v>
      </c>
      <c r="I3" s="599" t="s">
        <v>583</v>
      </c>
      <c r="J3" s="601" t="s">
        <v>584</v>
      </c>
      <c r="K3" s="603" t="s">
        <v>585</v>
      </c>
      <c r="L3" s="605" t="s">
        <v>576</v>
      </c>
      <c r="M3" s="607" t="s">
        <v>63</v>
      </c>
      <c r="N3" s="607"/>
      <c r="O3" s="601" t="s">
        <v>150</v>
      </c>
      <c r="P3" s="608" t="s">
        <v>586</v>
      </c>
      <c r="Q3" s="601" t="s">
        <v>587</v>
      </c>
      <c r="R3" s="601"/>
    </row>
    <row r="4" spans="1:18" ht="15.75" customHeight="1">
      <c r="A4" s="593"/>
      <c r="B4" s="594"/>
      <c r="C4" s="477"/>
      <c r="D4" s="595"/>
      <c r="E4" s="595"/>
      <c r="F4" s="596"/>
      <c r="G4" s="597"/>
      <c r="H4" s="598"/>
      <c r="I4" s="600"/>
      <c r="J4" s="602"/>
      <c r="K4" s="604"/>
      <c r="L4" s="606"/>
      <c r="M4" s="481" t="s">
        <v>65</v>
      </c>
      <c r="N4" s="481" t="s">
        <v>66</v>
      </c>
      <c r="O4" s="602"/>
      <c r="P4" s="609"/>
      <c r="Q4" s="296" t="s">
        <v>588</v>
      </c>
      <c r="R4" s="296" t="s">
        <v>589</v>
      </c>
    </row>
    <row r="5" spans="1:18">
      <c r="A5" s="610" t="s">
        <v>590</v>
      </c>
      <c r="B5" s="297">
        <v>0</v>
      </c>
      <c r="C5" s="297"/>
      <c r="D5" s="298" t="s">
        <v>591</v>
      </c>
      <c r="E5" s="298"/>
      <c r="F5" s="299" t="s">
        <v>186</v>
      </c>
      <c r="G5" s="477">
        <v>1291</v>
      </c>
      <c r="H5" s="300">
        <f>F5*G5</f>
        <v>0</v>
      </c>
      <c r="I5" s="479"/>
      <c r="J5" s="301">
        <v>9</v>
      </c>
      <c r="K5" s="302">
        <f t="shared" ref="K5:K12" si="0">G5/P5*60</f>
        <v>1549.2000000000005</v>
      </c>
      <c r="L5" s="303">
        <f t="shared" ref="L5:L12" si="1">K5/J5</f>
        <v>172.13333333333338</v>
      </c>
      <c r="M5" s="304">
        <v>0.17361111111111113</v>
      </c>
      <c r="N5" s="304">
        <v>0.20833333333333334</v>
      </c>
      <c r="O5" s="296">
        <v>10</v>
      </c>
      <c r="P5" s="482">
        <f t="shared" ref="P5:P14" si="2">(N5-M5)*24*60</f>
        <v>49.999999999999986</v>
      </c>
      <c r="Q5" s="305"/>
      <c r="R5" s="305"/>
    </row>
    <row r="6" spans="1:18">
      <c r="A6" s="610"/>
      <c r="B6" s="297">
        <v>0</v>
      </c>
      <c r="C6" s="297"/>
      <c r="D6" s="298" t="s">
        <v>592</v>
      </c>
      <c r="E6" s="298"/>
      <c r="F6" s="299" t="s">
        <v>186</v>
      </c>
      <c r="G6" s="477">
        <v>1324</v>
      </c>
      <c r="H6" s="300">
        <f t="shared" ref="H6:H113" si="3">F6*G6</f>
        <v>0</v>
      </c>
      <c r="I6" s="479"/>
      <c r="J6" s="301">
        <v>9</v>
      </c>
      <c r="K6" s="302">
        <f t="shared" si="0"/>
        <v>1588.7999999999993</v>
      </c>
      <c r="L6" s="303">
        <f t="shared" si="1"/>
        <v>176.53333333333325</v>
      </c>
      <c r="M6" s="304">
        <v>0.21180555555555555</v>
      </c>
      <c r="N6" s="304">
        <v>0.24652777777777779</v>
      </c>
      <c r="O6" s="296">
        <v>5</v>
      </c>
      <c r="P6" s="482">
        <f t="shared" si="2"/>
        <v>50.000000000000021</v>
      </c>
      <c r="Q6" s="296"/>
      <c r="R6" s="296"/>
    </row>
    <row r="7" spans="1:18">
      <c r="A7" s="610"/>
      <c r="B7" s="297" t="s">
        <v>187</v>
      </c>
      <c r="C7" s="297"/>
      <c r="D7" s="298" t="s">
        <v>593</v>
      </c>
      <c r="E7" s="298"/>
      <c r="F7" s="299">
        <v>36.450000000000003</v>
      </c>
      <c r="G7" s="477">
        <v>1468</v>
      </c>
      <c r="H7" s="300">
        <f t="shared" si="3"/>
        <v>53508.600000000006</v>
      </c>
      <c r="I7" s="479"/>
      <c r="J7" s="301">
        <v>13</v>
      </c>
      <c r="K7" s="302">
        <f t="shared" si="0"/>
        <v>1467.9999999999993</v>
      </c>
      <c r="L7" s="303">
        <f t="shared" si="1"/>
        <v>112.92307692307688</v>
      </c>
      <c r="M7" s="304">
        <v>0.25</v>
      </c>
      <c r="N7" s="304">
        <v>0.29166666666666669</v>
      </c>
      <c r="O7" s="296">
        <v>5</v>
      </c>
      <c r="P7" s="482">
        <f t="shared" si="2"/>
        <v>60.000000000000028</v>
      </c>
      <c r="Q7" s="305"/>
      <c r="R7" s="305"/>
    </row>
    <row r="8" spans="1:18">
      <c r="A8" s="610"/>
      <c r="B8" s="297" t="s">
        <v>187</v>
      </c>
      <c r="C8" s="297"/>
      <c r="D8" s="298" t="s">
        <v>594</v>
      </c>
      <c r="E8" s="298"/>
      <c r="F8" s="299">
        <v>27.05</v>
      </c>
      <c r="G8" s="477">
        <v>437</v>
      </c>
      <c r="H8" s="300">
        <f t="shared" si="3"/>
        <v>11820.85</v>
      </c>
      <c r="I8" s="479"/>
      <c r="J8" s="301">
        <v>13</v>
      </c>
      <c r="K8" s="302">
        <f t="shared" si="0"/>
        <v>1310.9999999999995</v>
      </c>
      <c r="L8" s="303">
        <f t="shared" si="1"/>
        <v>100.84615384615381</v>
      </c>
      <c r="M8" s="304">
        <v>0.2951388888888889</v>
      </c>
      <c r="N8" s="304">
        <v>0.30902777777777779</v>
      </c>
      <c r="O8" s="296">
        <v>5</v>
      </c>
      <c r="P8" s="482">
        <f t="shared" si="2"/>
        <v>20.000000000000007</v>
      </c>
      <c r="Q8" s="305">
        <v>0.31597222222222221</v>
      </c>
      <c r="R8" s="305">
        <v>0.34722222222222227</v>
      </c>
    </row>
    <row r="9" spans="1:18">
      <c r="A9" s="610"/>
      <c r="B9" s="297" t="s">
        <v>187</v>
      </c>
      <c r="C9" s="297"/>
      <c r="D9" s="298" t="s">
        <v>595</v>
      </c>
      <c r="E9" s="298"/>
      <c r="F9" s="299">
        <v>19.7</v>
      </c>
      <c r="G9" s="306">
        <v>1054</v>
      </c>
      <c r="H9" s="300">
        <f t="shared" si="3"/>
        <v>20763.8</v>
      </c>
      <c r="I9" s="479"/>
      <c r="J9" s="301">
        <v>13</v>
      </c>
      <c r="K9" s="302">
        <f t="shared" si="0"/>
        <v>1264.7999999999984</v>
      </c>
      <c r="L9" s="303">
        <f t="shared" si="1"/>
        <v>97.29230769230756</v>
      </c>
      <c r="M9" s="304">
        <v>0.35069444444444442</v>
      </c>
      <c r="N9" s="304">
        <v>0.38541666666666669</v>
      </c>
      <c r="O9" s="296">
        <v>5</v>
      </c>
      <c r="P9" s="482">
        <f t="shared" si="2"/>
        <v>50.000000000000064</v>
      </c>
      <c r="Q9" s="305"/>
      <c r="R9" s="305"/>
    </row>
    <row r="10" spans="1:18">
      <c r="A10" s="610"/>
      <c r="B10" s="297" t="s">
        <v>187</v>
      </c>
      <c r="C10" s="297"/>
      <c r="D10" s="298" t="s">
        <v>596</v>
      </c>
      <c r="E10" s="298"/>
      <c r="F10" s="299">
        <v>17.87</v>
      </c>
      <c r="G10" s="306">
        <v>548</v>
      </c>
      <c r="H10" s="300">
        <f t="shared" si="3"/>
        <v>9792.76</v>
      </c>
      <c r="I10" s="479"/>
      <c r="J10" s="301">
        <v>13</v>
      </c>
      <c r="K10" s="302">
        <f t="shared" si="0"/>
        <v>1095.999999999998</v>
      </c>
      <c r="L10" s="303">
        <f t="shared" si="1"/>
        <v>84.30769230769215</v>
      </c>
      <c r="M10" s="304">
        <v>0.3888888888888889</v>
      </c>
      <c r="N10" s="304">
        <v>0.40972222222222227</v>
      </c>
      <c r="O10" s="296">
        <v>5</v>
      </c>
      <c r="P10" s="482">
        <f t="shared" si="2"/>
        <v>30.000000000000053</v>
      </c>
      <c r="Q10" s="305"/>
      <c r="R10" s="305"/>
    </row>
    <row r="11" spans="1:18">
      <c r="A11" s="610"/>
      <c r="B11" s="297" t="s">
        <v>187</v>
      </c>
      <c r="C11" s="297"/>
      <c r="D11" s="298" t="s">
        <v>597</v>
      </c>
      <c r="E11" s="298"/>
      <c r="F11" s="299">
        <v>25.64</v>
      </c>
      <c r="G11" s="306">
        <v>634</v>
      </c>
      <c r="H11" s="300">
        <f t="shared" si="3"/>
        <v>16255.76</v>
      </c>
      <c r="I11" s="479"/>
      <c r="J11" s="301">
        <v>10</v>
      </c>
      <c r="K11" s="302">
        <f t="shared" si="0"/>
        <v>1521.5999999999958</v>
      </c>
      <c r="L11" s="303">
        <f t="shared" si="1"/>
        <v>152.15999999999957</v>
      </c>
      <c r="M11" s="304">
        <v>0.41319444444444442</v>
      </c>
      <c r="N11" s="304">
        <v>0.43055555555555558</v>
      </c>
      <c r="O11" s="296">
        <v>5</v>
      </c>
      <c r="P11" s="482">
        <f t="shared" si="2"/>
        <v>25.000000000000071</v>
      </c>
      <c r="Q11" s="305"/>
      <c r="R11" s="305"/>
    </row>
    <row r="12" spans="1:18">
      <c r="A12" s="611"/>
      <c r="B12" s="297" t="s">
        <v>187</v>
      </c>
      <c r="C12" s="297"/>
      <c r="D12" s="298" t="s">
        <v>598</v>
      </c>
      <c r="E12" s="298"/>
      <c r="F12" s="299">
        <v>29.52</v>
      </c>
      <c r="G12" s="306">
        <v>1291</v>
      </c>
      <c r="H12" s="300">
        <f t="shared" si="3"/>
        <v>38110.32</v>
      </c>
      <c r="I12" s="479"/>
      <c r="J12" s="301">
        <v>12</v>
      </c>
      <c r="K12" s="302">
        <f t="shared" si="0"/>
        <v>1721.3333333333335</v>
      </c>
      <c r="L12" s="303">
        <f t="shared" si="1"/>
        <v>143.44444444444446</v>
      </c>
      <c r="M12" s="304">
        <v>0.43402777777777773</v>
      </c>
      <c r="N12" s="304">
        <v>0.46527777777777773</v>
      </c>
      <c r="O12" s="296">
        <v>5</v>
      </c>
      <c r="P12" s="482">
        <f t="shared" si="2"/>
        <v>45</v>
      </c>
      <c r="Q12" s="305"/>
      <c r="R12" s="305"/>
    </row>
    <row r="13" spans="1:18">
      <c r="A13" s="611"/>
      <c r="B13" s="297" t="s">
        <v>187</v>
      </c>
      <c r="C13" s="478"/>
      <c r="D13" s="298" t="s">
        <v>599</v>
      </c>
      <c r="E13" s="298"/>
      <c r="F13" s="299">
        <v>29.856999999999999</v>
      </c>
      <c r="G13" s="476">
        <v>1324</v>
      </c>
      <c r="H13" s="300">
        <f t="shared" si="3"/>
        <v>39530.667999999998</v>
      </c>
      <c r="I13" s="479"/>
      <c r="J13" s="301">
        <v>12</v>
      </c>
      <c r="K13" s="302">
        <f>G13/P13*60</f>
        <v>1765.3333333333333</v>
      </c>
      <c r="L13" s="303">
        <f>K13/J13</f>
        <v>147.11111111111111</v>
      </c>
      <c r="M13" s="304">
        <v>0.46875</v>
      </c>
      <c r="N13" s="304">
        <v>0.5</v>
      </c>
      <c r="O13" s="296">
        <v>5</v>
      </c>
      <c r="P13" s="482">
        <f t="shared" si="2"/>
        <v>45</v>
      </c>
      <c r="Q13" s="305"/>
      <c r="R13" s="296"/>
    </row>
    <row r="14" spans="1:18">
      <c r="A14" s="611"/>
      <c r="B14" s="297" t="s">
        <v>184</v>
      </c>
      <c r="C14" s="297"/>
      <c r="D14" s="483" t="s">
        <v>155</v>
      </c>
      <c r="E14" s="484"/>
      <c r="F14" s="299">
        <v>28.57</v>
      </c>
      <c r="G14" s="306">
        <v>1461</v>
      </c>
      <c r="H14" s="300">
        <f t="shared" si="3"/>
        <v>41740.769999999997</v>
      </c>
      <c r="I14" s="479"/>
      <c r="J14" s="301">
        <v>10</v>
      </c>
      <c r="K14" s="302">
        <f>G14/P14*60</f>
        <v>1460.9999999999973</v>
      </c>
      <c r="L14" s="303">
        <f>K14/J14</f>
        <v>146.09999999999974</v>
      </c>
      <c r="M14" s="304">
        <v>0.50347222222222221</v>
      </c>
      <c r="N14" s="304">
        <v>0.54513888888888895</v>
      </c>
      <c r="O14" s="296">
        <v>5</v>
      </c>
      <c r="P14" s="482">
        <f t="shared" si="2"/>
        <v>60.000000000000107</v>
      </c>
      <c r="Q14" s="296"/>
      <c r="R14" s="296"/>
    </row>
    <row r="15" spans="1:18">
      <c r="A15" s="611"/>
      <c r="B15" s="297">
        <v>0</v>
      </c>
      <c r="C15" s="297"/>
      <c r="D15" s="307"/>
      <c r="E15" s="307"/>
      <c r="F15" s="299" t="s">
        <v>186</v>
      </c>
      <c r="G15" s="306"/>
      <c r="H15" s="300">
        <f t="shared" si="3"/>
        <v>0</v>
      </c>
      <c r="I15" s="479"/>
      <c r="J15" s="301"/>
      <c r="K15" s="302"/>
      <c r="L15" s="303"/>
      <c r="M15" s="304"/>
      <c r="N15" s="304"/>
      <c r="O15" s="296"/>
      <c r="P15" s="482"/>
      <c r="Q15" s="296"/>
      <c r="R15" s="296"/>
    </row>
    <row r="16" spans="1:18" ht="15.75" customHeight="1">
      <c r="A16" s="612"/>
      <c r="B16" s="297">
        <v>0</v>
      </c>
      <c r="C16" s="308" t="s">
        <v>600</v>
      </c>
      <c r="D16" s="613" t="s">
        <v>550</v>
      </c>
      <c r="E16" s="613"/>
      <c r="F16" s="309"/>
      <c r="G16" s="310"/>
      <c r="H16" s="311"/>
      <c r="I16" s="312"/>
      <c r="J16" s="313">
        <f>AVERAGE(J5:J15)</f>
        <v>11.4</v>
      </c>
      <c r="K16" s="313">
        <f>AVERAGE(K5:K15)</f>
        <v>1474.7066666666656</v>
      </c>
      <c r="L16" s="314">
        <f>AVERAGE(L5:L15)</f>
        <v>133.2851452991452</v>
      </c>
      <c r="M16" s="304"/>
      <c r="N16" s="304"/>
      <c r="O16" s="302"/>
      <c r="P16" s="302"/>
      <c r="Q16" s="303"/>
      <c r="R16" s="303"/>
    </row>
    <row r="17" spans="1:18" ht="15.75" customHeight="1">
      <c r="A17" s="614" t="s">
        <v>601</v>
      </c>
      <c r="B17" s="297" t="s">
        <v>187</v>
      </c>
      <c r="C17" s="478"/>
      <c r="D17" s="617" t="s">
        <v>602</v>
      </c>
      <c r="E17" s="618"/>
      <c r="F17" s="299">
        <v>14.03</v>
      </c>
      <c r="G17" s="477">
        <v>400</v>
      </c>
      <c r="H17" s="315">
        <f t="shared" ref="H17:H23" si="4">F17*G17</f>
        <v>5612</v>
      </c>
      <c r="I17" s="316"/>
      <c r="J17" s="301">
        <v>6</v>
      </c>
      <c r="K17" s="302">
        <f>G17/P17*60</f>
        <v>1500.0000000000018</v>
      </c>
      <c r="L17" s="303">
        <f>K17/J17</f>
        <v>250.00000000000031</v>
      </c>
      <c r="M17" s="304">
        <v>0.18055555555555555</v>
      </c>
      <c r="N17" s="304">
        <v>0.19166666666666665</v>
      </c>
      <c r="O17" s="296">
        <v>20</v>
      </c>
      <c r="P17" s="482">
        <f>(N17-M17)*24*60</f>
        <v>15.999999999999982</v>
      </c>
      <c r="Q17" s="296"/>
      <c r="R17" s="296"/>
    </row>
    <row r="18" spans="1:18" ht="15.75" customHeight="1">
      <c r="A18" s="614"/>
      <c r="B18" s="297" t="s">
        <v>184</v>
      </c>
      <c r="C18" s="478"/>
      <c r="D18" s="619" t="s">
        <v>548</v>
      </c>
      <c r="E18" s="620"/>
      <c r="F18" s="299">
        <v>14.49</v>
      </c>
      <c r="G18" s="476">
        <v>662</v>
      </c>
      <c r="H18" s="300">
        <f t="shared" si="4"/>
        <v>9592.380000000001</v>
      </c>
      <c r="I18" s="479"/>
      <c r="J18" s="301">
        <v>5</v>
      </c>
      <c r="K18" s="302">
        <f>G18/P18*60</f>
        <v>1471.1111111111118</v>
      </c>
      <c r="L18" s="303">
        <f>K18/J18</f>
        <v>294.22222222222234</v>
      </c>
      <c r="M18" s="304">
        <v>0.20555555555555557</v>
      </c>
      <c r="N18" s="304">
        <v>0.22430555555555556</v>
      </c>
      <c r="O18" s="296">
        <v>20</v>
      </c>
      <c r="P18" s="482">
        <f t="shared" ref="P18" si="5">(N18-M18)*24*60</f>
        <v>26.999999999999986</v>
      </c>
      <c r="Q18" s="305"/>
      <c r="R18" s="305"/>
    </row>
    <row r="19" spans="1:18" ht="15.75" customHeight="1">
      <c r="A19" s="614"/>
      <c r="B19" s="297">
        <v>0</v>
      </c>
      <c r="C19" s="478"/>
      <c r="D19" s="619"/>
      <c r="E19" s="620"/>
      <c r="F19" s="299" t="s">
        <v>186</v>
      </c>
      <c r="G19" s="476"/>
      <c r="H19" s="300">
        <f t="shared" si="4"/>
        <v>0</v>
      </c>
      <c r="I19" s="479"/>
      <c r="J19" s="301"/>
      <c r="K19" s="302"/>
      <c r="L19" s="303"/>
      <c r="M19" s="304"/>
      <c r="N19" s="304"/>
      <c r="O19" s="296"/>
      <c r="P19" s="482"/>
      <c r="Q19" s="305"/>
      <c r="R19" s="305"/>
    </row>
    <row r="20" spans="1:18" ht="15.75" customHeight="1">
      <c r="A20" s="615"/>
      <c r="B20" s="297">
        <v>0</v>
      </c>
      <c r="C20" s="478"/>
      <c r="D20" s="317"/>
      <c r="E20" s="484"/>
      <c r="F20" s="299" t="s">
        <v>186</v>
      </c>
      <c r="G20" s="476"/>
      <c r="H20" s="300">
        <f t="shared" si="4"/>
        <v>0</v>
      </c>
      <c r="I20" s="479"/>
      <c r="J20" s="301"/>
      <c r="K20" s="302"/>
      <c r="L20" s="303"/>
      <c r="M20" s="304"/>
      <c r="N20" s="304"/>
      <c r="O20" s="296"/>
      <c r="P20" s="482"/>
      <c r="Q20" s="296"/>
      <c r="R20" s="296"/>
    </row>
    <row r="21" spans="1:18" ht="15.75" customHeight="1">
      <c r="A21" s="615"/>
      <c r="B21" s="297">
        <v>0</v>
      </c>
      <c r="C21" s="478"/>
      <c r="D21" s="317"/>
      <c r="E21" s="484"/>
      <c r="F21" s="299" t="s">
        <v>186</v>
      </c>
      <c r="G21" s="476"/>
      <c r="H21" s="300">
        <f t="shared" si="4"/>
        <v>0</v>
      </c>
      <c r="I21" s="479"/>
      <c r="J21" s="301"/>
      <c r="K21" s="302"/>
      <c r="L21" s="303"/>
      <c r="M21" s="304"/>
      <c r="N21" s="304"/>
      <c r="O21" s="296"/>
      <c r="P21" s="482"/>
      <c r="Q21" s="296"/>
      <c r="R21" s="296"/>
    </row>
    <row r="22" spans="1:18" ht="15.75" customHeight="1">
      <c r="A22" s="615"/>
      <c r="B22" s="297">
        <v>0</v>
      </c>
      <c r="C22" s="478"/>
      <c r="D22" s="317"/>
      <c r="E22" s="484"/>
      <c r="F22" s="299" t="s">
        <v>186</v>
      </c>
      <c r="G22" s="476"/>
      <c r="H22" s="300">
        <f t="shared" si="4"/>
        <v>0</v>
      </c>
      <c r="I22" s="479"/>
      <c r="J22" s="301"/>
      <c r="K22" s="302"/>
      <c r="L22" s="303"/>
      <c r="M22" s="304"/>
      <c r="N22" s="304"/>
      <c r="O22" s="296"/>
      <c r="P22" s="482"/>
      <c r="Q22" s="296"/>
      <c r="R22" s="296"/>
    </row>
    <row r="23" spans="1:18" ht="15.75" customHeight="1">
      <c r="A23" s="615"/>
      <c r="B23" s="297">
        <v>0</v>
      </c>
      <c r="C23" s="478"/>
      <c r="D23" s="317"/>
      <c r="E23" s="484"/>
      <c r="F23" s="299" t="s">
        <v>186</v>
      </c>
      <c r="G23" s="476"/>
      <c r="H23" s="300">
        <f t="shared" si="4"/>
        <v>0</v>
      </c>
      <c r="I23" s="479"/>
      <c r="J23" s="301"/>
      <c r="K23" s="302"/>
      <c r="L23" s="303"/>
      <c r="M23" s="304"/>
      <c r="N23" s="304"/>
      <c r="O23" s="296"/>
      <c r="P23" s="482"/>
      <c r="Q23" s="296"/>
      <c r="R23" s="296"/>
    </row>
    <row r="24" spans="1:18" ht="17.399999999999999" customHeight="1">
      <c r="A24" s="616"/>
      <c r="B24" s="297">
        <v>0</v>
      </c>
      <c r="C24" s="6" t="s">
        <v>549</v>
      </c>
      <c r="D24" s="613" t="s">
        <v>550</v>
      </c>
      <c r="E24" s="613"/>
      <c r="F24" s="309"/>
      <c r="G24" s="318"/>
      <c r="H24" s="311"/>
      <c r="I24" s="312"/>
      <c r="J24" s="313">
        <f>AVERAGE(J17:J23)</f>
        <v>5.5</v>
      </c>
      <c r="K24" s="313">
        <f>AVERAGE(K17:K23)</f>
        <v>1485.5555555555568</v>
      </c>
      <c r="L24" s="314">
        <f>AVERAGE(L17:L23)</f>
        <v>272.11111111111131</v>
      </c>
      <c r="M24" s="304"/>
      <c r="N24" s="304"/>
      <c r="O24" s="296"/>
      <c r="P24" s="296"/>
      <c r="Q24" s="296"/>
      <c r="R24" s="296"/>
    </row>
    <row r="25" spans="1:18">
      <c r="A25" s="625" t="s">
        <v>551</v>
      </c>
      <c r="B25" s="297" t="s">
        <v>184</v>
      </c>
      <c r="C25" s="319"/>
      <c r="D25" s="321" t="s">
        <v>552</v>
      </c>
      <c r="E25" s="320"/>
      <c r="F25" s="299">
        <v>15.03</v>
      </c>
      <c r="G25" s="477">
        <v>2186</v>
      </c>
      <c r="H25" s="300">
        <f t="shared" ref="H25:H27" si="6">F25*G25</f>
        <v>32855.58</v>
      </c>
      <c r="I25" s="479"/>
      <c r="J25" s="301">
        <v>4</v>
      </c>
      <c r="K25" s="302">
        <f t="shared" ref="K25:K27" si="7">G25/P25*60</f>
        <v>2790.6382978723409</v>
      </c>
      <c r="L25" s="303">
        <f t="shared" ref="L25:L27" si="8">K25/J25</f>
        <v>697.65957446808522</v>
      </c>
      <c r="M25" s="304">
        <v>0.18055555555555555</v>
      </c>
      <c r="N25" s="304">
        <v>0.21319444444444444</v>
      </c>
      <c r="O25" s="296">
        <v>20</v>
      </c>
      <c r="P25" s="482">
        <f t="shared" ref="P25:P27" si="9">(N25-M25)*24*60</f>
        <v>46.999999999999993</v>
      </c>
      <c r="Q25" s="305"/>
      <c r="R25" s="305"/>
    </row>
    <row r="26" spans="1:18">
      <c r="A26" s="625"/>
      <c r="B26" s="297" t="s">
        <v>184</v>
      </c>
      <c r="C26" s="319"/>
      <c r="D26" s="317" t="s">
        <v>156</v>
      </c>
      <c r="E26" s="322"/>
      <c r="F26" s="299">
        <v>18.18</v>
      </c>
      <c r="G26" s="477">
        <v>3094</v>
      </c>
      <c r="H26" s="300">
        <f t="shared" si="6"/>
        <v>56248.92</v>
      </c>
      <c r="I26" s="479"/>
      <c r="J26" s="301">
        <v>4</v>
      </c>
      <c r="K26" s="302">
        <f t="shared" si="7"/>
        <v>2770.7462686567183</v>
      </c>
      <c r="L26" s="303">
        <f t="shared" si="8"/>
        <v>692.68656716417956</v>
      </c>
      <c r="M26" s="304">
        <v>0.22708333333333333</v>
      </c>
      <c r="N26" s="304">
        <v>0.27361111111111108</v>
      </c>
      <c r="O26" s="296">
        <v>20</v>
      </c>
      <c r="P26" s="482">
        <f t="shared" si="9"/>
        <v>66.999999999999957</v>
      </c>
      <c r="Q26" s="305"/>
      <c r="R26" s="305"/>
    </row>
    <row r="27" spans="1:18">
      <c r="A27" s="625"/>
      <c r="B27" s="297" t="s">
        <v>184</v>
      </c>
      <c r="C27" s="319"/>
      <c r="D27" s="321" t="s">
        <v>158</v>
      </c>
      <c r="E27" s="322"/>
      <c r="F27" s="299">
        <v>18.53</v>
      </c>
      <c r="G27" s="477">
        <v>2170</v>
      </c>
      <c r="H27" s="300">
        <f t="shared" si="6"/>
        <v>40210.100000000006</v>
      </c>
      <c r="I27" s="479"/>
      <c r="J27" s="301">
        <v>3</v>
      </c>
      <c r="K27" s="302">
        <f t="shared" si="7"/>
        <v>2770.2127659574471</v>
      </c>
      <c r="L27" s="303">
        <f t="shared" si="8"/>
        <v>923.404255319149</v>
      </c>
      <c r="M27" s="304">
        <v>0.28750000000000003</v>
      </c>
      <c r="N27" s="304">
        <v>0.32013888888888892</v>
      </c>
      <c r="O27" s="296">
        <v>20</v>
      </c>
      <c r="P27" s="482">
        <f t="shared" si="9"/>
        <v>46.999999999999993</v>
      </c>
      <c r="Q27" s="305"/>
      <c r="R27" s="305"/>
    </row>
    <row r="28" spans="1:18">
      <c r="A28" s="625"/>
      <c r="B28" s="297">
        <v>0</v>
      </c>
      <c r="C28" s="478"/>
      <c r="D28" s="317"/>
      <c r="E28" s="322"/>
      <c r="F28" s="299"/>
      <c r="G28" s="477"/>
      <c r="H28" s="300"/>
      <c r="I28" s="479"/>
      <c r="J28" s="301"/>
      <c r="K28" s="302"/>
      <c r="L28" s="303"/>
      <c r="M28" s="304"/>
      <c r="N28" s="304"/>
      <c r="O28" s="296"/>
      <c r="P28" s="482"/>
      <c r="Q28" s="305"/>
      <c r="R28" s="305"/>
    </row>
    <row r="29" spans="1:18">
      <c r="A29" s="625"/>
      <c r="B29" s="297">
        <v>0</v>
      </c>
      <c r="C29" s="477"/>
      <c r="D29" s="321"/>
      <c r="E29" s="322"/>
      <c r="F29" s="299"/>
      <c r="G29" s="477"/>
      <c r="H29" s="300"/>
      <c r="I29" s="479"/>
      <c r="J29" s="301"/>
      <c r="K29" s="302"/>
      <c r="L29" s="303"/>
      <c r="M29" s="304"/>
      <c r="N29" s="304"/>
      <c r="O29" s="296"/>
      <c r="P29" s="482"/>
      <c r="Q29" s="305"/>
      <c r="R29" s="305"/>
    </row>
    <row r="30" spans="1:18">
      <c r="A30" s="625"/>
      <c r="B30" s="297">
        <v>0</v>
      </c>
      <c r="C30" s="477"/>
      <c r="D30" s="323"/>
      <c r="E30" s="322"/>
      <c r="F30" s="299"/>
      <c r="G30" s="477"/>
      <c r="H30" s="300"/>
      <c r="I30" s="479"/>
      <c r="J30" s="301"/>
      <c r="K30" s="302"/>
      <c r="L30" s="303"/>
      <c r="M30" s="304"/>
      <c r="N30" s="304"/>
      <c r="O30" s="296"/>
      <c r="P30" s="482"/>
      <c r="Q30" s="305"/>
      <c r="R30" s="305"/>
    </row>
    <row r="31" spans="1:18" ht="15.75" customHeight="1">
      <c r="A31" s="625"/>
      <c r="B31" s="297">
        <v>0</v>
      </c>
      <c r="C31" s="478"/>
      <c r="D31" s="317"/>
      <c r="E31" s="322"/>
      <c r="F31" s="299"/>
      <c r="G31" s="477"/>
      <c r="H31" s="300"/>
      <c r="I31" s="479"/>
      <c r="J31" s="301"/>
      <c r="K31" s="302"/>
      <c r="L31" s="303"/>
      <c r="M31" s="304"/>
      <c r="N31" s="304"/>
      <c r="O31" s="296"/>
      <c r="P31" s="482"/>
      <c r="Q31" s="305"/>
      <c r="R31" s="305"/>
    </row>
    <row r="32" spans="1:18">
      <c r="A32" s="625"/>
      <c r="B32" s="297">
        <v>0</v>
      </c>
      <c r="C32" s="478"/>
      <c r="D32" s="317"/>
      <c r="E32" s="484"/>
      <c r="F32" s="299" t="s">
        <v>186</v>
      </c>
      <c r="G32" s="477"/>
      <c r="H32" s="300">
        <f t="shared" ref="H32:H37" si="10">F32*G32</f>
        <v>0</v>
      </c>
      <c r="I32" s="479"/>
      <c r="J32" s="301"/>
      <c r="K32" s="302"/>
      <c r="L32" s="303"/>
      <c r="M32" s="304"/>
      <c r="N32" s="304"/>
      <c r="O32" s="296"/>
      <c r="P32" s="482"/>
      <c r="Q32" s="305"/>
      <c r="R32" s="305"/>
    </row>
    <row r="33" spans="1:18">
      <c r="A33" s="625"/>
      <c r="B33" s="297">
        <v>0</v>
      </c>
      <c r="C33" s="477"/>
      <c r="D33" s="321"/>
      <c r="E33" s="322"/>
      <c r="F33" s="299" t="s">
        <v>186</v>
      </c>
      <c r="G33" s="477"/>
      <c r="H33" s="300">
        <f t="shared" si="10"/>
        <v>0</v>
      </c>
      <c r="I33" s="479"/>
      <c r="J33" s="301"/>
      <c r="K33" s="302"/>
      <c r="L33" s="303"/>
      <c r="M33" s="304"/>
      <c r="N33" s="304"/>
      <c r="O33" s="296"/>
      <c r="P33" s="482"/>
      <c r="Q33" s="305"/>
      <c r="R33" s="305"/>
    </row>
    <row r="34" spans="1:18">
      <c r="A34" s="625"/>
      <c r="B34" s="297">
        <v>0</v>
      </c>
      <c r="C34" s="319"/>
      <c r="D34" s="321"/>
      <c r="E34" s="322"/>
      <c r="F34" s="299" t="s">
        <v>186</v>
      </c>
      <c r="G34" s="324"/>
      <c r="H34" s="300">
        <f t="shared" si="10"/>
        <v>0</v>
      </c>
      <c r="I34" s="479"/>
      <c r="J34" s="301"/>
      <c r="K34" s="302"/>
      <c r="L34" s="303"/>
      <c r="M34" s="304"/>
      <c r="N34" s="304"/>
      <c r="O34" s="296"/>
      <c r="P34" s="482"/>
      <c r="Q34" s="305"/>
      <c r="R34" s="305"/>
    </row>
    <row r="35" spans="1:18">
      <c r="A35" s="625"/>
      <c r="B35" s="297">
        <v>0</v>
      </c>
      <c r="C35" s="319"/>
      <c r="D35" s="321"/>
      <c r="E35" s="322"/>
      <c r="F35" s="299" t="s">
        <v>186</v>
      </c>
      <c r="G35" s="324"/>
      <c r="H35" s="300">
        <f t="shared" si="10"/>
        <v>0</v>
      </c>
      <c r="I35" s="479"/>
      <c r="J35" s="301"/>
      <c r="K35" s="302"/>
      <c r="L35" s="303"/>
      <c r="M35" s="304"/>
      <c r="N35" s="304"/>
      <c r="O35" s="296"/>
      <c r="P35" s="482"/>
      <c r="Q35" s="305"/>
      <c r="R35" s="305"/>
    </row>
    <row r="36" spans="1:18">
      <c r="A36" s="625"/>
      <c r="B36" s="297">
        <v>0</v>
      </c>
      <c r="C36" s="319"/>
      <c r="D36" s="321"/>
      <c r="E36" s="321"/>
      <c r="F36" s="299" t="s">
        <v>186</v>
      </c>
      <c r="G36" s="324"/>
      <c r="H36" s="300">
        <f t="shared" si="10"/>
        <v>0</v>
      </c>
      <c r="I36" s="479"/>
      <c r="J36" s="301"/>
      <c r="K36" s="302"/>
      <c r="L36" s="303"/>
      <c r="M36" s="304"/>
      <c r="N36" s="304"/>
      <c r="O36" s="296"/>
      <c r="P36" s="482"/>
      <c r="Q36" s="305"/>
      <c r="R36" s="305"/>
    </row>
    <row r="37" spans="1:18">
      <c r="A37" s="625"/>
      <c r="B37" s="297">
        <v>0</v>
      </c>
      <c r="C37" s="319"/>
      <c r="D37" s="320"/>
      <c r="E37" s="320"/>
      <c r="F37" s="299" t="s">
        <v>186</v>
      </c>
      <c r="G37" s="324"/>
      <c r="H37" s="300">
        <f t="shared" si="10"/>
        <v>0</v>
      </c>
      <c r="I37" s="479"/>
      <c r="J37" s="301"/>
      <c r="K37" s="302"/>
      <c r="L37" s="303"/>
      <c r="M37" s="304"/>
      <c r="N37" s="304"/>
      <c r="O37" s="296"/>
      <c r="P37" s="482"/>
      <c r="Q37" s="305"/>
      <c r="R37" s="305"/>
    </row>
    <row r="38" spans="1:18" ht="17.399999999999999" customHeight="1">
      <c r="A38" s="626"/>
      <c r="B38" s="297">
        <v>0</v>
      </c>
      <c r="C38" s="6" t="s">
        <v>42</v>
      </c>
      <c r="D38" s="624" t="s">
        <v>157</v>
      </c>
      <c r="E38" s="624"/>
      <c r="F38" s="309"/>
      <c r="G38" s="325"/>
      <c r="H38" s="311"/>
      <c r="I38" s="312"/>
      <c r="J38" s="313">
        <f>AVERAGE(J25:J37)</f>
        <v>3.6666666666666665</v>
      </c>
      <c r="K38" s="313">
        <f>AVERAGE(K25:K37)</f>
        <v>2777.1991108288353</v>
      </c>
      <c r="L38" s="314">
        <f>AVERAGE(L25:L37)</f>
        <v>771.25013231713785</v>
      </c>
      <c r="M38" s="304"/>
      <c r="N38" s="304"/>
      <c r="O38" s="302"/>
      <c r="P38" s="302"/>
      <c r="Q38" s="303"/>
      <c r="R38" s="303"/>
    </row>
    <row r="39" spans="1:18" ht="16.2" customHeight="1">
      <c r="A39" s="627" t="s">
        <v>553</v>
      </c>
      <c r="B39" s="297">
        <v>0</v>
      </c>
      <c r="C39" s="478"/>
      <c r="D39" s="317"/>
      <c r="E39" s="484"/>
      <c r="F39" s="299" t="s">
        <v>186</v>
      </c>
      <c r="G39" s="477"/>
      <c r="H39" s="300">
        <f t="shared" ref="H39:H47" si="11">F39*G39</f>
        <v>0</v>
      </c>
      <c r="I39" s="479"/>
      <c r="J39" s="301"/>
      <c r="K39" s="302"/>
      <c r="L39" s="303"/>
      <c r="M39" s="304"/>
      <c r="N39" s="304"/>
      <c r="O39" s="296"/>
      <c r="P39" s="326"/>
      <c r="Q39" s="305"/>
      <c r="R39" s="305"/>
    </row>
    <row r="40" spans="1:18">
      <c r="A40" s="628"/>
      <c r="B40" s="297">
        <v>0</v>
      </c>
      <c r="C40" s="478"/>
      <c r="D40" s="317"/>
      <c r="E40" s="484"/>
      <c r="F40" s="299" t="s">
        <v>186</v>
      </c>
      <c r="G40" s="477"/>
      <c r="H40" s="300">
        <f t="shared" si="11"/>
        <v>0</v>
      </c>
      <c r="I40" s="479"/>
      <c r="J40" s="301"/>
      <c r="K40" s="302"/>
      <c r="L40" s="303"/>
      <c r="M40" s="304"/>
      <c r="N40" s="304"/>
      <c r="O40" s="296"/>
      <c r="P40" s="326"/>
      <c r="Q40" s="305"/>
      <c r="R40" s="305"/>
    </row>
    <row r="41" spans="1:18">
      <c r="A41" s="628"/>
      <c r="B41" s="297">
        <v>0</v>
      </c>
      <c r="C41" s="478"/>
      <c r="D41" s="321"/>
      <c r="E41" s="484"/>
      <c r="F41" s="299" t="s">
        <v>186</v>
      </c>
      <c r="G41" s="477"/>
      <c r="H41" s="300">
        <f t="shared" si="11"/>
        <v>0</v>
      </c>
      <c r="I41" s="479"/>
      <c r="J41" s="301"/>
      <c r="K41" s="302"/>
      <c r="L41" s="303"/>
      <c r="M41" s="304"/>
      <c r="N41" s="304"/>
      <c r="O41" s="296"/>
      <c r="P41" s="326"/>
      <c r="Q41" s="305"/>
      <c r="R41" s="305"/>
    </row>
    <row r="42" spans="1:18">
      <c r="A42" s="628"/>
      <c r="B42" s="297">
        <v>0</v>
      </c>
      <c r="C42" s="478"/>
      <c r="D42" s="321"/>
      <c r="E42" s="484"/>
      <c r="F42" s="299" t="s">
        <v>186</v>
      </c>
      <c r="G42" s="477"/>
      <c r="H42" s="300">
        <f t="shared" si="11"/>
        <v>0</v>
      </c>
      <c r="I42" s="479"/>
      <c r="J42" s="301"/>
      <c r="K42" s="302"/>
      <c r="L42" s="303"/>
      <c r="M42" s="304"/>
      <c r="N42" s="304"/>
      <c r="O42" s="296"/>
      <c r="P42" s="326"/>
      <c r="Q42" s="305"/>
      <c r="R42" s="305"/>
    </row>
    <row r="43" spans="1:18" ht="15.75" customHeight="1">
      <c r="A43" s="628"/>
      <c r="B43" s="297">
        <v>0</v>
      </c>
      <c r="C43" s="478"/>
      <c r="D43" s="320"/>
      <c r="E43" s="484"/>
      <c r="F43" s="299" t="s">
        <v>186</v>
      </c>
      <c r="G43" s="477"/>
      <c r="H43" s="300">
        <f t="shared" si="11"/>
        <v>0</v>
      </c>
      <c r="I43" s="479"/>
      <c r="J43" s="301"/>
      <c r="K43" s="302"/>
      <c r="L43" s="303"/>
      <c r="M43" s="304"/>
      <c r="N43" s="304"/>
      <c r="O43" s="296"/>
      <c r="P43" s="482"/>
      <c r="Q43" s="305"/>
      <c r="R43" s="305"/>
    </row>
    <row r="44" spans="1:18">
      <c r="A44" s="628"/>
      <c r="B44" s="297">
        <v>0</v>
      </c>
      <c r="C44" s="478"/>
      <c r="D44" s="321"/>
      <c r="E44" s="327"/>
      <c r="F44" s="299" t="s">
        <v>186</v>
      </c>
      <c r="G44" s="328"/>
      <c r="H44" s="329">
        <f t="shared" si="11"/>
        <v>0</v>
      </c>
      <c r="I44" s="480"/>
      <c r="J44" s="301"/>
      <c r="K44" s="302"/>
      <c r="L44" s="303"/>
      <c r="M44" s="304"/>
      <c r="N44" s="304"/>
      <c r="O44" s="296"/>
      <c r="P44" s="482"/>
      <c r="Q44" s="305"/>
      <c r="R44" s="305"/>
    </row>
    <row r="45" spans="1:18">
      <c r="A45" s="628"/>
      <c r="B45" s="297">
        <v>0</v>
      </c>
      <c r="C45" s="478"/>
      <c r="D45" s="337"/>
      <c r="E45" s="322"/>
      <c r="F45" s="299" t="s">
        <v>186</v>
      </c>
      <c r="G45" s="477"/>
      <c r="H45" s="300">
        <f t="shared" si="11"/>
        <v>0</v>
      </c>
      <c r="I45" s="479"/>
      <c r="J45" s="301"/>
      <c r="K45" s="302"/>
      <c r="L45" s="303"/>
      <c r="M45" s="304"/>
      <c r="N45" s="304"/>
      <c r="O45" s="296"/>
      <c r="P45" s="482"/>
      <c r="Q45" s="305"/>
      <c r="R45" s="305"/>
    </row>
    <row r="46" spans="1:18">
      <c r="A46" s="628"/>
      <c r="B46" s="297">
        <v>0</v>
      </c>
      <c r="C46" s="478"/>
      <c r="D46" s="321"/>
      <c r="E46" s="327"/>
      <c r="F46" s="299" t="s">
        <v>186</v>
      </c>
      <c r="G46" s="328"/>
      <c r="H46" s="329">
        <f t="shared" si="11"/>
        <v>0</v>
      </c>
      <c r="I46" s="480"/>
      <c r="J46" s="301"/>
      <c r="K46" s="302"/>
      <c r="L46" s="303"/>
      <c r="M46" s="304"/>
      <c r="N46" s="304"/>
      <c r="O46" s="296"/>
      <c r="P46" s="482"/>
      <c r="Q46" s="305"/>
      <c r="R46" s="305"/>
    </row>
    <row r="47" spans="1:18">
      <c r="A47" s="628"/>
      <c r="B47" s="297">
        <v>0</v>
      </c>
      <c r="C47" s="478"/>
      <c r="D47" s="337"/>
      <c r="E47" s="322"/>
      <c r="F47" s="299" t="s">
        <v>186</v>
      </c>
      <c r="G47" s="477"/>
      <c r="H47" s="300">
        <f t="shared" si="11"/>
        <v>0</v>
      </c>
      <c r="I47" s="479"/>
      <c r="J47" s="301"/>
      <c r="K47" s="302"/>
      <c r="L47" s="303"/>
      <c r="M47" s="304"/>
      <c r="N47" s="304"/>
      <c r="O47" s="296"/>
      <c r="P47" s="482"/>
      <c r="Q47" s="305"/>
      <c r="R47" s="305"/>
    </row>
    <row r="48" spans="1:18">
      <c r="A48" s="629"/>
      <c r="B48" s="297">
        <v>0</v>
      </c>
      <c r="C48" s="477"/>
      <c r="D48" s="321"/>
      <c r="E48" s="376"/>
      <c r="F48" s="299" t="s">
        <v>186</v>
      </c>
      <c r="G48" s="477"/>
      <c r="H48" s="300"/>
      <c r="I48" s="479"/>
      <c r="J48" s="301"/>
      <c r="K48" s="302"/>
      <c r="L48" s="303"/>
      <c r="M48" s="304"/>
      <c r="N48" s="304"/>
      <c r="O48" s="296"/>
      <c r="P48" s="482"/>
      <c r="Q48" s="305"/>
      <c r="R48" s="305"/>
    </row>
    <row r="49" spans="1:18">
      <c r="A49" s="629"/>
      <c r="B49" s="297">
        <v>0</v>
      </c>
      <c r="C49" s="477"/>
      <c r="D49" s="330"/>
      <c r="E49" s="331"/>
      <c r="F49" s="299" t="s">
        <v>186</v>
      </c>
      <c r="G49" s="296"/>
      <c r="H49" s="329">
        <f>F49*G49</f>
        <v>0</v>
      </c>
      <c r="I49" s="482"/>
      <c r="J49" s="301"/>
      <c r="K49" s="302"/>
      <c r="L49" s="303"/>
      <c r="M49" s="304"/>
      <c r="N49" s="304"/>
      <c r="O49" s="296"/>
      <c r="P49" s="482"/>
      <c r="Q49" s="305"/>
      <c r="R49" s="305"/>
    </row>
    <row r="50" spans="1:18">
      <c r="A50" s="629"/>
      <c r="B50" s="297">
        <v>0</v>
      </c>
      <c r="C50" s="477"/>
      <c r="D50" s="330"/>
      <c r="E50" s="331"/>
      <c r="F50" s="299" t="s">
        <v>186</v>
      </c>
      <c r="G50" s="296"/>
      <c r="H50" s="329">
        <f>F50*G50</f>
        <v>0</v>
      </c>
      <c r="I50" s="482"/>
      <c r="J50" s="301"/>
      <c r="K50" s="302"/>
      <c r="L50" s="303"/>
      <c r="M50" s="304"/>
      <c r="N50" s="304"/>
      <c r="O50" s="296"/>
      <c r="P50" s="482"/>
      <c r="Q50" s="305"/>
      <c r="R50" s="305"/>
    </row>
    <row r="51" spans="1:18" ht="15.75" customHeight="1">
      <c r="A51" s="630"/>
      <c r="B51" s="297">
        <v>0</v>
      </c>
      <c r="C51" s="6" t="s">
        <v>43</v>
      </c>
      <c r="D51" s="613" t="s">
        <v>550</v>
      </c>
      <c r="E51" s="613"/>
      <c r="F51" s="309"/>
      <c r="G51" s="314"/>
      <c r="H51" s="332"/>
      <c r="I51" s="333"/>
      <c r="J51" s="313"/>
      <c r="K51" s="313"/>
      <c r="L51" s="314"/>
      <c r="M51" s="334"/>
      <c r="N51" s="304"/>
      <c r="O51" s="302"/>
      <c r="P51" s="302"/>
      <c r="Q51" s="303"/>
      <c r="R51" s="303"/>
    </row>
    <row r="52" spans="1:18" ht="15.6" customHeight="1">
      <c r="A52" s="631" t="s">
        <v>554</v>
      </c>
      <c r="B52" s="297" t="s">
        <v>184</v>
      </c>
      <c r="C52" s="478"/>
      <c r="D52" s="320" t="s">
        <v>159</v>
      </c>
      <c r="E52" s="335"/>
      <c r="F52" s="299">
        <v>25.03</v>
      </c>
      <c r="G52" s="477">
        <v>750</v>
      </c>
      <c r="H52" s="300">
        <f>F52*G52</f>
        <v>18772.5</v>
      </c>
      <c r="I52" s="479"/>
      <c r="J52" s="301">
        <v>4</v>
      </c>
      <c r="K52" s="302">
        <f>G52/P52*60</f>
        <v>3214.2857142857074</v>
      </c>
      <c r="L52" s="303">
        <f>K52/J52</f>
        <v>803.57142857142685</v>
      </c>
      <c r="M52" s="304">
        <v>0.30555555555555552</v>
      </c>
      <c r="N52" s="304">
        <v>0.31527777777777777</v>
      </c>
      <c r="O52" s="302">
        <v>20</v>
      </c>
      <c r="P52" s="482">
        <f>(N52-M52)*24*60</f>
        <v>14.00000000000003</v>
      </c>
      <c r="Q52" s="305"/>
      <c r="R52" s="305"/>
    </row>
    <row r="53" spans="1:18" ht="15.6" customHeight="1">
      <c r="A53" s="632"/>
      <c r="B53" s="297" t="s">
        <v>184</v>
      </c>
      <c r="C53" s="478"/>
      <c r="D53" s="320" t="s">
        <v>160</v>
      </c>
      <c r="E53" s="336"/>
      <c r="F53" s="299">
        <v>24.82</v>
      </c>
      <c r="G53" s="306">
        <v>986</v>
      </c>
      <c r="H53" s="300">
        <f t="shared" ref="H53:H62" si="12">F53*G53</f>
        <v>24472.52</v>
      </c>
      <c r="I53" s="479"/>
      <c r="J53" s="301">
        <v>4</v>
      </c>
      <c r="K53" s="302">
        <f t="shared" ref="K53:K56" si="13">G53/P53*60</f>
        <v>3113.6842105263136</v>
      </c>
      <c r="L53" s="303">
        <f t="shared" ref="L53:L56" si="14">K53/J53</f>
        <v>778.42105263157839</v>
      </c>
      <c r="M53" s="304">
        <v>0.32916666666666666</v>
      </c>
      <c r="N53" s="304">
        <v>0.34236111111111112</v>
      </c>
      <c r="O53" s="302">
        <v>20</v>
      </c>
      <c r="P53" s="482">
        <f t="shared" ref="P53:P56" si="15">(N53-M53)*24*60</f>
        <v>19.000000000000014</v>
      </c>
      <c r="Q53" s="305"/>
      <c r="R53" s="305"/>
    </row>
    <row r="54" spans="1:18" ht="15.6" customHeight="1">
      <c r="A54" s="632"/>
      <c r="B54" s="297" t="s">
        <v>184</v>
      </c>
      <c r="C54" s="478"/>
      <c r="D54" s="320" t="s">
        <v>161</v>
      </c>
      <c r="E54" s="484"/>
      <c r="F54" s="299">
        <v>30</v>
      </c>
      <c r="G54" s="306">
        <v>1754</v>
      </c>
      <c r="H54" s="300">
        <f t="shared" si="12"/>
        <v>52620</v>
      </c>
      <c r="I54" s="479"/>
      <c r="J54" s="301">
        <v>4</v>
      </c>
      <c r="K54" s="302">
        <f t="shared" si="13"/>
        <v>3189.0909090909122</v>
      </c>
      <c r="L54" s="303">
        <f t="shared" si="14"/>
        <v>797.27272727272805</v>
      </c>
      <c r="M54" s="304">
        <v>0.35625000000000001</v>
      </c>
      <c r="N54" s="304">
        <v>0.37916666666666665</v>
      </c>
      <c r="O54" s="302">
        <v>20</v>
      </c>
      <c r="P54" s="482">
        <f t="shared" si="15"/>
        <v>32.999999999999964</v>
      </c>
      <c r="Q54" s="305">
        <v>0.37916666666666665</v>
      </c>
      <c r="R54" s="305">
        <v>0.42083333333333334</v>
      </c>
    </row>
    <row r="55" spans="1:18" ht="15.6" customHeight="1">
      <c r="A55" s="632"/>
      <c r="B55" s="297" t="s">
        <v>184</v>
      </c>
      <c r="C55" s="478"/>
      <c r="D55" s="338" t="s">
        <v>162</v>
      </c>
      <c r="E55" s="322"/>
      <c r="F55" s="299">
        <v>14.03</v>
      </c>
      <c r="G55" s="306">
        <v>2838</v>
      </c>
      <c r="H55" s="300">
        <f t="shared" si="12"/>
        <v>39817.14</v>
      </c>
      <c r="I55" s="479"/>
      <c r="J55" s="301">
        <v>3</v>
      </c>
      <c r="K55" s="302">
        <f t="shared" si="13"/>
        <v>3153.3333333333399</v>
      </c>
      <c r="L55" s="303">
        <f t="shared" si="14"/>
        <v>1051.1111111111134</v>
      </c>
      <c r="M55" s="304">
        <v>0.4381944444444445</v>
      </c>
      <c r="N55" s="304">
        <v>0.47569444444444442</v>
      </c>
      <c r="O55" s="302">
        <v>25</v>
      </c>
      <c r="P55" s="482">
        <f t="shared" si="15"/>
        <v>53.999999999999886</v>
      </c>
      <c r="Q55" s="305"/>
      <c r="R55" s="305"/>
    </row>
    <row r="56" spans="1:18" ht="15.6" customHeight="1">
      <c r="A56" s="632"/>
      <c r="B56" s="297" t="s">
        <v>184</v>
      </c>
      <c r="C56" s="478"/>
      <c r="D56" s="321" t="s">
        <v>164</v>
      </c>
      <c r="E56" s="322"/>
      <c r="F56" s="299">
        <v>18.18</v>
      </c>
      <c r="G56" s="306">
        <v>1585</v>
      </c>
      <c r="H56" s="300">
        <f t="shared" si="12"/>
        <v>28815.3</v>
      </c>
      <c r="I56" s="479"/>
      <c r="J56" s="301">
        <v>3</v>
      </c>
      <c r="K56" s="302">
        <f t="shared" si="13"/>
        <v>3170.0000000000032</v>
      </c>
      <c r="L56" s="303">
        <f t="shared" si="14"/>
        <v>1056.6666666666677</v>
      </c>
      <c r="M56" s="304">
        <v>0.48958333333333331</v>
      </c>
      <c r="N56" s="304">
        <v>0.51041666666666663</v>
      </c>
      <c r="O56" s="302">
        <v>20</v>
      </c>
      <c r="P56" s="482">
        <f t="shared" si="15"/>
        <v>29.999999999999972</v>
      </c>
      <c r="Q56" s="305"/>
      <c r="R56" s="305"/>
    </row>
    <row r="57" spans="1:18" ht="15.75" customHeight="1">
      <c r="A57" s="632"/>
      <c r="B57" s="297">
        <v>0</v>
      </c>
      <c r="C57" s="6" t="s">
        <v>46</v>
      </c>
      <c r="D57" s="338"/>
      <c r="E57" s="322"/>
      <c r="F57" s="299" t="s">
        <v>186</v>
      </c>
      <c r="G57" s="306"/>
      <c r="H57" s="300">
        <f t="shared" si="12"/>
        <v>0</v>
      </c>
      <c r="I57" s="479"/>
      <c r="J57" s="301"/>
      <c r="K57" s="302"/>
      <c r="L57" s="303"/>
      <c r="M57" s="304"/>
      <c r="N57" s="304"/>
      <c r="O57" s="302"/>
      <c r="P57" s="482"/>
      <c r="Q57" s="305"/>
      <c r="R57" s="305"/>
    </row>
    <row r="58" spans="1:18" ht="15.6" customHeight="1">
      <c r="A58" s="632"/>
      <c r="B58" s="297">
        <v>0</v>
      </c>
      <c r="C58" s="339"/>
      <c r="D58" s="320"/>
      <c r="E58" s="322"/>
      <c r="F58" s="299" t="s">
        <v>186</v>
      </c>
      <c r="G58" s="340"/>
      <c r="H58" s="300">
        <f t="shared" si="12"/>
        <v>0</v>
      </c>
      <c r="I58" s="479"/>
      <c r="J58" s="301"/>
      <c r="K58" s="302"/>
      <c r="L58" s="303"/>
      <c r="M58" s="304"/>
      <c r="N58" s="304"/>
      <c r="O58" s="302"/>
      <c r="P58" s="482"/>
      <c r="Q58" s="305"/>
      <c r="R58" s="305"/>
    </row>
    <row r="59" spans="1:18" ht="15.6" customHeight="1">
      <c r="A59" s="632"/>
      <c r="B59" s="297">
        <v>0</v>
      </c>
      <c r="C59" s="478"/>
      <c r="D59" s="337"/>
      <c r="E59" s="322"/>
      <c r="F59" s="299" t="s">
        <v>186</v>
      </c>
      <c r="G59" s="306"/>
      <c r="H59" s="300">
        <f t="shared" si="12"/>
        <v>0</v>
      </c>
      <c r="I59" s="479"/>
      <c r="J59" s="301"/>
      <c r="K59" s="302"/>
      <c r="L59" s="303"/>
      <c r="M59" s="304"/>
      <c r="N59" s="304"/>
      <c r="O59" s="302"/>
      <c r="P59" s="482"/>
      <c r="Q59" s="305"/>
      <c r="R59" s="305"/>
    </row>
    <row r="60" spans="1:18" ht="15.6" customHeight="1">
      <c r="A60" s="632"/>
      <c r="B60" s="297">
        <v>0</v>
      </c>
      <c r="C60" s="478"/>
      <c r="D60" s="338"/>
      <c r="E60" s="341"/>
      <c r="F60" s="299" t="s">
        <v>186</v>
      </c>
      <c r="G60" s="306"/>
      <c r="H60" s="300">
        <f t="shared" si="12"/>
        <v>0</v>
      </c>
      <c r="I60" s="479"/>
      <c r="J60" s="301"/>
      <c r="K60" s="302"/>
      <c r="L60" s="303"/>
      <c r="M60" s="304"/>
      <c r="N60" s="304"/>
      <c r="O60" s="302"/>
      <c r="P60" s="482"/>
      <c r="Q60" s="305"/>
      <c r="R60" s="305"/>
    </row>
    <row r="61" spans="1:18" ht="15.6" customHeight="1">
      <c r="A61" s="632"/>
      <c r="B61" s="297">
        <v>0</v>
      </c>
      <c r="C61" s="478"/>
      <c r="D61" s="320"/>
      <c r="E61" s="322"/>
      <c r="F61" s="299" t="s">
        <v>186</v>
      </c>
      <c r="G61" s="306"/>
      <c r="H61" s="300">
        <f t="shared" si="12"/>
        <v>0</v>
      </c>
      <c r="I61" s="479"/>
      <c r="J61" s="301"/>
      <c r="K61" s="302"/>
      <c r="L61" s="303"/>
      <c r="M61" s="304"/>
      <c r="N61" s="304"/>
      <c r="O61" s="302"/>
      <c r="P61" s="482"/>
      <c r="Q61" s="305"/>
      <c r="R61" s="305"/>
    </row>
    <row r="62" spans="1:18" ht="15.6" customHeight="1">
      <c r="A62" s="632"/>
      <c r="B62" s="297">
        <v>0</v>
      </c>
      <c r="C62" s="478"/>
      <c r="D62" s="337"/>
      <c r="E62" s="342"/>
      <c r="F62" s="299" t="s">
        <v>186</v>
      </c>
      <c r="G62" s="306"/>
      <c r="H62" s="300">
        <f t="shared" si="12"/>
        <v>0</v>
      </c>
      <c r="I62" s="479"/>
      <c r="J62" s="301"/>
      <c r="K62" s="302"/>
      <c r="L62" s="303"/>
      <c r="M62" s="304"/>
      <c r="N62" s="304"/>
      <c r="O62" s="302"/>
      <c r="P62" s="482"/>
      <c r="Q62" s="305"/>
      <c r="R62" s="305"/>
    </row>
    <row r="63" spans="1:18" ht="15.6" customHeight="1">
      <c r="A63" s="632"/>
      <c r="B63" s="297">
        <v>0</v>
      </c>
      <c r="C63" s="339"/>
      <c r="D63" s="343"/>
      <c r="E63" s="341"/>
      <c r="F63" s="299" t="s">
        <v>186</v>
      </c>
      <c r="G63" s="306"/>
      <c r="H63" s="300">
        <f t="shared" si="3"/>
        <v>0</v>
      </c>
      <c r="I63" s="480"/>
      <c r="J63" s="301"/>
      <c r="K63" s="302"/>
      <c r="L63" s="303"/>
      <c r="M63" s="304"/>
      <c r="N63" s="304"/>
      <c r="O63" s="296"/>
      <c r="P63" s="482"/>
      <c r="Q63" s="305"/>
      <c r="R63" s="305"/>
    </row>
    <row r="64" spans="1:18" ht="15.75" customHeight="1">
      <c r="A64" s="633"/>
      <c r="B64" s="297">
        <v>0</v>
      </c>
      <c r="C64" s="6" t="s">
        <v>555</v>
      </c>
      <c r="D64" s="613" t="s">
        <v>550</v>
      </c>
      <c r="E64" s="613"/>
      <c r="F64" s="309"/>
      <c r="G64" s="314"/>
      <c r="H64" s="332"/>
      <c r="I64" s="333"/>
      <c r="J64" s="313">
        <f>AVERAGE(J52:J63)</f>
        <v>3.6</v>
      </c>
      <c r="K64" s="313">
        <f>AVERAGE(K52:K63)</f>
        <v>3168.0788334472554</v>
      </c>
      <c r="L64" s="314">
        <f>AVERAGE(L52:L63)</f>
        <v>897.408597250703</v>
      </c>
      <c r="M64" s="304"/>
      <c r="N64" s="304"/>
      <c r="O64" s="296"/>
      <c r="P64" s="296"/>
      <c r="Q64" s="296"/>
      <c r="R64" s="296"/>
    </row>
    <row r="65" spans="1:18" ht="15.6" customHeight="1">
      <c r="A65" s="634" t="s">
        <v>556</v>
      </c>
      <c r="B65" s="297" t="s">
        <v>184</v>
      </c>
      <c r="C65" s="478"/>
      <c r="D65" s="321" t="s">
        <v>557</v>
      </c>
      <c r="E65" s="335"/>
      <c r="F65" s="299">
        <v>16.66</v>
      </c>
      <c r="G65" s="477">
        <v>2945</v>
      </c>
      <c r="H65" s="300">
        <f>F65*G65</f>
        <v>49063.7</v>
      </c>
      <c r="I65" s="479"/>
      <c r="J65" s="301">
        <v>4</v>
      </c>
      <c r="K65" s="302">
        <f t="shared" ref="K65:K69" si="16">G65/P65*60</f>
        <v>3155.3571428571431</v>
      </c>
      <c r="L65" s="303">
        <f t="shared" ref="L65:L69" si="17">K65/J65</f>
        <v>788.83928571428578</v>
      </c>
      <c r="M65" s="304">
        <v>0.18055555555555555</v>
      </c>
      <c r="N65" s="304">
        <v>0.21944444444444444</v>
      </c>
      <c r="O65" s="302">
        <v>20</v>
      </c>
      <c r="P65" s="482">
        <f>(N65-M65)*24*60</f>
        <v>56</v>
      </c>
      <c r="Q65" s="305"/>
      <c r="R65" s="305"/>
    </row>
    <row r="66" spans="1:18" ht="15.6" customHeight="1">
      <c r="A66" s="635"/>
      <c r="B66" s="297" t="s">
        <v>184</v>
      </c>
      <c r="C66" s="478"/>
      <c r="D66" s="321" t="s">
        <v>558</v>
      </c>
      <c r="E66" s="336"/>
      <c r="F66" s="299">
        <v>22.281818181818181</v>
      </c>
      <c r="G66" s="306">
        <v>696</v>
      </c>
      <c r="H66" s="300">
        <f t="shared" ref="H66:H74" si="18">F66*G66</f>
        <v>15508.145454545454</v>
      </c>
      <c r="I66" s="479"/>
      <c r="J66" s="301">
        <v>4</v>
      </c>
      <c r="K66" s="302">
        <f t="shared" si="16"/>
        <v>2982.8571428571368</v>
      </c>
      <c r="L66" s="303">
        <f t="shared" si="17"/>
        <v>745.71428571428419</v>
      </c>
      <c r="M66" s="304">
        <v>0.23333333333333331</v>
      </c>
      <c r="N66" s="304">
        <v>0.24305555555555555</v>
      </c>
      <c r="O66" s="302">
        <v>20</v>
      </c>
      <c r="P66" s="482">
        <f t="shared" ref="P66:P69" si="19">(N66-M66)*24*60</f>
        <v>14.00000000000003</v>
      </c>
      <c r="Q66" s="305"/>
      <c r="R66" s="305"/>
    </row>
    <row r="67" spans="1:18" ht="15.6" customHeight="1">
      <c r="A67" s="635"/>
      <c r="B67" s="297" t="s">
        <v>184</v>
      </c>
      <c r="C67" s="478"/>
      <c r="D67" s="337" t="s">
        <v>559</v>
      </c>
      <c r="E67" s="322"/>
      <c r="F67" s="299">
        <v>17.890909090909091</v>
      </c>
      <c r="G67" s="306">
        <v>1739</v>
      </c>
      <c r="H67" s="300">
        <f t="shared" si="18"/>
        <v>31112.290909090909</v>
      </c>
      <c r="I67" s="479"/>
      <c r="J67" s="301">
        <v>3</v>
      </c>
      <c r="K67" s="302">
        <f t="shared" si="16"/>
        <v>3161.8181818181852</v>
      </c>
      <c r="L67" s="303">
        <f t="shared" si="17"/>
        <v>1053.9393939393951</v>
      </c>
      <c r="M67" s="304">
        <v>0.25694444444444448</v>
      </c>
      <c r="N67" s="304">
        <v>0.27986111111111112</v>
      </c>
      <c r="O67" s="302">
        <v>20</v>
      </c>
      <c r="P67" s="482">
        <f t="shared" si="19"/>
        <v>32.999999999999964</v>
      </c>
      <c r="Q67" s="305">
        <v>0.27986111111111112</v>
      </c>
      <c r="R67" s="305">
        <v>0.3215277777777778</v>
      </c>
    </row>
    <row r="68" spans="1:18" ht="15.6" customHeight="1">
      <c r="A68" s="635"/>
      <c r="B68" s="297" t="s">
        <v>184</v>
      </c>
      <c r="C68" s="478"/>
      <c r="D68" s="320" t="s">
        <v>163</v>
      </c>
      <c r="E68" s="322"/>
      <c r="F68" s="299">
        <v>18.18</v>
      </c>
      <c r="G68" s="306">
        <v>896</v>
      </c>
      <c r="H68" s="300">
        <f t="shared" si="18"/>
        <v>16289.279999999999</v>
      </c>
      <c r="I68" s="479"/>
      <c r="J68" s="301">
        <v>3</v>
      </c>
      <c r="K68" s="302">
        <f t="shared" si="16"/>
        <v>3162.3529411764666</v>
      </c>
      <c r="L68" s="303">
        <f t="shared" si="17"/>
        <v>1054.1176470588223</v>
      </c>
      <c r="M68" s="304">
        <v>0.33888888888888885</v>
      </c>
      <c r="N68" s="304">
        <v>0.35069444444444442</v>
      </c>
      <c r="O68" s="302">
        <v>25</v>
      </c>
      <c r="P68" s="482">
        <f t="shared" si="19"/>
        <v>17.000000000000021</v>
      </c>
      <c r="Q68" s="305"/>
      <c r="R68" s="305"/>
    </row>
    <row r="69" spans="1:18" ht="15.6" customHeight="1">
      <c r="A69" s="635"/>
      <c r="B69" s="297" t="s">
        <v>184</v>
      </c>
      <c r="C69" s="478"/>
      <c r="D69" s="337" t="s">
        <v>165</v>
      </c>
      <c r="E69" s="322"/>
      <c r="F69" s="299">
        <v>14.285714285714283</v>
      </c>
      <c r="G69" s="306">
        <v>4500</v>
      </c>
      <c r="H69" s="300">
        <f t="shared" si="18"/>
        <v>64285.714285714275</v>
      </c>
      <c r="I69" s="479"/>
      <c r="J69" s="301">
        <v>3</v>
      </c>
      <c r="K69" s="302">
        <f t="shared" si="16"/>
        <v>3176.4705882352905</v>
      </c>
      <c r="L69" s="303">
        <f t="shared" si="17"/>
        <v>1058.8235294117635</v>
      </c>
      <c r="M69" s="304">
        <v>0.37152777777777773</v>
      </c>
      <c r="N69" s="304">
        <v>0.43055555555555558</v>
      </c>
      <c r="O69" s="302">
        <v>30</v>
      </c>
      <c r="P69" s="482">
        <f t="shared" si="19"/>
        <v>85.000000000000099</v>
      </c>
      <c r="Q69" s="305"/>
      <c r="R69" s="305"/>
    </row>
    <row r="70" spans="1:18" ht="15.75" customHeight="1">
      <c r="A70" s="635"/>
      <c r="B70" s="297">
        <v>0</v>
      </c>
      <c r="C70" s="6" t="s">
        <v>46</v>
      </c>
      <c r="D70" s="321"/>
      <c r="E70" s="322"/>
      <c r="F70" s="299" t="s">
        <v>186</v>
      </c>
      <c r="G70" s="306"/>
      <c r="H70" s="300">
        <f t="shared" si="18"/>
        <v>0</v>
      </c>
      <c r="I70" s="479"/>
      <c r="J70" s="301"/>
      <c r="K70" s="302"/>
      <c r="L70" s="303"/>
      <c r="M70" s="304"/>
      <c r="N70" s="304"/>
      <c r="O70" s="302"/>
      <c r="P70" s="482"/>
      <c r="Q70" s="305"/>
      <c r="R70" s="305"/>
    </row>
    <row r="71" spans="1:18" ht="15.6" customHeight="1">
      <c r="A71" s="635"/>
      <c r="B71" s="297">
        <v>0</v>
      </c>
      <c r="C71" s="339"/>
      <c r="D71" s="337"/>
      <c r="E71" s="322"/>
      <c r="F71" s="299" t="s">
        <v>186</v>
      </c>
      <c r="G71" s="340"/>
      <c r="H71" s="300">
        <f t="shared" si="18"/>
        <v>0</v>
      </c>
      <c r="I71" s="479"/>
      <c r="J71" s="301"/>
      <c r="K71" s="302"/>
      <c r="L71" s="303"/>
      <c r="M71" s="304"/>
      <c r="N71" s="304"/>
      <c r="O71" s="302"/>
      <c r="P71" s="482"/>
      <c r="Q71" s="305"/>
      <c r="R71" s="305"/>
    </row>
    <row r="72" spans="1:18" ht="15.6" customHeight="1">
      <c r="A72" s="635"/>
      <c r="B72" s="297">
        <v>0</v>
      </c>
      <c r="C72" s="478"/>
      <c r="D72" s="337"/>
      <c r="E72" s="322"/>
      <c r="F72" s="299" t="s">
        <v>186</v>
      </c>
      <c r="G72" s="306"/>
      <c r="H72" s="300">
        <f t="shared" si="18"/>
        <v>0</v>
      </c>
      <c r="I72" s="479"/>
      <c r="J72" s="301"/>
      <c r="K72" s="302"/>
      <c r="L72" s="303"/>
      <c r="M72" s="304"/>
      <c r="N72" s="304"/>
      <c r="O72" s="302"/>
      <c r="P72" s="482"/>
      <c r="Q72" s="305"/>
      <c r="R72" s="305"/>
    </row>
    <row r="73" spans="1:18" ht="15.6" customHeight="1">
      <c r="A73" s="635"/>
      <c r="B73" s="297">
        <v>0</v>
      </c>
      <c r="C73" s="478"/>
      <c r="D73" s="337"/>
      <c r="E73" s="322"/>
      <c r="F73" s="299" t="s">
        <v>186</v>
      </c>
      <c r="G73" s="306"/>
      <c r="H73" s="300">
        <f t="shared" si="18"/>
        <v>0</v>
      </c>
      <c r="I73" s="479"/>
      <c r="J73" s="301"/>
      <c r="K73" s="302"/>
      <c r="L73" s="303"/>
      <c r="M73" s="304"/>
      <c r="N73" s="304"/>
      <c r="O73" s="302"/>
      <c r="P73" s="482"/>
      <c r="Q73" s="305"/>
      <c r="R73" s="305"/>
    </row>
    <row r="74" spans="1:18" ht="15.6" customHeight="1">
      <c r="A74" s="635"/>
      <c r="B74" s="297">
        <v>0</v>
      </c>
      <c r="C74" s="478"/>
      <c r="D74" s="337"/>
      <c r="E74" s="322"/>
      <c r="F74" s="299" t="s">
        <v>186</v>
      </c>
      <c r="G74" s="306"/>
      <c r="H74" s="300">
        <f t="shared" si="18"/>
        <v>0</v>
      </c>
      <c r="I74" s="479"/>
      <c r="J74" s="301"/>
      <c r="K74" s="302"/>
      <c r="L74" s="303"/>
      <c r="M74" s="304"/>
      <c r="N74" s="304"/>
      <c r="O74" s="302"/>
      <c r="P74" s="482"/>
      <c r="Q74" s="305"/>
      <c r="R74" s="305"/>
    </row>
    <row r="75" spans="1:18" ht="15.75" customHeight="1">
      <c r="A75" s="636"/>
      <c r="B75" s="297">
        <v>0</v>
      </c>
      <c r="C75" s="6" t="s">
        <v>560</v>
      </c>
      <c r="D75" s="613" t="s">
        <v>550</v>
      </c>
      <c r="E75" s="613"/>
      <c r="F75" s="309"/>
      <c r="G75" s="314"/>
      <c r="H75" s="332"/>
      <c r="I75" s="333"/>
      <c r="J75" s="313">
        <f>AVERAGE(J65:J74)</f>
        <v>3.4</v>
      </c>
      <c r="K75" s="313">
        <f>AVERAGE(K65:K74)</f>
        <v>3127.7711993888443</v>
      </c>
      <c r="L75" s="314">
        <f>AVERAGE(L65:L74)</f>
        <v>940.28682836771009</v>
      </c>
      <c r="M75" s="304"/>
      <c r="N75" s="304"/>
      <c r="O75" s="296"/>
      <c r="P75" s="296"/>
      <c r="Q75" s="296"/>
      <c r="R75" s="296"/>
    </row>
    <row r="76" spans="1:18" ht="16.2" customHeight="1">
      <c r="A76" s="621" t="s">
        <v>166</v>
      </c>
      <c r="B76" s="297">
        <v>0</v>
      </c>
      <c r="C76" s="308"/>
      <c r="D76" s="622"/>
      <c r="E76" s="623"/>
      <c r="F76" s="299" t="s">
        <v>186</v>
      </c>
      <c r="G76" s="344"/>
      <c r="H76" s="315">
        <f t="shared" si="3"/>
        <v>0</v>
      </c>
      <c r="I76" s="316"/>
      <c r="J76" s="301">
        <v>0</v>
      </c>
      <c r="K76" s="302">
        <v>0</v>
      </c>
      <c r="L76" s="303">
        <v>0</v>
      </c>
      <c r="M76" s="304"/>
      <c r="N76" s="304"/>
      <c r="O76" s="296"/>
      <c r="P76" s="482"/>
      <c r="Q76" s="305"/>
      <c r="R76" s="305"/>
    </row>
    <row r="77" spans="1:18">
      <c r="A77" s="621"/>
      <c r="B77" s="297">
        <v>0</v>
      </c>
      <c r="C77" s="308"/>
      <c r="D77" s="622"/>
      <c r="E77" s="623"/>
      <c r="F77" s="299" t="s">
        <v>186</v>
      </c>
      <c r="G77" s="477"/>
      <c r="H77" s="300">
        <f t="shared" si="3"/>
        <v>0</v>
      </c>
      <c r="I77" s="479"/>
      <c r="J77" s="301"/>
      <c r="K77" s="302"/>
      <c r="L77" s="303"/>
      <c r="M77" s="304"/>
      <c r="N77" s="304"/>
      <c r="O77" s="296"/>
      <c r="P77" s="482"/>
      <c r="Q77" s="296"/>
      <c r="R77" s="296"/>
    </row>
    <row r="78" spans="1:18">
      <c r="A78" s="621"/>
      <c r="B78" s="297">
        <v>0</v>
      </c>
      <c r="C78" s="308"/>
      <c r="D78" s="485"/>
      <c r="E78" s="485"/>
      <c r="F78" s="299" t="s">
        <v>186</v>
      </c>
      <c r="G78" s="324"/>
      <c r="H78" s="300">
        <f t="shared" si="3"/>
        <v>0</v>
      </c>
      <c r="I78" s="479"/>
      <c r="J78" s="301"/>
      <c r="K78" s="302"/>
      <c r="L78" s="303"/>
      <c r="M78" s="304"/>
      <c r="N78" s="304"/>
      <c r="O78" s="296"/>
      <c r="P78" s="482"/>
      <c r="Q78" s="296"/>
      <c r="R78" s="296"/>
    </row>
    <row r="79" spans="1:18">
      <c r="A79" s="621"/>
      <c r="B79" s="297">
        <v>0</v>
      </c>
      <c r="C79" s="308"/>
      <c r="D79" s="485"/>
      <c r="E79" s="485"/>
      <c r="F79" s="299" t="s">
        <v>186</v>
      </c>
      <c r="G79" s="324"/>
      <c r="H79" s="300">
        <f t="shared" si="3"/>
        <v>0</v>
      </c>
      <c r="I79" s="479"/>
      <c r="J79" s="301"/>
      <c r="K79" s="302"/>
      <c r="L79" s="303"/>
      <c r="M79" s="304"/>
      <c r="N79" s="304"/>
      <c r="O79" s="296"/>
      <c r="P79" s="482"/>
      <c r="Q79" s="296"/>
      <c r="R79" s="296"/>
    </row>
    <row r="80" spans="1:18">
      <c r="A80" s="621"/>
      <c r="B80" s="297">
        <v>0</v>
      </c>
      <c r="C80" s="308"/>
      <c r="D80" s="485"/>
      <c r="E80" s="485"/>
      <c r="F80" s="299" t="s">
        <v>186</v>
      </c>
      <c r="G80" s="324"/>
      <c r="H80" s="300">
        <f t="shared" si="3"/>
        <v>0</v>
      </c>
      <c r="I80" s="479"/>
      <c r="J80" s="301"/>
      <c r="K80" s="302"/>
      <c r="L80" s="303"/>
      <c r="M80" s="304"/>
      <c r="N80" s="304"/>
      <c r="O80" s="296"/>
      <c r="P80" s="482"/>
      <c r="Q80" s="296"/>
      <c r="R80" s="296"/>
    </row>
    <row r="81" spans="1:18" ht="15.75" customHeight="1">
      <c r="A81" s="621"/>
      <c r="B81" s="297">
        <v>0</v>
      </c>
      <c r="C81" s="6" t="s">
        <v>46</v>
      </c>
      <c r="D81" s="624" t="s">
        <v>550</v>
      </c>
      <c r="E81" s="624"/>
      <c r="F81" s="309"/>
      <c r="G81" s="345"/>
      <c r="H81" s="311"/>
      <c r="I81" s="312"/>
      <c r="J81" s="313">
        <f>AVERAGE(J76:J80)</f>
        <v>0</v>
      </c>
      <c r="K81" s="313">
        <f>AVERAGE(K76:K80)</f>
        <v>0</v>
      </c>
      <c r="L81" s="314">
        <f>AVERAGE(L76:L80)</f>
        <v>0</v>
      </c>
      <c r="M81" s="304"/>
      <c r="N81" s="304"/>
      <c r="O81" s="296"/>
      <c r="P81" s="296"/>
      <c r="Q81" s="296"/>
      <c r="R81" s="296"/>
    </row>
    <row r="82" spans="1:18" ht="15.6" customHeight="1">
      <c r="A82" s="639" t="s">
        <v>561</v>
      </c>
      <c r="B82" s="297">
        <v>0</v>
      </c>
      <c r="C82" s="319"/>
      <c r="D82" s="320"/>
      <c r="E82" s="346"/>
      <c r="F82" s="299" t="s">
        <v>186</v>
      </c>
      <c r="G82" s="324"/>
      <c r="H82" s="347">
        <f t="shared" ref="H82:H90" si="20">F82*G82</f>
        <v>0</v>
      </c>
      <c r="I82" s="479"/>
      <c r="J82" s="301"/>
      <c r="K82" s="302"/>
      <c r="L82" s="303"/>
      <c r="M82" s="304"/>
      <c r="N82" s="304"/>
      <c r="O82" s="302"/>
      <c r="P82" s="482"/>
      <c r="Q82" s="305"/>
      <c r="R82" s="305"/>
    </row>
    <row r="83" spans="1:18">
      <c r="A83" s="640"/>
      <c r="B83" s="297">
        <v>0</v>
      </c>
      <c r="C83" s="319"/>
      <c r="D83" s="337"/>
      <c r="E83" s="346"/>
      <c r="F83" s="299" t="s">
        <v>186</v>
      </c>
      <c r="G83" s="324"/>
      <c r="H83" s="347">
        <f t="shared" si="20"/>
        <v>0</v>
      </c>
      <c r="I83" s="479"/>
      <c r="J83" s="301"/>
      <c r="K83" s="302"/>
      <c r="L83" s="303"/>
      <c r="M83" s="304"/>
      <c r="N83" s="304"/>
      <c r="O83" s="302"/>
      <c r="P83" s="482"/>
      <c r="Q83" s="305"/>
      <c r="R83" s="305"/>
    </row>
    <row r="84" spans="1:18">
      <c r="A84" s="640"/>
      <c r="B84" s="297">
        <v>0</v>
      </c>
      <c r="C84" s="319"/>
      <c r="D84" s="320"/>
      <c r="E84" s="346"/>
      <c r="F84" s="299" t="s">
        <v>186</v>
      </c>
      <c r="G84" s="324"/>
      <c r="H84" s="347">
        <f t="shared" si="20"/>
        <v>0</v>
      </c>
      <c r="I84" s="479"/>
      <c r="J84" s="301"/>
      <c r="K84" s="302"/>
      <c r="L84" s="303"/>
      <c r="M84" s="304"/>
      <c r="N84" s="304"/>
      <c r="O84" s="302"/>
      <c r="P84" s="326"/>
      <c r="Q84" s="305"/>
      <c r="R84" s="305"/>
    </row>
    <row r="85" spans="1:18">
      <c r="A85" s="640"/>
      <c r="B85" s="297">
        <v>0</v>
      </c>
      <c r="C85" s="319"/>
      <c r="D85" s="320"/>
      <c r="E85" s="346"/>
      <c r="F85" s="299" t="s">
        <v>186</v>
      </c>
      <c r="G85" s="324"/>
      <c r="H85" s="348">
        <f t="shared" si="20"/>
        <v>0</v>
      </c>
      <c r="I85" s="479"/>
      <c r="J85" s="301"/>
      <c r="K85" s="302"/>
      <c r="L85" s="303"/>
      <c r="M85" s="304"/>
      <c r="N85" s="304"/>
      <c r="O85" s="302"/>
      <c r="P85" s="326"/>
      <c r="Q85" s="296"/>
      <c r="R85" s="296"/>
    </row>
    <row r="86" spans="1:18">
      <c r="A86" s="640"/>
      <c r="B86" s="297">
        <v>0</v>
      </c>
      <c r="C86" s="319"/>
      <c r="D86" s="320"/>
      <c r="E86" s="346"/>
      <c r="F86" s="299" t="s">
        <v>186</v>
      </c>
      <c r="G86" s="477"/>
      <c r="H86" s="348">
        <f t="shared" si="20"/>
        <v>0</v>
      </c>
      <c r="I86" s="479"/>
      <c r="J86" s="301"/>
      <c r="K86" s="302"/>
      <c r="L86" s="303"/>
      <c r="M86" s="304"/>
      <c r="N86" s="349"/>
      <c r="O86" s="296"/>
      <c r="P86" s="326"/>
      <c r="Q86" s="296"/>
      <c r="R86" s="296"/>
    </row>
    <row r="87" spans="1:18">
      <c r="A87" s="640"/>
      <c r="B87" s="297"/>
      <c r="C87" s="319"/>
      <c r="D87" s="320"/>
      <c r="E87" s="346"/>
      <c r="F87" s="299" t="s">
        <v>186</v>
      </c>
      <c r="G87" s="477"/>
      <c r="H87" s="348">
        <f t="shared" si="20"/>
        <v>0</v>
      </c>
      <c r="I87" s="479"/>
      <c r="J87" s="301"/>
      <c r="K87" s="302"/>
      <c r="L87" s="303"/>
      <c r="M87" s="304"/>
      <c r="N87" s="349"/>
      <c r="O87" s="296"/>
      <c r="P87" s="326"/>
      <c r="Q87" s="296"/>
      <c r="R87" s="296"/>
    </row>
    <row r="88" spans="1:18">
      <c r="A88" s="640"/>
      <c r="B88" s="297">
        <v>0</v>
      </c>
      <c r="C88" s="319"/>
      <c r="D88" s="320"/>
      <c r="E88" s="346"/>
      <c r="F88" s="299" t="s">
        <v>186</v>
      </c>
      <c r="G88" s="477"/>
      <c r="H88" s="348">
        <f t="shared" si="20"/>
        <v>0</v>
      </c>
      <c r="I88" s="479"/>
      <c r="J88" s="301"/>
      <c r="K88" s="302"/>
      <c r="L88" s="303"/>
      <c r="M88" s="304"/>
      <c r="N88" s="349"/>
      <c r="O88" s="296"/>
      <c r="P88" s="326"/>
      <c r="Q88" s="296"/>
      <c r="R88" s="296"/>
    </row>
    <row r="89" spans="1:18">
      <c r="A89" s="640"/>
      <c r="B89" s="297">
        <v>0</v>
      </c>
      <c r="C89" s="319"/>
      <c r="D89" s="320"/>
      <c r="E89" s="346"/>
      <c r="F89" s="299" t="s">
        <v>186</v>
      </c>
      <c r="G89" s="477"/>
      <c r="H89" s="348">
        <f t="shared" si="20"/>
        <v>0</v>
      </c>
      <c r="I89" s="479"/>
      <c r="J89" s="301"/>
      <c r="K89" s="302"/>
      <c r="L89" s="303"/>
      <c r="M89" s="304"/>
      <c r="N89" s="349"/>
      <c r="O89" s="296"/>
      <c r="P89" s="326"/>
      <c r="Q89" s="296"/>
      <c r="R89" s="296"/>
    </row>
    <row r="90" spans="1:18">
      <c r="A90" s="640"/>
      <c r="B90" s="297">
        <v>0</v>
      </c>
      <c r="C90" s="319"/>
      <c r="D90" s="320"/>
      <c r="E90" s="346"/>
      <c r="F90" s="299" t="s">
        <v>186</v>
      </c>
      <c r="G90" s="477"/>
      <c r="H90" s="348">
        <f t="shared" si="20"/>
        <v>0</v>
      </c>
      <c r="I90" s="479"/>
      <c r="J90" s="301"/>
      <c r="K90" s="302"/>
      <c r="L90" s="303"/>
      <c r="M90" s="304"/>
      <c r="N90" s="349"/>
      <c r="O90" s="296"/>
      <c r="P90" s="326"/>
      <c r="Q90" s="296"/>
      <c r="R90" s="296"/>
    </row>
    <row r="91" spans="1:18" ht="17.399999999999999" customHeight="1">
      <c r="A91" s="640"/>
      <c r="B91" s="297">
        <v>0</v>
      </c>
      <c r="C91" s="6" t="s">
        <v>551</v>
      </c>
      <c r="D91" s="641" t="s">
        <v>550</v>
      </c>
      <c r="E91" s="641"/>
      <c r="F91" s="309"/>
      <c r="G91" s="350"/>
      <c r="H91" s="351"/>
      <c r="I91" s="312"/>
      <c r="J91" s="313"/>
      <c r="K91" s="313"/>
      <c r="L91" s="314"/>
      <c r="M91" s="304"/>
      <c r="N91" s="304"/>
      <c r="O91" s="302"/>
      <c r="P91" s="302"/>
      <c r="Q91" s="303"/>
      <c r="R91" s="303"/>
    </row>
    <row r="92" spans="1:18" ht="16.2" customHeight="1">
      <c r="A92" s="642" t="s">
        <v>562</v>
      </c>
      <c r="B92" s="297" t="s">
        <v>184</v>
      </c>
      <c r="C92" s="308"/>
      <c r="D92" s="352" t="s">
        <v>563</v>
      </c>
      <c r="E92" s="346"/>
      <c r="F92" s="299">
        <v>24.54</v>
      </c>
      <c r="G92" s="477">
        <v>1644</v>
      </c>
      <c r="H92" s="300">
        <f t="shared" ref="H92:H97" si="21">F92*G92</f>
        <v>40343.760000000002</v>
      </c>
      <c r="I92" s="479"/>
      <c r="J92" s="301">
        <v>3</v>
      </c>
      <c r="K92" s="302">
        <f>G92/P92*60</f>
        <v>2192</v>
      </c>
      <c r="L92" s="303">
        <f t="shared" ref="L92:L95" si="22">K92/J92</f>
        <v>730.66666666666663</v>
      </c>
      <c r="M92" s="304">
        <v>0.72222222222222221</v>
      </c>
      <c r="N92" s="304">
        <v>0.75347222222222221</v>
      </c>
      <c r="O92" s="296">
        <v>20</v>
      </c>
      <c r="P92" s="482">
        <f>(N92-M92)*24*60</f>
        <v>45</v>
      </c>
      <c r="Q92" s="305"/>
      <c r="R92" s="305"/>
    </row>
    <row r="93" spans="1:18">
      <c r="A93" s="643"/>
      <c r="B93" s="297" t="s">
        <v>184</v>
      </c>
      <c r="C93" s="308"/>
      <c r="D93" s="320" t="s">
        <v>172</v>
      </c>
      <c r="E93" s="346"/>
      <c r="F93" s="299">
        <v>22.48</v>
      </c>
      <c r="G93" s="477">
        <v>768</v>
      </c>
      <c r="H93" s="300">
        <f t="shared" si="21"/>
        <v>17264.64</v>
      </c>
      <c r="I93" s="479"/>
      <c r="J93" s="301">
        <v>4</v>
      </c>
      <c r="K93" s="302">
        <f t="shared" ref="K93:K95" si="23">G93/P93*60</f>
        <v>2304.0000000000082</v>
      </c>
      <c r="L93" s="303">
        <f t="shared" si="22"/>
        <v>576.00000000000205</v>
      </c>
      <c r="M93" s="304">
        <v>0.76736111111111116</v>
      </c>
      <c r="N93" s="304">
        <v>0.78125</v>
      </c>
      <c r="O93" s="296">
        <v>20</v>
      </c>
      <c r="P93" s="482">
        <f>(N93-M93)*24*60</f>
        <v>19.999999999999929</v>
      </c>
      <c r="Q93" s="305"/>
      <c r="R93" s="305"/>
    </row>
    <row r="94" spans="1:18">
      <c r="A94" s="643"/>
      <c r="B94" s="297" t="s">
        <v>184</v>
      </c>
      <c r="C94" s="308"/>
      <c r="D94" s="352" t="s">
        <v>564</v>
      </c>
      <c r="E94" s="341"/>
      <c r="F94" s="299">
        <v>22.21</v>
      </c>
      <c r="G94" s="306">
        <v>1312</v>
      </c>
      <c r="H94" s="300">
        <f t="shared" si="21"/>
        <v>29139.52</v>
      </c>
      <c r="I94" s="479"/>
      <c r="J94" s="301">
        <v>4</v>
      </c>
      <c r="K94" s="302">
        <f t="shared" si="23"/>
        <v>2249.1428571428446</v>
      </c>
      <c r="L94" s="303">
        <f t="shared" si="22"/>
        <v>562.28571428571115</v>
      </c>
      <c r="M94" s="304">
        <v>0.79513888888888884</v>
      </c>
      <c r="N94" s="304">
        <v>0.81944444444444453</v>
      </c>
      <c r="O94" s="296">
        <v>20</v>
      </c>
      <c r="P94" s="482">
        <f>(N94-M94)*24*60</f>
        <v>35.000000000000199</v>
      </c>
      <c r="Q94" s="305"/>
      <c r="R94" s="305"/>
    </row>
    <row r="95" spans="1:18">
      <c r="A95" s="644"/>
      <c r="B95" s="297">
        <v>0</v>
      </c>
      <c r="C95" s="308"/>
      <c r="D95" s="320" t="s">
        <v>603</v>
      </c>
      <c r="E95" s="341"/>
      <c r="F95" s="299" t="s">
        <v>186</v>
      </c>
      <c r="G95" s="306">
        <v>3911</v>
      </c>
      <c r="H95" s="300">
        <f t="shared" si="21"/>
        <v>0</v>
      </c>
      <c r="I95" s="479"/>
      <c r="J95" s="301">
        <v>4</v>
      </c>
      <c r="K95" s="302">
        <f t="shared" si="23"/>
        <v>2234.857142857144</v>
      </c>
      <c r="L95" s="303">
        <f t="shared" si="22"/>
        <v>558.71428571428601</v>
      </c>
      <c r="M95" s="304">
        <v>0.83333333333333337</v>
      </c>
      <c r="N95" s="304">
        <v>0.90625</v>
      </c>
      <c r="O95" s="296">
        <v>20</v>
      </c>
      <c r="P95" s="482">
        <f>(N95-M95)*24*60</f>
        <v>104.99999999999994</v>
      </c>
      <c r="Q95" s="305"/>
      <c r="R95" s="305"/>
    </row>
    <row r="96" spans="1:18">
      <c r="A96" s="644"/>
      <c r="B96" s="297">
        <v>0</v>
      </c>
      <c r="C96" s="308"/>
      <c r="D96" s="320"/>
      <c r="E96" s="341"/>
      <c r="F96" s="299" t="s">
        <v>186</v>
      </c>
      <c r="G96" s="306"/>
      <c r="H96" s="300">
        <f t="shared" si="21"/>
        <v>0</v>
      </c>
      <c r="I96" s="479"/>
      <c r="J96" s="301"/>
      <c r="K96" s="302"/>
      <c r="L96" s="303"/>
      <c r="M96" s="304"/>
      <c r="N96" s="304"/>
      <c r="O96" s="296"/>
      <c r="P96" s="482"/>
      <c r="Q96" s="305"/>
      <c r="R96" s="305"/>
    </row>
    <row r="97" spans="1:18">
      <c r="A97" s="644"/>
      <c r="B97" s="297">
        <v>0</v>
      </c>
      <c r="C97" s="308"/>
      <c r="D97" s="320"/>
      <c r="E97" s="341"/>
      <c r="F97" s="299" t="s">
        <v>186</v>
      </c>
      <c r="G97" s="306"/>
      <c r="H97" s="300">
        <f t="shared" si="21"/>
        <v>0</v>
      </c>
      <c r="I97" s="479"/>
      <c r="J97" s="301"/>
      <c r="K97" s="302"/>
      <c r="L97" s="303"/>
      <c r="M97" s="304"/>
      <c r="N97" s="304"/>
      <c r="O97" s="296"/>
      <c r="P97" s="482"/>
      <c r="Q97" s="305"/>
      <c r="R97" s="305"/>
    </row>
    <row r="98" spans="1:18">
      <c r="A98" s="644"/>
      <c r="B98" s="297">
        <v>0</v>
      </c>
      <c r="C98" s="308"/>
      <c r="D98" s="320"/>
      <c r="E98" s="341"/>
      <c r="F98" s="299"/>
      <c r="G98" s="306"/>
      <c r="H98" s="300"/>
      <c r="I98" s="479"/>
      <c r="J98" s="301"/>
      <c r="K98" s="302"/>
      <c r="L98" s="303"/>
      <c r="M98" s="304"/>
      <c r="N98" s="304"/>
      <c r="O98" s="296"/>
      <c r="P98" s="482"/>
      <c r="Q98" s="305"/>
      <c r="R98" s="305"/>
    </row>
    <row r="99" spans="1:18">
      <c r="A99" s="644"/>
      <c r="B99" s="297">
        <v>0</v>
      </c>
      <c r="C99" s="308"/>
      <c r="D99" s="320"/>
      <c r="E99" s="341"/>
      <c r="F99" s="299" t="s">
        <v>186</v>
      </c>
      <c r="G99" s="306"/>
      <c r="H99" s="300">
        <f>F99*G99</f>
        <v>0</v>
      </c>
      <c r="I99" s="479"/>
      <c r="J99" s="301"/>
      <c r="K99" s="302"/>
      <c r="L99" s="303"/>
      <c r="M99" s="304"/>
      <c r="N99" s="304"/>
      <c r="O99" s="296"/>
      <c r="P99" s="482"/>
      <c r="Q99" s="305"/>
      <c r="R99" s="305"/>
    </row>
    <row r="100" spans="1:18" ht="15.75" customHeight="1">
      <c r="A100" s="644"/>
      <c r="B100" s="297">
        <v>0</v>
      </c>
      <c r="C100" s="6" t="s">
        <v>565</v>
      </c>
      <c r="D100" s="645" t="s">
        <v>550</v>
      </c>
      <c r="E100" s="646"/>
      <c r="F100" s="309"/>
      <c r="G100" s="310"/>
      <c r="H100" s="353"/>
      <c r="I100" s="312"/>
      <c r="J100" s="313">
        <f>AVERAGE(J92:J99)</f>
        <v>3.75</v>
      </c>
      <c r="K100" s="313">
        <f>AVERAGE(K92:K99)</f>
        <v>2244.9999999999991</v>
      </c>
      <c r="L100" s="314">
        <f>AVERAGE(L92:L99)</f>
        <v>606.91666666666652</v>
      </c>
      <c r="M100" s="304"/>
      <c r="N100" s="304"/>
      <c r="O100" s="302"/>
      <c r="P100" s="302"/>
      <c r="Q100" s="303"/>
      <c r="R100" s="303"/>
    </row>
    <row r="101" spans="1:18" ht="16.2" customHeight="1">
      <c r="A101" s="647" t="s">
        <v>566</v>
      </c>
      <c r="B101" s="297" t="s">
        <v>184</v>
      </c>
      <c r="C101" s="6"/>
      <c r="D101" s="341" t="s">
        <v>173</v>
      </c>
      <c r="E101" s="354"/>
      <c r="F101" s="299">
        <v>25.03</v>
      </c>
      <c r="G101" s="477">
        <v>1179</v>
      </c>
      <c r="H101" s="300">
        <f t="shared" ref="H101:H110" si="24">F101*G101</f>
        <v>29510.370000000003</v>
      </c>
      <c r="I101" s="479"/>
      <c r="J101" s="301">
        <v>4</v>
      </c>
      <c r="K101" s="302">
        <f>G101/P101*60</f>
        <v>2829.5999999999922</v>
      </c>
      <c r="L101" s="303">
        <f t="shared" ref="L101:L105" si="25">K101/J101</f>
        <v>707.39999999999804</v>
      </c>
      <c r="M101" s="304">
        <v>0.72222222222222221</v>
      </c>
      <c r="N101" s="304">
        <v>0.73958333333333337</v>
      </c>
      <c r="O101" s="296">
        <v>20</v>
      </c>
      <c r="P101" s="302">
        <f t="shared" ref="P101:P103" si="26">(N101-M101)*24*60</f>
        <v>25.000000000000071</v>
      </c>
      <c r="Q101" s="303"/>
      <c r="R101" s="305"/>
    </row>
    <row r="102" spans="1:18">
      <c r="A102" s="647"/>
      <c r="B102" s="297" t="s">
        <v>184</v>
      </c>
      <c r="C102" s="6"/>
      <c r="D102" s="320" t="s">
        <v>174</v>
      </c>
      <c r="E102" s="354"/>
      <c r="F102" s="299">
        <v>24.82</v>
      </c>
      <c r="G102" s="477">
        <v>1771</v>
      </c>
      <c r="H102" s="300">
        <f t="shared" si="24"/>
        <v>43956.22</v>
      </c>
      <c r="I102" s="479"/>
      <c r="J102" s="301">
        <v>4</v>
      </c>
      <c r="K102" s="302">
        <f t="shared" ref="K102:K105" si="27">G102/P102*60</f>
        <v>3035.9999999999973</v>
      </c>
      <c r="L102" s="303">
        <f t="shared" si="25"/>
        <v>758.99999999999932</v>
      </c>
      <c r="M102" s="304">
        <v>0.75347222222222221</v>
      </c>
      <c r="N102" s="304">
        <v>0.77777777777777779</v>
      </c>
      <c r="O102" s="296">
        <v>20</v>
      </c>
      <c r="P102" s="302">
        <f t="shared" si="26"/>
        <v>35.000000000000036</v>
      </c>
      <c r="Q102" s="305"/>
      <c r="R102" s="305"/>
    </row>
    <row r="103" spans="1:18">
      <c r="A103" s="647"/>
      <c r="B103" s="297" t="s">
        <v>184</v>
      </c>
      <c r="C103" s="6"/>
      <c r="D103" s="337" t="s">
        <v>175</v>
      </c>
      <c r="E103" s="320"/>
      <c r="F103" s="299">
        <v>28.57</v>
      </c>
      <c r="G103" s="477">
        <v>3115</v>
      </c>
      <c r="H103" s="300">
        <f t="shared" si="24"/>
        <v>88995.55</v>
      </c>
      <c r="I103" s="479"/>
      <c r="J103" s="301">
        <v>3</v>
      </c>
      <c r="K103" s="302">
        <f t="shared" si="27"/>
        <v>3114.9999999999945</v>
      </c>
      <c r="L103" s="303">
        <f t="shared" si="25"/>
        <v>1038.3333333333314</v>
      </c>
      <c r="M103" s="304">
        <v>0.79166666666666663</v>
      </c>
      <c r="N103" s="304">
        <v>0.83333333333333337</v>
      </c>
      <c r="O103" s="296">
        <v>20</v>
      </c>
      <c r="P103" s="302">
        <f t="shared" si="26"/>
        <v>60.000000000000107</v>
      </c>
      <c r="Q103" s="305"/>
      <c r="R103" s="305"/>
    </row>
    <row r="104" spans="1:18">
      <c r="A104" s="647"/>
      <c r="B104" s="297" t="s">
        <v>184</v>
      </c>
      <c r="C104" s="6"/>
      <c r="D104" s="320" t="s">
        <v>567</v>
      </c>
      <c r="E104" s="341"/>
      <c r="F104" s="299">
        <v>14.03</v>
      </c>
      <c r="G104" s="477">
        <v>6089</v>
      </c>
      <c r="H104" s="300">
        <f t="shared" si="24"/>
        <v>85428.67</v>
      </c>
      <c r="I104" s="479"/>
      <c r="J104" s="301">
        <v>3</v>
      </c>
      <c r="K104" s="302">
        <f t="shared" si="27"/>
        <v>3044.5000000000032</v>
      </c>
      <c r="L104" s="303">
        <f t="shared" si="25"/>
        <v>1014.8333333333344</v>
      </c>
      <c r="M104" s="304">
        <v>0.84722222222222221</v>
      </c>
      <c r="N104" s="304">
        <v>0.93055555555555547</v>
      </c>
      <c r="O104" s="296">
        <v>20</v>
      </c>
      <c r="P104" s="302">
        <f>(N104-M104)*24*60</f>
        <v>119.99999999999989</v>
      </c>
      <c r="Q104" s="305">
        <v>0.93055555555555547</v>
      </c>
      <c r="R104" s="305">
        <v>0.97222222222222221</v>
      </c>
    </row>
    <row r="105" spans="1:18">
      <c r="A105" s="647"/>
      <c r="B105" s="297" t="s">
        <v>184</v>
      </c>
      <c r="C105" s="6"/>
      <c r="D105" s="320" t="s">
        <v>176</v>
      </c>
      <c r="E105" s="337"/>
      <c r="F105" s="299">
        <v>14.285714285714283</v>
      </c>
      <c r="G105" s="477">
        <v>8633</v>
      </c>
      <c r="H105" s="300">
        <f t="shared" si="24"/>
        <v>123328.57142857141</v>
      </c>
      <c r="I105" s="479"/>
      <c r="J105" s="301">
        <v>3</v>
      </c>
      <c r="K105" s="302">
        <f t="shared" si="27"/>
        <v>3046.9411764914535</v>
      </c>
      <c r="L105" s="303">
        <f t="shared" si="25"/>
        <v>1015.6470588304845</v>
      </c>
      <c r="M105" s="304">
        <v>46118.986111111109</v>
      </c>
      <c r="N105" s="304">
        <v>46119.104166666664</v>
      </c>
      <c r="O105" s="296">
        <v>20</v>
      </c>
      <c r="P105" s="302">
        <f>(N105-M105)*24*60</f>
        <v>169.99999999883585</v>
      </c>
      <c r="Q105" s="303"/>
      <c r="R105" s="305"/>
    </row>
    <row r="106" spans="1:18">
      <c r="A106" s="647"/>
      <c r="B106" s="297">
        <v>0</v>
      </c>
      <c r="C106" s="6"/>
      <c r="D106" s="337"/>
      <c r="E106" s="354"/>
      <c r="F106" s="299" t="s">
        <v>186</v>
      </c>
      <c r="G106" s="306"/>
      <c r="H106" s="300">
        <f t="shared" si="24"/>
        <v>0</v>
      </c>
      <c r="I106" s="479"/>
      <c r="J106" s="301"/>
      <c r="K106" s="302"/>
      <c r="L106" s="303"/>
      <c r="M106" s="304"/>
      <c r="N106" s="304"/>
      <c r="O106" s="302"/>
      <c r="P106" s="302"/>
      <c r="Q106" s="303"/>
      <c r="R106" s="305"/>
    </row>
    <row r="107" spans="1:18">
      <c r="A107" s="647"/>
      <c r="B107" s="297">
        <v>0</v>
      </c>
      <c r="C107" s="6"/>
      <c r="D107" s="320"/>
      <c r="E107" s="337"/>
      <c r="F107" s="299" t="s">
        <v>186</v>
      </c>
      <c r="G107" s="477"/>
      <c r="H107" s="300">
        <f t="shared" si="24"/>
        <v>0</v>
      </c>
      <c r="I107" s="479"/>
      <c r="J107" s="301"/>
      <c r="K107" s="302"/>
      <c r="L107" s="303"/>
      <c r="M107" s="304"/>
      <c r="N107" s="304"/>
      <c r="O107" s="302"/>
      <c r="P107" s="302"/>
      <c r="Q107" s="303"/>
      <c r="R107" s="305"/>
    </row>
    <row r="108" spans="1:18">
      <c r="A108" s="647"/>
      <c r="B108" s="297">
        <v>0</v>
      </c>
      <c r="C108" s="6"/>
      <c r="D108" s="320"/>
      <c r="E108" s="337"/>
      <c r="F108" s="299" t="s">
        <v>186</v>
      </c>
      <c r="G108" s="477"/>
      <c r="H108" s="300">
        <f t="shared" si="24"/>
        <v>0</v>
      </c>
      <c r="I108" s="479"/>
      <c r="J108" s="301"/>
      <c r="K108" s="302"/>
      <c r="L108" s="303"/>
      <c r="M108" s="304"/>
      <c r="N108" s="304"/>
      <c r="O108" s="302"/>
      <c r="P108" s="302"/>
      <c r="Q108" s="303"/>
      <c r="R108" s="305"/>
    </row>
    <row r="109" spans="1:18">
      <c r="A109" s="647"/>
      <c r="B109" s="297">
        <v>0</v>
      </c>
      <c r="C109" s="308"/>
      <c r="D109" s="320"/>
      <c r="E109" s="337"/>
      <c r="F109" s="299" t="s">
        <v>186</v>
      </c>
      <c r="G109" s="477"/>
      <c r="H109" s="300">
        <f t="shared" si="24"/>
        <v>0</v>
      </c>
      <c r="I109" s="479"/>
      <c r="J109" s="301"/>
      <c r="K109" s="302"/>
      <c r="L109" s="303"/>
      <c r="M109" s="304"/>
      <c r="N109" s="304"/>
      <c r="O109" s="302"/>
      <c r="P109" s="302"/>
      <c r="Q109" s="303"/>
      <c r="R109" s="305"/>
    </row>
    <row r="110" spans="1:18">
      <c r="A110" s="647"/>
      <c r="B110" s="297">
        <v>0</v>
      </c>
      <c r="C110" s="308"/>
      <c r="D110" s="320"/>
      <c r="E110" s="337"/>
      <c r="F110" s="299" t="s">
        <v>186</v>
      </c>
      <c r="G110" s="477"/>
      <c r="H110" s="300">
        <f t="shared" si="24"/>
        <v>0</v>
      </c>
      <c r="I110" s="479"/>
      <c r="J110" s="301"/>
      <c r="K110" s="302"/>
      <c r="L110" s="303"/>
      <c r="M110" s="304"/>
      <c r="N110" s="304"/>
      <c r="O110" s="302"/>
      <c r="P110" s="302"/>
      <c r="Q110" s="303"/>
      <c r="R110" s="305"/>
    </row>
    <row r="111" spans="1:18" ht="15.75" customHeight="1">
      <c r="A111" s="647"/>
      <c r="B111" s="297">
        <v>0</v>
      </c>
      <c r="C111" s="6" t="s">
        <v>555</v>
      </c>
      <c r="D111" s="624" t="s">
        <v>550</v>
      </c>
      <c r="E111" s="648"/>
      <c r="F111" s="355"/>
      <c r="G111" s="356"/>
      <c r="H111" s="311"/>
      <c r="I111" s="312"/>
      <c r="J111" s="313">
        <f>AVERAGE(J101:J110)</f>
        <v>3.4</v>
      </c>
      <c r="K111" s="313">
        <f>AVERAGE(K101:K110)</f>
        <v>3014.4082352982882</v>
      </c>
      <c r="L111" s="314">
        <f>AVERAGE(L101:L110)</f>
        <v>907.04274509942957</v>
      </c>
      <c r="M111" s="304"/>
      <c r="N111" s="304"/>
      <c r="O111" s="302"/>
      <c r="P111" s="302"/>
      <c r="Q111" s="303"/>
      <c r="R111" s="296"/>
    </row>
    <row r="112" spans="1:18" ht="16.2" customHeight="1">
      <c r="A112" s="637" t="s">
        <v>568</v>
      </c>
      <c r="B112" s="297" t="s">
        <v>184</v>
      </c>
      <c r="C112" s="6"/>
      <c r="D112" s="337" t="s">
        <v>169</v>
      </c>
      <c r="E112" s="357"/>
      <c r="F112" s="299">
        <v>16.7</v>
      </c>
      <c r="G112" s="477">
        <v>1160</v>
      </c>
      <c r="H112" s="347">
        <f t="shared" si="3"/>
        <v>19372</v>
      </c>
      <c r="I112" s="479"/>
      <c r="J112" s="301">
        <v>3</v>
      </c>
      <c r="K112" s="302">
        <f t="shared" ref="K112:K117" si="28">G112/P112*60</f>
        <v>2783.9999999999923</v>
      </c>
      <c r="L112" s="303">
        <f t="shared" ref="L112:L117" si="29">K112/J112</f>
        <v>927.99999999999739</v>
      </c>
      <c r="M112" s="304">
        <v>0.72222222222222221</v>
      </c>
      <c r="N112" s="304">
        <v>0.73958333333333337</v>
      </c>
      <c r="O112" s="296">
        <v>20</v>
      </c>
      <c r="P112" s="482">
        <f t="shared" ref="P112:P117" si="30">(N112-M112)*24*60</f>
        <v>25.000000000000071</v>
      </c>
      <c r="Q112" s="296"/>
      <c r="R112" s="296"/>
    </row>
    <row r="113" spans="1:18">
      <c r="A113" s="637"/>
      <c r="B113" s="297" t="s">
        <v>184</v>
      </c>
      <c r="C113" s="319"/>
      <c r="D113" s="485" t="s">
        <v>177</v>
      </c>
      <c r="E113" s="485"/>
      <c r="F113" s="299">
        <v>18.18</v>
      </c>
      <c r="G113" s="477">
        <v>1075</v>
      </c>
      <c r="H113" s="347">
        <f t="shared" si="3"/>
        <v>19543.5</v>
      </c>
      <c r="I113" s="479"/>
      <c r="J113" s="301">
        <v>4</v>
      </c>
      <c r="K113" s="302">
        <f t="shared" si="28"/>
        <v>2579.9999999999927</v>
      </c>
      <c r="L113" s="303">
        <f t="shared" si="29"/>
        <v>644.99999999999818</v>
      </c>
      <c r="M113" s="304">
        <v>0.75347222222222221</v>
      </c>
      <c r="N113" s="304">
        <v>0.77083333333333337</v>
      </c>
      <c r="O113" s="296">
        <v>20</v>
      </c>
      <c r="P113" s="482">
        <f t="shared" si="30"/>
        <v>25.000000000000071</v>
      </c>
      <c r="Q113" s="305"/>
      <c r="R113" s="305"/>
    </row>
    <row r="114" spans="1:18">
      <c r="A114" s="637"/>
      <c r="B114" s="297" t="s">
        <v>184</v>
      </c>
      <c r="C114" s="319"/>
      <c r="D114" s="485" t="s">
        <v>569</v>
      </c>
      <c r="E114" s="320"/>
      <c r="F114" s="299">
        <v>18.18</v>
      </c>
      <c r="G114" s="477">
        <v>1156</v>
      </c>
      <c r="H114" s="347">
        <f>F114*G114</f>
        <v>21016.079999999998</v>
      </c>
      <c r="I114" s="479"/>
      <c r="J114" s="301">
        <v>3</v>
      </c>
      <c r="K114" s="302">
        <f t="shared" si="28"/>
        <v>2774.3999999999919</v>
      </c>
      <c r="L114" s="303">
        <f t="shared" si="29"/>
        <v>924.79999999999734</v>
      </c>
      <c r="M114" s="304">
        <v>0.78472222222222221</v>
      </c>
      <c r="N114" s="304">
        <v>0.80208333333333337</v>
      </c>
      <c r="O114" s="296">
        <v>20</v>
      </c>
      <c r="P114" s="482">
        <f t="shared" si="30"/>
        <v>25.000000000000071</v>
      </c>
      <c r="Q114" s="305"/>
      <c r="R114" s="305"/>
    </row>
    <row r="115" spans="1:18">
      <c r="A115" s="637"/>
      <c r="B115" s="297" t="s">
        <v>184</v>
      </c>
      <c r="C115" s="319"/>
      <c r="D115" s="320" t="s">
        <v>167</v>
      </c>
      <c r="E115" s="341"/>
      <c r="F115" s="299">
        <v>16.66</v>
      </c>
      <c r="G115" s="477">
        <v>5879</v>
      </c>
      <c r="H115" s="347">
        <f t="shared" ref="H115:H123" si="31">F115*G115</f>
        <v>97944.14</v>
      </c>
      <c r="I115" s="479"/>
      <c r="J115" s="301">
        <v>4</v>
      </c>
      <c r="K115" s="302">
        <f t="shared" si="28"/>
        <v>2939.5000000000027</v>
      </c>
      <c r="L115" s="303">
        <f t="shared" si="29"/>
        <v>734.87500000000068</v>
      </c>
      <c r="M115" s="304">
        <v>0.81597222222222221</v>
      </c>
      <c r="N115" s="304">
        <v>0.89930555555555547</v>
      </c>
      <c r="O115" s="296">
        <v>20</v>
      </c>
      <c r="P115" s="482">
        <f t="shared" si="30"/>
        <v>119.99999999999989</v>
      </c>
      <c r="Q115" s="305"/>
      <c r="R115" s="305"/>
    </row>
    <row r="116" spans="1:18">
      <c r="A116" s="637"/>
      <c r="B116" s="297" t="s">
        <v>184</v>
      </c>
      <c r="C116" s="319"/>
      <c r="D116" s="320" t="s">
        <v>170</v>
      </c>
      <c r="E116" s="337"/>
      <c r="F116" s="299">
        <v>22.281818181818181</v>
      </c>
      <c r="G116" s="477">
        <v>1070</v>
      </c>
      <c r="H116" s="347">
        <f t="shared" si="31"/>
        <v>23841.545454545452</v>
      </c>
      <c r="I116" s="479"/>
      <c r="J116" s="301">
        <v>4</v>
      </c>
      <c r="K116" s="302">
        <f t="shared" si="28"/>
        <v>3210.0000000000114</v>
      </c>
      <c r="L116" s="303">
        <f t="shared" si="29"/>
        <v>802.50000000000284</v>
      </c>
      <c r="M116" s="304">
        <v>0.91319444444444453</v>
      </c>
      <c r="N116" s="349">
        <v>0.92708333333333337</v>
      </c>
      <c r="O116" s="296">
        <v>20</v>
      </c>
      <c r="P116" s="482">
        <f t="shared" si="30"/>
        <v>19.999999999999929</v>
      </c>
      <c r="Q116" s="305">
        <v>0.92708333333333337</v>
      </c>
      <c r="R116" s="305">
        <v>0.96875</v>
      </c>
    </row>
    <row r="117" spans="1:18">
      <c r="A117" s="637"/>
      <c r="B117" s="297" t="s">
        <v>184</v>
      </c>
      <c r="C117" s="319"/>
      <c r="D117" s="320" t="s">
        <v>171</v>
      </c>
      <c r="E117" s="336"/>
      <c r="F117" s="299">
        <v>17.890909090909091</v>
      </c>
      <c r="G117" s="477">
        <v>3973</v>
      </c>
      <c r="H117" s="347">
        <f t="shared" si="31"/>
        <v>71080.581818181818</v>
      </c>
      <c r="I117" s="479"/>
      <c r="J117" s="301">
        <v>3</v>
      </c>
      <c r="K117" s="302">
        <f t="shared" si="28"/>
        <v>2979.7500000433611</v>
      </c>
      <c r="L117" s="303">
        <f t="shared" si="29"/>
        <v>993.25000001445369</v>
      </c>
      <c r="M117" s="304">
        <v>46118.982638888891</v>
      </c>
      <c r="N117" s="304">
        <v>46119.038194444445</v>
      </c>
      <c r="O117" s="302">
        <v>20</v>
      </c>
      <c r="P117" s="482">
        <f t="shared" si="30"/>
        <v>79.999999998835847</v>
      </c>
      <c r="Q117" s="305"/>
      <c r="R117" s="305"/>
    </row>
    <row r="118" spans="1:18">
      <c r="A118" s="637"/>
      <c r="B118" s="297">
        <v>0</v>
      </c>
      <c r="C118" s="319"/>
      <c r="D118" s="337"/>
      <c r="E118" s="336"/>
      <c r="F118" s="299" t="s">
        <v>186</v>
      </c>
      <c r="G118" s="477"/>
      <c r="H118" s="347">
        <f t="shared" si="31"/>
        <v>0</v>
      </c>
      <c r="I118" s="479"/>
      <c r="J118" s="301"/>
      <c r="K118" s="302"/>
      <c r="L118" s="303"/>
      <c r="M118" s="304"/>
      <c r="N118" s="304"/>
      <c r="O118" s="296"/>
      <c r="P118" s="482"/>
      <c r="Q118" s="305"/>
      <c r="R118" s="305"/>
    </row>
    <row r="119" spans="1:18">
      <c r="A119" s="637"/>
      <c r="B119" s="297">
        <v>0</v>
      </c>
      <c r="C119" s="319"/>
      <c r="D119" s="337"/>
      <c r="E119" s="336"/>
      <c r="F119" s="299" t="s">
        <v>186</v>
      </c>
      <c r="G119" s="477"/>
      <c r="H119" s="347">
        <f t="shared" si="31"/>
        <v>0</v>
      </c>
      <c r="I119" s="479"/>
      <c r="J119" s="301"/>
      <c r="K119" s="302"/>
      <c r="L119" s="303"/>
      <c r="M119" s="304"/>
      <c r="N119" s="304"/>
      <c r="O119" s="296"/>
      <c r="P119" s="482"/>
      <c r="Q119" s="305"/>
      <c r="R119" s="305"/>
    </row>
    <row r="120" spans="1:18">
      <c r="A120" s="637"/>
      <c r="B120" s="297">
        <v>0</v>
      </c>
      <c r="C120" s="319"/>
      <c r="D120" s="337"/>
      <c r="E120" s="336"/>
      <c r="F120" s="299" t="s">
        <v>186</v>
      </c>
      <c r="G120" s="477"/>
      <c r="H120" s="347"/>
      <c r="I120" s="479"/>
      <c r="J120" s="301"/>
      <c r="K120" s="302"/>
      <c r="L120" s="303"/>
      <c r="M120" s="304"/>
      <c r="N120" s="304"/>
      <c r="O120" s="296"/>
      <c r="P120" s="482"/>
      <c r="Q120" s="305"/>
      <c r="R120" s="305"/>
    </row>
    <row r="121" spans="1:18">
      <c r="A121" s="637"/>
      <c r="B121" s="297">
        <v>0</v>
      </c>
      <c r="C121" s="319"/>
      <c r="D121" s="337"/>
      <c r="E121" s="336"/>
      <c r="F121" s="299" t="s">
        <v>186</v>
      </c>
      <c r="G121" s="477"/>
      <c r="H121" s="347"/>
      <c r="I121" s="479"/>
      <c r="J121" s="301"/>
      <c r="K121" s="302"/>
      <c r="L121" s="303"/>
      <c r="M121" s="304"/>
      <c r="N121" s="304"/>
      <c r="O121" s="296"/>
      <c r="P121" s="482"/>
      <c r="Q121" s="305"/>
      <c r="R121" s="305"/>
    </row>
    <row r="122" spans="1:18">
      <c r="A122" s="637"/>
      <c r="B122" s="297">
        <v>0</v>
      </c>
      <c r="C122" s="319"/>
      <c r="D122" s="337"/>
      <c r="E122" s="336"/>
      <c r="F122" s="299" t="s">
        <v>186</v>
      </c>
      <c r="G122" s="477"/>
      <c r="H122" s="347"/>
      <c r="I122" s="479"/>
      <c r="J122" s="301"/>
      <c r="K122" s="302"/>
      <c r="L122" s="303"/>
      <c r="M122" s="304"/>
      <c r="N122" s="304"/>
      <c r="O122" s="296"/>
      <c r="P122" s="482"/>
      <c r="Q122" s="305"/>
      <c r="R122" s="305"/>
    </row>
    <row r="123" spans="1:18">
      <c r="A123" s="637"/>
      <c r="B123" s="297">
        <v>0</v>
      </c>
      <c r="C123" s="319"/>
      <c r="D123" s="337"/>
      <c r="E123" s="336"/>
      <c r="F123" s="299" t="s">
        <v>186</v>
      </c>
      <c r="G123" s="477"/>
      <c r="H123" s="347">
        <f t="shared" si="31"/>
        <v>0</v>
      </c>
      <c r="I123" s="479"/>
      <c r="J123" s="301"/>
      <c r="K123" s="302"/>
      <c r="L123" s="303"/>
      <c r="M123" s="304"/>
      <c r="N123" s="304"/>
      <c r="O123" s="296"/>
      <c r="P123" s="482"/>
      <c r="Q123" s="305"/>
      <c r="R123" s="305"/>
    </row>
    <row r="124" spans="1:18" ht="17.399999999999999" customHeight="1">
      <c r="A124" s="637"/>
      <c r="B124" s="308">
        <v>0</v>
      </c>
      <c r="C124" s="6" t="s">
        <v>560</v>
      </c>
      <c r="D124" s="638" t="s">
        <v>550</v>
      </c>
      <c r="E124" s="638"/>
      <c r="F124" s="309"/>
      <c r="G124" s="350"/>
      <c r="H124" s="351"/>
      <c r="I124" s="312"/>
      <c r="J124" s="313">
        <f>AVERAGE(J112:J123)</f>
        <v>3.5</v>
      </c>
      <c r="K124" s="313">
        <f>AVERAGE(K112:K123)</f>
        <v>2877.9416666738921</v>
      </c>
      <c r="L124" s="314">
        <f>AVERAGE(L112:L123)</f>
        <v>838.07083333574167</v>
      </c>
      <c r="M124" s="304"/>
      <c r="N124" s="304"/>
      <c r="O124" s="302"/>
      <c r="P124" s="302"/>
      <c r="Q124" s="303"/>
      <c r="R124" s="303"/>
    </row>
    <row r="125" spans="1:18">
      <c r="C125" s="319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92" activePane="bottomLeft" state="frozen"/>
      <selection activeCell="L72" sqref="L72"/>
      <selection pane="bottomLeft" activeCell="F98" sqref="F9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9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8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311</v>
      </c>
      <c r="B1" s="28"/>
      <c r="C1" s="28"/>
      <c r="D1" s="489" t="s">
        <v>138</v>
      </c>
      <c r="E1" s="29">
        <f>SUM(G5:G173)</f>
        <v>179113</v>
      </c>
      <c r="F1" s="490" t="s">
        <v>3</v>
      </c>
      <c r="G1" s="30">
        <f>SUM(H5:H173)</f>
        <v>7121726.3157016886</v>
      </c>
      <c r="H1" s="486" t="s">
        <v>52</v>
      </c>
      <c r="I1" s="31">
        <f>M17+M30+M43+M56+M69+M82+M95+M108+M121+M134+M147+M160+M173</f>
        <v>197.25833333333333</v>
      </c>
      <c r="J1" s="649" t="s">
        <v>53</v>
      </c>
      <c r="K1" s="649"/>
      <c r="L1" s="649"/>
      <c r="M1" s="649" t="s">
        <v>54</v>
      </c>
      <c r="N1" s="649"/>
      <c r="O1" s="649"/>
      <c r="P1" s="649" t="s">
        <v>313</v>
      </c>
      <c r="Q1" s="649"/>
      <c r="R1" s="649"/>
      <c r="S1" s="649"/>
      <c r="T1" s="649" t="s">
        <v>194</v>
      </c>
      <c r="U1" s="649"/>
      <c r="V1" s="649"/>
      <c r="W1" s="649"/>
      <c r="X1" s="649"/>
      <c r="Y1" s="649"/>
      <c r="Z1" s="32" t="s">
        <v>236</v>
      </c>
      <c r="AA1" s="32" t="s">
        <v>264</v>
      </c>
      <c r="AB1" s="665" t="s">
        <v>258</v>
      </c>
      <c r="AC1" s="666"/>
      <c r="AD1" s="32" t="s">
        <v>236</v>
      </c>
      <c r="AE1" s="32" t="s">
        <v>237</v>
      </c>
      <c r="AF1" s="649" t="s">
        <v>238</v>
      </c>
      <c r="AG1" s="650"/>
      <c r="AH1" s="650"/>
    </row>
    <row r="2" spans="1:34" ht="26.25" customHeight="1">
      <c r="A2" s="657" t="s">
        <v>658</v>
      </c>
      <c r="B2" s="657"/>
      <c r="C2" s="489"/>
      <c r="D2" s="489" t="s">
        <v>28</v>
      </c>
      <c r="E2" s="34">
        <f>AVERAGE(O17,O30,O43,O56,O69,O82,O95,O108,O121,O134,O147,O160,O173)</f>
        <v>127.41620712458909</v>
      </c>
      <c r="F2" s="35" t="s">
        <v>55</v>
      </c>
      <c r="G2" s="36">
        <f>G1/E1</f>
        <v>39.761079964612776</v>
      </c>
      <c r="H2" s="486" t="s">
        <v>56</v>
      </c>
      <c r="I2" s="486">
        <f>COUNT(I5:I173)</f>
        <v>4</v>
      </c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667"/>
      <c r="AC2" s="668"/>
      <c r="AD2" s="38">
        <f>AD17+AD30+AD43+AD56+AD69+AD82+AD95+AD108+AD121+AD134+AD147+AD160+AD173</f>
        <v>6</v>
      </c>
      <c r="AE2" s="38">
        <f>AE17+AE30+AE43+AE56+AE69+AE82+AE95+AE108+AE121+AE134+AE147+AE160+AE173</f>
        <v>6</v>
      </c>
      <c r="AF2" s="650"/>
      <c r="AG2" s="650"/>
      <c r="AH2" s="650"/>
    </row>
    <row r="3" spans="1:34" ht="30.6" customHeight="1">
      <c r="A3" s="658" t="s">
        <v>139</v>
      </c>
      <c r="B3" s="658" t="s">
        <v>57</v>
      </c>
      <c r="C3" s="659"/>
      <c r="D3" s="658" t="s">
        <v>260</v>
      </c>
      <c r="E3" s="658"/>
      <c r="F3" s="659" t="s">
        <v>58</v>
      </c>
      <c r="G3" s="674" t="s">
        <v>59</v>
      </c>
      <c r="H3" s="659" t="s">
        <v>60</v>
      </c>
      <c r="I3" s="651" t="s">
        <v>195</v>
      </c>
      <c r="J3" s="652" t="s">
        <v>61</v>
      </c>
      <c r="K3" s="653" t="s">
        <v>62</v>
      </c>
      <c r="L3" s="654" t="s">
        <v>50</v>
      </c>
      <c r="M3" s="674" t="s">
        <v>61</v>
      </c>
      <c r="N3" s="653" t="s">
        <v>141</v>
      </c>
      <c r="O3" s="654" t="s">
        <v>28</v>
      </c>
      <c r="P3" s="652" t="s">
        <v>261</v>
      </c>
      <c r="Q3" s="654" t="s">
        <v>28</v>
      </c>
      <c r="R3" s="655" t="s">
        <v>239</v>
      </c>
      <c r="S3" s="656" t="s">
        <v>240</v>
      </c>
      <c r="T3" s="674" t="s">
        <v>63</v>
      </c>
      <c r="U3" s="674"/>
      <c r="V3" s="675" t="s">
        <v>64</v>
      </c>
      <c r="W3" s="651" t="s">
        <v>143</v>
      </c>
      <c r="X3" s="674" t="s">
        <v>144</v>
      </c>
      <c r="Y3" s="674"/>
      <c r="Z3" s="676" t="s">
        <v>268</v>
      </c>
      <c r="AA3" s="677"/>
      <c r="AB3" s="661" t="s">
        <v>242</v>
      </c>
      <c r="AC3" s="662"/>
      <c r="AD3" s="663" t="s">
        <v>269</v>
      </c>
      <c r="AE3" s="664"/>
      <c r="AF3" s="653" t="s">
        <v>141</v>
      </c>
      <c r="AG3" s="655" t="s">
        <v>239</v>
      </c>
      <c r="AH3" s="656" t="s">
        <v>240</v>
      </c>
    </row>
    <row r="4" spans="1:34" ht="30.6" customHeight="1">
      <c r="A4" s="659"/>
      <c r="B4" s="658"/>
      <c r="C4" s="660"/>
      <c r="D4" s="658"/>
      <c r="E4" s="658"/>
      <c r="F4" s="660"/>
      <c r="G4" s="674"/>
      <c r="H4" s="660"/>
      <c r="I4" s="651"/>
      <c r="J4" s="652"/>
      <c r="K4" s="653"/>
      <c r="L4" s="654"/>
      <c r="M4" s="674"/>
      <c r="N4" s="653"/>
      <c r="O4" s="654"/>
      <c r="P4" s="652"/>
      <c r="Q4" s="654"/>
      <c r="R4" s="655"/>
      <c r="S4" s="656"/>
      <c r="T4" s="496" t="s">
        <v>65</v>
      </c>
      <c r="U4" s="496" t="s">
        <v>66</v>
      </c>
      <c r="V4" s="674"/>
      <c r="W4" s="651"/>
      <c r="X4" s="490" t="s">
        <v>263</v>
      </c>
      <c r="Y4" s="490" t="s">
        <v>51</v>
      </c>
      <c r="Z4" s="496" t="s">
        <v>243</v>
      </c>
      <c r="AA4" s="496" t="s">
        <v>67</v>
      </c>
      <c r="AB4" s="662"/>
      <c r="AC4" s="662"/>
      <c r="AD4" s="496" t="s">
        <v>68</v>
      </c>
      <c r="AE4" s="39" t="s">
        <v>244</v>
      </c>
      <c r="AF4" s="653"/>
      <c r="AG4" s="655"/>
      <c r="AH4" s="656"/>
    </row>
    <row r="5" spans="1:34" ht="18.75" customHeight="1">
      <c r="A5" s="669" t="s">
        <v>69</v>
      </c>
      <c r="B5" s="40" t="s">
        <v>180</v>
      </c>
      <c r="C5" s="41"/>
      <c r="D5" s="42" t="s">
        <v>70</v>
      </c>
      <c r="E5" s="43"/>
      <c r="F5" s="361">
        <v>37.94</v>
      </c>
      <c r="G5" s="44">
        <v>4662.45</v>
      </c>
      <c r="H5" s="45">
        <f t="shared" ref="H5:H16" si="0">F5*G5</f>
        <v>176893.35299999997</v>
      </c>
      <c r="I5" s="487"/>
      <c r="J5" s="46">
        <v>20</v>
      </c>
      <c r="K5" s="44">
        <v>2400</v>
      </c>
      <c r="L5" s="47">
        <v>120</v>
      </c>
      <c r="M5" s="488">
        <v>20</v>
      </c>
      <c r="N5" s="44">
        <f t="shared" ref="N5:N10" si="1">G5/W5*60</f>
        <v>2274.3658536585376</v>
      </c>
      <c r="O5" s="47">
        <f t="shared" ref="O5:O10" si="2">N5/M5</f>
        <v>113.71829268292689</v>
      </c>
      <c r="P5" s="48">
        <f t="shared" ref="P5:P10" si="3">M5-J5</f>
        <v>0</v>
      </c>
      <c r="Q5" s="49">
        <f t="shared" ref="Q5:Q10" si="4">O5-L5</f>
        <v>-6.2817073170731135</v>
      </c>
      <c r="R5" s="494">
        <f t="shared" ref="R5:R10" si="5">O5/L5</f>
        <v>0.94765243902439067</v>
      </c>
      <c r="S5" s="672">
        <f>R17</f>
        <v>0.9289859837484663</v>
      </c>
      <c r="T5" s="50">
        <v>0.29166666666666669</v>
      </c>
      <c r="U5" s="50">
        <v>0.37708333333333333</v>
      </c>
      <c r="V5" s="490">
        <v>5</v>
      </c>
      <c r="W5" s="487">
        <f>(U5-T5)*24*60</f>
        <v>122.99999999999996</v>
      </c>
      <c r="X5" s="490"/>
      <c r="Y5" s="490"/>
      <c r="Z5" s="51"/>
      <c r="AA5" s="51"/>
      <c r="AB5" s="658"/>
      <c r="AC5" s="658"/>
      <c r="AD5" s="52">
        <v>1</v>
      </c>
      <c r="AE5" s="52"/>
      <c r="AF5" s="48">
        <f t="shared" ref="AF5:AF70" si="6">N5-K5</f>
        <v>-125.63414634146238</v>
      </c>
      <c r="AG5" s="494">
        <f t="shared" ref="AG5:AG70" si="7">N5/K5</f>
        <v>0.94765243902439067</v>
      </c>
      <c r="AH5" s="672">
        <f>AG17</f>
        <v>0.96359647562434225</v>
      </c>
    </row>
    <row r="6" spans="1:34" ht="19.2" customHeight="1">
      <c r="A6" s="670"/>
      <c r="B6" s="40" t="s">
        <v>180</v>
      </c>
      <c r="C6" s="41"/>
      <c r="D6" s="42" t="s">
        <v>71</v>
      </c>
      <c r="E6" s="43"/>
      <c r="F6" s="361">
        <v>31.266131815044861</v>
      </c>
      <c r="G6" s="44">
        <v>2705.3</v>
      </c>
      <c r="H6" s="45">
        <f t="shared" si="0"/>
        <v>84584.266399240863</v>
      </c>
      <c r="I6" s="487"/>
      <c r="J6" s="46">
        <v>18</v>
      </c>
      <c r="K6" s="44">
        <v>2600</v>
      </c>
      <c r="L6" s="47">
        <v>144.44444444444446</v>
      </c>
      <c r="M6" s="488">
        <v>19</v>
      </c>
      <c r="N6" s="44">
        <f t="shared" si="1"/>
        <v>2536.2187499999995</v>
      </c>
      <c r="O6" s="47">
        <f t="shared" si="2"/>
        <v>133.48519736842104</v>
      </c>
      <c r="P6" s="48">
        <f t="shared" si="3"/>
        <v>1</v>
      </c>
      <c r="Q6" s="49">
        <f t="shared" si="4"/>
        <v>-10.959247076023416</v>
      </c>
      <c r="R6" s="494">
        <f t="shared" si="5"/>
        <v>0.92412828947368408</v>
      </c>
      <c r="S6" s="672"/>
      <c r="T6" s="50">
        <v>0.38124999999999998</v>
      </c>
      <c r="U6" s="50">
        <v>0.42569444444444443</v>
      </c>
      <c r="V6" s="490">
        <v>6</v>
      </c>
      <c r="W6" s="487">
        <f t="shared" ref="W6:W17" si="8">(U6-T6)*24*60</f>
        <v>64.000000000000014</v>
      </c>
      <c r="X6" s="53"/>
      <c r="Y6" s="53"/>
      <c r="Z6" s="54"/>
      <c r="AA6" s="54"/>
      <c r="AB6" s="658"/>
      <c r="AC6" s="658"/>
      <c r="AD6" s="504"/>
      <c r="AE6" s="504"/>
      <c r="AF6" s="48">
        <f t="shared" si="6"/>
        <v>-63.781250000000455</v>
      </c>
      <c r="AG6" s="494">
        <f t="shared" si="7"/>
        <v>0.97546874999999977</v>
      </c>
      <c r="AH6" s="672"/>
    </row>
    <row r="7" spans="1:34" ht="19.2" customHeight="1">
      <c r="A7" s="670"/>
      <c r="B7" s="40" t="s">
        <v>180</v>
      </c>
      <c r="C7" s="41"/>
      <c r="D7" s="42" t="s">
        <v>73</v>
      </c>
      <c r="E7" s="43"/>
      <c r="F7" s="361">
        <v>38</v>
      </c>
      <c r="G7" s="44">
        <v>5393.3600000000006</v>
      </c>
      <c r="H7" s="45">
        <f t="shared" si="0"/>
        <v>204947.68000000002</v>
      </c>
      <c r="I7" s="487"/>
      <c r="J7" s="46">
        <v>19</v>
      </c>
      <c r="K7" s="44">
        <v>2600</v>
      </c>
      <c r="L7" s="47">
        <v>136.84210526315789</v>
      </c>
      <c r="M7" s="488">
        <v>20</v>
      </c>
      <c r="N7" s="44">
        <f t="shared" si="1"/>
        <v>2548.0440944881889</v>
      </c>
      <c r="O7" s="47">
        <f t="shared" si="2"/>
        <v>127.40220472440944</v>
      </c>
      <c r="P7" s="48">
        <f t="shared" si="3"/>
        <v>1</v>
      </c>
      <c r="Q7" s="49">
        <f t="shared" si="4"/>
        <v>-9.4399005387484465</v>
      </c>
      <c r="R7" s="494">
        <f t="shared" si="5"/>
        <v>0.93101611144760754</v>
      </c>
      <c r="S7" s="672"/>
      <c r="T7" s="50">
        <v>0.44166666666666665</v>
      </c>
      <c r="U7" s="50">
        <v>0.52986111111111112</v>
      </c>
      <c r="V7" s="490">
        <v>23</v>
      </c>
      <c r="W7" s="487">
        <f t="shared" si="8"/>
        <v>127.00000000000003</v>
      </c>
      <c r="X7" s="53">
        <v>0.4291666666666667</v>
      </c>
      <c r="Y7" s="53">
        <v>0.43888888888888888</v>
      </c>
      <c r="Z7" s="54"/>
      <c r="AA7" s="54"/>
      <c r="AB7" s="658"/>
      <c r="AC7" s="658"/>
      <c r="AD7" s="504"/>
      <c r="AE7" s="504"/>
      <c r="AF7" s="48">
        <f t="shared" si="6"/>
        <v>-51.955905511811125</v>
      </c>
      <c r="AG7" s="494">
        <f t="shared" si="7"/>
        <v>0.98001695941853417</v>
      </c>
      <c r="AH7" s="672"/>
    </row>
    <row r="8" spans="1:34" ht="19.2" customHeight="1">
      <c r="A8" s="670"/>
      <c r="B8" s="40" t="s">
        <v>180</v>
      </c>
      <c r="C8" s="41"/>
      <c r="D8" s="42" t="s">
        <v>73</v>
      </c>
      <c r="E8" s="43"/>
      <c r="F8" s="361">
        <v>38</v>
      </c>
      <c r="G8" s="44">
        <v>4237.6400000000003</v>
      </c>
      <c r="H8" s="45">
        <f t="shared" si="0"/>
        <v>161030.32</v>
      </c>
      <c r="I8" s="487"/>
      <c r="J8" s="46">
        <v>19</v>
      </c>
      <c r="K8" s="44">
        <v>2600</v>
      </c>
      <c r="L8" s="47">
        <v>136.84210526315789</v>
      </c>
      <c r="M8" s="488">
        <v>20</v>
      </c>
      <c r="N8" s="44">
        <f t="shared" si="1"/>
        <v>2542.5840000000012</v>
      </c>
      <c r="O8" s="47">
        <f t="shared" si="2"/>
        <v>127.12920000000005</v>
      </c>
      <c r="P8" s="48">
        <f t="shared" si="3"/>
        <v>1</v>
      </c>
      <c r="Q8" s="49">
        <f t="shared" si="4"/>
        <v>-9.7129052631578361</v>
      </c>
      <c r="R8" s="494">
        <f t="shared" si="5"/>
        <v>0.92902107692307734</v>
      </c>
      <c r="S8" s="672"/>
      <c r="T8" s="50">
        <v>0.57152777777777775</v>
      </c>
      <c r="U8" s="50">
        <v>0.64097222222222217</v>
      </c>
      <c r="V8" s="490">
        <v>7</v>
      </c>
      <c r="W8" s="487">
        <f t="shared" si="8"/>
        <v>99.999999999999972</v>
      </c>
      <c r="X8" s="53"/>
      <c r="Y8" s="53"/>
      <c r="Z8" s="54"/>
      <c r="AA8" s="54"/>
      <c r="AB8" s="658"/>
      <c r="AC8" s="658"/>
      <c r="AD8" s="504"/>
      <c r="AE8" s="504"/>
      <c r="AF8" s="48">
        <f t="shared" si="6"/>
        <v>-57.415999999998803</v>
      </c>
      <c r="AG8" s="494">
        <f t="shared" si="7"/>
        <v>0.97791692307692357</v>
      </c>
      <c r="AH8" s="672"/>
    </row>
    <row r="9" spans="1:34" ht="19.2" customHeight="1">
      <c r="A9" s="670"/>
      <c r="B9" s="40" t="s">
        <v>180</v>
      </c>
      <c r="C9" s="55"/>
      <c r="D9" s="42" t="s">
        <v>71</v>
      </c>
      <c r="E9" s="56"/>
      <c r="F9" s="361">
        <v>31.266131815044861</v>
      </c>
      <c r="G9" s="57">
        <v>1456.6999999999998</v>
      </c>
      <c r="H9" s="45">
        <f t="shared" si="0"/>
        <v>45545.374214975847</v>
      </c>
      <c r="I9" s="504"/>
      <c r="J9" s="46">
        <v>18</v>
      </c>
      <c r="K9" s="44">
        <v>2600</v>
      </c>
      <c r="L9" s="47">
        <v>144.44444444444446</v>
      </c>
      <c r="M9" s="488">
        <v>19</v>
      </c>
      <c r="N9" s="44">
        <f t="shared" si="1"/>
        <v>2497.1999999999971</v>
      </c>
      <c r="O9" s="47">
        <f t="shared" si="2"/>
        <v>131.43157894736828</v>
      </c>
      <c r="P9" s="48">
        <f t="shared" si="3"/>
        <v>1</v>
      </c>
      <c r="Q9" s="49">
        <f t="shared" si="4"/>
        <v>-13.012865497076177</v>
      </c>
      <c r="R9" s="494">
        <f t="shared" si="5"/>
        <v>0.90991093117408806</v>
      </c>
      <c r="S9" s="672"/>
      <c r="T9" s="50">
        <v>0.64513888888888882</v>
      </c>
      <c r="U9" s="50">
        <v>0.6694444444444444</v>
      </c>
      <c r="V9" s="490">
        <v>6</v>
      </c>
      <c r="W9" s="487">
        <f t="shared" si="8"/>
        <v>35.000000000000036</v>
      </c>
      <c r="X9" s="53"/>
      <c r="Y9" s="53"/>
      <c r="Z9" s="54"/>
      <c r="AA9" s="54"/>
      <c r="AB9" s="658"/>
      <c r="AC9" s="658"/>
      <c r="AD9" s="504"/>
      <c r="AE9" s="504">
        <v>1</v>
      </c>
      <c r="AF9" s="48">
        <f t="shared" si="6"/>
        <v>-102.80000000000291</v>
      </c>
      <c r="AG9" s="494">
        <f t="shared" si="7"/>
        <v>0.96046153846153737</v>
      </c>
      <c r="AH9" s="672"/>
    </row>
    <row r="10" spans="1:34" ht="19.2" customHeight="1">
      <c r="A10" s="671"/>
      <c r="B10" s="40" t="s">
        <v>180</v>
      </c>
      <c r="C10" s="41"/>
      <c r="D10" s="42" t="s">
        <v>70</v>
      </c>
      <c r="E10" s="43"/>
      <c r="F10" s="361">
        <v>37.94</v>
      </c>
      <c r="G10" s="44">
        <v>2510.5499999999997</v>
      </c>
      <c r="H10" s="45">
        <f t="shared" si="0"/>
        <v>95250.266999999978</v>
      </c>
      <c r="I10" s="487"/>
      <c r="J10" s="46">
        <v>20</v>
      </c>
      <c r="K10" s="44">
        <v>2400</v>
      </c>
      <c r="L10" s="47">
        <v>120</v>
      </c>
      <c r="M10" s="488">
        <v>20</v>
      </c>
      <c r="N10" s="44">
        <f t="shared" si="1"/>
        <v>2248.2537313432804</v>
      </c>
      <c r="O10" s="47">
        <f t="shared" si="2"/>
        <v>112.41268656716402</v>
      </c>
      <c r="P10" s="48">
        <f t="shared" si="3"/>
        <v>0</v>
      </c>
      <c r="Q10" s="49">
        <f t="shared" si="4"/>
        <v>-7.5873134328359839</v>
      </c>
      <c r="R10" s="494">
        <f t="shared" si="5"/>
        <v>0.93677238805970009</v>
      </c>
      <c r="S10" s="673"/>
      <c r="T10" s="50">
        <v>0.68472222222222212</v>
      </c>
      <c r="U10" s="50">
        <v>0.73124999999999996</v>
      </c>
      <c r="V10" s="490">
        <v>22</v>
      </c>
      <c r="W10" s="487">
        <f t="shared" si="8"/>
        <v>67.000000000000085</v>
      </c>
      <c r="X10" s="53">
        <v>0.67291666666666661</v>
      </c>
      <c r="Y10" s="53">
        <v>0.68194444444444446</v>
      </c>
      <c r="Z10" s="54"/>
      <c r="AA10" s="54"/>
      <c r="AB10" s="658"/>
      <c r="AC10" s="658"/>
      <c r="AD10" s="504"/>
      <c r="AE10" s="504"/>
      <c r="AF10" s="48">
        <f t="shared" si="6"/>
        <v>-151.74626865671962</v>
      </c>
      <c r="AG10" s="494">
        <f t="shared" si="7"/>
        <v>0.9367723880597002</v>
      </c>
      <c r="AH10" s="673"/>
    </row>
    <row r="11" spans="1:34" ht="19.2" customHeight="1">
      <c r="A11" s="671"/>
      <c r="B11" s="40">
        <v>0</v>
      </c>
      <c r="C11" s="41"/>
      <c r="D11" s="42"/>
      <c r="E11" s="43"/>
      <c r="F11" s="361" t="s">
        <v>186</v>
      </c>
      <c r="G11" s="44"/>
      <c r="H11" s="45">
        <f t="shared" si="0"/>
        <v>0</v>
      </c>
      <c r="I11" s="487"/>
      <c r="J11" s="46"/>
      <c r="K11" s="44"/>
      <c r="L11" s="47"/>
      <c r="M11" s="488"/>
      <c r="N11" s="44"/>
      <c r="O11" s="47"/>
      <c r="P11" s="48"/>
      <c r="Q11" s="49"/>
      <c r="R11" s="494"/>
      <c r="S11" s="673"/>
      <c r="T11" s="50"/>
      <c r="U11" s="50"/>
      <c r="V11" s="490"/>
      <c r="W11" s="487"/>
      <c r="X11" s="53"/>
      <c r="Y11" s="53"/>
      <c r="Z11" s="54"/>
      <c r="AA11" s="54"/>
      <c r="AB11" s="658"/>
      <c r="AC11" s="658"/>
      <c r="AD11" s="504"/>
      <c r="AE11" s="504"/>
      <c r="AF11" s="48">
        <f t="shared" si="6"/>
        <v>0</v>
      </c>
      <c r="AG11" s="494" t="e">
        <f t="shared" si="7"/>
        <v>#DIV/0!</v>
      </c>
      <c r="AH11" s="673"/>
    </row>
    <row r="12" spans="1:34" ht="19.2" customHeight="1">
      <c r="A12" s="671"/>
      <c r="B12" s="40">
        <v>0</v>
      </c>
      <c r="C12" s="41"/>
      <c r="D12" s="42"/>
      <c r="E12" s="43"/>
      <c r="F12" s="361" t="s">
        <v>186</v>
      </c>
      <c r="G12" s="44"/>
      <c r="H12" s="45">
        <f t="shared" si="0"/>
        <v>0</v>
      </c>
      <c r="I12" s="487"/>
      <c r="J12" s="46"/>
      <c r="K12" s="44"/>
      <c r="L12" s="47"/>
      <c r="M12" s="488"/>
      <c r="N12" s="44"/>
      <c r="O12" s="47"/>
      <c r="P12" s="48"/>
      <c r="Q12" s="49"/>
      <c r="R12" s="494"/>
      <c r="S12" s="673"/>
      <c r="T12" s="50"/>
      <c r="U12" s="50"/>
      <c r="V12" s="490"/>
      <c r="W12" s="487"/>
      <c r="X12" s="53"/>
      <c r="Y12" s="53"/>
      <c r="Z12" s="54"/>
      <c r="AA12" s="54"/>
      <c r="AB12" s="658"/>
      <c r="AC12" s="658"/>
      <c r="AD12" s="504"/>
      <c r="AE12" s="504"/>
      <c r="AF12" s="48">
        <f t="shared" si="6"/>
        <v>0</v>
      </c>
      <c r="AG12" s="494" t="e">
        <f t="shared" si="7"/>
        <v>#DIV/0!</v>
      </c>
      <c r="AH12" s="673"/>
    </row>
    <row r="13" spans="1:34" ht="19.2" customHeight="1">
      <c r="A13" s="671"/>
      <c r="B13" s="40">
        <v>0</v>
      </c>
      <c r="C13" s="58"/>
      <c r="D13" s="59"/>
      <c r="E13" s="60"/>
      <c r="F13" s="361" t="s">
        <v>186</v>
      </c>
      <c r="G13" s="61"/>
      <c r="H13" s="45">
        <f t="shared" si="0"/>
        <v>0</v>
      </c>
      <c r="I13" s="491"/>
      <c r="J13" s="46"/>
      <c r="K13" s="44"/>
      <c r="L13" s="47"/>
      <c r="M13" s="62"/>
      <c r="N13" s="44"/>
      <c r="O13" s="47"/>
      <c r="P13" s="48"/>
      <c r="Q13" s="49"/>
      <c r="R13" s="494"/>
      <c r="S13" s="673"/>
      <c r="T13" s="63"/>
      <c r="U13" s="63"/>
      <c r="V13" s="491"/>
      <c r="W13" s="487"/>
      <c r="X13" s="64"/>
      <c r="Y13" s="64"/>
      <c r="Z13" s="54"/>
      <c r="AA13" s="54"/>
      <c r="AB13" s="658"/>
      <c r="AC13" s="658"/>
      <c r="AD13" s="504"/>
      <c r="AE13" s="504"/>
      <c r="AF13" s="48">
        <f t="shared" si="6"/>
        <v>0</v>
      </c>
      <c r="AG13" s="494" t="e">
        <f t="shared" si="7"/>
        <v>#DIV/0!</v>
      </c>
      <c r="AH13" s="673"/>
    </row>
    <row r="14" spans="1:34" ht="19.2" customHeight="1">
      <c r="A14" s="671"/>
      <c r="B14" s="40">
        <v>0</v>
      </c>
      <c r="C14" s="66"/>
      <c r="D14" s="42"/>
      <c r="E14" s="43"/>
      <c r="F14" s="361" t="s">
        <v>186</v>
      </c>
      <c r="G14" s="61"/>
      <c r="H14" s="45">
        <f t="shared" si="0"/>
        <v>0</v>
      </c>
      <c r="I14" s="491"/>
      <c r="J14" s="46"/>
      <c r="K14" s="44"/>
      <c r="L14" s="47"/>
      <c r="M14" s="62"/>
      <c r="N14" s="44"/>
      <c r="O14" s="47"/>
      <c r="P14" s="48"/>
      <c r="Q14" s="49"/>
      <c r="R14" s="494"/>
      <c r="S14" s="673"/>
      <c r="T14" s="63"/>
      <c r="U14" s="63"/>
      <c r="V14" s="491"/>
      <c r="W14" s="487">
        <f t="shared" si="8"/>
        <v>0</v>
      </c>
      <c r="X14" s="64"/>
      <c r="Y14" s="64"/>
      <c r="Z14" s="54"/>
      <c r="AA14" s="54"/>
      <c r="AB14" s="658"/>
      <c r="AC14" s="658"/>
      <c r="AD14" s="504"/>
      <c r="AE14" s="504"/>
      <c r="AF14" s="65"/>
      <c r="AG14" s="495"/>
      <c r="AH14" s="673"/>
    </row>
    <row r="15" spans="1:34" ht="19.2" customHeight="1">
      <c r="A15" s="671"/>
      <c r="B15" s="67">
        <v>0</v>
      </c>
      <c r="C15" s="58"/>
      <c r="D15" s="59"/>
      <c r="E15" s="60"/>
      <c r="F15" s="361" t="s">
        <v>186</v>
      </c>
      <c r="G15" s="61"/>
      <c r="H15" s="45">
        <f t="shared" si="0"/>
        <v>0</v>
      </c>
      <c r="I15" s="491"/>
      <c r="J15" s="46"/>
      <c r="K15" s="44"/>
      <c r="L15" s="47"/>
      <c r="M15" s="62"/>
      <c r="N15" s="68"/>
      <c r="O15" s="47"/>
      <c r="P15" s="48"/>
      <c r="Q15" s="49"/>
      <c r="R15" s="494"/>
      <c r="S15" s="673"/>
      <c r="T15" s="63"/>
      <c r="U15" s="63"/>
      <c r="V15" s="491"/>
      <c r="W15" s="487">
        <f t="shared" si="8"/>
        <v>0</v>
      </c>
      <c r="X15" s="64"/>
      <c r="Y15" s="64"/>
      <c r="Z15" s="54"/>
      <c r="AA15" s="54"/>
      <c r="AB15" s="658"/>
      <c r="AC15" s="658"/>
      <c r="AD15" s="504"/>
      <c r="AE15" s="504"/>
      <c r="AF15" s="65"/>
      <c r="AG15" s="495"/>
      <c r="AH15" s="673"/>
    </row>
    <row r="16" spans="1:34" ht="19.2" customHeight="1">
      <c r="A16" s="671"/>
      <c r="B16" s="67">
        <v>0</v>
      </c>
      <c r="C16" s="58"/>
      <c r="D16" s="59"/>
      <c r="E16" s="60"/>
      <c r="F16" s="361" t="s">
        <v>186</v>
      </c>
      <c r="G16" s="61"/>
      <c r="H16" s="45">
        <f t="shared" si="0"/>
        <v>0</v>
      </c>
      <c r="I16" s="491"/>
      <c r="J16" s="46"/>
      <c r="K16" s="44"/>
      <c r="L16" s="47"/>
      <c r="M16" s="62"/>
      <c r="N16" s="68"/>
      <c r="O16" s="47"/>
      <c r="P16" s="48"/>
      <c r="Q16" s="49"/>
      <c r="R16" s="494"/>
      <c r="S16" s="673"/>
      <c r="T16" s="63"/>
      <c r="U16" s="63"/>
      <c r="V16" s="491"/>
      <c r="W16" s="487">
        <f t="shared" si="8"/>
        <v>0</v>
      </c>
      <c r="X16" s="64"/>
      <c r="Y16" s="64"/>
      <c r="Z16" s="54"/>
      <c r="AA16" s="54"/>
      <c r="AB16" s="658"/>
      <c r="AC16" s="658"/>
      <c r="AD16" s="504"/>
      <c r="AE16" s="504"/>
      <c r="AF16" s="65"/>
      <c r="AG16" s="495"/>
      <c r="AH16" s="673"/>
    </row>
    <row r="17" spans="1:34" ht="19.2" customHeight="1">
      <c r="A17" s="671"/>
      <c r="B17" s="69">
        <v>0</v>
      </c>
      <c r="C17" s="69" t="s">
        <v>16</v>
      </c>
      <c r="D17" s="678" t="s">
        <v>145</v>
      </c>
      <c r="E17" s="678"/>
      <c r="F17" s="362"/>
      <c r="G17" s="70"/>
      <c r="H17" s="71"/>
      <c r="I17" s="72"/>
      <c r="J17" s="70">
        <v>19</v>
      </c>
      <c r="K17" s="70">
        <v>2533.3333333333335</v>
      </c>
      <c r="L17" s="73">
        <v>133.76218323586747</v>
      </c>
      <c r="M17" s="70">
        <f t="shared" ref="J17:O17" si="9">AVERAGE(M5:M16)</f>
        <v>19.666666666666668</v>
      </c>
      <c r="N17" s="70">
        <f t="shared" si="9"/>
        <v>2441.1110715816671</v>
      </c>
      <c r="O17" s="73">
        <f t="shared" si="9"/>
        <v>124.26319338171494</v>
      </c>
      <c r="P17" s="65">
        <f t="shared" ref="P17:P23" si="10">M17-J17</f>
        <v>0.66666666666666785</v>
      </c>
      <c r="Q17" s="74">
        <f t="shared" ref="Q17:Q23" si="11">O17-L17</f>
        <v>-9.4989898541525264</v>
      </c>
      <c r="R17" s="75">
        <f>O17/L17</f>
        <v>0.9289859837484663</v>
      </c>
      <c r="S17" s="673"/>
      <c r="T17" s="63"/>
      <c r="U17" s="63"/>
      <c r="V17" s="491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58"/>
      <c r="AC17" s="658"/>
      <c r="AD17" s="79">
        <f>SUM(AD5:AD16)</f>
        <v>1</v>
      </c>
      <c r="AE17" s="79">
        <f>SUM(AE5:AE16)</f>
        <v>1</v>
      </c>
      <c r="AF17" s="65">
        <f t="shared" si="6"/>
        <v>-92.222261751666338</v>
      </c>
      <c r="AG17" s="495">
        <f t="shared" si="7"/>
        <v>0.96359647562434225</v>
      </c>
      <c r="AH17" s="673"/>
    </row>
    <row r="18" spans="1:34" ht="19.2" customHeight="1">
      <c r="A18" s="680" t="s">
        <v>271</v>
      </c>
      <c r="B18" s="80" t="s">
        <v>180</v>
      </c>
      <c r="C18" s="81"/>
      <c r="D18" s="82" t="s">
        <v>78</v>
      </c>
      <c r="E18" s="83"/>
      <c r="F18" s="363">
        <v>36.86</v>
      </c>
      <c r="G18" s="57">
        <v>4458</v>
      </c>
      <c r="H18" s="84">
        <f t="shared" ref="H18:H29" si="12">F18*G18</f>
        <v>164321.88</v>
      </c>
      <c r="I18" s="504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2174.6341463414637</v>
      </c>
      <c r="O18" s="86">
        <f t="shared" ref="O18:O23" si="14">N18/M18</f>
        <v>120.81300813008131</v>
      </c>
      <c r="P18" s="54">
        <f t="shared" si="10"/>
        <v>1</v>
      </c>
      <c r="Q18" s="88">
        <f t="shared" si="11"/>
        <v>-11.539933046389265</v>
      </c>
      <c r="R18" s="497">
        <f t="shared" ref="R18:R23" si="15">O18/L18</f>
        <v>0.9128093947606144</v>
      </c>
      <c r="S18" s="681">
        <f>R30</f>
        <v>0.87403484967250589</v>
      </c>
      <c r="T18" s="89">
        <v>0.16666666666666666</v>
      </c>
      <c r="U18" s="89">
        <v>0.25208333333333333</v>
      </c>
      <c r="V18" s="504">
        <v>5</v>
      </c>
      <c r="W18" s="90">
        <f>(U18-T18)*24*60</f>
        <v>122.99999999999999</v>
      </c>
      <c r="X18" s="86"/>
      <c r="Y18" s="86"/>
      <c r="Z18" s="54"/>
      <c r="AA18" s="54"/>
      <c r="AB18" s="658"/>
      <c r="AC18" s="658"/>
      <c r="AD18" s="504"/>
      <c r="AE18" s="504"/>
      <c r="AF18" s="91">
        <f t="shared" si="6"/>
        <v>-75.365853658536253</v>
      </c>
      <c r="AG18" s="92">
        <f t="shared" si="7"/>
        <v>0.96650406504065056</v>
      </c>
      <c r="AH18" s="682">
        <f>AG30</f>
        <v>0.91287332677218358</v>
      </c>
    </row>
    <row r="19" spans="1:34" ht="19.2" customHeight="1">
      <c r="A19" s="680"/>
      <c r="B19" s="501" t="s">
        <v>180</v>
      </c>
      <c r="C19" s="500"/>
      <c r="D19" s="82" t="s">
        <v>72</v>
      </c>
      <c r="E19" s="83"/>
      <c r="F19" s="361">
        <v>38.630952380952372</v>
      </c>
      <c r="G19" s="57">
        <v>1256.8000000000002</v>
      </c>
      <c r="H19" s="84">
        <f t="shared" si="12"/>
        <v>48551.380952380947</v>
      </c>
      <c r="I19" s="504"/>
      <c r="J19" s="93">
        <v>18</v>
      </c>
      <c r="K19" s="44">
        <v>2600</v>
      </c>
      <c r="L19" s="47">
        <v>144.44444444444446</v>
      </c>
      <c r="M19" s="87">
        <v>19</v>
      </c>
      <c r="N19" s="94">
        <f t="shared" si="13"/>
        <v>2356.5000000000027</v>
      </c>
      <c r="O19" s="95">
        <f t="shared" si="14"/>
        <v>124.02631578947383</v>
      </c>
      <c r="P19" s="54">
        <f t="shared" si="10"/>
        <v>1</v>
      </c>
      <c r="Q19" s="88">
        <f t="shared" si="11"/>
        <v>-20.41812865497063</v>
      </c>
      <c r="R19" s="497">
        <f t="shared" si="15"/>
        <v>0.85864372469635719</v>
      </c>
      <c r="S19" s="681"/>
      <c r="T19" s="89">
        <v>0.25694444444444442</v>
      </c>
      <c r="U19" s="89">
        <v>0.27916666666666662</v>
      </c>
      <c r="V19" s="504">
        <v>7</v>
      </c>
      <c r="W19" s="90">
        <f>(U19-T19)*24*60</f>
        <v>31.999999999999964</v>
      </c>
      <c r="X19" s="96"/>
      <c r="Y19" s="96"/>
      <c r="Z19" s="54"/>
      <c r="AA19" s="54"/>
      <c r="AB19" s="658"/>
      <c r="AC19" s="658"/>
      <c r="AD19" s="504"/>
      <c r="AE19" s="504">
        <v>1</v>
      </c>
      <c r="AF19" s="48">
        <f t="shared" si="6"/>
        <v>-243.49999999999727</v>
      </c>
      <c r="AG19" s="494">
        <f t="shared" si="7"/>
        <v>0.90634615384615491</v>
      </c>
      <c r="AH19" s="683"/>
    </row>
    <row r="20" spans="1:34" ht="19.2" customHeight="1">
      <c r="A20" s="680"/>
      <c r="B20" s="501" t="s">
        <v>182</v>
      </c>
      <c r="C20" s="55"/>
      <c r="D20" s="42" t="s">
        <v>80</v>
      </c>
      <c r="E20" s="83"/>
      <c r="F20" s="361">
        <v>38.39</v>
      </c>
      <c r="G20" s="57">
        <v>2887</v>
      </c>
      <c r="H20" s="84">
        <f t="shared" si="12"/>
        <v>110831.93000000001</v>
      </c>
      <c r="I20" s="504"/>
      <c r="J20" s="93">
        <v>16</v>
      </c>
      <c r="K20" s="44">
        <v>1636</v>
      </c>
      <c r="L20" s="47">
        <v>102.25</v>
      </c>
      <c r="M20" s="87">
        <v>17</v>
      </c>
      <c r="N20" s="94">
        <f t="shared" si="13"/>
        <v>1419.8360655737699</v>
      </c>
      <c r="O20" s="95">
        <f t="shared" si="14"/>
        <v>83.519768563162941</v>
      </c>
      <c r="P20" s="54">
        <f t="shared" si="10"/>
        <v>1</v>
      </c>
      <c r="Q20" s="88">
        <f t="shared" si="11"/>
        <v>-18.730231436837059</v>
      </c>
      <c r="R20" s="497">
        <f t="shared" si="15"/>
        <v>0.81681925245147136</v>
      </c>
      <c r="S20" s="681"/>
      <c r="T20" s="89">
        <v>0.2944444444444444</v>
      </c>
      <c r="U20" s="89">
        <v>0.37916666666666665</v>
      </c>
      <c r="V20" s="504">
        <v>22</v>
      </c>
      <c r="W20" s="90">
        <f t="shared" ref="W20:W29" si="16">(U20-T20)*24*60</f>
        <v>122.00000000000004</v>
      </c>
      <c r="X20" s="96">
        <v>0.28263888888888888</v>
      </c>
      <c r="Y20" s="96">
        <v>0.29166666666666669</v>
      </c>
      <c r="Z20" s="54"/>
      <c r="AA20" s="54"/>
      <c r="AB20" s="658"/>
      <c r="AC20" s="658"/>
      <c r="AD20" s="504"/>
      <c r="AE20" s="504"/>
      <c r="AF20" s="91">
        <f t="shared" si="6"/>
        <v>-216.16393442623007</v>
      </c>
      <c r="AG20" s="92">
        <f t="shared" si="7"/>
        <v>0.86787045572968824</v>
      </c>
      <c r="AH20" s="683"/>
    </row>
    <row r="21" spans="1:34" ht="19.2" customHeight="1">
      <c r="A21" s="680"/>
      <c r="B21" s="501" t="s">
        <v>183</v>
      </c>
      <c r="C21" s="97"/>
      <c r="D21" s="98" t="s">
        <v>79</v>
      </c>
      <c r="E21" s="43"/>
      <c r="F21" s="361">
        <v>43.14</v>
      </c>
      <c r="G21" s="44">
        <v>2289</v>
      </c>
      <c r="H21" s="84">
        <f t="shared" si="12"/>
        <v>98747.46</v>
      </c>
      <c r="I21" s="490"/>
      <c r="J21" s="93">
        <v>16</v>
      </c>
      <c r="K21" s="44">
        <v>1440</v>
      </c>
      <c r="L21" s="47">
        <v>90</v>
      </c>
      <c r="M21" s="488">
        <v>16</v>
      </c>
      <c r="N21" s="94">
        <f t="shared" si="13"/>
        <v>1387.2727272727277</v>
      </c>
      <c r="O21" s="95">
        <f t="shared" si="14"/>
        <v>86.704545454545482</v>
      </c>
      <c r="P21" s="54">
        <f t="shared" si="10"/>
        <v>0</v>
      </c>
      <c r="Q21" s="88">
        <f t="shared" si="11"/>
        <v>-3.2954545454545183</v>
      </c>
      <c r="R21" s="497">
        <f t="shared" si="15"/>
        <v>0.96338383838383868</v>
      </c>
      <c r="S21" s="681"/>
      <c r="T21" s="89">
        <v>0.38402777777777775</v>
      </c>
      <c r="U21" s="89">
        <v>0.45277777777777772</v>
      </c>
      <c r="V21" s="504">
        <v>7</v>
      </c>
      <c r="W21" s="90">
        <f t="shared" si="16"/>
        <v>98.999999999999972</v>
      </c>
      <c r="X21" s="96"/>
      <c r="Y21" s="96"/>
      <c r="Z21" s="54"/>
      <c r="AA21" s="54"/>
      <c r="AB21" s="658"/>
      <c r="AC21" s="658"/>
      <c r="AD21" s="504"/>
      <c r="AE21" s="504"/>
      <c r="AF21" s="48">
        <f t="shared" si="6"/>
        <v>-52.727272727272293</v>
      </c>
      <c r="AG21" s="494">
        <f t="shared" si="7"/>
        <v>0.96338383838383868</v>
      </c>
      <c r="AH21" s="684"/>
    </row>
    <row r="22" spans="1:34" ht="19.2" customHeight="1">
      <c r="A22" s="680"/>
      <c r="B22" s="501" t="s">
        <v>182</v>
      </c>
      <c r="C22" s="97"/>
      <c r="D22" s="42" t="s">
        <v>198</v>
      </c>
      <c r="E22" s="43"/>
      <c r="F22" s="361">
        <v>38.1</v>
      </c>
      <c r="G22" s="44">
        <v>1497</v>
      </c>
      <c r="H22" s="84">
        <f t="shared" si="12"/>
        <v>57035.700000000004</v>
      </c>
      <c r="I22" s="490"/>
      <c r="J22" s="93">
        <v>17</v>
      </c>
      <c r="K22" s="44">
        <v>1500</v>
      </c>
      <c r="L22" s="47">
        <v>88.235294117647058</v>
      </c>
      <c r="M22" s="87">
        <v>16</v>
      </c>
      <c r="N22" s="94">
        <f t="shared" si="13"/>
        <v>1301.7391304347814</v>
      </c>
      <c r="O22" s="95">
        <f t="shared" si="14"/>
        <v>81.358695652173836</v>
      </c>
      <c r="P22" s="54">
        <f t="shared" si="10"/>
        <v>-1</v>
      </c>
      <c r="Q22" s="88">
        <f t="shared" si="11"/>
        <v>-6.8765984654732222</v>
      </c>
      <c r="R22" s="497">
        <f t="shared" si="15"/>
        <v>0.92206521739130343</v>
      </c>
      <c r="S22" s="681"/>
      <c r="T22" s="89">
        <v>0.45624999999999993</v>
      </c>
      <c r="U22" s="89">
        <v>0.50416666666666665</v>
      </c>
      <c r="V22" s="504">
        <v>5</v>
      </c>
      <c r="W22" s="90">
        <f t="shared" si="16"/>
        <v>69.000000000000071</v>
      </c>
      <c r="X22" s="96"/>
      <c r="Y22" s="96"/>
      <c r="Z22" s="54"/>
      <c r="AA22" s="54"/>
      <c r="AB22" s="658"/>
      <c r="AC22" s="658"/>
      <c r="AD22" s="504"/>
      <c r="AE22" s="504"/>
      <c r="AF22" s="91">
        <f t="shared" si="6"/>
        <v>-198.26086956521863</v>
      </c>
      <c r="AG22" s="92">
        <f t="shared" si="7"/>
        <v>0.86782608695652097</v>
      </c>
      <c r="AH22" s="684"/>
    </row>
    <row r="23" spans="1:34" ht="19.2" customHeight="1">
      <c r="A23" s="680"/>
      <c r="B23" s="501" t="s">
        <v>180</v>
      </c>
      <c r="C23" s="97"/>
      <c r="D23" s="42" t="s">
        <v>72</v>
      </c>
      <c r="E23" s="43"/>
      <c r="F23" s="361">
        <v>38.630952380952372</v>
      </c>
      <c r="G23" s="44">
        <v>5027.2000000000007</v>
      </c>
      <c r="H23" s="84">
        <f t="shared" si="12"/>
        <v>194205.52380952379</v>
      </c>
      <c r="I23" s="490"/>
      <c r="J23" s="93">
        <v>18</v>
      </c>
      <c r="K23" s="44">
        <v>2600</v>
      </c>
      <c r="L23" s="47">
        <v>144.44444444444446</v>
      </c>
      <c r="M23" s="87">
        <v>20</v>
      </c>
      <c r="N23" s="94">
        <f t="shared" si="13"/>
        <v>2338.2325581395344</v>
      </c>
      <c r="O23" s="95">
        <f t="shared" si="14"/>
        <v>116.91162790697672</v>
      </c>
      <c r="P23" s="54">
        <f t="shared" si="10"/>
        <v>2</v>
      </c>
      <c r="Q23" s="88">
        <f t="shared" si="11"/>
        <v>-27.532816537467738</v>
      </c>
      <c r="R23" s="497">
        <f t="shared" si="15"/>
        <v>0.80938819320214639</v>
      </c>
      <c r="S23" s="681"/>
      <c r="T23" s="89">
        <v>0.54583333333333328</v>
      </c>
      <c r="U23" s="89">
        <v>0.63541666666666663</v>
      </c>
      <c r="V23" s="504">
        <v>7</v>
      </c>
      <c r="W23" s="90">
        <f t="shared" si="16"/>
        <v>129.00000000000003</v>
      </c>
      <c r="X23" s="96"/>
      <c r="Y23" s="96"/>
      <c r="Z23" s="54"/>
      <c r="AA23" s="54"/>
      <c r="AB23" s="658"/>
      <c r="AC23" s="658"/>
      <c r="AD23" s="504"/>
      <c r="AE23" s="504"/>
      <c r="AF23" s="48">
        <f t="shared" si="6"/>
        <v>-261.76744186046562</v>
      </c>
      <c r="AG23" s="494">
        <f t="shared" si="7"/>
        <v>0.89932021466905165</v>
      </c>
      <c r="AH23" s="684"/>
    </row>
    <row r="24" spans="1:34" ht="19.2" customHeight="1">
      <c r="A24" s="680"/>
      <c r="B24" s="501">
        <v>0</v>
      </c>
      <c r="C24" s="81"/>
      <c r="D24" s="82"/>
      <c r="E24" s="83"/>
      <c r="F24" s="361" t="s">
        <v>186</v>
      </c>
      <c r="G24" s="57"/>
      <c r="H24" s="84">
        <f t="shared" si="12"/>
        <v>0</v>
      </c>
      <c r="I24" s="90"/>
      <c r="J24" s="93"/>
      <c r="K24" s="44"/>
      <c r="L24" s="47"/>
      <c r="M24" s="87"/>
      <c r="N24" s="94"/>
      <c r="O24" s="95"/>
      <c r="P24" s="54"/>
      <c r="Q24" s="88"/>
      <c r="R24" s="497"/>
      <c r="S24" s="681"/>
      <c r="T24" s="89"/>
      <c r="U24" s="89"/>
      <c r="V24" s="504"/>
      <c r="W24" s="90"/>
      <c r="X24" s="504"/>
      <c r="Y24" s="504"/>
      <c r="Z24" s="54"/>
      <c r="AA24" s="54"/>
      <c r="AB24" s="658"/>
      <c r="AC24" s="658"/>
      <c r="AD24" s="504"/>
      <c r="AE24" s="504"/>
      <c r="AF24" s="91">
        <f t="shared" si="6"/>
        <v>0</v>
      </c>
      <c r="AG24" s="92" t="e">
        <f t="shared" si="7"/>
        <v>#DIV/0!</v>
      </c>
      <c r="AH24" s="684"/>
    </row>
    <row r="25" spans="1:34" ht="19.2" customHeight="1">
      <c r="A25" s="680"/>
      <c r="B25" s="501">
        <v>0</v>
      </c>
      <c r="C25" s="81"/>
      <c r="D25" s="82"/>
      <c r="E25" s="83"/>
      <c r="F25" s="361" t="s">
        <v>186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/>
      <c r="Q25" s="88"/>
      <c r="R25" s="497"/>
      <c r="S25" s="681"/>
      <c r="T25" s="89"/>
      <c r="U25" s="89"/>
      <c r="V25" s="504"/>
      <c r="W25" s="90">
        <f t="shared" si="16"/>
        <v>0</v>
      </c>
      <c r="X25" s="504"/>
      <c r="Y25" s="504"/>
      <c r="Z25" s="54"/>
      <c r="AA25" s="54"/>
      <c r="AB25" s="658"/>
      <c r="AC25" s="658"/>
      <c r="AD25" s="504"/>
      <c r="AE25" s="504"/>
      <c r="AF25" s="48">
        <f t="shared" si="6"/>
        <v>0</v>
      </c>
      <c r="AG25" s="494" t="e">
        <f t="shared" si="7"/>
        <v>#DIV/0!</v>
      </c>
      <c r="AH25" s="684"/>
    </row>
    <row r="26" spans="1:34" ht="19.2" customHeight="1">
      <c r="A26" s="680"/>
      <c r="B26" s="501">
        <v>0</v>
      </c>
      <c r="C26" s="81"/>
      <c r="D26" s="82"/>
      <c r="E26" s="83"/>
      <c r="F26" s="361" t="s">
        <v>186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7"/>
      <c r="S26" s="681"/>
      <c r="T26" s="89"/>
      <c r="U26" s="89"/>
      <c r="V26" s="504"/>
      <c r="W26" s="90">
        <f t="shared" si="16"/>
        <v>0</v>
      </c>
      <c r="X26" s="504"/>
      <c r="Y26" s="504"/>
      <c r="Z26" s="54"/>
      <c r="AA26" s="54"/>
      <c r="AB26" s="658"/>
      <c r="AC26" s="658"/>
      <c r="AD26" s="504"/>
      <c r="AE26" s="504"/>
      <c r="AF26" s="91">
        <f t="shared" si="6"/>
        <v>0</v>
      </c>
      <c r="AG26" s="92" t="e">
        <f t="shared" si="7"/>
        <v>#DIV/0!</v>
      </c>
      <c r="AH26" s="684"/>
    </row>
    <row r="27" spans="1:34" ht="19.2" customHeight="1">
      <c r="A27" s="680"/>
      <c r="B27" s="80">
        <v>0</v>
      </c>
      <c r="C27" s="81"/>
      <c r="D27" s="82"/>
      <c r="E27" s="83"/>
      <c r="F27" s="364" t="s">
        <v>186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7"/>
      <c r="S27" s="681"/>
      <c r="T27" s="89"/>
      <c r="U27" s="89"/>
      <c r="V27" s="504"/>
      <c r="W27" s="90">
        <f t="shared" si="16"/>
        <v>0</v>
      </c>
      <c r="X27" s="504"/>
      <c r="Y27" s="504"/>
      <c r="Z27" s="54"/>
      <c r="AA27" s="54"/>
      <c r="AB27" s="658"/>
      <c r="AC27" s="658"/>
      <c r="AD27" s="504"/>
      <c r="AE27" s="504"/>
      <c r="AF27" s="48">
        <f t="shared" si="6"/>
        <v>0</v>
      </c>
      <c r="AG27" s="494" t="e">
        <f t="shared" si="7"/>
        <v>#DIV/0!</v>
      </c>
      <c r="AH27" s="684"/>
    </row>
    <row r="28" spans="1:34" ht="19.2" customHeight="1">
      <c r="A28" s="680"/>
      <c r="B28" s="80">
        <v>0</v>
      </c>
      <c r="C28" s="81"/>
      <c r="D28" s="82"/>
      <c r="E28" s="83"/>
      <c r="F28" s="364" t="s">
        <v>186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7"/>
      <c r="S28" s="681"/>
      <c r="T28" s="89"/>
      <c r="U28" s="89"/>
      <c r="V28" s="504"/>
      <c r="W28" s="90">
        <f t="shared" si="16"/>
        <v>0</v>
      </c>
      <c r="X28" s="504"/>
      <c r="Y28" s="504"/>
      <c r="Z28" s="54"/>
      <c r="AA28" s="54"/>
      <c r="AB28" s="658"/>
      <c r="AC28" s="658"/>
      <c r="AD28" s="504"/>
      <c r="AE28" s="504"/>
      <c r="AF28" s="91">
        <f t="shared" si="6"/>
        <v>0</v>
      </c>
      <c r="AG28" s="92" t="e">
        <f t="shared" si="7"/>
        <v>#DIV/0!</v>
      </c>
      <c r="AH28" s="684"/>
    </row>
    <row r="29" spans="1:34" ht="19.2" customHeight="1">
      <c r="A29" s="680"/>
      <c r="B29" s="80">
        <v>0</v>
      </c>
      <c r="C29" s="81"/>
      <c r="D29" s="82"/>
      <c r="E29" s="83"/>
      <c r="F29" s="364" t="s">
        <v>186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7"/>
      <c r="S29" s="681"/>
      <c r="T29" s="89"/>
      <c r="U29" s="89"/>
      <c r="V29" s="504"/>
      <c r="W29" s="90">
        <f t="shared" si="16"/>
        <v>0</v>
      </c>
      <c r="X29" s="504"/>
      <c r="Y29" s="504"/>
      <c r="Z29" s="54"/>
      <c r="AA29" s="54"/>
      <c r="AB29" s="658"/>
      <c r="AC29" s="658"/>
      <c r="AD29" s="504"/>
      <c r="AE29" s="504"/>
      <c r="AF29" s="48">
        <f t="shared" si="6"/>
        <v>0</v>
      </c>
      <c r="AG29" s="494"/>
      <c r="AH29" s="684"/>
    </row>
    <row r="30" spans="1:34" ht="19.2" customHeight="1">
      <c r="A30" s="680"/>
      <c r="B30" s="99">
        <v>0</v>
      </c>
      <c r="C30" s="100" t="s">
        <v>246</v>
      </c>
      <c r="D30" s="679" t="s">
        <v>145</v>
      </c>
      <c r="E30" s="679"/>
      <c r="F30" s="365"/>
      <c r="G30" s="101"/>
      <c r="H30" s="102"/>
      <c r="I30" s="103"/>
      <c r="J30" s="101">
        <v>17</v>
      </c>
      <c r="K30" s="101">
        <v>2004.3333333333333</v>
      </c>
      <c r="L30" s="104">
        <v>116.95452069716777</v>
      </c>
      <c r="M30" s="101">
        <f t="shared" ref="J30:O30" si="17">AVERAGE(M18:M29)</f>
        <v>17.666666666666668</v>
      </c>
      <c r="N30" s="101">
        <f t="shared" si="17"/>
        <v>1829.7024379603799</v>
      </c>
      <c r="O30" s="104">
        <f t="shared" si="17"/>
        <v>102.22232691606901</v>
      </c>
      <c r="P30" s="54">
        <f t="shared" ref="P30:P34" si="18">M30-J30</f>
        <v>0.66666666666666785</v>
      </c>
      <c r="Q30" s="88">
        <f t="shared" ref="Q30:Q34" si="19">O30-L30</f>
        <v>-14.732193781098758</v>
      </c>
      <c r="R30" s="105">
        <f t="shared" ref="R30:R34" si="20">O30/L30</f>
        <v>0.87403484967250589</v>
      </c>
      <c r="S30" s="681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58"/>
      <c r="AC30" s="658"/>
      <c r="AD30" s="107">
        <f>SUM(AD18:AD29)</f>
        <v>0</v>
      </c>
      <c r="AE30" s="107">
        <f>SUM(AE18:AE29)</f>
        <v>1</v>
      </c>
      <c r="AF30" s="108">
        <f t="shared" si="6"/>
        <v>-174.63089537295332</v>
      </c>
      <c r="AG30" s="109">
        <f t="shared" ref="AG30" si="21">N30/K30</f>
        <v>0.91287332677218358</v>
      </c>
      <c r="AH30" s="685"/>
    </row>
    <row r="31" spans="1:34" ht="19.2" customHeight="1">
      <c r="A31" s="688" t="s">
        <v>272</v>
      </c>
      <c r="B31" s="110" t="s">
        <v>184</v>
      </c>
      <c r="C31" s="66"/>
      <c r="D31" s="111" t="s">
        <v>81</v>
      </c>
      <c r="E31" s="112"/>
      <c r="F31" s="366">
        <v>35.33</v>
      </c>
      <c r="G31" s="94">
        <v>2327</v>
      </c>
      <c r="H31" s="113">
        <f t="shared" ref="H31:H40" si="22">F31*G31</f>
        <v>82212.909999999989</v>
      </c>
      <c r="I31" s="52"/>
      <c r="J31" s="114">
        <v>12</v>
      </c>
      <c r="K31" s="94">
        <v>2118</v>
      </c>
      <c r="L31" s="95">
        <v>176.5</v>
      </c>
      <c r="M31" s="114">
        <v>12</v>
      </c>
      <c r="N31" s="115">
        <f t="shared" ref="N31:N34" si="23">G31/W31*60</f>
        <v>1912.602739726027</v>
      </c>
      <c r="O31" s="116">
        <f t="shared" ref="O31:O34" si="24">N31/M31</f>
        <v>159.38356164383558</v>
      </c>
      <c r="P31" s="117">
        <f t="shared" si="18"/>
        <v>0</v>
      </c>
      <c r="Q31" s="118">
        <f t="shared" si="19"/>
        <v>-17.116438356164423</v>
      </c>
      <c r="R31" s="498">
        <f t="shared" si="20"/>
        <v>0.90302301214637726</v>
      </c>
      <c r="S31" s="690">
        <f>R43</f>
        <v>0.85479345721326683</v>
      </c>
      <c r="T31" s="119">
        <v>0.16666666666666666</v>
      </c>
      <c r="U31" s="119">
        <v>0.21736111111111112</v>
      </c>
      <c r="V31" s="52">
        <v>5</v>
      </c>
      <c r="W31" s="120">
        <f t="shared" ref="W31:W42" si="25">(U31-T31)*24*60</f>
        <v>73.000000000000014</v>
      </c>
      <c r="X31" s="52"/>
      <c r="Y31" s="52"/>
      <c r="Z31" s="51"/>
      <c r="AA31" s="51"/>
      <c r="AB31" s="658"/>
      <c r="AC31" s="658"/>
      <c r="AD31" s="52"/>
      <c r="AE31" s="52"/>
      <c r="AF31" s="117">
        <f t="shared" si="6"/>
        <v>-205.39726027397296</v>
      </c>
      <c r="AG31" s="121">
        <f t="shared" si="7"/>
        <v>0.90302301214637726</v>
      </c>
      <c r="AH31" s="686">
        <f>AG43</f>
        <v>0.86628812621506668</v>
      </c>
    </row>
    <row r="32" spans="1:34" ht="19.2" customHeight="1">
      <c r="A32" s="689"/>
      <c r="B32" s="122" t="s">
        <v>184</v>
      </c>
      <c r="C32" s="123"/>
      <c r="D32" s="98" t="s">
        <v>126</v>
      </c>
      <c r="E32" s="43"/>
      <c r="F32" s="361">
        <v>34.229999999999997</v>
      </c>
      <c r="G32" s="44">
        <v>2294</v>
      </c>
      <c r="H32" s="84">
        <f t="shared" si="22"/>
        <v>78523.62</v>
      </c>
      <c r="I32" s="487"/>
      <c r="J32" s="46">
        <v>12</v>
      </c>
      <c r="K32" s="44">
        <v>2118</v>
      </c>
      <c r="L32" s="47">
        <v>176.5</v>
      </c>
      <c r="M32" s="46">
        <v>12</v>
      </c>
      <c r="N32" s="44">
        <f t="shared" si="23"/>
        <v>1885.4794520547941</v>
      </c>
      <c r="O32" s="47">
        <f t="shared" si="24"/>
        <v>157.12328767123284</v>
      </c>
      <c r="P32" s="48">
        <f t="shared" si="18"/>
        <v>0</v>
      </c>
      <c r="Q32" s="49">
        <f t="shared" si="19"/>
        <v>-19.376712328767155</v>
      </c>
      <c r="R32" s="494">
        <f t="shared" si="20"/>
        <v>0.89021692731576685</v>
      </c>
      <c r="S32" s="681"/>
      <c r="T32" s="89">
        <v>0.22291666666666668</v>
      </c>
      <c r="U32" s="89">
        <v>0.27361111111111114</v>
      </c>
      <c r="V32" s="504">
        <v>8</v>
      </c>
      <c r="W32" s="90">
        <f t="shared" si="25"/>
        <v>73.000000000000014</v>
      </c>
      <c r="X32" s="124"/>
      <c r="Y32" s="124"/>
      <c r="Z32" s="125"/>
      <c r="AA32" s="125"/>
      <c r="AB32" s="658"/>
      <c r="AC32" s="658"/>
      <c r="AD32" s="504">
        <v>1</v>
      </c>
      <c r="AE32" s="504"/>
      <c r="AF32" s="48">
        <f t="shared" si="6"/>
        <v>-232.52054794520586</v>
      </c>
      <c r="AG32" s="494">
        <f t="shared" si="7"/>
        <v>0.89021692731576685</v>
      </c>
      <c r="AH32" s="672"/>
    </row>
    <row r="33" spans="1:34" ht="19.2" customHeight="1">
      <c r="A33" s="689"/>
      <c r="B33" s="122" t="s">
        <v>184</v>
      </c>
      <c r="C33" s="504"/>
      <c r="D33" s="82" t="s">
        <v>82</v>
      </c>
      <c r="E33" s="83"/>
      <c r="F33" s="361">
        <v>36.409999999999997</v>
      </c>
      <c r="G33" s="57">
        <v>3746.7000000000003</v>
      </c>
      <c r="H33" s="84">
        <f t="shared" si="22"/>
        <v>136417.34700000001</v>
      </c>
      <c r="I33" s="504"/>
      <c r="J33" s="46">
        <v>10</v>
      </c>
      <c r="K33" s="44">
        <v>2769</v>
      </c>
      <c r="L33" s="47">
        <v>276.89999999999998</v>
      </c>
      <c r="M33" s="46">
        <v>10</v>
      </c>
      <c r="N33" s="44">
        <f t="shared" si="23"/>
        <v>2248.0199999999991</v>
      </c>
      <c r="O33" s="47">
        <f t="shared" si="24"/>
        <v>224.80199999999991</v>
      </c>
      <c r="P33" s="48">
        <f t="shared" si="18"/>
        <v>0</v>
      </c>
      <c r="Q33" s="49">
        <f t="shared" si="19"/>
        <v>-52.09800000000007</v>
      </c>
      <c r="R33" s="494">
        <f t="shared" si="20"/>
        <v>0.81185265438786536</v>
      </c>
      <c r="S33" s="681"/>
      <c r="T33" s="89">
        <v>0.28958333333333336</v>
      </c>
      <c r="U33" s="89">
        <v>0.35902777777777783</v>
      </c>
      <c r="V33" s="504">
        <v>23</v>
      </c>
      <c r="W33" s="90">
        <f t="shared" si="25"/>
        <v>100.00000000000004</v>
      </c>
      <c r="X33" s="124">
        <v>0.27708333333333335</v>
      </c>
      <c r="Y33" s="124">
        <v>0.28680555555555554</v>
      </c>
      <c r="Z33" s="125"/>
      <c r="AA33" s="125"/>
      <c r="AB33" s="658"/>
      <c r="AC33" s="658"/>
      <c r="AD33" s="504">
        <v>1</v>
      </c>
      <c r="AE33" s="504"/>
      <c r="AF33" s="48">
        <f t="shared" si="6"/>
        <v>-520.98000000000093</v>
      </c>
      <c r="AG33" s="126">
        <f t="shared" si="7"/>
        <v>0.81185265438786536</v>
      </c>
      <c r="AH33" s="672"/>
    </row>
    <row r="34" spans="1:34" ht="19.2" customHeight="1">
      <c r="A34" s="689"/>
      <c r="B34" s="122" t="s">
        <v>182</v>
      </c>
      <c r="C34" s="127"/>
      <c r="D34" s="82" t="s">
        <v>503</v>
      </c>
      <c r="E34" s="83"/>
      <c r="F34" s="361">
        <v>47.6</v>
      </c>
      <c r="G34" s="57">
        <v>3150</v>
      </c>
      <c r="H34" s="84">
        <f t="shared" si="22"/>
        <v>149940</v>
      </c>
      <c r="I34" s="504"/>
      <c r="J34" s="46">
        <v>15</v>
      </c>
      <c r="K34" s="44">
        <v>1500</v>
      </c>
      <c r="L34" s="47">
        <v>100</v>
      </c>
      <c r="M34" s="46">
        <v>16</v>
      </c>
      <c r="N34" s="44">
        <f t="shared" si="23"/>
        <v>1321.6783216783219</v>
      </c>
      <c r="O34" s="47">
        <f t="shared" si="24"/>
        <v>82.604895104895121</v>
      </c>
      <c r="P34" s="48">
        <f t="shared" si="18"/>
        <v>1</v>
      </c>
      <c r="Q34" s="49">
        <f t="shared" si="19"/>
        <v>-17.395104895104879</v>
      </c>
      <c r="R34" s="494">
        <f t="shared" si="20"/>
        <v>0.82604895104895126</v>
      </c>
      <c r="S34" s="681"/>
      <c r="T34" s="89">
        <v>0.40069444444444446</v>
      </c>
      <c r="U34" s="89">
        <v>0.5</v>
      </c>
      <c r="V34" s="504">
        <v>7</v>
      </c>
      <c r="W34" s="90">
        <f t="shared" si="25"/>
        <v>142.99999999999997</v>
      </c>
      <c r="X34" s="124"/>
      <c r="Y34" s="124"/>
      <c r="Z34" s="125"/>
      <c r="AA34" s="125"/>
      <c r="AB34" s="658"/>
      <c r="AC34" s="658"/>
      <c r="AD34" s="504"/>
      <c r="AE34" s="504"/>
      <c r="AF34" s="48">
        <f t="shared" si="6"/>
        <v>-178.32167832167806</v>
      </c>
      <c r="AG34" s="126">
        <f t="shared" si="7"/>
        <v>0.88111888111888126</v>
      </c>
      <c r="AH34" s="672"/>
    </row>
    <row r="35" spans="1:34" ht="19.2" customHeight="1">
      <c r="A35" s="689"/>
      <c r="B35" s="122">
        <v>0</v>
      </c>
      <c r="C35" s="41"/>
      <c r="D35" s="42"/>
      <c r="E35" s="43"/>
      <c r="F35" s="361" t="s">
        <v>186</v>
      </c>
      <c r="G35" s="128"/>
      <c r="H35" s="84">
        <f t="shared" si="22"/>
        <v>0</v>
      </c>
      <c r="I35" s="490"/>
      <c r="J35" s="46"/>
      <c r="K35" s="44"/>
      <c r="L35" s="47"/>
      <c r="M35" s="46"/>
      <c r="N35" s="44"/>
      <c r="O35" s="47"/>
      <c r="P35" s="48"/>
      <c r="Q35" s="49"/>
      <c r="R35" s="494"/>
      <c r="S35" s="681"/>
      <c r="T35" s="89"/>
      <c r="U35" s="89"/>
      <c r="V35" s="504"/>
      <c r="W35" s="90"/>
      <c r="X35" s="124"/>
      <c r="Y35" s="124"/>
      <c r="Z35" s="125"/>
      <c r="AA35" s="125"/>
      <c r="AB35" s="658"/>
      <c r="AC35" s="658"/>
      <c r="AD35" s="504"/>
      <c r="AE35" s="504"/>
      <c r="AF35" s="117">
        <f t="shared" si="6"/>
        <v>0</v>
      </c>
      <c r="AG35" s="121" t="e">
        <f t="shared" si="7"/>
        <v>#DIV/0!</v>
      </c>
      <c r="AH35" s="673"/>
    </row>
    <row r="36" spans="1:34" ht="19.2" customHeight="1">
      <c r="A36" s="689"/>
      <c r="B36" s="122">
        <v>0</v>
      </c>
      <c r="C36" s="129"/>
      <c r="D36" s="42"/>
      <c r="E36" s="83"/>
      <c r="F36" s="361" t="s">
        <v>186</v>
      </c>
      <c r="G36" s="57"/>
      <c r="H36" s="84">
        <f t="shared" si="22"/>
        <v>0</v>
      </c>
      <c r="I36" s="504"/>
      <c r="J36" s="46"/>
      <c r="K36" s="44"/>
      <c r="L36" s="47"/>
      <c r="M36" s="46"/>
      <c r="N36" s="44"/>
      <c r="O36" s="47"/>
      <c r="P36" s="48"/>
      <c r="Q36" s="49"/>
      <c r="R36" s="494"/>
      <c r="S36" s="681"/>
      <c r="T36" s="89"/>
      <c r="U36" s="89"/>
      <c r="V36" s="504"/>
      <c r="W36" s="90">
        <f t="shared" si="25"/>
        <v>0</v>
      </c>
      <c r="X36" s="124"/>
      <c r="Y36" s="124"/>
      <c r="Z36" s="125"/>
      <c r="AA36" s="125"/>
      <c r="AB36" s="658"/>
      <c r="AC36" s="658"/>
      <c r="AD36" s="504"/>
      <c r="AE36" s="504"/>
      <c r="AF36" s="48">
        <f t="shared" si="6"/>
        <v>0</v>
      </c>
      <c r="AG36" s="494" t="e">
        <f t="shared" si="7"/>
        <v>#DIV/0!</v>
      </c>
      <c r="AH36" s="673"/>
    </row>
    <row r="37" spans="1:34" ht="19.2" customHeight="1">
      <c r="A37" s="689"/>
      <c r="B37" s="122">
        <v>0</v>
      </c>
      <c r="C37" s="129"/>
      <c r="D37" s="82"/>
      <c r="E37" s="83"/>
      <c r="F37" s="361" t="s">
        <v>186</v>
      </c>
      <c r="G37" s="57"/>
      <c r="H37" s="84">
        <f t="shared" si="22"/>
        <v>0</v>
      </c>
      <c r="I37" s="504"/>
      <c r="J37" s="46"/>
      <c r="K37" s="44"/>
      <c r="L37" s="47"/>
      <c r="M37" s="46"/>
      <c r="N37" s="44"/>
      <c r="O37" s="47"/>
      <c r="P37" s="48"/>
      <c r="Q37" s="49"/>
      <c r="R37" s="494"/>
      <c r="S37" s="681"/>
      <c r="T37" s="89"/>
      <c r="U37" s="89"/>
      <c r="V37" s="504"/>
      <c r="W37" s="90">
        <f t="shared" si="25"/>
        <v>0</v>
      </c>
      <c r="X37" s="124"/>
      <c r="Y37" s="124"/>
      <c r="Z37" s="125"/>
      <c r="AA37" s="125"/>
      <c r="AB37" s="658"/>
      <c r="AC37" s="658"/>
      <c r="AD37" s="504"/>
      <c r="AE37" s="504"/>
      <c r="AF37" s="48">
        <f t="shared" si="6"/>
        <v>0</v>
      </c>
      <c r="AG37" s="126" t="e">
        <f t="shared" si="7"/>
        <v>#DIV/0!</v>
      </c>
      <c r="AH37" s="673"/>
    </row>
    <row r="38" spans="1:34" ht="19.2" customHeight="1">
      <c r="A38" s="689"/>
      <c r="B38" s="122">
        <v>0</v>
      </c>
      <c r="C38" s="129"/>
      <c r="D38" s="82"/>
      <c r="E38" s="83"/>
      <c r="F38" s="361" t="s">
        <v>186</v>
      </c>
      <c r="G38" s="57"/>
      <c r="H38" s="84">
        <f t="shared" si="22"/>
        <v>0</v>
      </c>
      <c r="I38" s="504"/>
      <c r="J38" s="46"/>
      <c r="K38" s="44"/>
      <c r="L38" s="47"/>
      <c r="M38" s="493"/>
      <c r="N38" s="44"/>
      <c r="O38" s="47"/>
      <c r="P38" s="48"/>
      <c r="Q38" s="49"/>
      <c r="R38" s="494"/>
      <c r="S38" s="681"/>
      <c r="T38" s="89"/>
      <c r="U38" s="89"/>
      <c r="V38" s="504"/>
      <c r="W38" s="90">
        <f t="shared" si="25"/>
        <v>0</v>
      </c>
      <c r="X38" s="124"/>
      <c r="Y38" s="124"/>
      <c r="Z38" s="125"/>
      <c r="AA38" s="125"/>
      <c r="AB38" s="658"/>
      <c r="AC38" s="658"/>
      <c r="AD38" s="504"/>
      <c r="AE38" s="504"/>
      <c r="AF38" s="48">
        <f t="shared" si="6"/>
        <v>0</v>
      </c>
      <c r="AG38" s="126" t="e">
        <f t="shared" si="7"/>
        <v>#DIV/0!</v>
      </c>
      <c r="AH38" s="673"/>
    </row>
    <row r="39" spans="1:34" ht="19.2" customHeight="1">
      <c r="A39" s="689"/>
      <c r="B39" s="122">
        <v>0</v>
      </c>
      <c r="C39" s="127"/>
      <c r="D39" s="42"/>
      <c r="E39" s="43"/>
      <c r="F39" s="361" t="s">
        <v>186</v>
      </c>
      <c r="G39" s="57"/>
      <c r="H39" s="84">
        <f t="shared" si="22"/>
        <v>0</v>
      </c>
      <c r="I39" s="504"/>
      <c r="J39" s="46"/>
      <c r="K39" s="44"/>
      <c r="L39" s="47"/>
      <c r="M39" s="493"/>
      <c r="N39" s="44"/>
      <c r="O39" s="47"/>
      <c r="P39" s="48"/>
      <c r="Q39" s="49"/>
      <c r="R39" s="494"/>
      <c r="S39" s="681"/>
      <c r="T39" s="89"/>
      <c r="U39" s="89"/>
      <c r="V39" s="504"/>
      <c r="W39" s="90">
        <f t="shared" si="25"/>
        <v>0</v>
      </c>
      <c r="X39" s="124"/>
      <c r="Y39" s="124"/>
      <c r="Z39" s="125"/>
      <c r="AA39" s="125"/>
      <c r="AB39" s="658"/>
      <c r="AC39" s="658"/>
      <c r="AD39" s="504"/>
      <c r="AE39" s="504"/>
      <c r="AF39" s="117">
        <f t="shared" si="6"/>
        <v>0</v>
      </c>
      <c r="AG39" s="121" t="e">
        <f t="shared" si="7"/>
        <v>#DIV/0!</v>
      </c>
      <c r="AH39" s="673"/>
    </row>
    <row r="40" spans="1:34" ht="19.2" customHeight="1">
      <c r="A40" s="689"/>
      <c r="B40" s="131">
        <v>0</v>
      </c>
      <c r="C40" s="97"/>
      <c r="D40" s="42"/>
      <c r="E40" s="43"/>
      <c r="F40" s="361" t="s">
        <v>186</v>
      </c>
      <c r="G40" s="44"/>
      <c r="H40" s="84">
        <f t="shared" si="22"/>
        <v>0</v>
      </c>
      <c r="I40" s="490"/>
      <c r="J40" s="132"/>
      <c r="K40" s="133"/>
      <c r="L40" s="134"/>
      <c r="M40" s="488"/>
      <c r="N40" s="44"/>
      <c r="O40" s="47"/>
      <c r="P40" s="48"/>
      <c r="Q40" s="49"/>
      <c r="R40" s="494"/>
      <c r="S40" s="681"/>
      <c r="T40" s="89"/>
      <c r="U40" s="89"/>
      <c r="V40" s="504"/>
      <c r="W40" s="90">
        <f t="shared" si="25"/>
        <v>0</v>
      </c>
      <c r="X40" s="124"/>
      <c r="Y40" s="124"/>
      <c r="Z40" s="125"/>
      <c r="AA40" s="125"/>
      <c r="AB40" s="658"/>
      <c r="AC40" s="658"/>
      <c r="AD40" s="504"/>
      <c r="AE40" s="504"/>
      <c r="AF40" s="48">
        <f t="shared" si="6"/>
        <v>0</v>
      </c>
      <c r="AG40" s="494" t="e">
        <f t="shared" si="7"/>
        <v>#DIV/0!</v>
      </c>
      <c r="AH40" s="673"/>
    </row>
    <row r="41" spans="1:34" ht="19.2" customHeight="1">
      <c r="A41" s="689"/>
      <c r="B41" s="504">
        <v>0</v>
      </c>
      <c r="C41" s="55"/>
      <c r="D41" s="82"/>
      <c r="E41" s="83"/>
      <c r="F41" s="361" t="s">
        <v>186</v>
      </c>
      <c r="G41" s="57"/>
      <c r="H41" s="84"/>
      <c r="I41" s="504"/>
      <c r="J41" s="87"/>
      <c r="K41" s="57"/>
      <c r="L41" s="86"/>
      <c r="M41" s="493"/>
      <c r="N41" s="57"/>
      <c r="O41" s="86"/>
      <c r="P41" s="54"/>
      <c r="Q41" s="88"/>
      <c r="R41" s="497"/>
      <c r="S41" s="681"/>
      <c r="T41" s="89"/>
      <c r="U41" s="89"/>
      <c r="V41" s="504"/>
      <c r="W41" s="90">
        <f t="shared" si="25"/>
        <v>0</v>
      </c>
      <c r="X41" s="124"/>
      <c r="Y41" s="124"/>
      <c r="Z41" s="125"/>
      <c r="AA41" s="125"/>
      <c r="AB41" s="658"/>
      <c r="AC41" s="658"/>
      <c r="AD41" s="504"/>
      <c r="AE41" s="504"/>
      <c r="AF41" s="48"/>
      <c r="AG41" s="130"/>
      <c r="AH41" s="673"/>
    </row>
    <row r="42" spans="1:34" ht="19.2" customHeight="1">
      <c r="A42" s="689"/>
      <c r="B42" s="504">
        <v>0</v>
      </c>
      <c r="C42" s="55"/>
      <c r="D42" s="82"/>
      <c r="E42" s="83"/>
      <c r="F42" s="367" t="s">
        <v>186</v>
      </c>
      <c r="G42" s="57"/>
      <c r="H42" s="84">
        <f>F42*G42</f>
        <v>0</v>
      </c>
      <c r="I42" s="504"/>
      <c r="J42" s="87"/>
      <c r="K42" s="57"/>
      <c r="L42" s="86"/>
      <c r="M42" s="493"/>
      <c r="N42" s="57"/>
      <c r="O42" s="86"/>
      <c r="P42" s="54"/>
      <c r="Q42" s="88"/>
      <c r="R42" s="497"/>
      <c r="S42" s="681"/>
      <c r="T42" s="89"/>
      <c r="U42" s="89"/>
      <c r="V42" s="504"/>
      <c r="W42" s="90">
        <f t="shared" si="25"/>
        <v>0</v>
      </c>
      <c r="X42" s="124"/>
      <c r="Y42" s="124"/>
      <c r="Z42" s="125"/>
      <c r="AA42" s="125"/>
      <c r="AB42" s="658"/>
      <c r="AC42" s="658"/>
      <c r="AD42" s="504"/>
      <c r="AE42" s="504"/>
      <c r="AF42" s="48"/>
      <c r="AG42" s="130"/>
      <c r="AH42" s="673"/>
    </row>
    <row r="43" spans="1:34" ht="19.2" customHeight="1">
      <c r="A43" s="689"/>
      <c r="B43" s="122">
        <v>0</v>
      </c>
      <c r="C43" s="100" t="s">
        <v>17</v>
      </c>
      <c r="D43" s="687" t="s">
        <v>145</v>
      </c>
      <c r="E43" s="687"/>
      <c r="F43" s="365"/>
      <c r="G43" s="101"/>
      <c r="H43" s="102"/>
      <c r="I43" s="103"/>
      <c r="J43" s="101">
        <v>12.25</v>
      </c>
      <c r="K43" s="101">
        <v>2126.25</v>
      </c>
      <c r="L43" s="104">
        <v>182.47499999999999</v>
      </c>
      <c r="M43" s="101">
        <f t="shared" ref="J43:O43" si="26">AVERAGE(M31:M42)</f>
        <v>12.5</v>
      </c>
      <c r="N43" s="101">
        <f t="shared" si="26"/>
        <v>1841.9451283647854</v>
      </c>
      <c r="O43" s="104">
        <f t="shared" si="26"/>
        <v>155.97843610499086</v>
      </c>
      <c r="P43" s="54">
        <f>M43-J43</f>
        <v>0.25</v>
      </c>
      <c r="Q43" s="88">
        <f>N43-K43</f>
        <v>-284.30487163521457</v>
      </c>
      <c r="R43" s="105">
        <f t="shared" ref="R43:R49" si="27">O43/L43</f>
        <v>0.85479345721326683</v>
      </c>
      <c r="S43" s="681"/>
      <c r="T43" s="89"/>
      <c r="U43" s="89"/>
      <c r="V43" s="504"/>
      <c r="W43" s="504"/>
      <c r="X43" s="124"/>
      <c r="Y43" s="124"/>
      <c r="Z43" s="135">
        <f>SUM(Z31:Z42)</f>
        <v>0</v>
      </c>
      <c r="AA43" s="135">
        <f>SUM(AA31:AA42)</f>
        <v>0</v>
      </c>
      <c r="AB43" s="658"/>
      <c r="AC43" s="658"/>
      <c r="AD43" s="107">
        <f>SUM(AD31:AD42)</f>
        <v>2</v>
      </c>
      <c r="AE43" s="107">
        <f>SUM(AE31:AE42)</f>
        <v>0</v>
      </c>
      <c r="AF43" s="48">
        <f t="shared" ref="AF43:AF54" si="28">N43-K43</f>
        <v>-284.30487163521457</v>
      </c>
      <c r="AG43" s="495">
        <f t="shared" si="7"/>
        <v>0.86628812621506668</v>
      </c>
      <c r="AH43" s="673"/>
    </row>
    <row r="44" spans="1:34" s="148" customFormat="1" ht="19.2" customHeight="1">
      <c r="A44" s="691" t="s">
        <v>84</v>
      </c>
      <c r="B44" s="97" t="s">
        <v>184</v>
      </c>
      <c r="C44" s="136"/>
      <c r="D44" s="42" t="s">
        <v>98</v>
      </c>
      <c r="E44" s="43"/>
      <c r="F44" s="368">
        <v>24.73</v>
      </c>
      <c r="G44" s="137">
        <v>2559</v>
      </c>
      <c r="H44" s="45">
        <f>F44*G44</f>
        <v>63284.07</v>
      </c>
      <c r="I44" s="138"/>
      <c r="J44" s="139">
        <v>4</v>
      </c>
      <c r="K44" s="140">
        <v>2000</v>
      </c>
      <c r="L44" s="141">
        <v>500</v>
      </c>
      <c r="M44" s="62">
        <v>5</v>
      </c>
      <c r="N44" s="140">
        <f t="shared" ref="N44:N49" si="29">G44/W44*60</f>
        <v>2193.428571428572</v>
      </c>
      <c r="O44" s="141">
        <f t="shared" ref="O44:O49" si="30">N44/M44</f>
        <v>438.68571428571443</v>
      </c>
      <c r="P44" s="51">
        <f t="shared" ref="P44:P49" si="31">M44-J44</f>
        <v>1</v>
      </c>
      <c r="Q44" s="142">
        <f t="shared" ref="Q44:Q49" si="32">O44-L44</f>
        <v>-61.314285714285575</v>
      </c>
      <c r="R44" s="143">
        <f t="shared" si="27"/>
        <v>0.8773714285714288</v>
      </c>
      <c r="S44" s="672">
        <f>R56</f>
        <v>0.88780734221939206</v>
      </c>
      <c r="T44" s="144">
        <v>0.16666666666666666</v>
      </c>
      <c r="U44" s="144">
        <v>0.21527777777777776</v>
      </c>
      <c r="V44" s="145">
        <v>5</v>
      </c>
      <c r="W44" s="146">
        <f t="shared" ref="W44:W56" si="33">(U44-T44)*24*60</f>
        <v>69.999999999999986</v>
      </c>
      <c r="X44" s="124"/>
      <c r="Y44" s="124"/>
      <c r="Z44" s="125"/>
      <c r="AA44" s="125"/>
      <c r="AB44" s="658"/>
      <c r="AC44" s="658"/>
      <c r="AD44" s="504"/>
      <c r="AE44" s="504"/>
      <c r="AF44" s="147">
        <f t="shared" si="28"/>
        <v>193.42857142857201</v>
      </c>
      <c r="AG44" s="499">
        <f t="shared" si="7"/>
        <v>1.096714285714286</v>
      </c>
      <c r="AH44" s="694">
        <f>AG56</f>
        <v>1.0193986323546751</v>
      </c>
    </row>
    <row r="45" spans="1:34" s="148" customFormat="1" ht="19.2" customHeight="1">
      <c r="A45" s="692"/>
      <c r="B45" s="97" t="s">
        <v>184</v>
      </c>
      <c r="C45" s="136"/>
      <c r="D45" s="42" t="s">
        <v>99</v>
      </c>
      <c r="E45" s="43"/>
      <c r="F45" s="368">
        <v>24.73</v>
      </c>
      <c r="G45" s="137">
        <v>2372</v>
      </c>
      <c r="H45" s="45">
        <f>F45*G45</f>
        <v>58659.56</v>
      </c>
      <c r="I45" s="149"/>
      <c r="J45" s="139">
        <v>4</v>
      </c>
      <c r="K45" s="140">
        <v>2000</v>
      </c>
      <c r="L45" s="141">
        <v>500</v>
      </c>
      <c r="M45" s="62">
        <v>5</v>
      </c>
      <c r="N45" s="140">
        <f t="shared" si="29"/>
        <v>2156.3636363636369</v>
      </c>
      <c r="O45" s="141">
        <f t="shared" si="30"/>
        <v>431.27272727272737</v>
      </c>
      <c r="P45" s="51">
        <f t="shared" si="31"/>
        <v>1</v>
      </c>
      <c r="Q45" s="142">
        <f t="shared" si="32"/>
        <v>-68.727272727272634</v>
      </c>
      <c r="R45" s="143">
        <f t="shared" si="27"/>
        <v>0.86254545454545473</v>
      </c>
      <c r="S45" s="672"/>
      <c r="T45" s="144">
        <v>0.21874999999999997</v>
      </c>
      <c r="U45" s="144">
        <v>0.26458333333333328</v>
      </c>
      <c r="V45" s="145">
        <v>5</v>
      </c>
      <c r="W45" s="146">
        <f t="shared" si="33"/>
        <v>65.999999999999972</v>
      </c>
      <c r="X45" s="124"/>
      <c r="Y45" s="124"/>
      <c r="Z45" s="125"/>
      <c r="AA45" s="125"/>
      <c r="AB45" s="658"/>
      <c r="AC45" s="658"/>
      <c r="AD45" s="504">
        <v>1</v>
      </c>
      <c r="AE45" s="504"/>
      <c r="AF45" s="147">
        <f t="shared" si="28"/>
        <v>156.36363636363694</v>
      </c>
      <c r="AG45" s="499">
        <f t="shared" si="7"/>
        <v>1.0781818181818186</v>
      </c>
      <c r="AH45" s="694"/>
    </row>
    <row r="46" spans="1:34" s="148" customFormat="1" ht="19.2" customHeight="1">
      <c r="A46" s="692"/>
      <c r="B46" s="97" t="s">
        <v>184</v>
      </c>
      <c r="C46" s="136"/>
      <c r="D46" s="42" t="s">
        <v>199</v>
      </c>
      <c r="E46" s="43"/>
      <c r="F46" s="368">
        <v>21.92</v>
      </c>
      <c r="G46" s="137">
        <v>727</v>
      </c>
      <c r="H46" s="45">
        <f t="shared" ref="H46:H50" si="34">F46*G46</f>
        <v>15935.840000000002</v>
      </c>
      <c r="I46" s="149"/>
      <c r="J46" s="139">
        <v>4</v>
      </c>
      <c r="K46" s="140">
        <v>2000</v>
      </c>
      <c r="L46" s="141">
        <v>500</v>
      </c>
      <c r="M46" s="62">
        <v>5</v>
      </c>
      <c r="N46" s="140">
        <f t="shared" si="29"/>
        <v>2077.1428571428564</v>
      </c>
      <c r="O46" s="141">
        <f t="shared" si="30"/>
        <v>415.42857142857127</v>
      </c>
      <c r="P46" s="51">
        <f t="shared" si="31"/>
        <v>1</v>
      </c>
      <c r="Q46" s="142">
        <f t="shared" si="32"/>
        <v>-84.571428571428726</v>
      </c>
      <c r="R46" s="143">
        <f t="shared" si="27"/>
        <v>0.83085714285714252</v>
      </c>
      <c r="S46" s="672"/>
      <c r="T46" s="144">
        <v>0.26805555555555549</v>
      </c>
      <c r="U46" s="144">
        <v>0.28263888888888883</v>
      </c>
      <c r="V46" s="145">
        <v>5</v>
      </c>
      <c r="W46" s="146">
        <f t="shared" si="33"/>
        <v>21.000000000000007</v>
      </c>
      <c r="X46" s="124"/>
      <c r="Y46" s="124"/>
      <c r="Z46" s="125"/>
      <c r="AA46" s="125"/>
      <c r="AB46" s="658"/>
      <c r="AC46" s="658"/>
      <c r="AD46" s="504"/>
      <c r="AE46" s="504">
        <v>1</v>
      </c>
      <c r="AF46" s="147">
        <f t="shared" si="28"/>
        <v>77.142857142856428</v>
      </c>
      <c r="AG46" s="499">
        <f t="shared" si="7"/>
        <v>1.0385714285714283</v>
      </c>
      <c r="AH46" s="694"/>
    </row>
    <row r="47" spans="1:34" s="148" customFormat="1" ht="19.2" customHeight="1">
      <c r="A47" s="692"/>
      <c r="B47" s="97" t="s">
        <v>183</v>
      </c>
      <c r="C47" s="136"/>
      <c r="D47" s="150" t="s">
        <v>86</v>
      </c>
      <c r="E47" s="151"/>
      <c r="F47" s="368">
        <v>31.43</v>
      </c>
      <c r="G47" s="140">
        <v>2285</v>
      </c>
      <c r="H47" s="45">
        <f t="shared" si="34"/>
        <v>71817.55</v>
      </c>
      <c r="I47" s="149"/>
      <c r="J47" s="139">
        <v>7</v>
      </c>
      <c r="K47" s="140">
        <v>1500</v>
      </c>
      <c r="L47" s="141">
        <v>214.28571428571428</v>
      </c>
      <c r="M47" s="152">
        <v>7</v>
      </c>
      <c r="N47" s="140">
        <f t="shared" si="29"/>
        <v>1357.425742574258</v>
      </c>
      <c r="O47" s="141">
        <f t="shared" si="30"/>
        <v>193.91796322489401</v>
      </c>
      <c r="P47" s="51">
        <f t="shared" si="31"/>
        <v>0</v>
      </c>
      <c r="Q47" s="142">
        <f t="shared" si="32"/>
        <v>-20.367751060820268</v>
      </c>
      <c r="R47" s="143">
        <f t="shared" si="27"/>
        <v>0.90495049504950542</v>
      </c>
      <c r="S47" s="672"/>
      <c r="T47" s="144">
        <v>0.29999999999999993</v>
      </c>
      <c r="U47" s="144">
        <v>0.3701388888888888</v>
      </c>
      <c r="V47" s="140">
        <v>25</v>
      </c>
      <c r="W47" s="146">
        <f t="shared" si="33"/>
        <v>100.99999999999996</v>
      </c>
      <c r="X47" s="124">
        <v>0.28611111111111115</v>
      </c>
      <c r="Y47" s="124">
        <v>0.29722222222222222</v>
      </c>
      <c r="Z47" s="125"/>
      <c r="AA47" s="125"/>
      <c r="AB47" s="658"/>
      <c r="AC47" s="658"/>
      <c r="AD47" s="504"/>
      <c r="AE47" s="504"/>
      <c r="AF47" s="147">
        <f t="shared" si="28"/>
        <v>-142.57425742574196</v>
      </c>
      <c r="AG47" s="499">
        <f t="shared" si="7"/>
        <v>0.90495049504950531</v>
      </c>
      <c r="AH47" s="694"/>
    </row>
    <row r="48" spans="1:34" s="148" customFormat="1" ht="19.2" customHeight="1">
      <c r="A48" s="692"/>
      <c r="B48" s="97" t="s">
        <v>183</v>
      </c>
      <c r="C48" s="136"/>
      <c r="D48" s="153" t="s">
        <v>471</v>
      </c>
      <c r="E48" s="151"/>
      <c r="F48" s="368">
        <v>11.26</v>
      </c>
      <c r="G48" s="140">
        <v>2932</v>
      </c>
      <c r="H48" s="45">
        <f t="shared" si="34"/>
        <v>33014.32</v>
      </c>
      <c r="I48" s="149"/>
      <c r="J48" s="139">
        <v>6</v>
      </c>
      <c r="K48" s="140">
        <v>1500</v>
      </c>
      <c r="L48" s="141">
        <v>250</v>
      </c>
      <c r="M48" s="152">
        <v>6</v>
      </c>
      <c r="N48" s="140">
        <f t="shared" si="29"/>
        <v>1466.0000000000005</v>
      </c>
      <c r="O48" s="141">
        <f t="shared" si="30"/>
        <v>244.3333333333334</v>
      </c>
      <c r="P48" s="51">
        <f t="shared" si="31"/>
        <v>0</v>
      </c>
      <c r="Q48" s="142">
        <f t="shared" si="32"/>
        <v>-5.6666666666666003</v>
      </c>
      <c r="R48" s="143">
        <f t="shared" si="27"/>
        <v>0.97733333333333361</v>
      </c>
      <c r="S48" s="672"/>
      <c r="T48" s="154">
        <v>0.39097222222222211</v>
      </c>
      <c r="U48" s="154">
        <v>0.47430555555555542</v>
      </c>
      <c r="V48" s="137">
        <v>30</v>
      </c>
      <c r="W48" s="146">
        <f t="shared" si="33"/>
        <v>119.99999999999997</v>
      </c>
      <c r="X48" s="124">
        <v>0.37361111111111112</v>
      </c>
      <c r="Y48" s="124">
        <v>0.38819444444444445</v>
      </c>
      <c r="Z48" s="125"/>
      <c r="AA48" s="125"/>
      <c r="AB48" s="658"/>
      <c r="AC48" s="658"/>
      <c r="AD48" s="504"/>
      <c r="AE48" s="504"/>
      <c r="AF48" s="147">
        <f t="shared" si="28"/>
        <v>-33.999999999999545</v>
      </c>
      <c r="AG48" s="499">
        <f t="shared" si="7"/>
        <v>0.97733333333333361</v>
      </c>
      <c r="AH48" s="694"/>
    </row>
    <row r="49" spans="1:34" s="148" customFormat="1" ht="19.2" customHeight="1">
      <c r="A49" s="692"/>
      <c r="B49" s="97" t="s">
        <v>185</v>
      </c>
      <c r="C49" s="136"/>
      <c r="D49" s="153" t="s">
        <v>85</v>
      </c>
      <c r="E49" s="151"/>
      <c r="F49" s="368">
        <v>10.09</v>
      </c>
      <c r="G49" s="137">
        <v>3609.09</v>
      </c>
      <c r="H49" s="45">
        <f t="shared" si="34"/>
        <v>36415.718099999998</v>
      </c>
      <c r="I49" s="149"/>
      <c r="J49" s="139">
        <v>6</v>
      </c>
      <c r="K49" s="140">
        <v>1500</v>
      </c>
      <c r="L49" s="141">
        <v>250</v>
      </c>
      <c r="M49" s="152">
        <v>6</v>
      </c>
      <c r="N49" s="140">
        <f t="shared" si="29"/>
        <v>1453.3248322147649</v>
      </c>
      <c r="O49" s="141">
        <f t="shared" si="30"/>
        <v>242.22080536912748</v>
      </c>
      <c r="P49" s="51">
        <f t="shared" si="31"/>
        <v>0</v>
      </c>
      <c r="Q49" s="142">
        <f t="shared" si="32"/>
        <v>-7.7791946308725244</v>
      </c>
      <c r="R49" s="143">
        <f t="shared" si="27"/>
        <v>0.96888322147650985</v>
      </c>
      <c r="S49" s="672"/>
      <c r="T49" s="154">
        <v>0.49513888888888874</v>
      </c>
      <c r="U49" s="154">
        <v>0.59861111111111098</v>
      </c>
      <c r="V49" s="137">
        <v>30</v>
      </c>
      <c r="W49" s="146">
        <f t="shared" si="33"/>
        <v>149.00000000000003</v>
      </c>
      <c r="X49" s="155">
        <v>0.4777777777777778</v>
      </c>
      <c r="Y49" s="155">
        <v>0.49236111111111108</v>
      </c>
      <c r="Z49" s="156"/>
      <c r="AA49" s="125"/>
      <c r="AB49" s="658"/>
      <c r="AC49" s="658"/>
      <c r="AD49" s="504"/>
      <c r="AE49" s="504"/>
      <c r="AF49" s="147">
        <f t="shared" si="28"/>
        <v>-46.675167785235089</v>
      </c>
      <c r="AG49" s="499">
        <f t="shared" si="7"/>
        <v>0.96888322147650996</v>
      </c>
      <c r="AH49" s="694"/>
    </row>
    <row r="50" spans="1:34" s="148" customFormat="1" ht="19.2" customHeight="1">
      <c r="A50" s="692"/>
      <c r="B50" s="97">
        <v>0</v>
      </c>
      <c r="C50" s="136"/>
      <c r="D50" s="153"/>
      <c r="E50" s="151"/>
      <c r="F50" s="368" t="s">
        <v>186</v>
      </c>
      <c r="G50" s="137"/>
      <c r="H50" s="45">
        <f t="shared" si="34"/>
        <v>0</v>
      </c>
      <c r="I50" s="149"/>
      <c r="J50" s="139"/>
      <c r="K50" s="140"/>
      <c r="L50" s="141"/>
      <c r="M50" s="152"/>
      <c r="N50" s="140"/>
      <c r="O50" s="141"/>
      <c r="P50" s="51"/>
      <c r="Q50" s="142"/>
      <c r="R50" s="143"/>
      <c r="S50" s="672"/>
      <c r="T50" s="154"/>
      <c r="U50" s="154"/>
      <c r="V50" s="137"/>
      <c r="W50" s="146"/>
      <c r="X50" s="155"/>
      <c r="Y50" s="155"/>
      <c r="Z50" s="156"/>
      <c r="AA50" s="156"/>
      <c r="AB50" s="658"/>
      <c r="AC50" s="658"/>
      <c r="AD50" s="504"/>
      <c r="AE50" s="504"/>
      <c r="AF50" s="147">
        <f t="shared" si="28"/>
        <v>0</v>
      </c>
      <c r="AG50" s="499" t="e">
        <f t="shared" si="7"/>
        <v>#DIV/0!</v>
      </c>
      <c r="AH50" s="694"/>
    </row>
    <row r="51" spans="1:34" s="148" customFormat="1" ht="19.2" customHeight="1">
      <c r="A51" s="692"/>
      <c r="B51" s="97">
        <v>0</v>
      </c>
      <c r="C51" s="136"/>
      <c r="D51" s="153"/>
      <c r="E51" s="151"/>
      <c r="F51" s="368" t="s">
        <v>186</v>
      </c>
      <c r="G51" s="137"/>
      <c r="H51" s="45"/>
      <c r="I51" s="149"/>
      <c r="J51" s="139"/>
      <c r="K51" s="140"/>
      <c r="L51" s="141"/>
      <c r="M51" s="152"/>
      <c r="N51" s="140"/>
      <c r="O51" s="141"/>
      <c r="P51" s="51"/>
      <c r="Q51" s="142"/>
      <c r="R51" s="143"/>
      <c r="S51" s="672"/>
      <c r="T51" s="154"/>
      <c r="U51" s="154"/>
      <c r="V51" s="137"/>
      <c r="W51" s="146"/>
      <c r="X51" s="155"/>
      <c r="Y51" s="155"/>
      <c r="Z51" s="156"/>
      <c r="AA51" s="156"/>
      <c r="AB51" s="658"/>
      <c r="AC51" s="658"/>
      <c r="AD51" s="504"/>
      <c r="AE51" s="504"/>
      <c r="AF51" s="147">
        <f t="shared" si="28"/>
        <v>0</v>
      </c>
      <c r="AG51" s="499" t="e">
        <f t="shared" si="7"/>
        <v>#DIV/0!</v>
      </c>
      <c r="AH51" s="694"/>
    </row>
    <row r="52" spans="1:34" s="148" customFormat="1" ht="19.2" customHeight="1">
      <c r="A52" s="692"/>
      <c r="B52" s="97">
        <v>0</v>
      </c>
      <c r="C52" s="136"/>
      <c r="D52" s="153"/>
      <c r="E52" s="151"/>
      <c r="F52" s="368" t="s">
        <v>186</v>
      </c>
      <c r="G52" s="137"/>
      <c r="H52" s="157">
        <f>F52*G52</f>
        <v>0</v>
      </c>
      <c r="I52" s="149"/>
      <c r="J52" s="152"/>
      <c r="K52" s="137"/>
      <c r="L52" s="158"/>
      <c r="M52" s="152"/>
      <c r="N52" s="137"/>
      <c r="O52" s="158"/>
      <c r="P52" s="54"/>
      <c r="Q52" s="88"/>
      <c r="R52" s="497"/>
      <c r="S52" s="672"/>
      <c r="T52" s="154"/>
      <c r="U52" s="154"/>
      <c r="V52" s="137" t="s">
        <v>30</v>
      </c>
      <c r="W52" s="146">
        <f t="shared" si="33"/>
        <v>0</v>
      </c>
      <c r="X52" s="155"/>
      <c r="Y52" s="155"/>
      <c r="Z52" s="156"/>
      <c r="AA52" s="156"/>
      <c r="AB52" s="658"/>
      <c r="AC52" s="658"/>
      <c r="AD52" s="504"/>
      <c r="AE52" s="504"/>
      <c r="AF52" s="147">
        <f t="shared" si="28"/>
        <v>0</v>
      </c>
      <c r="AG52" s="499" t="e">
        <f t="shared" si="7"/>
        <v>#DIV/0!</v>
      </c>
      <c r="AH52" s="694"/>
    </row>
    <row r="53" spans="1:34" s="148" customFormat="1" ht="19.2" customHeight="1">
      <c r="A53" s="692"/>
      <c r="B53" s="97">
        <v>0</v>
      </c>
      <c r="C53" s="136"/>
      <c r="D53" s="153"/>
      <c r="E53" s="151"/>
      <c r="F53" s="368" t="s">
        <v>186</v>
      </c>
      <c r="G53" s="137"/>
      <c r="H53" s="157">
        <f>F53*G53</f>
        <v>0</v>
      </c>
      <c r="I53" s="149"/>
      <c r="J53" s="152"/>
      <c r="K53" s="137"/>
      <c r="L53" s="158"/>
      <c r="M53" s="152"/>
      <c r="N53" s="137"/>
      <c r="O53" s="158"/>
      <c r="P53" s="54"/>
      <c r="Q53" s="88"/>
      <c r="R53" s="497"/>
      <c r="S53" s="672"/>
      <c r="T53" s="154"/>
      <c r="U53" s="154"/>
      <c r="V53" s="137"/>
      <c r="W53" s="146">
        <f t="shared" si="33"/>
        <v>0</v>
      </c>
      <c r="X53" s="155"/>
      <c r="Y53" s="155"/>
      <c r="Z53" s="156"/>
      <c r="AA53" s="156"/>
      <c r="AB53" s="658"/>
      <c r="AC53" s="658"/>
      <c r="AD53" s="504"/>
      <c r="AE53" s="504"/>
      <c r="AF53" s="147">
        <f t="shared" si="28"/>
        <v>0</v>
      </c>
      <c r="AG53" s="499" t="e">
        <f t="shared" si="7"/>
        <v>#DIV/0!</v>
      </c>
      <c r="AH53" s="694"/>
    </row>
    <row r="54" spans="1:34" s="148" customFormat="1" ht="19.2" customHeight="1">
      <c r="A54" s="692"/>
      <c r="B54" s="159">
        <v>0</v>
      </c>
      <c r="C54" s="136"/>
      <c r="D54" s="153"/>
      <c r="E54" s="151"/>
      <c r="F54" s="369" t="s">
        <v>186</v>
      </c>
      <c r="G54" s="137"/>
      <c r="H54" s="157">
        <f>F54*G54</f>
        <v>0</v>
      </c>
      <c r="I54" s="149"/>
      <c r="J54" s="152"/>
      <c r="K54" s="137"/>
      <c r="L54" s="158"/>
      <c r="M54" s="152"/>
      <c r="N54" s="137"/>
      <c r="O54" s="158"/>
      <c r="P54" s="54"/>
      <c r="Q54" s="88"/>
      <c r="R54" s="497"/>
      <c r="S54" s="672"/>
      <c r="T54" s="154"/>
      <c r="U54" s="154"/>
      <c r="V54" s="137"/>
      <c r="W54" s="146">
        <f t="shared" si="33"/>
        <v>0</v>
      </c>
      <c r="X54" s="155"/>
      <c r="Y54" s="155"/>
      <c r="Z54" s="156"/>
      <c r="AA54" s="156"/>
      <c r="AB54" s="658"/>
      <c r="AC54" s="658"/>
      <c r="AD54" s="504"/>
      <c r="AE54" s="504"/>
      <c r="AF54" s="147">
        <f t="shared" si="28"/>
        <v>0</v>
      </c>
      <c r="AG54" s="499" t="e">
        <f t="shared" si="7"/>
        <v>#DIV/0!</v>
      </c>
      <c r="AH54" s="694"/>
    </row>
    <row r="55" spans="1:34" s="148" customFormat="1" ht="19.2" customHeight="1">
      <c r="A55" s="692"/>
      <c r="B55" s="159">
        <v>0</v>
      </c>
      <c r="C55" s="136"/>
      <c r="D55" s="153"/>
      <c r="E55" s="151"/>
      <c r="F55" s="369" t="s">
        <v>186</v>
      </c>
      <c r="G55" s="137"/>
      <c r="H55" s="157">
        <f>F55*G55</f>
        <v>0</v>
      </c>
      <c r="I55" s="149"/>
      <c r="J55" s="152"/>
      <c r="K55" s="137"/>
      <c r="L55" s="158"/>
      <c r="M55" s="152"/>
      <c r="N55" s="137"/>
      <c r="O55" s="158"/>
      <c r="P55" s="54"/>
      <c r="Q55" s="88"/>
      <c r="R55" s="497"/>
      <c r="S55" s="672"/>
      <c r="T55" s="154"/>
      <c r="U55" s="154"/>
      <c r="V55" s="137"/>
      <c r="W55" s="146">
        <f t="shared" si="33"/>
        <v>0</v>
      </c>
      <c r="X55" s="155"/>
      <c r="Y55" s="155"/>
      <c r="Z55" s="156"/>
      <c r="AA55" s="156"/>
      <c r="AB55" s="658"/>
      <c r="AC55" s="658"/>
      <c r="AD55" s="504"/>
      <c r="AE55" s="504"/>
      <c r="AF55" s="147"/>
      <c r="AG55" s="499"/>
      <c r="AH55" s="694"/>
    </row>
    <row r="56" spans="1:34" ht="19.2" customHeight="1">
      <c r="A56" s="693"/>
      <c r="B56" s="160">
        <v>0</v>
      </c>
      <c r="C56" s="100" t="s">
        <v>350</v>
      </c>
      <c r="D56" s="687" t="s">
        <v>145</v>
      </c>
      <c r="E56" s="687"/>
      <c r="F56" s="365"/>
      <c r="G56" s="101"/>
      <c r="H56" s="102"/>
      <c r="I56" s="103"/>
      <c r="J56" s="101">
        <v>5.166666666666667</v>
      </c>
      <c r="K56" s="101">
        <v>1750</v>
      </c>
      <c r="L56" s="104">
        <v>369.04761904761904</v>
      </c>
      <c r="M56" s="101">
        <f t="shared" ref="J56:O56" si="35">AVERAGE(M44:M55)</f>
        <v>5.666666666666667</v>
      </c>
      <c r="N56" s="101">
        <f t="shared" si="35"/>
        <v>1783.9476066206814</v>
      </c>
      <c r="O56" s="104">
        <f t="shared" si="35"/>
        <v>327.64318581906133</v>
      </c>
      <c r="P56" s="161">
        <f>M56-J56</f>
        <v>0.5</v>
      </c>
      <c r="Q56" s="118">
        <f>N56-K56</f>
        <v>33.947606620681427</v>
      </c>
      <c r="R56" s="162">
        <f t="shared" ref="R56:R61" si="36">O56/L56</f>
        <v>0.88780734221939206</v>
      </c>
      <c r="S56" s="672"/>
      <c r="T56" s="163"/>
      <c r="U56" s="163"/>
      <c r="V56" s="492"/>
      <c r="W56" s="146">
        <f t="shared" si="33"/>
        <v>0</v>
      </c>
      <c r="X56" s="164"/>
      <c r="Y56" s="164"/>
      <c r="Z56" s="106">
        <f>SUM(Z44:Z55)</f>
        <v>0</v>
      </c>
      <c r="AA56" s="106">
        <f>SUM(AA44:AA55)</f>
        <v>0</v>
      </c>
      <c r="AB56" s="658"/>
      <c r="AC56" s="658"/>
      <c r="AD56" s="107">
        <f>SUM(AD44:AD55)</f>
        <v>1</v>
      </c>
      <c r="AE56" s="107">
        <f>SUM(AE44:AE55)</f>
        <v>1</v>
      </c>
      <c r="AF56" s="165">
        <f>N56-K56</f>
        <v>33.947606620681427</v>
      </c>
      <c r="AG56" s="497">
        <f>N56/K56</f>
        <v>1.0193986323546751</v>
      </c>
      <c r="AH56" s="694"/>
    </row>
    <row r="57" spans="1:34" ht="19.2" customHeight="1">
      <c r="A57" s="697" t="s">
        <v>273</v>
      </c>
      <c r="B57" s="97" t="s">
        <v>183</v>
      </c>
      <c r="C57" s="166"/>
      <c r="D57" s="167" t="s">
        <v>87</v>
      </c>
      <c r="E57" s="112"/>
      <c r="F57" s="361">
        <v>28.26</v>
      </c>
      <c r="G57" s="137">
        <v>1911</v>
      </c>
      <c r="H57" s="84">
        <f t="shared" ref="H57:H66" si="37">F57*G57</f>
        <v>54004.86</v>
      </c>
      <c r="I57" s="504"/>
      <c r="J57" s="87">
        <v>7</v>
      </c>
      <c r="K57" s="57">
        <v>1500</v>
      </c>
      <c r="L57" s="86">
        <v>214.28571428571428</v>
      </c>
      <c r="M57" s="493">
        <v>7</v>
      </c>
      <c r="N57" s="57">
        <f t="shared" ref="N57:N61" si="38">G57/W57*60</f>
        <v>1489.090909090909</v>
      </c>
      <c r="O57" s="86">
        <f t="shared" ref="O57:O61" si="39">N57/M57</f>
        <v>212.72727272727272</v>
      </c>
      <c r="P57" s="168">
        <f t="shared" ref="P57:P61" si="40">M57-J57</f>
        <v>0</v>
      </c>
      <c r="Q57" s="49">
        <f t="shared" ref="Q57:Q61" si="41">O57-L57</f>
        <v>-1.5584415584415581</v>
      </c>
      <c r="R57" s="494">
        <f t="shared" si="36"/>
        <v>0.99272727272727268</v>
      </c>
      <c r="S57" s="672">
        <f>R69</f>
        <v>0.97488000505399819</v>
      </c>
      <c r="T57" s="144">
        <v>0.16666666666666666</v>
      </c>
      <c r="U57" s="144">
        <v>0.22013888888888888</v>
      </c>
      <c r="V57" s="490">
        <v>5</v>
      </c>
      <c r="W57" s="487">
        <f>(U57-T57)*24*60</f>
        <v>77</v>
      </c>
      <c r="X57" s="53"/>
      <c r="Y57" s="53"/>
      <c r="Z57" s="54"/>
      <c r="AA57" s="54"/>
      <c r="AB57" s="658"/>
      <c r="AC57" s="658"/>
      <c r="AD57" s="504"/>
      <c r="AE57" s="504"/>
      <c r="AF57" s="48">
        <f t="shared" si="6"/>
        <v>-10.909090909090992</v>
      </c>
      <c r="AG57" s="498">
        <f t="shared" si="7"/>
        <v>0.99272727272727268</v>
      </c>
      <c r="AH57" s="686">
        <f>AG69</f>
        <v>0.97626107987294164</v>
      </c>
    </row>
    <row r="58" spans="1:34" ht="19.2" customHeight="1">
      <c r="A58" s="654"/>
      <c r="B58" s="97" t="s">
        <v>183</v>
      </c>
      <c r="C58" s="500"/>
      <c r="D58" s="42" t="s">
        <v>88</v>
      </c>
      <c r="E58" s="43"/>
      <c r="F58" s="361">
        <v>27.88</v>
      </c>
      <c r="G58" s="137">
        <v>3353</v>
      </c>
      <c r="H58" s="45">
        <f t="shared" si="37"/>
        <v>93481.64</v>
      </c>
      <c r="I58" s="490"/>
      <c r="J58" s="46">
        <v>7</v>
      </c>
      <c r="K58" s="44">
        <v>1500</v>
      </c>
      <c r="L58" s="86">
        <v>214.28571428571428</v>
      </c>
      <c r="M58" s="488">
        <v>7</v>
      </c>
      <c r="N58" s="44">
        <f t="shared" si="38"/>
        <v>1501.3432835820895</v>
      </c>
      <c r="O58" s="47">
        <f t="shared" si="39"/>
        <v>214.47761194029849</v>
      </c>
      <c r="P58" s="168">
        <f t="shared" si="40"/>
        <v>0</v>
      </c>
      <c r="Q58" s="49">
        <f t="shared" si="41"/>
        <v>0.19189765458420993</v>
      </c>
      <c r="R58" s="494">
        <f t="shared" si="36"/>
        <v>1.0008955223880596</v>
      </c>
      <c r="S58" s="672"/>
      <c r="T58" s="169">
        <v>0.23749999999999999</v>
      </c>
      <c r="U58" s="169">
        <v>0.33055555555555555</v>
      </c>
      <c r="V58" s="490">
        <v>25</v>
      </c>
      <c r="W58" s="487">
        <f>(U58-T58)*24*60</f>
        <v>134</v>
      </c>
      <c r="X58" s="53">
        <v>0.22361111111111109</v>
      </c>
      <c r="Y58" s="53">
        <v>0.23472222222222219</v>
      </c>
      <c r="Z58" s="54"/>
      <c r="AA58" s="54"/>
      <c r="AB58" s="695"/>
      <c r="AC58" s="696"/>
      <c r="AD58" s="504"/>
      <c r="AE58" s="504"/>
      <c r="AF58" s="48">
        <f t="shared" si="6"/>
        <v>1.3432835820894979</v>
      </c>
      <c r="AG58" s="494">
        <f t="shared" si="7"/>
        <v>1.0008955223880596</v>
      </c>
      <c r="AH58" s="672"/>
    </row>
    <row r="59" spans="1:34" ht="19.2" customHeight="1">
      <c r="A59" s="654"/>
      <c r="B59" s="97" t="s">
        <v>183</v>
      </c>
      <c r="C59" s="500"/>
      <c r="D59" s="42" t="s">
        <v>89</v>
      </c>
      <c r="E59" s="43"/>
      <c r="F59" s="361">
        <v>28</v>
      </c>
      <c r="G59" s="137">
        <v>3036</v>
      </c>
      <c r="H59" s="45">
        <f t="shared" si="37"/>
        <v>85008</v>
      </c>
      <c r="I59" s="490"/>
      <c r="J59" s="46">
        <v>7</v>
      </c>
      <c r="K59" s="44">
        <v>1500</v>
      </c>
      <c r="L59" s="86">
        <v>214.28571428571428</v>
      </c>
      <c r="M59" s="488">
        <v>7</v>
      </c>
      <c r="N59" s="44">
        <f t="shared" si="38"/>
        <v>1469.0322580645156</v>
      </c>
      <c r="O59" s="47">
        <f t="shared" si="39"/>
        <v>209.86175115207365</v>
      </c>
      <c r="P59" s="168">
        <f t="shared" si="40"/>
        <v>0</v>
      </c>
      <c r="Q59" s="49">
        <f t="shared" si="41"/>
        <v>-4.4239631336406262</v>
      </c>
      <c r="R59" s="494">
        <f t="shared" si="36"/>
        <v>0.9793548387096771</v>
      </c>
      <c r="S59" s="672"/>
      <c r="T59" s="169">
        <v>0.34791666666666665</v>
      </c>
      <c r="U59" s="169">
        <v>0.43402777777777779</v>
      </c>
      <c r="V59" s="145">
        <v>25</v>
      </c>
      <c r="W59" s="487">
        <f t="shared" ref="W59:W69" si="42">(U59-T59)*24*60</f>
        <v>124.00000000000004</v>
      </c>
      <c r="X59" s="53">
        <v>0.33402777777777781</v>
      </c>
      <c r="Y59" s="53">
        <v>0.34513888888888888</v>
      </c>
      <c r="Z59" s="54"/>
      <c r="AA59" s="54"/>
      <c r="AB59" s="658"/>
      <c r="AC59" s="658"/>
      <c r="AD59" s="504"/>
      <c r="AE59" s="504"/>
      <c r="AF59" s="48">
        <f t="shared" si="6"/>
        <v>-30.967741935484355</v>
      </c>
      <c r="AG59" s="494">
        <f t="shared" si="7"/>
        <v>0.9793548387096771</v>
      </c>
      <c r="AH59" s="672"/>
    </row>
    <row r="60" spans="1:34" ht="19.2" customHeight="1">
      <c r="A60" s="654"/>
      <c r="B60" s="97" t="s">
        <v>185</v>
      </c>
      <c r="C60" s="500"/>
      <c r="D60" s="42" t="s">
        <v>85</v>
      </c>
      <c r="E60" s="43"/>
      <c r="F60" s="361">
        <v>10.09</v>
      </c>
      <c r="G60" s="137">
        <v>4678.45</v>
      </c>
      <c r="H60" s="45">
        <f t="shared" si="37"/>
        <v>47205.5605</v>
      </c>
      <c r="I60" s="490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1424.908629441624</v>
      </c>
      <c r="O60" s="47">
        <f t="shared" si="39"/>
        <v>237.48477157360401</v>
      </c>
      <c r="P60" s="168">
        <f t="shared" si="40"/>
        <v>0</v>
      </c>
      <c r="Q60" s="49">
        <f t="shared" si="41"/>
        <v>-12.515228426395993</v>
      </c>
      <c r="R60" s="494">
        <f t="shared" si="36"/>
        <v>0.94993908629441604</v>
      </c>
      <c r="S60" s="672"/>
      <c r="T60" s="169">
        <v>0.4548611111111111</v>
      </c>
      <c r="U60" s="169">
        <v>0.59166666666666667</v>
      </c>
      <c r="V60" s="145">
        <v>30</v>
      </c>
      <c r="W60" s="487">
        <f t="shared" si="42"/>
        <v>197.00000000000003</v>
      </c>
      <c r="X60" s="53">
        <v>0.4375</v>
      </c>
      <c r="Y60" s="53">
        <v>0.45208333333333334</v>
      </c>
      <c r="Z60" s="54"/>
      <c r="AA60" s="54"/>
      <c r="AB60" s="658"/>
      <c r="AC60" s="658"/>
      <c r="AD60" s="504"/>
      <c r="AE60" s="504"/>
      <c r="AF60" s="48">
        <f t="shared" si="6"/>
        <v>-75.091370558375957</v>
      </c>
      <c r="AG60" s="498">
        <f t="shared" si="7"/>
        <v>0.94993908629441604</v>
      </c>
      <c r="AH60" s="672"/>
    </row>
    <row r="61" spans="1:34" ht="19.2" customHeight="1">
      <c r="A61" s="654"/>
      <c r="B61" s="97" t="s">
        <v>185</v>
      </c>
      <c r="C61" s="500"/>
      <c r="D61" s="42" t="s">
        <v>85</v>
      </c>
      <c r="E61" s="43"/>
      <c r="F61" s="361">
        <v>10.09</v>
      </c>
      <c r="G61" s="137">
        <v>5079.46</v>
      </c>
      <c r="H61" s="45">
        <f t="shared" si="37"/>
        <v>51251.751400000001</v>
      </c>
      <c r="I61" s="490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1437.583018867924</v>
      </c>
      <c r="O61" s="47">
        <f t="shared" si="39"/>
        <v>239.59716981132067</v>
      </c>
      <c r="P61" s="168">
        <f t="shared" si="40"/>
        <v>0</v>
      </c>
      <c r="Q61" s="49">
        <f t="shared" si="41"/>
        <v>-10.402830188679332</v>
      </c>
      <c r="R61" s="494">
        <f t="shared" si="36"/>
        <v>0.9583886792452827</v>
      </c>
      <c r="S61" s="672"/>
      <c r="T61" s="169">
        <v>0.61250000000000004</v>
      </c>
      <c r="U61" s="169">
        <v>0.7597222222222223</v>
      </c>
      <c r="V61" s="145">
        <v>30</v>
      </c>
      <c r="W61" s="487">
        <f t="shared" si="42"/>
        <v>212.00000000000006</v>
      </c>
      <c r="X61" s="53">
        <v>0.59513888888888888</v>
      </c>
      <c r="Y61" s="53">
        <v>0.60972222222222217</v>
      </c>
      <c r="Z61" s="54"/>
      <c r="AA61" s="54"/>
      <c r="AB61" s="658"/>
      <c r="AC61" s="658"/>
      <c r="AD61" s="504"/>
      <c r="AE61" s="504"/>
      <c r="AF61" s="48">
        <f t="shared" si="6"/>
        <v>-62.416981132075989</v>
      </c>
      <c r="AG61" s="494">
        <f t="shared" si="7"/>
        <v>0.9583886792452827</v>
      </c>
      <c r="AH61" s="672"/>
    </row>
    <row r="62" spans="1:34" ht="19.2" customHeight="1">
      <c r="A62" s="654"/>
      <c r="B62" s="97">
        <v>0</v>
      </c>
      <c r="C62" s="500"/>
      <c r="D62" s="42"/>
      <c r="E62" s="43"/>
      <c r="F62" s="361" t="s">
        <v>186</v>
      </c>
      <c r="G62" s="137"/>
      <c r="H62" s="45">
        <f t="shared" si="37"/>
        <v>0</v>
      </c>
      <c r="I62" s="490"/>
      <c r="J62" s="170"/>
      <c r="K62" s="61"/>
      <c r="L62" s="86"/>
      <c r="M62" s="62"/>
      <c r="N62" s="44"/>
      <c r="O62" s="47"/>
      <c r="P62" s="168"/>
      <c r="Q62" s="49"/>
      <c r="R62" s="494"/>
      <c r="S62" s="672"/>
      <c r="T62" s="169"/>
      <c r="U62" s="169"/>
      <c r="V62" s="145"/>
      <c r="W62" s="487">
        <f t="shared" si="42"/>
        <v>0</v>
      </c>
      <c r="X62" s="53"/>
      <c r="Y62" s="53"/>
      <c r="Z62" s="54"/>
      <c r="AA62" s="54"/>
      <c r="AB62" s="658"/>
      <c r="AC62" s="658"/>
      <c r="AD62" s="504"/>
      <c r="AE62" s="504"/>
      <c r="AF62" s="48">
        <f t="shared" si="6"/>
        <v>0</v>
      </c>
      <c r="AG62" s="494" t="e">
        <f t="shared" si="7"/>
        <v>#DIV/0!</v>
      </c>
      <c r="AH62" s="672"/>
    </row>
    <row r="63" spans="1:34" ht="19.2" customHeight="1">
      <c r="A63" s="654"/>
      <c r="B63" s="97">
        <v>0</v>
      </c>
      <c r="C63" s="500"/>
      <c r="D63" s="42"/>
      <c r="E63" s="43"/>
      <c r="F63" s="361" t="s">
        <v>186</v>
      </c>
      <c r="G63" s="137"/>
      <c r="H63" s="45">
        <f t="shared" si="37"/>
        <v>0</v>
      </c>
      <c r="I63" s="490"/>
      <c r="J63" s="46"/>
      <c r="K63" s="44"/>
      <c r="L63" s="86"/>
      <c r="M63" s="62"/>
      <c r="N63" s="44"/>
      <c r="O63" s="47"/>
      <c r="P63" s="168"/>
      <c r="Q63" s="49"/>
      <c r="R63" s="494"/>
      <c r="S63" s="672"/>
      <c r="T63" s="169"/>
      <c r="U63" s="169"/>
      <c r="V63" s="145"/>
      <c r="W63" s="487">
        <f t="shared" si="42"/>
        <v>0</v>
      </c>
      <c r="X63" s="53"/>
      <c r="Y63" s="53"/>
      <c r="Z63" s="54"/>
      <c r="AA63" s="54"/>
      <c r="AB63" s="658"/>
      <c r="AC63" s="658"/>
      <c r="AD63" s="504"/>
      <c r="AE63" s="504"/>
      <c r="AF63" s="48">
        <f t="shared" si="6"/>
        <v>0</v>
      </c>
      <c r="AG63" s="498" t="e">
        <f t="shared" si="7"/>
        <v>#DIV/0!</v>
      </c>
      <c r="AH63" s="672"/>
    </row>
    <row r="64" spans="1:34" ht="19.2" customHeight="1">
      <c r="A64" s="654"/>
      <c r="B64" s="97">
        <v>0</v>
      </c>
      <c r="C64" s="500"/>
      <c r="D64" s="42"/>
      <c r="E64" s="43"/>
      <c r="F64" s="361" t="s">
        <v>186</v>
      </c>
      <c r="G64" s="137"/>
      <c r="H64" s="45">
        <f t="shared" si="37"/>
        <v>0</v>
      </c>
      <c r="I64" s="490"/>
      <c r="J64" s="170"/>
      <c r="K64" s="61"/>
      <c r="L64" s="86"/>
      <c r="M64" s="62"/>
      <c r="N64" s="44"/>
      <c r="O64" s="47"/>
      <c r="P64" s="168"/>
      <c r="Q64" s="49"/>
      <c r="R64" s="494"/>
      <c r="S64" s="672"/>
      <c r="T64" s="169"/>
      <c r="U64" s="169"/>
      <c r="V64" s="145"/>
      <c r="W64" s="487">
        <f t="shared" si="42"/>
        <v>0</v>
      </c>
      <c r="X64" s="490"/>
      <c r="Y64" s="490"/>
      <c r="Z64" s="54"/>
      <c r="AA64" s="54"/>
      <c r="AB64" s="658"/>
      <c r="AC64" s="658"/>
      <c r="AD64" s="504"/>
      <c r="AE64" s="504"/>
      <c r="AF64" s="48">
        <f t="shared" si="6"/>
        <v>0</v>
      </c>
      <c r="AG64" s="494" t="e">
        <f t="shared" si="7"/>
        <v>#DIV/0!</v>
      </c>
      <c r="AH64" s="672"/>
    </row>
    <row r="65" spans="1:34" ht="19.2" customHeight="1">
      <c r="A65" s="654"/>
      <c r="B65" s="97">
        <v>0</v>
      </c>
      <c r="C65" s="500"/>
      <c r="D65" s="42"/>
      <c r="E65" s="43"/>
      <c r="F65" s="361" t="s">
        <v>186</v>
      </c>
      <c r="G65" s="137"/>
      <c r="H65" s="45">
        <f t="shared" si="37"/>
        <v>0</v>
      </c>
      <c r="I65" s="490"/>
      <c r="J65" s="170"/>
      <c r="K65" s="61"/>
      <c r="L65" s="86"/>
      <c r="M65" s="62"/>
      <c r="N65" s="61"/>
      <c r="O65" s="77"/>
      <c r="P65" s="48"/>
      <c r="Q65" s="49"/>
      <c r="R65" s="494"/>
      <c r="S65" s="672"/>
      <c r="T65" s="169"/>
      <c r="U65" s="169"/>
      <c r="V65" s="145"/>
      <c r="W65" s="487">
        <f t="shared" si="42"/>
        <v>0</v>
      </c>
      <c r="X65" s="490"/>
      <c r="Y65" s="490"/>
      <c r="Z65" s="54"/>
      <c r="AA65" s="54"/>
      <c r="AB65" s="658"/>
      <c r="AC65" s="658"/>
      <c r="AD65" s="504"/>
      <c r="AE65" s="504"/>
      <c r="AF65" s="48">
        <f t="shared" si="6"/>
        <v>0</v>
      </c>
      <c r="AG65" s="494" t="e">
        <f t="shared" si="7"/>
        <v>#DIV/0!</v>
      </c>
      <c r="AH65" s="672"/>
    </row>
    <row r="66" spans="1:34" ht="19.2" customHeight="1">
      <c r="A66" s="654"/>
      <c r="B66" s="97">
        <v>0</v>
      </c>
      <c r="C66" s="500"/>
      <c r="D66" s="42"/>
      <c r="E66" s="43"/>
      <c r="F66" s="361" t="s">
        <v>186</v>
      </c>
      <c r="G66" s="137"/>
      <c r="H66" s="45">
        <f t="shared" si="37"/>
        <v>0</v>
      </c>
      <c r="I66" s="490"/>
      <c r="J66" s="170"/>
      <c r="K66" s="61"/>
      <c r="L66" s="86"/>
      <c r="M66" s="62"/>
      <c r="N66" s="61"/>
      <c r="O66" s="77"/>
      <c r="P66" s="48"/>
      <c r="Q66" s="49"/>
      <c r="R66" s="494"/>
      <c r="S66" s="672"/>
      <c r="T66" s="169"/>
      <c r="U66" s="169"/>
      <c r="V66" s="145"/>
      <c r="W66" s="487">
        <f t="shared" si="42"/>
        <v>0</v>
      </c>
      <c r="X66" s="490"/>
      <c r="Y66" s="490"/>
      <c r="Z66" s="54"/>
      <c r="AA66" s="54"/>
      <c r="AB66" s="658"/>
      <c r="AC66" s="658"/>
      <c r="AD66" s="504"/>
      <c r="AE66" s="504"/>
      <c r="AF66" s="48">
        <f t="shared" si="6"/>
        <v>0</v>
      </c>
      <c r="AG66" s="498" t="e">
        <f t="shared" si="7"/>
        <v>#DIV/0!</v>
      </c>
      <c r="AH66" s="672"/>
    </row>
    <row r="67" spans="1:34" ht="19.2" customHeight="1">
      <c r="A67" s="654"/>
      <c r="B67" s="97">
        <v>0</v>
      </c>
      <c r="C67" s="500"/>
      <c r="D67" s="42"/>
      <c r="E67" s="43"/>
      <c r="F67" s="361" t="s">
        <v>186</v>
      </c>
      <c r="G67" s="137"/>
      <c r="H67" s="45">
        <f>F67*G67</f>
        <v>0</v>
      </c>
      <c r="I67" s="490"/>
      <c r="J67" s="170"/>
      <c r="K67" s="61"/>
      <c r="L67" s="86"/>
      <c r="M67" s="62"/>
      <c r="N67" s="61"/>
      <c r="O67" s="77"/>
      <c r="P67" s="48"/>
      <c r="Q67" s="49"/>
      <c r="R67" s="494"/>
      <c r="S67" s="672"/>
      <c r="T67" s="169"/>
      <c r="U67" s="169"/>
      <c r="V67" s="145"/>
      <c r="W67" s="487">
        <f t="shared" si="42"/>
        <v>0</v>
      </c>
      <c r="X67" s="490"/>
      <c r="Y67" s="490"/>
      <c r="Z67" s="54"/>
      <c r="AA67" s="54"/>
      <c r="AB67" s="658"/>
      <c r="AC67" s="658"/>
      <c r="AD67" s="504"/>
      <c r="AE67" s="504"/>
      <c r="AF67" s="48">
        <f t="shared" si="6"/>
        <v>0</v>
      </c>
      <c r="AG67" s="494" t="e">
        <f t="shared" si="7"/>
        <v>#DIV/0!</v>
      </c>
      <c r="AH67" s="672"/>
    </row>
    <row r="68" spans="1:34" ht="19.2" customHeight="1">
      <c r="A68" s="654"/>
      <c r="B68" s="490">
        <v>0</v>
      </c>
      <c r="C68" s="500"/>
      <c r="D68" s="42"/>
      <c r="E68" s="43"/>
      <c r="F68" s="368" t="s">
        <v>186</v>
      </c>
      <c r="G68" s="137"/>
      <c r="H68" s="45">
        <f>F68*G68</f>
        <v>0</v>
      </c>
      <c r="I68" s="490"/>
      <c r="J68" s="170"/>
      <c r="K68" s="61"/>
      <c r="L68" s="86"/>
      <c r="M68" s="62"/>
      <c r="N68" s="61"/>
      <c r="O68" s="77"/>
      <c r="P68" s="48"/>
      <c r="Q68" s="49"/>
      <c r="R68" s="494"/>
      <c r="S68" s="672"/>
      <c r="T68" s="169"/>
      <c r="U68" s="169"/>
      <c r="V68" s="145"/>
      <c r="W68" s="487">
        <f t="shared" si="42"/>
        <v>0</v>
      </c>
      <c r="X68" s="490"/>
      <c r="Y68" s="490"/>
      <c r="Z68" s="54"/>
      <c r="AA68" s="54"/>
      <c r="AB68" s="658"/>
      <c r="AC68" s="658"/>
      <c r="AD68" s="504"/>
      <c r="AE68" s="504"/>
      <c r="AF68" s="48"/>
      <c r="AG68" s="494"/>
      <c r="AH68" s="672"/>
    </row>
    <row r="69" spans="1:34" ht="19.2" customHeight="1">
      <c r="A69" s="654"/>
      <c r="B69" s="171">
        <v>0</v>
      </c>
      <c r="C69" s="6" t="s">
        <v>247</v>
      </c>
      <c r="D69" s="687" t="s">
        <v>145</v>
      </c>
      <c r="E69" s="687"/>
      <c r="F69" s="370"/>
      <c r="G69" s="172"/>
      <c r="H69" s="173"/>
      <c r="I69" s="174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1464.3916198094125</v>
      </c>
      <c r="O69" s="73">
        <f t="shared" si="43"/>
        <v>222.82971544091387</v>
      </c>
      <c r="P69" s="48">
        <f>M69-J69</f>
        <v>0</v>
      </c>
      <c r="Q69" s="49">
        <f>N69-K69</f>
        <v>-35.608380190587468</v>
      </c>
      <c r="R69" s="175">
        <f t="shared" ref="R69:R75" si="44">O69/L69</f>
        <v>0.97488000505399819</v>
      </c>
      <c r="S69" s="672"/>
      <c r="T69" s="144"/>
      <c r="U69" s="144"/>
      <c r="V69" s="44"/>
      <c r="W69" s="487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58"/>
      <c r="AC69" s="658"/>
      <c r="AD69" s="107">
        <f>SUM(AD57:AD68)</f>
        <v>0</v>
      </c>
      <c r="AE69" s="107">
        <f>SUM(AE57:AE68)</f>
        <v>0</v>
      </c>
      <c r="AF69" s="48">
        <f t="shared" si="6"/>
        <v>-35.608380190587468</v>
      </c>
      <c r="AG69" s="494">
        <f t="shared" si="7"/>
        <v>0.97626107987294164</v>
      </c>
      <c r="AH69" s="672"/>
    </row>
    <row r="70" spans="1:34" ht="19.2" customHeight="1">
      <c r="A70" s="656" t="s">
        <v>90</v>
      </c>
      <c r="B70" s="490" t="s">
        <v>182</v>
      </c>
      <c r="C70" s="97"/>
      <c r="D70" s="42" t="s">
        <v>91</v>
      </c>
      <c r="E70" s="43"/>
      <c r="F70" s="361">
        <v>62.13</v>
      </c>
      <c r="G70" s="44">
        <v>518</v>
      </c>
      <c r="H70" s="45">
        <f>F70*G70</f>
        <v>32183.34</v>
      </c>
      <c r="I70" s="490"/>
      <c r="J70" s="46">
        <v>14</v>
      </c>
      <c r="K70" s="44">
        <v>1500</v>
      </c>
      <c r="L70" s="47">
        <v>107.14285714285714</v>
      </c>
      <c r="M70" s="488">
        <v>14</v>
      </c>
      <c r="N70" s="44">
        <f t="shared" ref="N70:N75" si="45">G70/W70*60</f>
        <v>1295.0000000000005</v>
      </c>
      <c r="O70" s="47">
        <f t="shared" ref="O70:O75" si="46">N70/M70</f>
        <v>92.500000000000028</v>
      </c>
      <c r="P70" s="48">
        <f t="shared" ref="P70:P75" si="47">M70-J70</f>
        <v>0</v>
      </c>
      <c r="Q70" s="49">
        <f t="shared" ref="Q70:Q75" si="48">O70-L70</f>
        <v>-14.64285714285711</v>
      </c>
      <c r="R70" s="494">
        <f t="shared" si="44"/>
        <v>0.86333333333333362</v>
      </c>
      <c r="S70" s="672">
        <f>R82</f>
        <v>0.87587316673903326</v>
      </c>
      <c r="T70" s="50">
        <v>0.29166666666666669</v>
      </c>
      <c r="U70" s="50">
        <v>0.30833333333333335</v>
      </c>
      <c r="V70" s="490">
        <v>5</v>
      </c>
      <c r="W70" s="487">
        <f>(U70-T70)*24*60</f>
        <v>23.999999999999993</v>
      </c>
      <c r="X70" s="490"/>
      <c r="Y70" s="490"/>
      <c r="Z70" s="54"/>
      <c r="AA70" s="54"/>
      <c r="AB70" s="658"/>
      <c r="AC70" s="658"/>
      <c r="AD70" s="504"/>
      <c r="AE70" s="504"/>
      <c r="AF70" s="48">
        <f t="shared" si="6"/>
        <v>-204.99999999999955</v>
      </c>
      <c r="AG70" s="494">
        <f t="shared" si="7"/>
        <v>0.86333333333333362</v>
      </c>
      <c r="AH70" s="672">
        <f>AG82</f>
        <v>0.88604343605752423</v>
      </c>
    </row>
    <row r="71" spans="1:34" ht="19.2" customHeight="1">
      <c r="A71" s="656"/>
      <c r="B71" s="490" t="s">
        <v>181</v>
      </c>
      <c r="C71" s="41"/>
      <c r="D71" s="176" t="s">
        <v>92</v>
      </c>
      <c r="E71" s="43"/>
      <c r="F71" s="361">
        <v>47.65</v>
      </c>
      <c r="G71" s="44">
        <v>2678</v>
      </c>
      <c r="H71" s="45">
        <f>F71*G71</f>
        <v>127606.7</v>
      </c>
      <c r="I71" s="490"/>
      <c r="J71" s="46">
        <v>18</v>
      </c>
      <c r="K71" s="177">
        <v>1440</v>
      </c>
      <c r="L71" s="47">
        <v>80</v>
      </c>
      <c r="M71" s="493">
        <v>18</v>
      </c>
      <c r="N71" s="44">
        <f t="shared" si="45"/>
        <v>1373.3333333333335</v>
      </c>
      <c r="O71" s="47">
        <f t="shared" si="46"/>
        <v>76.296296296296305</v>
      </c>
      <c r="P71" s="48">
        <f t="shared" si="47"/>
        <v>0</v>
      </c>
      <c r="Q71" s="49">
        <f t="shared" si="48"/>
        <v>-3.7037037037036953</v>
      </c>
      <c r="R71" s="494">
        <f t="shared" si="44"/>
        <v>0.95370370370370383</v>
      </c>
      <c r="S71" s="672"/>
      <c r="T71" s="50">
        <v>0.31319444444444444</v>
      </c>
      <c r="U71" s="50">
        <v>0.39444444444444443</v>
      </c>
      <c r="V71" s="490">
        <v>7</v>
      </c>
      <c r="W71" s="487">
        <f t="shared" ref="W71:W81" si="49">(U71-T71)*24*60</f>
        <v>116.99999999999999</v>
      </c>
      <c r="X71" s="53"/>
      <c r="Y71" s="53"/>
      <c r="Z71" s="54"/>
      <c r="AA71" s="54"/>
      <c r="AB71" s="658"/>
      <c r="AC71" s="658"/>
      <c r="AD71" s="504"/>
      <c r="AE71" s="504"/>
      <c r="AF71" s="48">
        <f>N71-K71</f>
        <v>-66.666666666666515</v>
      </c>
      <c r="AG71" s="494">
        <f>N71/K71</f>
        <v>0.95370370370370383</v>
      </c>
      <c r="AH71" s="672"/>
    </row>
    <row r="72" spans="1:34" ht="19.2" customHeight="1">
      <c r="A72" s="656"/>
      <c r="B72" s="490" t="s">
        <v>185</v>
      </c>
      <c r="C72" s="66"/>
      <c r="D72" s="176" t="s">
        <v>200</v>
      </c>
      <c r="E72" s="43"/>
      <c r="F72" s="361">
        <v>56.85</v>
      </c>
      <c r="G72" s="57">
        <v>3172</v>
      </c>
      <c r="H72" s="45">
        <f t="shared" ref="H72:H80" si="50">F72*G72</f>
        <v>180328.2</v>
      </c>
      <c r="I72" s="490"/>
      <c r="J72" s="87">
        <v>18</v>
      </c>
      <c r="K72" s="57">
        <v>1636</v>
      </c>
      <c r="L72" s="86">
        <v>90.888888888888886</v>
      </c>
      <c r="M72" s="488">
        <v>18</v>
      </c>
      <c r="N72" s="44">
        <f t="shared" si="45"/>
        <v>1277.3154362416099</v>
      </c>
      <c r="O72" s="47">
        <f t="shared" si="46"/>
        <v>70.961968680089441</v>
      </c>
      <c r="P72" s="48">
        <f t="shared" si="47"/>
        <v>0</v>
      </c>
      <c r="Q72" s="49">
        <f t="shared" si="48"/>
        <v>-19.926920208799444</v>
      </c>
      <c r="R72" s="494">
        <f t="shared" si="44"/>
        <v>0.78075515662690098</v>
      </c>
      <c r="S72" s="672"/>
      <c r="T72" s="50">
        <v>0.41041666666666665</v>
      </c>
      <c r="U72" s="50">
        <v>0.51388888888888895</v>
      </c>
      <c r="V72" s="490">
        <v>23</v>
      </c>
      <c r="W72" s="487">
        <f t="shared" si="49"/>
        <v>149.00000000000011</v>
      </c>
      <c r="X72" s="53">
        <v>0.3979166666666667</v>
      </c>
      <c r="Y72" s="53">
        <v>0.40763888888888888</v>
      </c>
      <c r="Z72" s="54"/>
      <c r="AA72" s="54"/>
      <c r="AB72" s="658"/>
      <c r="AC72" s="658"/>
      <c r="AD72" s="504">
        <v>1</v>
      </c>
      <c r="AE72" s="504">
        <v>1</v>
      </c>
      <c r="AF72" s="48">
        <f>N72-K72</f>
        <v>-358.68456375839014</v>
      </c>
      <c r="AG72" s="494">
        <f>N72/K72</f>
        <v>0.78075515662690087</v>
      </c>
      <c r="AH72" s="672"/>
    </row>
    <row r="73" spans="1:34" ht="19.2" customHeight="1">
      <c r="A73" s="656"/>
      <c r="B73" s="490" t="s">
        <v>181</v>
      </c>
      <c r="C73" s="178"/>
      <c r="D73" s="179" t="s">
        <v>94</v>
      </c>
      <c r="E73" s="180"/>
      <c r="F73" s="361">
        <v>53.76</v>
      </c>
      <c r="G73" s="57">
        <v>2918</v>
      </c>
      <c r="H73" s="45">
        <f t="shared" si="50"/>
        <v>156871.67999999999</v>
      </c>
      <c r="I73" s="504"/>
      <c r="J73" s="181">
        <v>16</v>
      </c>
      <c r="K73" s="182">
        <v>1440</v>
      </c>
      <c r="L73" s="86">
        <v>90</v>
      </c>
      <c r="M73" s="493">
        <v>16</v>
      </c>
      <c r="N73" s="44">
        <f t="shared" si="45"/>
        <v>1346.7692307692305</v>
      </c>
      <c r="O73" s="47">
        <f t="shared" si="46"/>
        <v>84.173076923076906</v>
      </c>
      <c r="P73" s="48">
        <f t="shared" si="47"/>
        <v>0</v>
      </c>
      <c r="Q73" s="49">
        <f t="shared" si="48"/>
        <v>-5.8269230769230944</v>
      </c>
      <c r="R73" s="494">
        <f t="shared" si="44"/>
        <v>0.93525641025641004</v>
      </c>
      <c r="S73" s="672"/>
      <c r="T73" s="50">
        <v>0.56249999999999989</v>
      </c>
      <c r="U73" s="50">
        <v>0.65277777777777768</v>
      </c>
      <c r="V73" s="490">
        <v>7</v>
      </c>
      <c r="W73" s="487">
        <f t="shared" si="49"/>
        <v>130.00000000000003</v>
      </c>
      <c r="X73" s="183"/>
      <c r="Y73" s="183"/>
      <c r="Z73" s="125"/>
      <c r="AA73" s="125"/>
      <c r="AB73" s="658"/>
      <c r="AC73" s="658"/>
      <c r="AD73" s="504"/>
      <c r="AE73" s="504"/>
      <c r="AF73" s="48">
        <f>N73-K73</f>
        <v>-93.230769230769511</v>
      </c>
      <c r="AG73" s="494">
        <f>N73/K73</f>
        <v>0.93525641025641004</v>
      </c>
      <c r="AH73" s="672"/>
    </row>
    <row r="74" spans="1:34" ht="19.2" customHeight="1">
      <c r="A74" s="656"/>
      <c r="B74" s="490" t="s">
        <v>181</v>
      </c>
      <c r="C74" s="178"/>
      <c r="D74" s="179" t="s">
        <v>95</v>
      </c>
      <c r="E74" s="180"/>
      <c r="F74" s="361">
        <v>47.51</v>
      </c>
      <c r="G74" s="177">
        <v>2986</v>
      </c>
      <c r="H74" s="45">
        <f t="shared" si="50"/>
        <v>141864.85999999999</v>
      </c>
      <c r="I74" s="490"/>
      <c r="J74" s="46">
        <v>17</v>
      </c>
      <c r="K74" s="177">
        <v>1440</v>
      </c>
      <c r="L74" s="47">
        <v>84.705882352941174</v>
      </c>
      <c r="M74" s="488">
        <v>17</v>
      </c>
      <c r="N74" s="44">
        <f t="shared" si="45"/>
        <v>1357.2727272727273</v>
      </c>
      <c r="O74" s="47">
        <f t="shared" si="46"/>
        <v>79.839572192513373</v>
      </c>
      <c r="P74" s="48">
        <f t="shared" si="47"/>
        <v>0</v>
      </c>
      <c r="Q74" s="49">
        <f t="shared" si="48"/>
        <v>-4.8663101604278012</v>
      </c>
      <c r="R74" s="494">
        <f t="shared" si="44"/>
        <v>0.94255050505050508</v>
      </c>
      <c r="S74" s="672"/>
      <c r="T74" s="50">
        <v>0.66736111111111096</v>
      </c>
      <c r="U74" s="50">
        <v>0.75902777777777763</v>
      </c>
      <c r="V74" s="490">
        <v>21</v>
      </c>
      <c r="W74" s="487">
        <f t="shared" si="49"/>
        <v>132</v>
      </c>
      <c r="X74" s="183">
        <v>0.65625</v>
      </c>
      <c r="Y74" s="183">
        <v>0.6645833333333333</v>
      </c>
      <c r="Z74" s="125"/>
      <c r="AA74" s="125"/>
      <c r="AB74" s="658"/>
      <c r="AC74" s="658"/>
      <c r="AD74" s="504"/>
      <c r="AE74" s="504"/>
      <c r="AF74" s="48">
        <f t="shared" ref="AF74:AF80" si="51">N74-K74</f>
        <v>-82.727272727272748</v>
      </c>
      <c r="AG74" s="494">
        <f t="shared" ref="AG74:AG80" si="52">N74/K74</f>
        <v>0.94255050505050508</v>
      </c>
      <c r="AH74" s="672"/>
    </row>
    <row r="75" spans="1:34" ht="19.2" customHeight="1">
      <c r="A75" s="656"/>
      <c r="B75" s="490" t="s">
        <v>182</v>
      </c>
      <c r="C75" s="66"/>
      <c r="D75" s="176" t="s">
        <v>503</v>
      </c>
      <c r="E75" s="43"/>
      <c r="F75" s="361">
        <v>47.6</v>
      </c>
      <c r="G75" s="57">
        <v>1050</v>
      </c>
      <c r="H75" s="45">
        <f t="shared" si="50"/>
        <v>49980</v>
      </c>
      <c r="I75" s="490">
        <v>1</v>
      </c>
      <c r="J75" s="181">
        <v>15</v>
      </c>
      <c r="K75" s="182">
        <v>1500</v>
      </c>
      <c r="L75" s="86">
        <v>100</v>
      </c>
      <c r="M75" s="488">
        <v>16</v>
      </c>
      <c r="N75" s="44">
        <f t="shared" si="45"/>
        <v>1285.714285714286</v>
      </c>
      <c r="O75" s="47">
        <f t="shared" si="46"/>
        <v>80.357142857142875</v>
      </c>
      <c r="P75" s="48">
        <f t="shared" si="47"/>
        <v>1</v>
      </c>
      <c r="Q75" s="49">
        <f t="shared" si="48"/>
        <v>-19.642857142857125</v>
      </c>
      <c r="R75" s="494">
        <f t="shared" si="44"/>
        <v>0.80357142857142871</v>
      </c>
      <c r="S75" s="672"/>
      <c r="T75" s="50">
        <v>0.76458333333333317</v>
      </c>
      <c r="U75" s="50">
        <v>0.79861111111111094</v>
      </c>
      <c r="V75" s="490">
        <v>8</v>
      </c>
      <c r="W75" s="487">
        <f t="shared" si="49"/>
        <v>48.999999999999986</v>
      </c>
      <c r="X75" s="183"/>
      <c r="Y75" s="183"/>
      <c r="Z75" s="125"/>
      <c r="AA75" s="125"/>
      <c r="AB75" s="658"/>
      <c r="AC75" s="658"/>
      <c r="AD75" s="504"/>
      <c r="AE75" s="504"/>
      <c r="AF75" s="48">
        <f t="shared" si="51"/>
        <v>-214.28571428571399</v>
      </c>
      <c r="AG75" s="494">
        <f t="shared" si="52"/>
        <v>0.85714285714285732</v>
      </c>
      <c r="AH75" s="672"/>
    </row>
    <row r="76" spans="1:34" ht="19.2" customHeight="1">
      <c r="A76" s="656"/>
      <c r="B76" s="490">
        <v>0</v>
      </c>
      <c r="C76" s="178"/>
      <c r="D76" s="179"/>
      <c r="E76" s="180"/>
      <c r="F76" s="361" t="s">
        <v>186</v>
      </c>
      <c r="G76" s="177"/>
      <c r="H76" s="45">
        <f t="shared" si="50"/>
        <v>0</v>
      </c>
      <c r="I76" s="490"/>
      <c r="J76" s="181"/>
      <c r="K76" s="182"/>
      <c r="L76" s="86"/>
      <c r="M76" s="493" t="s">
        <v>30</v>
      </c>
      <c r="N76" s="44"/>
      <c r="O76" s="47"/>
      <c r="P76" s="48"/>
      <c r="Q76" s="49"/>
      <c r="R76" s="494"/>
      <c r="S76" s="672"/>
      <c r="T76" s="50"/>
      <c r="U76" s="50"/>
      <c r="V76" s="490"/>
      <c r="W76" s="487"/>
      <c r="X76" s="183"/>
      <c r="Y76" s="183"/>
      <c r="Z76" s="125"/>
      <c r="AA76" s="125"/>
      <c r="AB76" s="658"/>
      <c r="AC76" s="658"/>
      <c r="AD76" s="504"/>
      <c r="AE76" s="504"/>
      <c r="AF76" s="48">
        <f t="shared" si="51"/>
        <v>0</v>
      </c>
      <c r="AG76" s="494" t="e">
        <f t="shared" si="52"/>
        <v>#DIV/0!</v>
      </c>
      <c r="AH76" s="672"/>
    </row>
    <row r="77" spans="1:34" ht="19.2" customHeight="1">
      <c r="A77" s="656"/>
      <c r="B77" s="490">
        <v>0</v>
      </c>
      <c r="C77" s="500"/>
      <c r="D77" s="179"/>
      <c r="E77" s="43"/>
      <c r="F77" s="361" t="s">
        <v>186</v>
      </c>
      <c r="G77" s="177"/>
      <c r="H77" s="45">
        <f t="shared" si="50"/>
        <v>0</v>
      </c>
      <c r="I77" s="504"/>
      <c r="J77" s="181"/>
      <c r="K77" s="182"/>
      <c r="L77" s="86"/>
      <c r="M77" s="493" t="s">
        <v>30</v>
      </c>
      <c r="N77" s="44"/>
      <c r="O77" s="47"/>
      <c r="P77" s="48"/>
      <c r="Q77" s="49"/>
      <c r="R77" s="494"/>
      <c r="S77" s="672"/>
      <c r="T77" s="50"/>
      <c r="U77" s="50"/>
      <c r="V77" s="490"/>
      <c r="W77" s="487"/>
      <c r="X77" s="183"/>
      <c r="Y77" s="183"/>
      <c r="Z77" s="125"/>
      <c r="AA77" s="125"/>
      <c r="AB77" s="658"/>
      <c r="AC77" s="658"/>
      <c r="AD77" s="504"/>
      <c r="AE77" s="504"/>
      <c r="AF77" s="48">
        <f t="shared" si="51"/>
        <v>0</v>
      </c>
      <c r="AG77" s="494" t="e">
        <f t="shared" si="52"/>
        <v>#DIV/0!</v>
      </c>
      <c r="AH77" s="672"/>
    </row>
    <row r="78" spans="1:34" ht="19.2" customHeight="1">
      <c r="A78" s="656"/>
      <c r="B78" s="490">
        <v>0</v>
      </c>
      <c r="C78" s="500"/>
      <c r="D78" s="42"/>
      <c r="E78" s="43"/>
      <c r="F78" s="361" t="s">
        <v>186</v>
      </c>
      <c r="G78" s="57"/>
      <c r="H78" s="45">
        <f t="shared" si="50"/>
        <v>0</v>
      </c>
      <c r="I78" s="504"/>
      <c r="J78" s="87"/>
      <c r="K78" s="57"/>
      <c r="L78" s="86"/>
      <c r="M78" s="493"/>
      <c r="N78" s="44"/>
      <c r="O78" s="47"/>
      <c r="P78" s="48"/>
      <c r="Q78" s="49"/>
      <c r="R78" s="494"/>
      <c r="S78" s="672"/>
      <c r="T78" s="50"/>
      <c r="U78" s="50"/>
      <c r="V78" s="490"/>
      <c r="W78" s="487">
        <f t="shared" si="49"/>
        <v>0</v>
      </c>
      <c r="X78" s="183"/>
      <c r="Y78" s="183"/>
      <c r="Z78" s="125"/>
      <c r="AA78" s="125"/>
      <c r="AB78" s="658"/>
      <c r="AC78" s="658"/>
      <c r="AD78" s="504"/>
      <c r="AE78" s="504"/>
      <c r="AF78" s="48">
        <f t="shared" si="51"/>
        <v>0</v>
      </c>
      <c r="AG78" s="494" t="e">
        <f t="shared" si="52"/>
        <v>#DIV/0!</v>
      </c>
      <c r="AH78" s="672"/>
    </row>
    <row r="79" spans="1:34" ht="19.2" customHeight="1">
      <c r="A79" s="656"/>
      <c r="B79" s="490">
        <v>0</v>
      </c>
      <c r="C79" s="178"/>
      <c r="D79" s="179"/>
      <c r="E79" s="180"/>
      <c r="F79" s="361" t="s">
        <v>186</v>
      </c>
      <c r="G79" s="57"/>
      <c r="H79" s="45">
        <f t="shared" si="50"/>
        <v>0</v>
      </c>
      <c r="I79" s="504"/>
      <c r="J79" s="87"/>
      <c r="K79" s="57"/>
      <c r="L79" s="86"/>
      <c r="M79" s="493"/>
      <c r="N79" s="57"/>
      <c r="O79" s="184"/>
      <c r="P79" s="108"/>
      <c r="Q79" s="185"/>
      <c r="R79" s="109"/>
      <c r="S79" s="672"/>
      <c r="T79" s="50"/>
      <c r="U79" s="50"/>
      <c r="V79" s="490"/>
      <c r="W79" s="487">
        <f t="shared" si="49"/>
        <v>0</v>
      </c>
      <c r="X79" s="183"/>
      <c r="Y79" s="183"/>
      <c r="Z79" s="125"/>
      <c r="AA79" s="125"/>
      <c r="AB79" s="658"/>
      <c r="AC79" s="658"/>
      <c r="AD79" s="504"/>
      <c r="AE79" s="504"/>
      <c r="AF79" s="48">
        <f t="shared" si="51"/>
        <v>0</v>
      </c>
      <c r="AG79" s="494" t="e">
        <f t="shared" si="52"/>
        <v>#DIV/0!</v>
      </c>
      <c r="AH79" s="672"/>
    </row>
    <row r="80" spans="1:34" ht="19.2" customHeight="1">
      <c r="A80" s="656"/>
      <c r="B80" s="490">
        <v>0</v>
      </c>
      <c r="C80" s="500"/>
      <c r="D80" s="42"/>
      <c r="E80" s="43"/>
      <c r="F80" s="361"/>
      <c r="G80" s="57"/>
      <c r="H80" s="45">
        <f t="shared" si="50"/>
        <v>0</v>
      </c>
      <c r="I80" s="504"/>
      <c r="J80" s="87"/>
      <c r="K80" s="57"/>
      <c r="L80" s="86"/>
      <c r="M80" s="493"/>
      <c r="N80" s="57"/>
      <c r="O80" s="186"/>
      <c r="P80" s="54"/>
      <c r="Q80" s="88"/>
      <c r="R80" s="503"/>
      <c r="S80" s="672"/>
      <c r="T80" s="50"/>
      <c r="U80" s="50"/>
      <c r="V80" s="490"/>
      <c r="W80" s="487">
        <f t="shared" si="49"/>
        <v>0</v>
      </c>
      <c r="X80" s="183"/>
      <c r="Y80" s="183"/>
      <c r="Z80" s="125"/>
      <c r="AA80" s="125"/>
      <c r="AB80" s="658"/>
      <c r="AC80" s="658"/>
      <c r="AD80" s="504"/>
      <c r="AE80" s="504"/>
      <c r="AF80" s="48">
        <f t="shared" si="51"/>
        <v>0</v>
      </c>
      <c r="AG80" s="494" t="e">
        <f t="shared" si="52"/>
        <v>#DIV/0!</v>
      </c>
      <c r="AH80" s="672"/>
    </row>
    <row r="81" spans="1:34" ht="19.2" customHeight="1">
      <c r="A81" s="656"/>
      <c r="B81" s="490">
        <v>0</v>
      </c>
      <c r="C81" s="500"/>
      <c r="D81" s="42"/>
      <c r="E81" s="43"/>
      <c r="F81" s="368"/>
      <c r="G81" s="57"/>
      <c r="H81" s="84"/>
      <c r="I81" s="504"/>
      <c r="J81" s="87"/>
      <c r="K81" s="57"/>
      <c r="L81" s="86"/>
      <c r="M81" s="493"/>
      <c r="N81" s="57"/>
      <c r="O81" s="186"/>
      <c r="P81" s="54"/>
      <c r="Q81" s="88"/>
      <c r="R81" s="503"/>
      <c r="S81" s="672"/>
      <c r="T81" s="50"/>
      <c r="U81" s="50"/>
      <c r="V81" s="490"/>
      <c r="W81" s="487">
        <f t="shared" si="49"/>
        <v>0</v>
      </c>
      <c r="X81" s="183"/>
      <c r="Y81" s="183"/>
      <c r="Z81" s="125"/>
      <c r="AA81" s="125"/>
      <c r="AB81" s="658"/>
      <c r="AC81" s="658"/>
      <c r="AD81" s="504"/>
      <c r="AE81" s="504"/>
      <c r="AF81" s="48"/>
      <c r="AG81" s="126"/>
      <c r="AH81" s="672"/>
    </row>
    <row r="82" spans="1:34" ht="19.2" customHeight="1">
      <c r="A82" s="698"/>
      <c r="B82" s="171">
        <v>0</v>
      </c>
      <c r="C82" s="100" t="s">
        <v>19</v>
      </c>
      <c r="D82" s="687" t="s">
        <v>145</v>
      </c>
      <c r="E82" s="687"/>
      <c r="F82" s="371"/>
      <c r="G82" s="101"/>
      <c r="H82" s="102"/>
      <c r="I82" s="103"/>
      <c r="J82" s="101">
        <v>16.333333333333332</v>
      </c>
      <c r="K82" s="101">
        <v>1492.6666666666667</v>
      </c>
      <c r="L82" s="104">
        <v>92.122938064114535</v>
      </c>
      <c r="M82" s="101">
        <f t="shared" ref="J82:O82" si="53">AVERAGE(M70:M81)</f>
        <v>16.5</v>
      </c>
      <c r="N82" s="101">
        <f t="shared" si="53"/>
        <v>1322.5675022218645</v>
      </c>
      <c r="O82" s="187">
        <f t="shared" si="53"/>
        <v>80.688009491519821</v>
      </c>
      <c r="P82" s="117">
        <f>M82-J82</f>
        <v>0.16666666666666785</v>
      </c>
      <c r="Q82" s="118">
        <f>N82-K82</f>
        <v>-170.09916444480223</v>
      </c>
      <c r="R82" s="175">
        <f>O82/L82</f>
        <v>0.87587316673903326</v>
      </c>
      <c r="S82" s="672"/>
      <c r="T82" s="50"/>
      <c r="U82" s="50"/>
      <c r="V82" s="490"/>
      <c r="W82" s="44"/>
      <c r="X82" s="47"/>
      <c r="Y82" s="47"/>
      <c r="Z82" s="106">
        <f>SUM(Z70:Z81)</f>
        <v>0</v>
      </c>
      <c r="AA82" s="106">
        <f>SUM(AA70:AA81)</f>
        <v>0</v>
      </c>
      <c r="AB82" s="658"/>
      <c r="AC82" s="658"/>
      <c r="AD82" s="107">
        <f>SUM(AD70:AD81)</f>
        <v>1</v>
      </c>
      <c r="AE82" s="107">
        <f>SUM(AE70:AE81)</f>
        <v>1</v>
      </c>
      <c r="AF82" s="48">
        <f>N82-K82</f>
        <v>-170.09916444480223</v>
      </c>
      <c r="AG82" s="494">
        <f>N82/K82</f>
        <v>0.88604343605752423</v>
      </c>
      <c r="AH82" s="672"/>
    </row>
    <row r="83" spans="1:34" ht="19.2" customHeight="1">
      <c r="A83" s="699" t="s">
        <v>248</v>
      </c>
      <c r="B83" s="110" t="s">
        <v>185</v>
      </c>
      <c r="C83" s="66"/>
      <c r="D83" s="377" t="s">
        <v>270</v>
      </c>
      <c r="E83" s="43"/>
      <c r="F83" s="368">
        <v>54.09</v>
      </c>
      <c r="G83" s="57">
        <v>2246.04</v>
      </c>
      <c r="H83" s="84">
        <f t="shared" ref="H83:H94" si="54">F83*G83</f>
        <v>121488.3036</v>
      </c>
      <c r="I83" s="504"/>
      <c r="J83" s="87">
        <v>18</v>
      </c>
      <c r="K83" s="57">
        <v>1500</v>
      </c>
      <c r="L83" s="86">
        <v>83.333333333333329</v>
      </c>
      <c r="M83" s="493">
        <v>18</v>
      </c>
      <c r="N83" s="57">
        <f t="shared" ref="N83:N87" si="55">G83/W83*60</f>
        <v>1375.1265306122452</v>
      </c>
      <c r="O83" s="186">
        <f t="shared" ref="O83:O87" si="56">N83/M83</f>
        <v>76.395918367346951</v>
      </c>
      <c r="P83" s="54">
        <f t="shared" ref="P83:P87" si="57">M83-J83</f>
        <v>0</v>
      </c>
      <c r="Q83" s="88">
        <f t="shared" ref="Q83:Q87" si="58">O83-L83</f>
        <v>-6.9374149659863775</v>
      </c>
      <c r="R83" s="188">
        <f t="shared" ref="R83:R87" si="59">O83/L83</f>
        <v>0.91675102040816348</v>
      </c>
      <c r="S83" s="672">
        <f>R95</f>
        <v>0.91789409591496562</v>
      </c>
      <c r="T83" s="50">
        <v>0.33333333333333331</v>
      </c>
      <c r="U83" s="50">
        <v>0.40138888888888885</v>
      </c>
      <c r="V83" s="490">
        <v>5</v>
      </c>
      <c r="W83" s="487">
        <f t="shared" ref="W83:W93" si="60">(U83-T83)*24*60</f>
        <v>97.999999999999972</v>
      </c>
      <c r="X83" s="53"/>
      <c r="Y83" s="53"/>
      <c r="Z83" s="54"/>
      <c r="AA83" s="54"/>
      <c r="AB83" s="658"/>
      <c r="AC83" s="658"/>
      <c r="AD83" s="504"/>
      <c r="AE83" s="504"/>
      <c r="AF83" s="48">
        <f t="shared" ref="AF83:AF173" si="61">N83-K83</f>
        <v>-124.87346938775477</v>
      </c>
      <c r="AG83" s="494">
        <f t="shared" ref="AG83:AG173" si="62">N83/K83</f>
        <v>0.91675102040816348</v>
      </c>
      <c r="AH83" s="672">
        <f>AG95</f>
        <v>0.90744662620163408</v>
      </c>
    </row>
    <row r="84" spans="1:34" ht="19.2" customHeight="1">
      <c r="A84" s="700"/>
      <c r="B84" s="110" t="s">
        <v>181</v>
      </c>
      <c r="C84" s="500"/>
      <c r="D84" s="189" t="s">
        <v>93</v>
      </c>
      <c r="E84" s="43"/>
      <c r="F84" s="368">
        <v>53.36</v>
      </c>
      <c r="G84" s="44">
        <v>5811.78</v>
      </c>
      <c r="H84" s="84">
        <f t="shared" si="54"/>
        <v>310116.5808</v>
      </c>
      <c r="I84" s="490"/>
      <c r="J84" s="87">
        <v>19</v>
      </c>
      <c r="K84" s="57">
        <v>1440</v>
      </c>
      <c r="L84" s="86">
        <v>75.78947368421052</v>
      </c>
      <c r="M84" s="493">
        <v>19</v>
      </c>
      <c r="N84" s="57">
        <f t="shared" si="55"/>
        <v>1320.8590909090908</v>
      </c>
      <c r="O84" s="186">
        <f t="shared" si="56"/>
        <v>69.518899521531097</v>
      </c>
      <c r="P84" s="54">
        <f t="shared" si="57"/>
        <v>0</v>
      </c>
      <c r="Q84" s="88">
        <f t="shared" si="58"/>
        <v>-6.2705741626794236</v>
      </c>
      <c r="R84" s="188">
        <f t="shared" si="59"/>
        <v>0.91726325757575755</v>
      </c>
      <c r="S84" s="672"/>
      <c r="T84" s="50">
        <v>0.41666666666666663</v>
      </c>
      <c r="U84" s="50">
        <v>0.6</v>
      </c>
      <c r="V84" s="490">
        <v>22</v>
      </c>
      <c r="W84" s="487">
        <f t="shared" si="60"/>
        <v>264</v>
      </c>
      <c r="X84" s="53">
        <v>0.40486111111111112</v>
      </c>
      <c r="Y84" s="53">
        <v>0.41388888888888892</v>
      </c>
      <c r="Z84" s="54"/>
      <c r="AA84" s="54"/>
      <c r="AB84" s="658"/>
      <c r="AC84" s="658"/>
      <c r="AD84" s="504"/>
      <c r="AE84" s="504"/>
      <c r="AF84" s="48">
        <f t="shared" si="61"/>
        <v>-119.14090909090919</v>
      </c>
      <c r="AG84" s="494">
        <f t="shared" si="62"/>
        <v>0.91726325757575755</v>
      </c>
      <c r="AH84" s="672"/>
    </row>
    <row r="85" spans="1:34" ht="19.2" customHeight="1">
      <c r="A85" s="700"/>
      <c r="B85" s="110" t="s">
        <v>181</v>
      </c>
      <c r="C85" s="123"/>
      <c r="D85" s="189" t="s">
        <v>77</v>
      </c>
      <c r="E85" s="43"/>
      <c r="F85" s="368">
        <v>59.54</v>
      </c>
      <c r="G85" s="44">
        <v>1726</v>
      </c>
      <c r="H85" s="84">
        <f t="shared" si="54"/>
        <v>102766.04</v>
      </c>
      <c r="I85" s="490"/>
      <c r="J85" s="87">
        <v>18</v>
      </c>
      <c r="K85" s="57">
        <v>1385</v>
      </c>
      <c r="L85" s="86">
        <v>76.944444444444443</v>
      </c>
      <c r="M85" s="493">
        <v>18</v>
      </c>
      <c r="N85" s="57">
        <f t="shared" si="55"/>
        <v>1278.518518518518</v>
      </c>
      <c r="O85" s="186">
        <f t="shared" si="56"/>
        <v>71.028806584362115</v>
      </c>
      <c r="P85" s="54">
        <f t="shared" si="57"/>
        <v>0</v>
      </c>
      <c r="Q85" s="88">
        <f t="shared" si="58"/>
        <v>-5.9156378600823274</v>
      </c>
      <c r="R85" s="188">
        <f t="shared" si="59"/>
        <v>0.92311806391228746</v>
      </c>
      <c r="S85" s="672"/>
      <c r="T85" s="50">
        <v>0.64027777777777772</v>
      </c>
      <c r="U85" s="50">
        <v>0.69652777777777775</v>
      </c>
      <c r="V85" s="490">
        <v>5</v>
      </c>
      <c r="W85" s="487">
        <f t="shared" si="60"/>
        <v>81.000000000000028</v>
      </c>
      <c r="X85" s="53"/>
      <c r="Y85" s="53"/>
      <c r="Z85" s="54"/>
      <c r="AA85" s="54"/>
      <c r="AB85" s="658"/>
      <c r="AC85" s="658"/>
      <c r="AD85" s="504"/>
      <c r="AE85" s="504"/>
      <c r="AF85" s="48">
        <f t="shared" si="61"/>
        <v>-106.48148148148198</v>
      </c>
      <c r="AG85" s="494">
        <f t="shared" si="62"/>
        <v>0.92311806391228735</v>
      </c>
      <c r="AH85" s="672"/>
    </row>
    <row r="86" spans="1:34" ht="19.2" customHeight="1">
      <c r="A86" s="700"/>
      <c r="B86" s="110" t="s">
        <v>181</v>
      </c>
      <c r="C86" s="97"/>
      <c r="D86" s="189" t="s">
        <v>360</v>
      </c>
      <c r="E86" s="43"/>
      <c r="F86" s="368">
        <v>73.94</v>
      </c>
      <c r="G86" s="44">
        <v>1147</v>
      </c>
      <c r="H86" s="84">
        <f t="shared" si="54"/>
        <v>84809.18</v>
      </c>
      <c r="I86" s="490"/>
      <c r="J86" s="87">
        <v>19</v>
      </c>
      <c r="K86" s="57">
        <v>1440</v>
      </c>
      <c r="L86" s="86">
        <v>75.78947368421052</v>
      </c>
      <c r="M86" s="493">
        <v>18</v>
      </c>
      <c r="N86" s="57">
        <f t="shared" si="55"/>
        <v>1349.4117647058829</v>
      </c>
      <c r="O86" s="186">
        <f t="shared" si="56"/>
        <v>74.967320261437933</v>
      </c>
      <c r="P86" s="54">
        <f t="shared" si="57"/>
        <v>-1</v>
      </c>
      <c r="Q86" s="88">
        <f t="shared" si="58"/>
        <v>-0.82215342277258685</v>
      </c>
      <c r="R86" s="188">
        <f t="shared" si="59"/>
        <v>0.98915214233841731</v>
      </c>
      <c r="S86" s="672"/>
      <c r="T86" s="50">
        <v>0.70138888888888884</v>
      </c>
      <c r="U86" s="50">
        <v>0.73680555555555549</v>
      </c>
      <c r="V86" s="490">
        <v>7</v>
      </c>
      <c r="W86" s="487">
        <f t="shared" si="60"/>
        <v>50.999999999999979</v>
      </c>
      <c r="X86" s="53"/>
      <c r="Y86" s="53"/>
      <c r="Z86" s="54"/>
      <c r="AA86" s="54"/>
      <c r="AB86" s="658"/>
      <c r="AC86" s="658"/>
      <c r="AD86" s="504"/>
      <c r="AE86" s="504"/>
      <c r="AF86" s="48">
        <f t="shared" si="61"/>
        <v>-90.588235294117112</v>
      </c>
      <c r="AG86" s="494">
        <f t="shared" si="62"/>
        <v>0.93709150326797419</v>
      </c>
      <c r="AH86" s="672"/>
    </row>
    <row r="87" spans="1:34" ht="19.2" customHeight="1">
      <c r="A87" s="700"/>
      <c r="B87" s="110" t="s">
        <v>181</v>
      </c>
      <c r="C87" s="97"/>
      <c r="D87" s="189" t="s">
        <v>93</v>
      </c>
      <c r="E87" s="43"/>
      <c r="F87" s="368">
        <v>53.36</v>
      </c>
      <c r="G87" s="44">
        <v>1639.22</v>
      </c>
      <c r="H87" s="84">
        <f t="shared" si="54"/>
        <v>87468.779200000004</v>
      </c>
      <c r="I87" s="490">
        <v>1</v>
      </c>
      <c r="J87" s="87">
        <v>19</v>
      </c>
      <c r="K87" s="57">
        <v>1440</v>
      </c>
      <c r="L87" s="86">
        <v>75.78947368421052</v>
      </c>
      <c r="M87" s="493">
        <v>19</v>
      </c>
      <c r="N87" s="57">
        <f t="shared" si="55"/>
        <v>1214.2370370370368</v>
      </c>
      <c r="O87" s="186">
        <f t="shared" si="56"/>
        <v>63.907212475633514</v>
      </c>
      <c r="P87" s="54">
        <f t="shared" si="57"/>
        <v>0</v>
      </c>
      <c r="Q87" s="88">
        <f t="shared" si="58"/>
        <v>-11.882261208577006</v>
      </c>
      <c r="R87" s="188">
        <f t="shared" si="59"/>
        <v>0.84322016460905336</v>
      </c>
      <c r="S87" s="672"/>
      <c r="T87" s="50">
        <v>0.75277777777777777</v>
      </c>
      <c r="U87" s="50">
        <v>0.80902777777777779</v>
      </c>
      <c r="V87" s="490">
        <v>23</v>
      </c>
      <c r="W87" s="487">
        <f t="shared" si="60"/>
        <v>81.000000000000028</v>
      </c>
      <c r="X87" s="53">
        <v>0.7402777777777777</v>
      </c>
      <c r="Y87" s="53">
        <v>0.75</v>
      </c>
      <c r="Z87" s="54"/>
      <c r="AA87" s="54"/>
      <c r="AB87" s="658"/>
      <c r="AC87" s="658"/>
      <c r="AD87" s="504"/>
      <c r="AE87" s="504"/>
      <c r="AF87" s="48">
        <f t="shared" si="61"/>
        <v>-225.76296296296323</v>
      </c>
      <c r="AG87" s="494">
        <f t="shared" si="62"/>
        <v>0.84322016460905336</v>
      </c>
      <c r="AH87" s="672"/>
    </row>
    <row r="88" spans="1:34" ht="19.2" customHeight="1">
      <c r="A88" s="700"/>
      <c r="B88" s="110">
        <v>0</v>
      </c>
      <c r="C88" s="500"/>
      <c r="D88" s="189"/>
      <c r="E88" s="43"/>
      <c r="F88" s="368" t="s">
        <v>186</v>
      </c>
      <c r="G88" s="57"/>
      <c r="H88" s="84">
        <f t="shared" si="54"/>
        <v>0</v>
      </c>
      <c r="I88" s="490"/>
      <c r="J88" s="87"/>
      <c r="K88" s="57"/>
      <c r="L88" s="86"/>
      <c r="M88" s="493"/>
      <c r="N88" s="57"/>
      <c r="O88" s="186"/>
      <c r="P88" s="54"/>
      <c r="Q88" s="88"/>
      <c r="R88" s="188"/>
      <c r="S88" s="672"/>
      <c r="T88" s="50"/>
      <c r="U88" s="50"/>
      <c r="V88" s="490"/>
      <c r="W88" s="487"/>
      <c r="X88" s="53"/>
      <c r="Y88" s="53"/>
      <c r="Z88" s="54"/>
      <c r="AA88" s="54"/>
      <c r="AB88" s="658"/>
      <c r="AC88" s="658"/>
      <c r="AD88" s="504"/>
      <c r="AE88" s="504"/>
      <c r="AF88" s="48">
        <f t="shared" si="61"/>
        <v>0</v>
      </c>
      <c r="AG88" s="494" t="e">
        <f t="shared" si="62"/>
        <v>#DIV/0!</v>
      </c>
      <c r="AH88" s="672"/>
    </row>
    <row r="89" spans="1:34" ht="19.2" customHeight="1">
      <c r="A89" s="700"/>
      <c r="B89" s="110">
        <v>0</v>
      </c>
      <c r="C89" s="500"/>
      <c r="D89" s="42"/>
      <c r="E89" s="43"/>
      <c r="F89" s="368" t="s">
        <v>186</v>
      </c>
      <c r="G89" s="115"/>
      <c r="H89" s="84">
        <f t="shared" si="54"/>
        <v>0</v>
      </c>
      <c r="I89" s="490"/>
      <c r="J89" s="87"/>
      <c r="K89" s="57"/>
      <c r="L89" s="86"/>
      <c r="M89" s="493"/>
      <c r="N89" s="57"/>
      <c r="O89" s="186"/>
      <c r="P89" s="54"/>
      <c r="Q89" s="88"/>
      <c r="R89" s="188"/>
      <c r="S89" s="672"/>
      <c r="T89" s="50"/>
      <c r="U89" s="50"/>
      <c r="V89" s="490"/>
      <c r="W89" s="487"/>
      <c r="X89" s="53"/>
      <c r="Y89" s="53"/>
      <c r="Z89" s="54"/>
      <c r="AA89" s="54"/>
      <c r="AB89" s="658"/>
      <c r="AC89" s="658"/>
      <c r="AD89" s="504"/>
      <c r="AE89" s="504"/>
      <c r="AF89" s="48">
        <f t="shared" si="61"/>
        <v>0</v>
      </c>
      <c r="AG89" s="494" t="e">
        <f t="shared" si="62"/>
        <v>#DIV/0!</v>
      </c>
      <c r="AH89" s="672"/>
    </row>
    <row r="90" spans="1:34" ht="19.2" customHeight="1">
      <c r="A90" s="700"/>
      <c r="B90" s="110">
        <v>0</v>
      </c>
      <c r="C90" s="500"/>
      <c r="D90" s="42"/>
      <c r="E90" s="43"/>
      <c r="F90" s="368" t="s">
        <v>186</v>
      </c>
      <c r="G90" s="128"/>
      <c r="H90" s="84">
        <f t="shared" si="54"/>
        <v>0</v>
      </c>
      <c r="I90" s="190"/>
      <c r="J90" s="87"/>
      <c r="K90" s="57"/>
      <c r="L90" s="86"/>
      <c r="M90" s="493"/>
      <c r="N90" s="57"/>
      <c r="O90" s="186"/>
      <c r="P90" s="54"/>
      <c r="Q90" s="88"/>
      <c r="R90" s="188"/>
      <c r="S90" s="672"/>
      <c r="T90" s="50"/>
      <c r="U90" s="50"/>
      <c r="V90" s="490"/>
      <c r="W90" s="487"/>
      <c r="X90" s="191"/>
      <c r="Y90" s="191"/>
      <c r="Z90" s="54"/>
      <c r="AA90" s="54"/>
      <c r="AB90" s="658"/>
      <c r="AC90" s="658"/>
      <c r="AD90" s="504"/>
      <c r="AE90" s="504"/>
      <c r="AF90" s="48">
        <f t="shared" si="61"/>
        <v>0</v>
      </c>
      <c r="AG90" s="494" t="e">
        <f t="shared" si="62"/>
        <v>#DIV/0!</v>
      </c>
      <c r="AH90" s="672"/>
    </row>
    <row r="91" spans="1:34" ht="19.2" customHeight="1">
      <c r="A91" s="700"/>
      <c r="B91" s="110">
        <v>0</v>
      </c>
      <c r="C91" s="500"/>
      <c r="D91" s="42"/>
      <c r="E91" s="43"/>
      <c r="F91" s="368" t="s">
        <v>186</v>
      </c>
      <c r="G91" s="44"/>
      <c r="H91" s="84">
        <f t="shared" si="54"/>
        <v>0</v>
      </c>
      <c r="I91" s="192"/>
      <c r="J91" s="87"/>
      <c r="K91" s="57"/>
      <c r="L91" s="86"/>
      <c r="M91" s="493" t="s">
        <v>30</v>
      </c>
      <c r="N91" s="57"/>
      <c r="O91" s="186"/>
      <c r="P91" s="54"/>
      <c r="Q91" s="88"/>
      <c r="R91" s="188"/>
      <c r="S91" s="673"/>
      <c r="T91" s="50"/>
      <c r="U91" s="50"/>
      <c r="V91" s="490"/>
      <c r="W91" s="487">
        <f t="shared" si="60"/>
        <v>0</v>
      </c>
      <c r="X91" s="116"/>
      <c r="Y91" s="116"/>
      <c r="Z91" s="54"/>
      <c r="AA91" s="54"/>
      <c r="AB91" s="658"/>
      <c r="AC91" s="658"/>
      <c r="AD91" s="504"/>
      <c r="AE91" s="504"/>
      <c r="AF91" s="48">
        <f t="shared" si="61"/>
        <v>0</v>
      </c>
      <c r="AG91" s="494" t="e">
        <f t="shared" si="62"/>
        <v>#DIV/0!</v>
      </c>
      <c r="AH91" s="673"/>
    </row>
    <row r="92" spans="1:34" ht="19.2" customHeight="1">
      <c r="A92" s="700"/>
      <c r="B92" s="110">
        <v>0</v>
      </c>
      <c r="C92" s="500"/>
      <c r="D92" s="42"/>
      <c r="E92" s="43"/>
      <c r="F92" s="368" t="s">
        <v>186</v>
      </c>
      <c r="G92" s="44"/>
      <c r="H92" s="84">
        <f t="shared" si="54"/>
        <v>0</v>
      </c>
      <c r="I92" s="192"/>
      <c r="J92" s="193"/>
      <c r="K92" s="194"/>
      <c r="L92" s="195"/>
      <c r="M92" s="62"/>
      <c r="N92" s="194"/>
      <c r="O92" s="195"/>
      <c r="P92" s="196"/>
      <c r="Q92" s="197"/>
      <c r="R92" s="502"/>
      <c r="S92" s="673"/>
      <c r="T92" s="50"/>
      <c r="U92" s="50"/>
      <c r="V92" s="490"/>
      <c r="W92" s="487"/>
      <c r="X92" s="183"/>
      <c r="Y92" s="183"/>
      <c r="Z92" s="125"/>
      <c r="AA92" s="125"/>
      <c r="AB92" s="658"/>
      <c r="AC92" s="658"/>
      <c r="AD92" s="504"/>
      <c r="AE92" s="504"/>
      <c r="AF92" s="48">
        <f t="shared" si="61"/>
        <v>0</v>
      </c>
      <c r="AG92" s="494" t="e">
        <f t="shared" si="62"/>
        <v>#DIV/0!</v>
      </c>
      <c r="AH92" s="673"/>
    </row>
    <row r="93" spans="1:34" ht="19.2" customHeight="1">
      <c r="A93" s="700"/>
      <c r="B93" s="491">
        <v>0</v>
      </c>
      <c r="C93" s="198"/>
      <c r="D93" s="59"/>
      <c r="E93" s="60"/>
      <c r="F93" s="368" t="s">
        <v>186</v>
      </c>
      <c r="G93" s="44"/>
      <c r="H93" s="84">
        <f t="shared" si="54"/>
        <v>0</v>
      </c>
      <c r="I93" s="199"/>
      <c r="J93" s="87"/>
      <c r="K93" s="57"/>
      <c r="L93" s="195"/>
      <c r="M93" s="493"/>
      <c r="N93" s="57"/>
      <c r="O93" s="86"/>
      <c r="P93" s="54"/>
      <c r="Q93" s="88"/>
      <c r="R93" s="497"/>
      <c r="S93" s="701"/>
      <c r="T93" s="63"/>
      <c r="U93" s="63"/>
      <c r="V93" s="491"/>
      <c r="W93" s="487">
        <f t="shared" si="60"/>
        <v>0</v>
      </c>
      <c r="X93" s="200"/>
      <c r="Y93" s="200"/>
      <c r="Z93" s="125"/>
      <c r="AA93" s="125"/>
      <c r="AB93" s="658"/>
      <c r="AC93" s="658"/>
      <c r="AD93" s="504"/>
      <c r="AE93" s="504"/>
      <c r="AF93" s="48">
        <f t="shared" si="61"/>
        <v>0</v>
      </c>
      <c r="AG93" s="494" t="e">
        <f t="shared" si="62"/>
        <v>#DIV/0!</v>
      </c>
      <c r="AH93" s="673"/>
    </row>
    <row r="94" spans="1:34" ht="19.2" customHeight="1">
      <c r="A94" s="700"/>
      <c r="B94" s="491">
        <v>0</v>
      </c>
      <c r="C94" s="198"/>
      <c r="D94" s="42"/>
      <c r="E94" s="43"/>
      <c r="F94" s="368" t="s">
        <v>186</v>
      </c>
      <c r="G94" s="44"/>
      <c r="H94" s="84">
        <f t="shared" si="54"/>
        <v>0</v>
      </c>
      <c r="I94" s="192"/>
      <c r="J94" s="87"/>
      <c r="K94" s="201"/>
      <c r="L94" s="47"/>
      <c r="M94" s="202"/>
      <c r="N94" s="57"/>
      <c r="O94" s="86"/>
      <c r="P94" s="54"/>
      <c r="Q94" s="88"/>
      <c r="R94" s="497"/>
      <c r="S94" s="701"/>
      <c r="T94" s="63"/>
      <c r="U94" s="63"/>
      <c r="V94" s="491"/>
      <c r="W94" s="487">
        <f>(U94-T94)*24*60</f>
        <v>0</v>
      </c>
      <c r="X94" s="200"/>
      <c r="Y94" s="200"/>
      <c r="Z94" s="125"/>
      <c r="AA94" s="125"/>
      <c r="AB94" s="658"/>
      <c r="AC94" s="658"/>
      <c r="AD94" s="504"/>
      <c r="AE94" s="504"/>
      <c r="AF94" s="48">
        <f t="shared" si="61"/>
        <v>0</v>
      </c>
      <c r="AG94" s="494" t="e">
        <f t="shared" si="62"/>
        <v>#DIV/0!</v>
      </c>
      <c r="AH94" s="673"/>
    </row>
    <row r="95" spans="1:34" ht="19.2" customHeight="1">
      <c r="A95" s="700"/>
      <c r="B95" s="203">
        <v>0</v>
      </c>
      <c r="C95" s="100" t="s">
        <v>361</v>
      </c>
      <c r="D95" s="687" t="s">
        <v>145</v>
      </c>
      <c r="E95" s="687"/>
      <c r="F95" s="362"/>
      <c r="G95" s="70"/>
      <c r="H95" s="204"/>
      <c r="I95" s="103"/>
      <c r="J95" s="205">
        <v>18.600000000000001</v>
      </c>
      <c r="K95" s="205">
        <v>1441</v>
      </c>
      <c r="L95" s="206">
        <v>77.529239766081872</v>
      </c>
      <c r="M95" s="205">
        <f t="shared" ref="J95:O95" si="63">AVERAGE(M83:M94)</f>
        <v>18.399999999999999</v>
      </c>
      <c r="N95" s="205">
        <f t="shared" si="63"/>
        <v>1307.6305883565547</v>
      </c>
      <c r="O95" s="206">
        <f t="shared" si="63"/>
        <v>71.163631442062325</v>
      </c>
      <c r="P95" s="207">
        <f>M95-J95</f>
        <v>-0.20000000000000284</v>
      </c>
      <c r="Q95" s="208">
        <f t="shared" ref="Q95:Q101" si="64">O95-L95</f>
        <v>-6.3656083240195471</v>
      </c>
      <c r="R95" s="209">
        <f>O95/L95</f>
        <v>0.91789409591496562</v>
      </c>
      <c r="S95" s="673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58"/>
      <c r="AC95" s="658"/>
      <c r="AD95" s="107">
        <f>SUM(AD83:AD94)</f>
        <v>0</v>
      </c>
      <c r="AE95" s="107">
        <f>SUM(AE83:AE94)</f>
        <v>0</v>
      </c>
      <c r="AF95" s="65">
        <f t="shared" si="61"/>
        <v>-133.36941164344535</v>
      </c>
      <c r="AG95" s="495">
        <f t="shared" si="62"/>
        <v>0.90744662620163408</v>
      </c>
      <c r="AH95" s="673"/>
    </row>
    <row r="96" spans="1:34" ht="19.2" customHeight="1">
      <c r="A96" s="702" t="s">
        <v>249</v>
      </c>
      <c r="B96" s="490" t="s">
        <v>183</v>
      </c>
      <c r="C96" s="97"/>
      <c r="D96" s="42" t="s">
        <v>250</v>
      </c>
      <c r="E96" s="43"/>
      <c r="F96" s="361">
        <v>36.92</v>
      </c>
      <c r="G96" s="44">
        <v>3327</v>
      </c>
      <c r="H96" s="45">
        <f t="shared" ref="H96:H106" si="65">F96*G96</f>
        <v>122832.84000000001</v>
      </c>
      <c r="I96" s="490"/>
      <c r="J96" s="46">
        <v>6</v>
      </c>
      <c r="K96" s="44">
        <v>1636</v>
      </c>
      <c r="L96" s="47">
        <v>272.66666666666669</v>
      </c>
      <c r="M96" s="488">
        <v>6</v>
      </c>
      <c r="N96" s="44">
        <f t="shared" ref="N96:N101" si="66">G96/W96*60</f>
        <v>1559.5312499999995</v>
      </c>
      <c r="O96" s="47">
        <f t="shared" ref="O96:O101" si="67">N96/M96</f>
        <v>259.92187499999994</v>
      </c>
      <c r="P96" s="48">
        <f t="shared" ref="P96:P101" si="68">M96-J96</f>
        <v>0</v>
      </c>
      <c r="Q96" s="49">
        <f t="shared" si="64"/>
        <v>-12.744791666666742</v>
      </c>
      <c r="R96" s="494">
        <f t="shared" ref="R96:R101" si="69">O96/L96</f>
        <v>0.95325871026894837</v>
      </c>
      <c r="S96" s="672">
        <f>R108</f>
        <v>0.92155246075997499</v>
      </c>
      <c r="T96" s="89">
        <v>0.33333333333333331</v>
      </c>
      <c r="U96" s="89">
        <v>0.42222222222222222</v>
      </c>
      <c r="V96" s="504">
        <v>5</v>
      </c>
      <c r="W96" s="90">
        <f t="shared" ref="W96:W122" si="70">(U96-T96)*24*60</f>
        <v>128.00000000000003</v>
      </c>
      <c r="X96" s="96"/>
      <c r="Y96" s="96"/>
      <c r="Z96" s="54"/>
      <c r="AA96" s="54"/>
      <c r="AB96" s="658"/>
      <c r="AC96" s="658"/>
      <c r="AD96" s="504"/>
      <c r="AE96" s="504"/>
      <c r="AF96" s="54">
        <f t="shared" si="61"/>
        <v>-76.468750000000455</v>
      </c>
      <c r="AG96" s="497">
        <f t="shared" si="62"/>
        <v>0.95325871026894837</v>
      </c>
      <c r="AH96" s="681">
        <f>AG108</f>
        <v>0.9105464400242157</v>
      </c>
    </row>
    <row r="97" spans="1:34" s="218" customFormat="1" ht="19.2" customHeight="1">
      <c r="A97" s="702"/>
      <c r="B97" s="490" t="s">
        <v>183</v>
      </c>
      <c r="C97" s="210"/>
      <c r="D97" s="211" t="s">
        <v>83</v>
      </c>
      <c r="E97" s="56"/>
      <c r="F97" s="372">
        <v>29.113149847094796</v>
      </c>
      <c r="G97" s="212">
        <v>3922</v>
      </c>
      <c r="H97" s="213">
        <f t="shared" si="65"/>
        <v>114181.77370030578</v>
      </c>
      <c r="I97" s="145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1417.5903614457827</v>
      </c>
      <c r="O97" s="47">
        <f t="shared" si="67"/>
        <v>70.87951807228913</v>
      </c>
      <c r="P97" s="48">
        <f t="shared" si="68"/>
        <v>0</v>
      </c>
      <c r="Q97" s="49">
        <f t="shared" si="64"/>
        <v>-4.1204819277108697</v>
      </c>
      <c r="R97" s="494">
        <f t="shared" si="69"/>
        <v>0.9450602409638551</v>
      </c>
      <c r="S97" s="672"/>
      <c r="T97" s="214">
        <v>0.4375</v>
      </c>
      <c r="U97" s="214">
        <v>0.55277777777777781</v>
      </c>
      <c r="V97" s="215">
        <v>22</v>
      </c>
      <c r="W97" s="90">
        <f t="shared" si="70"/>
        <v>166.00000000000006</v>
      </c>
      <c r="X97" s="53">
        <v>0.42569444444444443</v>
      </c>
      <c r="Y97" s="53">
        <v>0.43472222222222223</v>
      </c>
      <c r="Z97" s="54"/>
      <c r="AA97" s="54"/>
      <c r="AB97" s="658"/>
      <c r="AC97" s="658"/>
      <c r="AD97" s="215"/>
      <c r="AE97" s="215"/>
      <c r="AF97" s="216">
        <f t="shared" si="61"/>
        <v>-82.409638554217281</v>
      </c>
      <c r="AG97" s="217">
        <f t="shared" si="62"/>
        <v>0.9450602409638551</v>
      </c>
      <c r="AH97" s="681"/>
    </row>
    <row r="98" spans="1:34" s="221" customFormat="1" ht="19.2" customHeight="1">
      <c r="A98" s="702"/>
      <c r="B98" s="490" t="s">
        <v>181</v>
      </c>
      <c r="C98" s="55"/>
      <c r="D98" s="42" t="s">
        <v>76</v>
      </c>
      <c r="E98" s="83"/>
      <c r="F98" s="372">
        <v>77.34</v>
      </c>
      <c r="G98" s="57">
        <v>876</v>
      </c>
      <c r="H98" s="213">
        <f t="shared" si="65"/>
        <v>67749.84</v>
      </c>
      <c r="I98" s="504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1251.4285714285711</v>
      </c>
      <c r="O98" s="47">
        <f t="shared" si="67"/>
        <v>69.523809523809504</v>
      </c>
      <c r="P98" s="48">
        <f t="shared" si="68"/>
        <v>0</v>
      </c>
      <c r="Q98" s="49">
        <f t="shared" si="64"/>
        <v>-10.476190476190496</v>
      </c>
      <c r="R98" s="494">
        <f t="shared" si="69"/>
        <v>0.86904761904761885</v>
      </c>
      <c r="S98" s="672"/>
      <c r="T98" s="89">
        <v>0.59444444444444444</v>
      </c>
      <c r="U98" s="89">
        <v>0.62361111111111112</v>
      </c>
      <c r="V98" s="504">
        <v>7</v>
      </c>
      <c r="W98" s="90">
        <f t="shared" si="70"/>
        <v>42.000000000000014</v>
      </c>
      <c r="X98" s="219"/>
      <c r="Y98" s="219"/>
      <c r="Z98" s="220"/>
      <c r="AA98" s="220"/>
      <c r="AB98" s="658"/>
      <c r="AC98" s="658"/>
      <c r="AD98" s="504"/>
      <c r="AE98" s="504"/>
      <c r="AF98" s="54">
        <f t="shared" si="61"/>
        <v>-188.5714285714289</v>
      </c>
      <c r="AG98" s="497">
        <f t="shared" si="62"/>
        <v>0.86904761904761885</v>
      </c>
      <c r="AH98" s="681"/>
    </row>
    <row r="99" spans="1:34" ht="19.2" customHeight="1">
      <c r="A99" s="702"/>
      <c r="B99" s="490" t="s">
        <v>181</v>
      </c>
      <c r="C99" s="81"/>
      <c r="D99" s="82" t="s">
        <v>74</v>
      </c>
      <c r="E99" s="83"/>
      <c r="F99" s="372">
        <v>59.34</v>
      </c>
      <c r="G99" s="57">
        <v>1031</v>
      </c>
      <c r="H99" s="213">
        <f t="shared" si="65"/>
        <v>61179.54</v>
      </c>
      <c r="I99" s="504"/>
      <c r="J99" s="46">
        <v>17</v>
      </c>
      <c r="K99" s="44">
        <v>1440</v>
      </c>
      <c r="L99" s="47">
        <v>84.705882352941174</v>
      </c>
      <c r="M99" s="488">
        <v>17</v>
      </c>
      <c r="N99" s="44">
        <f t="shared" si="66"/>
        <v>1288.7500000000002</v>
      </c>
      <c r="O99" s="47">
        <f t="shared" si="67"/>
        <v>75.808823529411782</v>
      </c>
      <c r="P99" s="48">
        <f t="shared" si="68"/>
        <v>0</v>
      </c>
      <c r="Q99" s="49">
        <f t="shared" si="64"/>
        <v>-8.8970588235293917</v>
      </c>
      <c r="R99" s="494">
        <f t="shared" si="69"/>
        <v>0.89496527777777801</v>
      </c>
      <c r="S99" s="672"/>
      <c r="T99" s="89">
        <v>0.62916666666666665</v>
      </c>
      <c r="U99" s="89">
        <v>0.66249999999999998</v>
      </c>
      <c r="V99" s="504">
        <v>8</v>
      </c>
      <c r="W99" s="90">
        <f t="shared" si="70"/>
        <v>47.999999999999986</v>
      </c>
      <c r="X99" s="183"/>
      <c r="Y99" s="183"/>
      <c r="Z99" s="125"/>
      <c r="AA99" s="125"/>
      <c r="AB99" s="658"/>
      <c r="AC99" s="658"/>
      <c r="AD99" s="504">
        <v>1</v>
      </c>
      <c r="AE99" s="504"/>
      <c r="AF99" s="216">
        <f t="shared" si="61"/>
        <v>-151.24999999999977</v>
      </c>
      <c r="AG99" s="217">
        <f t="shared" si="62"/>
        <v>0.8949652777777779</v>
      </c>
      <c r="AH99" s="681"/>
    </row>
    <row r="100" spans="1:34" s="221" customFormat="1" ht="19.2" customHeight="1">
      <c r="A100" s="702"/>
      <c r="B100" s="490" t="s">
        <v>181</v>
      </c>
      <c r="C100" s="55"/>
      <c r="D100" s="42" t="s">
        <v>75</v>
      </c>
      <c r="E100" s="83"/>
      <c r="F100" s="372">
        <v>71.55</v>
      </c>
      <c r="G100" s="57">
        <v>1023</v>
      </c>
      <c r="H100" s="213">
        <f t="shared" si="65"/>
        <v>73195.649999999994</v>
      </c>
      <c r="I100" s="504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1252.6530612244901</v>
      </c>
      <c r="O100" s="47">
        <f t="shared" si="67"/>
        <v>69.591836734693899</v>
      </c>
      <c r="P100" s="48">
        <f t="shared" si="68"/>
        <v>0</v>
      </c>
      <c r="Q100" s="49">
        <f t="shared" si="64"/>
        <v>-7.3526077097505436</v>
      </c>
      <c r="R100" s="494">
        <f t="shared" si="69"/>
        <v>0.90444264348338643</v>
      </c>
      <c r="S100" s="672"/>
      <c r="T100" s="214">
        <v>0.66666666666666663</v>
      </c>
      <c r="U100" s="214">
        <v>0.7006944444444444</v>
      </c>
      <c r="V100" s="215">
        <v>6</v>
      </c>
      <c r="W100" s="90">
        <f t="shared" si="70"/>
        <v>48.999999999999986</v>
      </c>
      <c r="X100" s="222"/>
      <c r="Y100" s="222"/>
      <c r="Z100" s="220"/>
      <c r="AA100" s="220"/>
      <c r="AB100" s="658"/>
      <c r="AC100" s="658"/>
      <c r="AD100" s="504"/>
      <c r="AE100" s="504"/>
      <c r="AF100" s="54">
        <f t="shared" si="61"/>
        <v>-132.3469387755099</v>
      </c>
      <c r="AG100" s="497">
        <f t="shared" si="62"/>
        <v>0.90444264348338632</v>
      </c>
      <c r="AH100" s="681"/>
    </row>
    <row r="101" spans="1:34" s="221" customFormat="1" ht="19.2" customHeight="1">
      <c r="A101" s="702"/>
      <c r="B101" s="490" t="s">
        <v>185</v>
      </c>
      <c r="C101" s="55"/>
      <c r="D101" s="82" t="s">
        <v>270</v>
      </c>
      <c r="E101" s="83"/>
      <c r="F101" s="372">
        <v>54.09</v>
      </c>
      <c r="G101" s="57">
        <v>2157.96</v>
      </c>
      <c r="H101" s="213">
        <f t="shared" si="65"/>
        <v>116724.05640000002</v>
      </c>
      <c r="I101" s="504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6"/>
        <v>1334.8206185567014</v>
      </c>
      <c r="O101" s="47">
        <f t="shared" si="67"/>
        <v>74.156701030927863</v>
      </c>
      <c r="P101" s="48">
        <f t="shared" si="68"/>
        <v>0</v>
      </c>
      <c r="Q101" s="49">
        <f t="shared" si="64"/>
        <v>-9.1766323024054657</v>
      </c>
      <c r="R101" s="494">
        <f t="shared" si="69"/>
        <v>0.88988041237113435</v>
      </c>
      <c r="S101" s="672"/>
      <c r="T101" s="214">
        <v>0.70416666666666661</v>
      </c>
      <c r="U101" s="89">
        <v>0.7715277777777777</v>
      </c>
      <c r="V101" s="215">
        <v>5</v>
      </c>
      <c r="W101" s="90">
        <f t="shared" si="70"/>
        <v>96.999999999999972</v>
      </c>
      <c r="X101" s="223"/>
      <c r="Y101" s="223"/>
      <c r="Z101" s="220"/>
      <c r="AA101" s="220"/>
      <c r="AB101" s="658"/>
      <c r="AC101" s="658"/>
      <c r="AD101" s="504"/>
      <c r="AE101" s="504"/>
      <c r="AF101" s="216">
        <f t="shared" si="61"/>
        <v>-165.17938144329855</v>
      </c>
      <c r="AG101" s="217">
        <f t="shared" si="62"/>
        <v>0.88988041237113424</v>
      </c>
      <c r="AH101" s="681"/>
    </row>
    <row r="102" spans="1:34" s="221" customFormat="1" ht="19.2" customHeight="1">
      <c r="A102" s="702"/>
      <c r="B102" s="490">
        <v>0</v>
      </c>
      <c r="C102" s="178"/>
      <c r="D102" s="179"/>
      <c r="E102" s="180"/>
      <c r="F102" s="372" t="s">
        <v>186</v>
      </c>
      <c r="G102" s="57"/>
      <c r="H102" s="213">
        <f t="shared" si="65"/>
        <v>0</v>
      </c>
      <c r="I102" s="490"/>
      <c r="J102" s="46"/>
      <c r="K102" s="44"/>
      <c r="L102" s="47"/>
      <c r="M102" s="87"/>
      <c r="N102" s="44"/>
      <c r="O102" s="47"/>
      <c r="P102" s="48"/>
      <c r="Q102" s="49"/>
      <c r="R102" s="494"/>
      <c r="S102" s="672"/>
      <c r="T102" s="214"/>
      <c r="U102" s="214"/>
      <c r="V102" s="215"/>
      <c r="W102" s="90"/>
      <c r="X102" s="223"/>
      <c r="Y102" s="223"/>
      <c r="Z102" s="220"/>
      <c r="AA102" s="220"/>
      <c r="AB102" s="658"/>
      <c r="AC102" s="658"/>
      <c r="AD102" s="504"/>
      <c r="AE102" s="504"/>
      <c r="AF102" s="54">
        <f t="shared" si="61"/>
        <v>0</v>
      </c>
      <c r="AG102" s="497" t="e">
        <f t="shared" si="62"/>
        <v>#DIV/0!</v>
      </c>
      <c r="AH102" s="681"/>
    </row>
    <row r="103" spans="1:34" s="221" customFormat="1" ht="19.2" customHeight="1">
      <c r="A103" s="702"/>
      <c r="B103" s="490">
        <v>0</v>
      </c>
      <c r="C103" s="224"/>
      <c r="D103" s="82"/>
      <c r="E103" s="83"/>
      <c r="F103" s="372" t="s">
        <v>186</v>
      </c>
      <c r="G103" s="57"/>
      <c r="H103" s="213">
        <f t="shared" si="65"/>
        <v>0</v>
      </c>
      <c r="I103" s="225"/>
      <c r="J103" s="46"/>
      <c r="K103" s="44"/>
      <c r="L103" s="47"/>
      <c r="M103" s="87"/>
      <c r="N103" s="44"/>
      <c r="O103" s="47"/>
      <c r="P103" s="48"/>
      <c r="Q103" s="49"/>
      <c r="R103" s="494"/>
      <c r="S103" s="672"/>
      <c r="T103" s="214"/>
      <c r="U103" s="214"/>
      <c r="V103" s="215"/>
      <c r="W103" s="90"/>
      <c r="X103" s="223"/>
      <c r="Y103" s="223"/>
      <c r="Z103" s="220"/>
      <c r="AA103" s="220"/>
      <c r="AB103" s="658"/>
      <c r="AC103" s="658"/>
      <c r="AD103" s="504"/>
      <c r="AE103" s="504"/>
      <c r="AF103" s="216">
        <f t="shared" si="61"/>
        <v>0</v>
      </c>
      <c r="AG103" s="217" t="e">
        <f t="shared" si="62"/>
        <v>#DIV/0!</v>
      </c>
      <c r="AH103" s="681"/>
    </row>
    <row r="104" spans="1:34" s="221" customFormat="1" ht="19.2" customHeight="1">
      <c r="A104" s="702"/>
      <c r="B104" s="490">
        <v>0</v>
      </c>
      <c r="C104" s="226"/>
      <c r="D104" s="82"/>
      <c r="E104" s="83"/>
      <c r="F104" s="372" t="s">
        <v>186</v>
      </c>
      <c r="G104" s="212"/>
      <c r="H104" s="213">
        <f t="shared" si="65"/>
        <v>0</v>
      </c>
      <c r="I104" s="224"/>
      <c r="J104" s="46"/>
      <c r="K104" s="44"/>
      <c r="L104" s="47"/>
      <c r="M104" s="87"/>
      <c r="N104" s="44"/>
      <c r="O104" s="47"/>
      <c r="P104" s="48"/>
      <c r="Q104" s="49"/>
      <c r="R104" s="494"/>
      <c r="S104" s="673"/>
      <c r="T104" s="214"/>
      <c r="U104" s="214"/>
      <c r="V104" s="215"/>
      <c r="W104" s="90">
        <f t="shared" si="70"/>
        <v>0</v>
      </c>
      <c r="X104" s="223"/>
      <c r="Y104" s="223"/>
      <c r="Z104" s="220"/>
      <c r="AA104" s="220"/>
      <c r="AB104" s="658"/>
      <c r="AC104" s="658"/>
      <c r="AD104" s="504"/>
      <c r="AE104" s="504"/>
      <c r="AF104" s="54">
        <f t="shared" si="61"/>
        <v>0</v>
      </c>
      <c r="AG104" s="497" t="e">
        <f t="shared" si="62"/>
        <v>#DIV/0!</v>
      </c>
      <c r="AH104" s="681"/>
    </row>
    <row r="105" spans="1:34" s="221" customFormat="1" ht="19.2" customHeight="1">
      <c r="A105" s="702"/>
      <c r="B105" s="490">
        <v>0</v>
      </c>
      <c r="C105" s="226"/>
      <c r="D105" s="82"/>
      <c r="E105" s="83"/>
      <c r="F105" s="372" t="s">
        <v>186</v>
      </c>
      <c r="G105" s="212"/>
      <c r="H105" s="213">
        <f t="shared" si="65"/>
        <v>0</v>
      </c>
      <c r="I105" s="224"/>
      <c r="J105" s="227"/>
      <c r="K105" s="57"/>
      <c r="L105" s="47"/>
      <c r="M105" s="87"/>
      <c r="N105" s="44"/>
      <c r="O105" s="47"/>
      <c r="P105" s="48"/>
      <c r="Q105" s="49"/>
      <c r="R105" s="494"/>
      <c r="S105" s="673"/>
      <c r="T105" s="214"/>
      <c r="U105" s="214"/>
      <c r="V105" s="215"/>
      <c r="W105" s="90">
        <f t="shared" si="70"/>
        <v>0</v>
      </c>
      <c r="X105" s="223"/>
      <c r="Y105" s="223"/>
      <c r="Z105" s="220"/>
      <c r="AA105" s="220"/>
      <c r="AB105" s="658"/>
      <c r="AC105" s="658"/>
      <c r="AD105" s="504"/>
      <c r="AE105" s="504"/>
      <c r="AF105" s="216">
        <f t="shared" si="61"/>
        <v>0</v>
      </c>
      <c r="AG105" s="217" t="e">
        <f t="shared" si="62"/>
        <v>#DIV/0!</v>
      </c>
      <c r="AH105" s="681"/>
    </row>
    <row r="106" spans="1:34" s="221" customFormat="1" ht="19.2" customHeight="1">
      <c r="A106" s="702"/>
      <c r="B106" s="490">
        <v>0</v>
      </c>
      <c r="C106" s="226"/>
      <c r="D106" s="82"/>
      <c r="E106" s="83"/>
      <c r="F106" s="361" t="s">
        <v>186</v>
      </c>
      <c r="G106" s="212"/>
      <c r="H106" s="213">
        <f t="shared" si="65"/>
        <v>0</v>
      </c>
      <c r="I106" s="224"/>
      <c r="J106" s="181"/>
      <c r="K106" s="182"/>
      <c r="L106" s="77"/>
      <c r="M106" s="87"/>
      <c r="N106" s="182"/>
      <c r="O106" s="228"/>
      <c r="P106" s="54"/>
      <c r="Q106" s="88"/>
      <c r="R106" s="497"/>
      <c r="S106" s="701"/>
      <c r="T106" s="214"/>
      <c r="U106" s="214"/>
      <c r="V106" s="215"/>
      <c r="W106" s="90">
        <f t="shared" si="70"/>
        <v>0</v>
      </c>
      <c r="X106" s="223"/>
      <c r="Y106" s="223"/>
      <c r="Z106" s="220"/>
      <c r="AA106" s="220"/>
      <c r="AB106" s="658"/>
      <c r="AC106" s="658"/>
      <c r="AD106" s="504"/>
      <c r="AE106" s="504"/>
      <c r="AF106" s="220"/>
      <c r="AG106" s="497"/>
      <c r="AH106" s="681"/>
    </row>
    <row r="107" spans="1:34" s="221" customFormat="1" ht="19.2" customHeight="1">
      <c r="A107" s="702"/>
      <c r="B107" s="224">
        <v>0</v>
      </c>
      <c r="C107" s="226"/>
      <c r="D107" s="82"/>
      <c r="E107" s="83"/>
      <c r="F107" s="361" t="s">
        <v>186</v>
      </c>
      <c r="G107" s="212"/>
      <c r="H107" s="229">
        <f>F107*G107</f>
        <v>0</v>
      </c>
      <c r="I107" s="224"/>
      <c r="J107" s="181"/>
      <c r="K107" s="182"/>
      <c r="L107" s="77"/>
      <c r="M107" s="87"/>
      <c r="N107" s="182"/>
      <c r="O107" s="228"/>
      <c r="P107" s="54"/>
      <c r="Q107" s="88"/>
      <c r="R107" s="497"/>
      <c r="S107" s="701"/>
      <c r="T107" s="214"/>
      <c r="U107" s="214"/>
      <c r="V107" s="215"/>
      <c r="W107" s="90">
        <f t="shared" si="70"/>
        <v>0</v>
      </c>
      <c r="X107" s="223"/>
      <c r="Y107" s="223"/>
      <c r="Z107" s="220"/>
      <c r="AA107" s="220"/>
      <c r="AB107" s="658"/>
      <c r="AC107" s="658"/>
      <c r="AD107" s="504"/>
      <c r="AE107" s="504"/>
      <c r="AF107" s="220"/>
      <c r="AG107" s="497"/>
      <c r="AH107" s="681"/>
    </row>
    <row r="108" spans="1:34" ht="19.2" customHeight="1">
      <c r="A108" s="702"/>
      <c r="B108" s="110">
        <v>0</v>
      </c>
      <c r="C108" s="100" t="s">
        <v>21</v>
      </c>
      <c r="D108" s="687" t="s">
        <v>145</v>
      </c>
      <c r="E108" s="687"/>
      <c r="F108" s="373"/>
      <c r="G108" s="101"/>
      <c r="H108" s="102"/>
      <c r="I108" s="103"/>
      <c r="J108" s="101">
        <v>16.166666666666668</v>
      </c>
      <c r="K108" s="101">
        <v>1483.5</v>
      </c>
      <c r="L108" s="104">
        <v>112.10838779956428</v>
      </c>
      <c r="M108" s="101">
        <f t="shared" ref="J108:O108" si="71">AVERAGE(M96:M107)</f>
        <v>16.166666666666668</v>
      </c>
      <c r="N108" s="101">
        <f t="shared" si="71"/>
        <v>1350.795643775924</v>
      </c>
      <c r="O108" s="104">
        <f t="shared" si="71"/>
        <v>103.31376064852202</v>
      </c>
      <c r="P108" s="54">
        <f t="shared" ref="P108:P116" si="72">M108-J108</f>
        <v>0</v>
      </c>
      <c r="Q108" s="88">
        <f t="shared" ref="Q108:Q116" si="73">O108-L108</f>
        <v>-8.7946271510422633</v>
      </c>
      <c r="R108" s="105">
        <f t="shared" ref="R108:R116" si="74">O108/L108</f>
        <v>0.92155246075997499</v>
      </c>
      <c r="S108" s="673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58"/>
      <c r="AC108" s="658"/>
      <c r="AD108" s="107">
        <f>SUM(AD96:AD107)</f>
        <v>1</v>
      </c>
      <c r="AE108" s="107">
        <f>SUM(AE96:AE107)</f>
        <v>0</v>
      </c>
      <c r="AF108" s="54">
        <f t="shared" si="61"/>
        <v>-132.70435622407604</v>
      </c>
      <c r="AG108" s="497">
        <f t="shared" si="62"/>
        <v>0.9105464400242157</v>
      </c>
      <c r="AH108" s="681"/>
    </row>
    <row r="109" spans="1:34" ht="19.2" customHeight="1">
      <c r="A109" s="703" t="s">
        <v>251</v>
      </c>
      <c r="B109" s="490" t="s">
        <v>185</v>
      </c>
      <c r="C109" s="500"/>
      <c r="D109" s="179" t="s">
        <v>104</v>
      </c>
      <c r="E109" s="43"/>
      <c r="F109" s="361">
        <v>51.75</v>
      </c>
      <c r="G109" s="44">
        <v>1080</v>
      </c>
      <c r="H109" s="45">
        <f t="shared" ref="H109:H119" si="75">F109*G109</f>
        <v>55890</v>
      </c>
      <c r="I109" s="490"/>
      <c r="J109" s="46">
        <v>21</v>
      </c>
      <c r="K109" s="44">
        <v>1500</v>
      </c>
      <c r="L109" s="47">
        <v>71.428571428571431</v>
      </c>
      <c r="M109" s="488">
        <v>21</v>
      </c>
      <c r="N109" s="44">
        <f t="shared" ref="N109:N116" si="76">G109/W109*60</f>
        <v>1350.0000000000005</v>
      </c>
      <c r="O109" s="47">
        <f t="shared" ref="O109:O116" si="77">N109/M109</f>
        <v>64.285714285714306</v>
      </c>
      <c r="P109" s="48">
        <f t="shared" si="72"/>
        <v>0</v>
      </c>
      <c r="Q109" s="49">
        <f t="shared" si="73"/>
        <v>-7.1428571428571246</v>
      </c>
      <c r="R109" s="494">
        <f t="shared" si="74"/>
        <v>0.90000000000000024</v>
      </c>
      <c r="S109" s="706">
        <f>R121</f>
        <v>0.85835303031993959</v>
      </c>
      <c r="T109" s="230">
        <v>0.5</v>
      </c>
      <c r="U109" s="230">
        <v>0.53333333333333333</v>
      </c>
      <c r="V109" s="231">
        <v>5</v>
      </c>
      <c r="W109" s="487">
        <f t="shared" si="70"/>
        <v>47.999999999999986</v>
      </c>
      <c r="X109" s="53"/>
      <c r="Y109" s="53"/>
      <c r="Z109" s="54"/>
      <c r="AA109" s="54"/>
      <c r="AB109" s="658"/>
      <c r="AC109" s="658"/>
      <c r="AD109" s="504"/>
      <c r="AE109" s="504"/>
      <c r="AF109" s="48">
        <f t="shared" si="61"/>
        <v>-149.99999999999955</v>
      </c>
      <c r="AG109" s="126">
        <f t="shared" si="62"/>
        <v>0.90000000000000036</v>
      </c>
      <c r="AH109" s="681">
        <f>AG121</f>
        <v>0.87127891617877784</v>
      </c>
    </row>
    <row r="110" spans="1:34" ht="19.2" customHeight="1">
      <c r="A110" s="704"/>
      <c r="B110" s="490" t="s">
        <v>185</v>
      </c>
      <c r="C110" s="178"/>
      <c r="D110" s="42" t="s">
        <v>103</v>
      </c>
      <c r="E110" s="180"/>
      <c r="F110" s="361">
        <v>56.43</v>
      </c>
      <c r="G110" s="177">
        <v>1018</v>
      </c>
      <c r="H110" s="45">
        <f t="shared" si="75"/>
        <v>57445.74</v>
      </c>
      <c r="I110" s="490"/>
      <c r="J110" s="46">
        <v>18</v>
      </c>
      <c r="K110" s="44">
        <v>1500</v>
      </c>
      <c r="L110" s="47">
        <v>83.333333333333329</v>
      </c>
      <c r="M110" s="488">
        <v>18</v>
      </c>
      <c r="N110" s="44">
        <f t="shared" si="76"/>
        <v>1357.3333333333335</v>
      </c>
      <c r="O110" s="47">
        <f t="shared" si="77"/>
        <v>75.407407407407419</v>
      </c>
      <c r="P110" s="48">
        <f t="shared" si="72"/>
        <v>0</v>
      </c>
      <c r="Q110" s="49">
        <f t="shared" si="73"/>
        <v>-7.9259259259259096</v>
      </c>
      <c r="R110" s="494">
        <f t="shared" si="74"/>
        <v>0.90488888888888908</v>
      </c>
      <c r="S110" s="707"/>
      <c r="T110" s="230">
        <v>0.53819444444444442</v>
      </c>
      <c r="U110" s="230">
        <v>0.56944444444444442</v>
      </c>
      <c r="V110" s="231">
        <v>7</v>
      </c>
      <c r="W110" s="487">
        <f t="shared" si="70"/>
        <v>45</v>
      </c>
      <c r="X110" s="191"/>
      <c r="Y110" s="191"/>
      <c r="Z110" s="54"/>
      <c r="AA110" s="54"/>
      <c r="AB110" s="658"/>
      <c r="AC110" s="658"/>
      <c r="AD110" s="504"/>
      <c r="AE110" s="504"/>
      <c r="AF110" s="48">
        <f t="shared" si="61"/>
        <v>-142.66666666666652</v>
      </c>
      <c r="AG110" s="126">
        <f t="shared" si="62"/>
        <v>0.90488888888888896</v>
      </c>
      <c r="AH110" s="681"/>
    </row>
    <row r="111" spans="1:34" ht="19.2" customHeight="1">
      <c r="A111" s="704"/>
      <c r="B111" s="490" t="s">
        <v>185</v>
      </c>
      <c r="C111" s="178"/>
      <c r="D111" s="42" t="s">
        <v>308</v>
      </c>
      <c r="E111" s="180"/>
      <c r="F111" s="361">
        <v>50.67</v>
      </c>
      <c r="G111" s="57">
        <v>1847</v>
      </c>
      <c r="H111" s="45">
        <f t="shared" si="75"/>
        <v>93587.49</v>
      </c>
      <c r="I111" s="490"/>
      <c r="J111" s="46">
        <v>18</v>
      </c>
      <c r="K111" s="44">
        <v>1500</v>
      </c>
      <c r="L111" s="47">
        <v>83.333333333333329</v>
      </c>
      <c r="M111" s="232">
        <v>18</v>
      </c>
      <c r="N111" s="44">
        <f t="shared" si="76"/>
        <v>1351.4634146341459</v>
      </c>
      <c r="O111" s="47">
        <f t="shared" si="77"/>
        <v>75.081300813008113</v>
      </c>
      <c r="P111" s="48">
        <f t="shared" si="72"/>
        <v>0</v>
      </c>
      <c r="Q111" s="49">
        <f t="shared" si="73"/>
        <v>-8.2520325203252156</v>
      </c>
      <c r="R111" s="494">
        <f t="shared" si="74"/>
        <v>0.90097560975609736</v>
      </c>
      <c r="S111" s="707"/>
      <c r="T111" s="230">
        <v>0.58472222222222214</v>
      </c>
      <c r="U111" s="230">
        <v>0.64166666666666661</v>
      </c>
      <c r="V111" s="231">
        <v>22</v>
      </c>
      <c r="W111" s="487">
        <f t="shared" si="70"/>
        <v>82.000000000000028</v>
      </c>
      <c r="X111" s="53">
        <v>0.57291666666666663</v>
      </c>
      <c r="Y111" s="53">
        <v>0.58194444444444449</v>
      </c>
      <c r="Z111" s="54"/>
      <c r="AA111" s="54"/>
      <c r="AB111" s="658"/>
      <c r="AC111" s="658"/>
      <c r="AD111" s="504"/>
      <c r="AE111" s="504"/>
      <c r="AF111" s="48">
        <f t="shared" si="61"/>
        <v>-148.53658536585408</v>
      </c>
      <c r="AG111" s="126">
        <f t="shared" si="62"/>
        <v>0.90097560975609725</v>
      </c>
      <c r="AH111" s="681"/>
    </row>
    <row r="112" spans="1:34" ht="19.2" customHeight="1">
      <c r="A112" s="704"/>
      <c r="B112" s="490" t="s">
        <v>185</v>
      </c>
      <c r="C112" s="178"/>
      <c r="D112" s="179" t="s">
        <v>106</v>
      </c>
      <c r="E112" s="180"/>
      <c r="F112" s="361">
        <v>55.32</v>
      </c>
      <c r="G112" s="57">
        <v>603</v>
      </c>
      <c r="H112" s="45">
        <f t="shared" si="75"/>
        <v>33357.96</v>
      </c>
      <c r="I112" s="504"/>
      <c r="J112" s="46">
        <v>14</v>
      </c>
      <c r="K112" s="44">
        <v>1440</v>
      </c>
      <c r="L112" s="47">
        <v>102.85714285714286</v>
      </c>
      <c r="M112" s="232">
        <v>15</v>
      </c>
      <c r="N112" s="44">
        <f t="shared" si="76"/>
        <v>1247.5862068965494</v>
      </c>
      <c r="O112" s="47">
        <f t="shared" si="77"/>
        <v>83.172413793103289</v>
      </c>
      <c r="P112" s="48">
        <f t="shared" si="72"/>
        <v>1</v>
      </c>
      <c r="Q112" s="49">
        <f t="shared" si="73"/>
        <v>-19.684729064039573</v>
      </c>
      <c r="R112" s="494">
        <f t="shared" si="74"/>
        <v>0.80862068965517087</v>
      </c>
      <c r="S112" s="707"/>
      <c r="T112" s="230">
        <v>0.70833333333333337</v>
      </c>
      <c r="U112" s="230">
        <v>0.7284722222222223</v>
      </c>
      <c r="V112" s="231">
        <v>5</v>
      </c>
      <c r="W112" s="487">
        <f t="shared" si="70"/>
        <v>29.000000000000057</v>
      </c>
      <c r="X112" s="53"/>
      <c r="Y112" s="53"/>
      <c r="Z112" s="54"/>
      <c r="AA112" s="54"/>
      <c r="AB112" s="658"/>
      <c r="AC112" s="658"/>
      <c r="AD112" s="504"/>
      <c r="AE112" s="504"/>
      <c r="AF112" s="48">
        <f t="shared" si="61"/>
        <v>-192.41379310345064</v>
      </c>
      <c r="AG112" s="126">
        <f t="shared" si="62"/>
        <v>0.86637931034482596</v>
      </c>
      <c r="AH112" s="681"/>
    </row>
    <row r="113" spans="1:34" s="221" customFormat="1" ht="19.2" customHeight="1">
      <c r="A113" s="704"/>
      <c r="B113" s="490" t="s">
        <v>185</v>
      </c>
      <c r="C113" s="178"/>
      <c r="D113" s="179" t="s">
        <v>107</v>
      </c>
      <c r="E113" s="180"/>
      <c r="F113" s="361">
        <v>55.56</v>
      </c>
      <c r="G113" s="57">
        <v>942</v>
      </c>
      <c r="H113" s="45">
        <f t="shared" si="75"/>
        <v>52337.520000000004</v>
      </c>
      <c r="I113" s="504"/>
      <c r="J113" s="46">
        <v>16</v>
      </c>
      <c r="K113" s="44">
        <v>1440</v>
      </c>
      <c r="L113" s="47">
        <v>90</v>
      </c>
      <c r="M113" s="232">
        <v>16</v>
      </c>
      <c r="N113" s="44">
        <f t="shared" si="76"/>
        <v>1256</v>
      </c>
      <c r="O113" s="47">
        <f t="shared" si="77"/>
        <v>78.5</v>
      </c>
      <c r="P113" s="48">
        <f t="shared" si="72"/>
        <v>0</v>
      </c>
      <c r="Q113" s="49">
        <f t="shared" si="73"/>
        <v>-11.5</v>
      </c>
      <c r="R113" s="494">
        <f t="shared" si="74"/>
        <v>0.87222222222222223</v>
      </c>
      <c r="S113" s="707"/>
      <c r="T113" s="230">
        <v>0.73333333333333339</v>
      </c>
      <c r="U113" s="230">
        <v>0.76458333333333339</v>
      </c>
      <c r="V113" s="231">
        <v>7</v>
      </c>
      <c r="W113" s="487">
        <f t="shared" si="70"/>
        <v>45</v>
      </c>
      <c r="X113" s="219"/>
      <c r="Y113" s="219"/>
      <c r="Z113" s="220"/>
      <c r="AA113" s="220"/>
      <c r="AB113" s="658"/>
      <c r="AC113" s="658"/>
      <c r="AD113" s="224"/>
      <c r="AE113" s="224"/>
      <c r="AF113" s="48">
        <f t="shared" si="61"/>
        <v>-184</v>
      </c>
      <c r="AG113" s="126">
        <f t="shared" si="62"/>
        <v>0.87222222222222223</v>
      </c>
      <c r="AH113" s="681"/>
    </row>
    <row r="114" spans="1:34" s="221" customFormat="1" ht="19.2" customHeight="1">
      <c r="A114" s="704"/>
      <c r="B114" s="490" t="s">
        <v>185</v>
      </c>
      <c r="C114" s="178"/>
      <c r="D114" s="179" t="s">
        <v>105</v>
      </c>
      <c r="E114" s="180"/>
      <c r="F114" s="361">
        <v>54.29</v>
      </c>
      <c r="G114" s="57">
        <v>773</v>
      </c>
      <c r="H114" s="45">
        <f t="shared" si="75"/>
        <v>41966.17</v>
      </c>
      <c r="I114" s="504"/>
      <c r="J114" s="46">
        <v>15</v>
      </c>
      <c r="K114" s="44">
        <v>1440</v>
      </c>
      <c r="L114" s="47">
        <v>96</v>
      </c>
      <c r="M114" s="232">
        <v>15</v>
      </c>
      <c r="N114" s="44">
        <f t="shared" si="76"/>
        <v>1253.5135135135126</v>
      </c>
      <c r="O114" s="47">
        <f t="shared" si="77"/>
        <v>83.567567567567508</v>
      </c>
      <c r="P114" s="48">
        <f t="shared" si="72"/>
        <v>0</v>
      </c>
      <c r="Q114" s="49">
        <f t="shared" si="73"/>
        <v>-12.432432432432492</v>
      </c>
      <c r="R114" s="494">
        <f t="shared" si="74"/>
        <v>0.87049549549549488</v>
      </c>
      <c r="S114" s="707"/>
      <c r="T114" s="230">
        <v>0.7680555555555556</v>
      </c>
      <c r="U114" s="230">
        <v>0.79375000000000007</v>
      </c>
      <c r="V114" s="231">
        <v>5</v>
      </c>
      <c r="W114" s="487">
        <f t="shared" si="70"/>
        <v>37.000000000000028</v>
      </c>
      <c r="X114" s="219"/>
      <c r="Y114" s="219"/>
      <c r="Z114" s="220"/>
      <c r="AA114" s="220"/>
      <c r="AB114" s="658"/>
      <c r="AC114" s="658"/>
      <c r="AD114" s="224"/>
      <c r="AE114" s="224"/>
      <c r="AF114" s="48">
        <f t="shared" si="61"/>
        <v>-186.48648648648737</v>
      </c>
      <c r="AG114" s="126">
        <f t="shared" si="62"/>
        <v>0.87049549549549488</v>
      </c>
      <c r="AH114" s="681"/>
    </row>
    <row r="115" spans="1:34" s="221" customFormat="1" ht="19.2" customHeight="1">
      <c r="A115" s="704"/>
      <c r="B115" s="490" t="s">
        <v>184</v>
      </c>
      <c r="C115" s="178"/>
      <c r="D115" s="179" t="s">
        <v>259</v>
      </c>
      <c r="E115" s="180"/>
      <c r="F115" s="361">
        <v>20.170000000000002</v>
      </c>
      <c r="G115" s="177">
        <v>469</v>
      </c>
      <c r="H115" s="45">
        <f t="shared" si="75"/>
        <v>9459.7300000000014</v>
      </c>
      <c r="I115" s="504"/>
      <c r="J115" s="46">
        <v>12</v>
      </c>
      <c r="K115" s="44">
        <v>1500</v>
      </c>
      <c r="L115" s="47">
        <v>125</v>
      </c>
      <c r="M115" s="488">
        <v>12</v>
      </c>
      <c r="N115" s="44">
        <f t="shared" si="76"/>
        <v>1279.0909090909042</v>
      </c>
      <c r="O115" s="47">
        <f t="shared" si="77"/>
        <v>106.59090909090868</v>
      </c>
      <c r="P115" s="48">
        <f t="shared" si="72"/>
        <v>0</v>
      </c>
      <c r="Q115" s="49">
        <f t="shared" si="73"/>
        <v>-18.409090909091319</v>
      </c>
      <c r="R115" s="494">
        <f t="shared" si="74"/>
        <v>0.85272727272726945</v>
      </c>
      <c r="S115" s="707"/>
      <c r="T115" s="230">
        <v>0.80972222222222223</v>
      </c>
      <c r="U115" s="230">
        <v>0.82500000000000007</v>
      </c>
      <c r="V115" s="231">
        <v>23</v>
      </c>
      <c r="W115" s="487">
        <f t="shared" si="70"/>
        <v>22.000000000000082</v>
      </c>
      <c r="X115" s="219">
        <v>0.79722222222222217</v>
      </c>
      <c r="Y115" s="219">
        <v>0.80972222222222223</v>
      </c>
      <c r="Z115" s="220"/>
      <c r="AA115" s="220"/>
      <c r="AB115" s="658"/>
      <c r="AC115" s="658"/>
      <c r="AD115" s="224"/>
      <c r="AE115" s="224">
        <v>2</v>
      </c>
      <c r="AF115" s="48">
        <f t="shared" si="61"/>
        <v>-220.90909090909577</v>
      </c>
      <c r="AG115" s="126">
        <f t="shared" si="62"/>
        <v>0.85272727272726945</v>
      </c>
      <c r="AH115" s="681"/>
    </row>
    <row r="116" spans="1:34" s="221" customFormat="1" ht="19.2" customHeight="1">
      <c r="A116" s="704"/>
      <c r="B116" s="490" t="s">
        <v>184</v>
      </c>
      <c r="C116" s="55"/>
      <c r="D116" s="82" t="s">
        <v>309</v>
      </c>
      <c r="E116" s="83"/>
      <c r="F116" s="361">
        <v>19.41</v>
      </c>
      <c r="G116" s="57">
        <v>1705</v>
      </c>
      <c r="H116" s="45">
        <f t="shared" si="75"/>
        <v>33094.050000000003</v>
      </c>
      <c r="I116" s="504"/>
      <c r="J116" s="46">
        <v>12</v>
      </c>
      <c r="K116" s="44">
        <v>1500</v>
      </c>
      <c r="L116" s="47">
        <v>125</v>
      </c>
      <c r="M116" s="493">
        <v>12</v>
      </c>
      <c r="N116" s="44">
        <f t="shared" si="76"/>
        <v>1203.5294117647077</v>
      </c>
      <c r="O116" s="47">
        <f t="shared" si="77"/>
        <v>100.29411764705897</v>
      </c>
      <c r="P116" s="48">
        <f t="shared" si="72"/>
        <v>0</v>
      </c>
      <c r="Q116" s="49">
        <f t="shared" si="73"/>
        <v>-24.705882352941032</v>
      </c>
      <c r="R116" s="494">
        <f t="shared" si="74"/>
        <v>0.80235294117647171</v>
      </c>
      <c r="S116" s="707"/>
      <c r="T116" s="230">
        <v>0.82986111111111116</v>
      </c>
      <c r="U116" s="230">
        <v>0.88888888888888884</v>
      </c>
      <c r="V116" s="231">
        <v>7</v>
      </c>
      <c r="W116" s="487">
        <f t="shared" si="70"/>
        <v>84.999999999999858</v>
      </c>
      <c r="X116" s="219"/>
      <c r="Y116" s="219"/>
      <c r="Z116" s="220"/>
      <c r="AA116" s="220"/>
      <c r="AB116" s="658"/>
      <c r="AC116" s="658"/>
      <c r="AD116" s="224"/>
      <c r="AE116" s="224"/>
      <c r="AF116" s="48">
        <f t="shared" si="61"/>
        <v>-296.47058823529233</v>
      </c>
      <c r="AG116" s="126">
        <f t="shared" si="62"/>
        <v>0.80235294117647182</v>
      </c>
      <c r="AH116" s="681"/>
    </row>
    <row r="117" spans="1:34" s="221" customFormat="1" ht="19.2" customHeight="1">
      <c r="A117" s="704"/>
      <c r="B117" s="490">
        <v>0</v>
      </c>
      <c r="C117" s="55"/>
      <c r="D117" s="179"/>
      <c r="E117" s="83"/>
      <c r="F117" s="361" t="s">
        <v>186</v>
      </c>
      <c r="G117" s="57"/>
      <c r="H117" s="45">
        <f t="shared" si="75"/>
        <v>0</v>
      </c>
      <c r="I117" s="504"/>
      <c r="J117" s="46"/>
      <c r="K117" s="44"/>
      <c r="L117" s="47"/>
      <c r="M117" s="493"/>
      <c r="N117" s="44"/>
      <c r="O117" s="47"/>
      <c r="P117" s="48"/>
      <c r="Q117" s="49"/>
      <c r="R117" s="494"/>
      <c r="S117" s="707"/>
      <c r="T117" s="230"/>
      <c r="U117" s="230"/>
      <c r="V117" s="231"/>
      <c r="W117" s="487"/>
      <c r="X117" s="219"/>
      <c r="Y117" s="219"/>
      <c r="Z117" s="220"/>
      <c r="AA117" s="220"/>
      <c r="AB117" s="658"/>
      <c r="AC117" s="658"/>
      <c r="AD117" s="224"/>
      <c r="AE117" s="224"/>
      <c r="AF117" s="48">
        <f t="shared" si="61"/>
        <v>0</v>
      </c>
      <c r="AG117" s="126" t="e">
        <f t="shared" si="62"/>
        <v>#DIV/0!</v>
      </c>
      <c r="AH117" s="681"/>
    </row>
    <row r="118" spans="1:34" s="221" customFormat="1" ht="19.2" customHeight="1">
      <c r="A118" s="704"/>
      <c r="B118" s="490">
        <v>0</v>
      </c>
      <c r="C118" s="166"/>
      <c r="D118" s="179"/>
      <c r="E118" s="43"/>
      <c r="F118" s="361" t="s">
        <v>186</v>
      </c>
      <c r="G118" s="44"/>
      <c r="H118" s="45">
        <f t="shared" si="75"/>
        <v>0</v>
      </c>
      <c r="I118" s="504"/>
      <c r="J118" s="46"/>
      <c r="K118" s="44"/>
      <c r="L118" s="47"/>
      <c r="M118" s="493"/>
      <c r="N118" s="44"/>
      <c r="O118" s="47"/>
      <c r="P118" s="48"/>
      <c r="Q118" s="49"/>
      <c r="R118" s="494"/>
      <c r="S118" s="707"/>
      <c r="T118" s="230"/>
      <c r="U118" s="230"/>
      <c r="V118" s="231"/>
      <c r="W118" s="487">
        <f t="shared" si="70"/>
        <v>0</v>
      </c>
      <c r="X118" s="219"/>
      <c r="Y118" s="219"/>
      <c r="Z118" s="220"/>
      <c r="AA118" s="220"/>
      <c r="AB118" s="658"/>
      <c r="AC118" s="658"/>
      <c r="AD118" s="224"/>
      <c r="AE118" s="224"/>
      <c r="AF118" s="48">
        <f t="shared" si="61"/>
        <v>0</v>
      </c>
      <c r="AG118" s="126" t="e">
        <f t="shared" si="62"/>
        <v>#DIV/0!</v>
      </c>
      <c r="AH118" s="681"/>
    </row>
    <row r="119" spans="1:34" s="221" customFormat="1" ht="19.2" customHeight="1">
      <c r="A119" s="704"/>
      <c r="B119" s="224">
        <v>0</v>
      </c>
      <c r="C119" s="226"/>
      <c r="D119" s="82"/>
      <c r="E119" s="83"/>
      <c r="F119" s="368" t="s">
        <v>186</v>
      </c>
      <c r="G119" s="233"/>
      <c r="H119" s="45">
        <f t="shared" si="75"/>
        <v>0</v>
      </c>
      <c r="I119" s="504"/>
      <c r="J119" s="181"/>
      <c r="K119" s="235"/>
      <c r="L119" s="47"/>
      <c r="M119" s="493"/>
      <c r="N119" s="182"/>
      <c r="O119" s="228"/>
      <c r="P119" s="168"/>
      <c r="Q119" s="49"/>
      <c r="R119" s="494"/>
      <c r="S119" s="707"/>
      <c r="T119" s="230"/>
      <c r="U119" s="230"/>
      <c r="V119" s="231"/>
      <c r="W119" s="487">
        <f t="shared" si="70"/>
        <v>0</v>
      </c>
      <c r="X119" s="219"/>
      <c r="Y119" s="219"/>
      <c r="Z119" s="220"/>
      <c r="AA119" s="220"/>
      <c r="AB119" s="658"/>
      <c r="AC119" s="658"/>
      <c r="AD119" s="224"/>
      <c r="AE119" s="224"/>
      <c r="AF119" s="48">
        <f t="shared" si="61"/>
        <v>0</v>
      </c>
      <c r="AG119" s="126" t="e">
        <f t="shared" si="62"/>
        <v>#DIV/0!</v>
      </c>
      <c r="AH119" s="681"/>
    </row>
    <row r="120" spans="1:34" s="221" customFormat="1" ht="19.2" customHeight="1">
      <c r="A120" s="704"/>
      <c r="B120" s="224">
        <v>0</v>
      </c>
      <c r="C120" s="226"/>
      <c r="D120" s="82"/>
      <c r="E120" s="83"/>
      <c r="F120" s="368" t="s">
        <v>186</v>
      </c>
      <c r="G120" s="233"/>
      <c r="H120" s="234">
        <f>F120*G120</f>
        <v>0</v>
      </c>
      <c r="I120" s="504"/>
      <c r="J120" s="181"/>
      <c r="K120" s="235"/>
      <c r="L120" s="47"/>
      <c r="M120" s="493"/>
      <c r="N120" s="182"/>
      <c r="O120" s="228"/>
      <c r="P120" s="168"/>
      <c r="Q120" s="49"/>
      <c r="R120" s="494"/>
      <c r="S120" s="707"/>
      <c r="T120" s="230"/>
      <c r="U120" s="230"/>
      <c r="V120" s="231"/>
      <c r="W120" s="487">
        <f t="shared" si="70"/>
        <v>0</v>
      </c>
      <c r="X120" s="219"/>
      <c r="Y120" s="219"/>
      <c r="Z120" s="220"/>
      <c r="AA120" s="220"/>
      <c r="AB120" s="658"/>
      <c r="AC120" s="658"/>
      <c r="AD120" s="224"/>
      <c r="AE120" s="224"/>
      <c r="AF120" s="48">
        <f t="shared" si="61"/>
        <v>0</v>
      </c>
      <c r="AG120" s="126" t="e">
        <f t="shared" si="62"/>
        <v>#DIV/0!</v>
      </c>
      <c r="AH120" s="681"/>
    </row>
    <row r="121" spans="1:34" ht="19.2" customHeight="1">
      <c r="A121" s="705"/>
      <c r="B121" s="122">
        <v>0</v>
      </c>
      <c r="C121" s="100" t="s">
        <v>367</v>
      </c>
      <c r="D121" s="236" t="s">
        <v>145</v>
      </c>
      <c r="E121" s="237"/>
      <c r="F121" s="370"/>
      <c r="G121" s="238"/>
      <c r="H121" s="239"/>
      <c r="I121" s="240"/>
      <c r="J121" s="205">
        <v>15.75</v>
      </c>
      <c r="K121" s="205">
        <v>1477.5</v>
      </c>
      <c r="L121" s="206">
        <v>97.11904761904762</v>
      </c>
      <c r="M121" s="205">
        <f t="shared" ref="J121:O121" si="78">AVERAGE(M109:M120)</f>
        <v>15.875</v>
      </c>
      <c r="N121" s="205">
        <f t="shared" si="78"/>
        <v>1287.3145986541442</v>
      </c>
      <c r="O121" s="206">
        <f t="shared" si="78"/>
        <v>83.362428825596041</v>
      </c>
      <c r="P121" s="48">
        <f t="shared" ref="P121:P130" si="79">M121-J121</f>
        <v>0.125</v>
      </c>
      <c r="Q121" s="49">
        <f t="shared" ref="Q121:Q130" si="80">O121-L121</f>
        <v>-13.75661879345158</v>
      </c>
      <c r="R121" s="175">
        <f t="shared" ref="R121:R130" si="81">O121/L121</f>
        <v>0.85835303031993959</v>
      </c>
      <c r="S121" s="686"/>
      <c r="T121" s="50"/>
      <c r="U121" s="50"/>
      <c r="V121" s="44"/>
      <c r="W121" s="487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58"/>
      <c r="AC121" s="658"/>
      <c r="AD121" s="107">
        <f>SUM(AD109:AD120)</f>
        <v>0</v>
      </c>
      <c r="AE121" s="107">
        <f>SUM(AE109:AE120)</f>
        <v>2</v>
      </c>
      <c r="AF121" s="48">
        <f>N121-K121</f>
        <v>-190.18540134585578</v>
      </c>
      <c r="AG121" s="126">
        <f>N121/K121</f>
        <v>0.87127891617877784</v>
      </c>
      <c r="AH121" s="681"/>
    </row>
    <row r="122" spans="1:34" ht="19.2" customHeight="1">
      <c r="A122" s="708" t="s">
        <v>252</v>
      </c>
      <c r="B122" s="131" t="s">
        <v>181</v>
      </c>
      <c r="C122" s="166"/>
      <c r="D122" s="179" t="s">
        <v>110</v>
      </c>
      <c r="E122" s="43"/>
      <c r="F122" s="361">
        <v>58.67</v>
      </c>
      <c r="G122" s="44">
        <v>1591</v>
      </c>
      <c r="H122" s="45">
        <f t="shared" ref="H122:H132" si="82">F122*G122</f>
        <v>93343.97</v>
      </c>
      <c r="I122" s="490"/>
      <c r="J122" s="46">
        <v>19</v>
      </c>
      <c r="K122" s="44">
        <v>1440</v>
      </c>
      <c r="L122" s="47">
        <v>75.78947368421052</v>
      </c>
      <c r="M122" s="488">
        <v>19</v>
      </c>
      <c r="N122" s="177">
        <f t="shared" ref="N122:N130" si="83">G122/W122*60</f>
        <v>1325.8333333333321</v>
      </c>
      <c r="O122" s="241">
        <f t="shared" ref="O122:O130" si="84">N122/M122</f>
        <v>69.780701754385902</v>
      </c>
      <c r="P122" s="108">
        <f t="shared" si="79"/>
        <v>0</v>
      </c>
      <c r="Q122" s="185">
        <f t="shared" si="80"/>
        <v>-6.0087719298246185</v>
      </c>
      <c r="R122" s="109">
        <f t="shared" si="81"/>
        <v>0.92071759259259178</v>
      </c>
      <c r="S122" s="672">
        <f>R134</f>
        <v>0.8986871706952454</v>
      </c>
      <c r="T122" s="50">
        <v>0.5</v>
      </c>
      <c r="U122" s="50">
        <v>0.55000000000000004</v>
      </c>
      <c r="V122" s="231">
        <v>5</v>
      </c>
      <c r="W122" s="487">
        <f t="shared" si="70"/>
        <v>72.000000000000057</v>
      </c>
      <c r="X122" s="53"/>
      <c r="Y122" s="53"/>
      <c r="Z122" s="54"/>
      <c r="AA122" s="54"/>
      <c r="AB122" s="658"/>
      <c r="AC122" s="658"/>
      <c r="AD122" s="504"/>
      <c r="AE122" s="504"/>
      <c r="AF122" s="48">
        <f t="shared" si="61"/>
        <v>-114.16666666666788</v>
      </c>
      <c r="AG122" s="494">
        <f t="shared" si="62"/>
        <v>0.92071759259259178</v>
      </c>
      <c r="AH122" s="686">
        <f>AG134</f>
        <v>0.91149062187551733</v>
      </c>
    </row>
    <row r="123" spans="1:34" ht="19.2" customHeight="1">
      <c r="A123" s="708"/>
      <c r="B123" s="131" t="s">
        <v>181</v>
      </c>
      <c r="C123" s="97"/>
      <c r="D123" s="42" t="s">
        <v>109</v>
      </c>
      <c r="E123" s="180"/>
      <c r="F123" s="361">
        <v>59.52</v>
      </c>
      <c r="G123" s="44">
        <v>2269</v>
      </c>
      <c r="H123" s="45">
        <f t="shared" si="82"/>
        <v>135050.88</v>
      </c>
      <c r="I123" s="504"/>
      <c r="J123" s="87">
        <v>21</v>
      </c>
      <c r="K123" s="57">
        <v>1385</v>
      </c>
      <c r="L123" s="86">
        <v>65.952380952380949</v>
      </c>
      <c r="M123" s="493">
        <v>21</v>
      </c>
      <c r="N123" s="57">
        <f t="shared" si="83"/>
        <v>1296.5714285714294</v>
      </c>
      <c r="O123" s="86">
        <f t="shared" si="84"/>
        <v>61.741496598639493</v>
      </c>
      <c r="P123" s="54">
        <f t="shared" si="79"/>
        <v>0</v>
      </c>
      <c r="Q123" s="88">
        <f t="shared" si="80"/>
        <v>-4.2108843537414558</v>
      </c>
      <c r="R123" s="497">
        <f t="shared" si="81"/>
        <v>0.93615265600825226</v>
      </c>
      <c r="S123" s="672"/>
      <c r="T123" s="50">
        <v>0.56527777777777777</v>
      </c>
      <c r="U123" s="50">
        <v>0.6381944444444444</v>
      </c>
      <c r="V123" s="231">
        <v>22</v>
      </c>
      <c r="W123" s="487">
        <f>(U123-T123)*24*60</f>
        <v>104.99999999999994</v>
      </c>
      <c r="X123" s="53">
        <v>0.55347222222222225</v>
      </c>
      <c r="Y123" s="53">
        <v>0.5625</v>
      </c>
      <c r="Z123" s="54"/>
      <c r="AA123" s="54"/>
      <c r="AB123" s="658"/>
      <c r="AC123" s="658"/>
      <c r="AD123" s="504"/>
      <c r="AE123" s="504"/>
      <c r="AF123" s="48">
        <f t="shared" si="61"/>
        <v>-88.428571428570649</v>
      </c>
      <c r="AG123" s="494">
        <f t="shared" si="62"/>
        <v>0.93615265600825226</v>
      </c>
      <c r="AH123" s="672"/>
    </row>
    <row r="124" spans="1:34" ht="19.2" customHeight="1">
      <c r="A124" s="708"/>
      <c r="B124" s="131" t="s">
        <v>185</v>
      </c>
      <c r="C124" s="178"/>
      <c r="D124" s="179" t="s">
        <v>111</v>
      </c>
      <c r="E124" s="180"/>
      <c r="F124" s="361">
        <v>56.79</v>
      </c>
      <c r="G124" s="177">
        <v>1570</v>
      </c>
      <c r="H124" s="45">
        <f t="shared" si="82"/>
        <v>89160.3</v>
      </c>
      <c r="I124" s="242"/>
      <c r="J124" s="87">
        <v>18</v>
      </c>
      <c r="K124" s="57">
        <v>1636</v>
      </c>
      <c r="L124" s="86">
        <v>90.888888888888886</v>
      </c>
      <c r="M124" s="488">
        <v>18</v>
      </c>
      <c r="N124" s="177">
        <f t="shared" si="83"/>
        <v>1544.2622950819687</v>
      </c>
      <c r="O124" s="241">
        <f t="shared" si="84"/>
        <v>85.792349726776038</v>
      </c>
      <c r="P124" s="108">
        <f t="shared" si="79"/>
        <v>0</v>
      </c>
      <c r="Q124" s="185">
        <f t="shared" si="80"/>
        <v>-5.0965391621128475</v>
      </c>
      <c r="R124" s="109">
        <f t="shared" si="81"/>
        <v>0.94392560824081218</v>
      </c>
      <c r="S124" s="709"/>
      <c r="T124" s="50">
        <v>0.70833333333333337</v>
      </c>
      <c r="U124" s="50">
        <v>0.75069444444444444</v>
      </c>
      <c r="V124" s="231">
        <v>5</v>
      </c>
      <c r="W124" s="243">
        <f>(U124-T124)*24*60</f>
        <v>60.999999999999943</v>
      </c>
      <c r="X124" s="191"/>
      <c r="Y124" s="191"/>
      <c r="Z124" s="54"/>
      <c r="AA124" s="54"/>
      <c r="AB124" s="658"/>
      <c r="AC124" s="658"/>
      <c r="AD124" s="504"/>
      <c r="AE124" s="504"/>
      <c r="AF124" s="108">
        <f t="shared" si="61"/>
        <v>-91.737704918031341</v>
      </c>
      <c r="AG124" s="109">
        <f t="shared" si="62"/>
        <v>0.94392560824081218</v>
      </c>
      <c r="AH124" s="672"/>
    </row>
    <row r="125" spans="1:34" ht="19.2" customHeight="1">
      <c r="A125" s="708"/>
      <c r="B125" s="131" t="s">
        <v>185</v>
      </c>
      <c r="C125" s="97"/>
      <c r="D125" s="42" t="s">
        <v>112</v>
      </c>
      <c r="E125" s="43"/>
      <c r="F125" s="361">
        <v>56.87</v>
      </c>
      <c r="G125" s="44">
        <v>1120</v>
      </c>
      <c r="H125" s="45">
        <f t="shared" si="82"/>
        <v>63694.399999999994</v>
      </c>
      <c r="I125" s="490"/>
      <c r="J125" s="87">
        <v>18</v>
      </c>
      <c r="K125" s="57">
        <v>1636</v>
      </c>
      <c r="L125" s="86">
        <v>90.888888888888886</v>
      </c>
      <c r="M125" s="488">
        <v>18</v>
      </c>
      <c r="N125" s="57">
        <f t="shared" si="83"/>
        <v>1527.2727272727273</v>
      </c>
      <c r="O125" s="86">
        <f t="shared" si="84"/>
        <v>84.848484848484844</v>
      </c>
      <c r="P125" s="54">
        <f t="shared" si="79"/>
        <v>0</v>
      </c>
      <c r="Q125" s="88">
        <f t="shared" si="80"/>
        <v>-6.0404040404040416</v>
      </c>
      <c r="R125" s="497">
        <f t="shared" si="81"/>
        <v>0.93354078684152031</v>
      </c>
      <c r="S125" s="709"/>
      <c r="T125" s="50">
        <v>0.75486111111111109</v>
      </c>
      <c r="U125" s="50">
        <v>0.78541666666666665</v>
      </c>
      <c r="V125" s="231">
        <v>6</v>
      </c>
      <c r="W125" s="243">
        <f t="shared" ref="W125:W133" si="85">(U125-T125)*24*60</f>
        <v>44</v>
      </c>
      <c r="X125" s="64"/>
      <c r="Y125" s="64"/>
      <c r="Z125" s="54"/>
      <c r="AA125" s="54"/>
      <c r="AB125" s="658"/>
      <c r="AC125" s="658"/>
      <c r="AD125" s="504"/>
      <c r="AE125" s="504"/>
      <c r="AF125" s="48">
        <f t="shared" si="61"/>
        <v>-108.72727272727275</v>
      </c>
      <c r="AG125" s="494">
        <f t="shared" si="62"/>
        <v>0.93354078684152031</v>
      </c>
      <c r="AH125" s="673"/>
    </row>
    <row r="126" spans="1:34" ht="19.2" customHeight="1">
      <c r="A126" s="708"/>
      <c r="B126" s="131" t="s">
        <v>185</v>
      </c>
      <c r="C126" s="504"/>
      <c r="D126" s="42" t="s">
        <v>113</v>
      </c>
      <c r="E126" s="180"/>
      <c r="F126" s="361">
        <v>54.09</v>
      </c>
      <c r="G126" s="57">
        <v>1033</v>
      </c>
      <c r="H126" s="45">
        <f t="shared" si="82"/>
        <v>55874.97</v>
      </c>
      <c r="I126" s="504"/>
      <c r="J126" s="87">
        <v>17</v>
      </c>
      <c r="K126" s="57">
        <v>1565</v>
      </c>
      <c r="L126" s="86">
        <v>92.058823529411768</v>
      </c>
      <c r="M126" s="493">
        <v>18</v>
      </c>
      <c r="N126" s="57">
        <f t="shared" si="83"/>
        <v>1377.3333333333333</v>
      </c>
      <c r="O126" s="86">
        <f t="shared" si="84"/>
        <v>76.518518518518519</v>
      </c>
      <c r="P126" s="54">
        <f t="shared" si="79"/>
        <v>1</v>
      </c>
      <c r="Q126" s="88">
        <f t="shared" si="80"/>
        <v>-15.540305010893249</v>
      </c>
      <c r="R126" s="497">
        <f t="shared" si="81"/>
        <v>0.83119157496154294</v>
      </c>
      <c r="S126" s="709"/>
      <c r="T126" s="50">
        <v>0.79027777777777775</v>
      </c>
      <c r="U126" s="50">
        <v>0.82152777777777775</v>
      </c>
      <c r="V126" s="231">
        <v>7</v>
      </c>
      <c r="W126" s="243">
        <f t="shared" si="85"/>
        <v>45</v>
      </c>
      <c r="X126" s="64"/>
      <c r="Y126" s="64"/>
      <c r="Z126" s="54"/>
      <c r="AA126" s="54"/>
      <c r="AB126" s="658"/>
      <c r="AC126" s="658"/>
      <c r="AD126" s="504"/>
      <c r="AE126" s="504"/>
      <c r="AF126" s="108">
        <f t="shared" si="61"/>
        <v>-187.66666666666674</v>
      </c>
      <c r="AG126" s="109">
        <f t="shared" si="62"/>
        <v>0.88008519701810428</v>
      </c>
      <c r="AH126" s="673"/>
    </row>
    <row r="127" spans="1:34" ht="19.2" customHeight="1">
      <c r="A127" s="708"/>
      <c r="B127" s="131" t="s">
        <v>185</v>
      </c>
      <c r="C127" s="226"/>
      <c r="D127" s="82" t="s">
        <v>114</v>
      </c>
      <c r="E127" s="83"/>
      <c r="F127" s="361">
        <v>47.6</v>
      </c>
      <c r="G127" s="212">
        <v>1555</v>
      </c>
      <c r="H127" s="45">
        <f t="shared" si="82"/>
        <v>74018</v>
      </c>
      <c r="I127" s="224"/>
      <c r="J127" s="87">
        <v>19</v>
      </c>
      <c r="K127" s="57">
        <v>1440</v>
      </c>
      <c r="L127" s="86">
        <v>75.78947368421052</v>
      </c>
      <c r="M127" s="488">
        <v>19</v>
      </c>
      <c r="N127" s="177">
        <f t="shared" si="83"/>
        <v>1352.1739130434769</v>
      </c>
      <c r="O127" s="241">
        <f t="shared" si="84"/>
        <v>71.167048054919832</v>
      </c>
      <c r="P127" s="108">
        <f t="shared" si="79"/>
        <v>0</v>
      </c>
      <c r="Q127" s="185">
        <f t="shared" si="80"/>
        <v>-4.6224256292906887</v>
      </c>
      <c r="R127" s="109">
        <f t="shared" si="81"/>
        <v>0.93900966183574786</v>
      </c>
      <c r="S127" s="709"/>
      <c r="T127" s="50">
        <v>0.83680555555555547</v>
      </c>
      <c r="U127" s="50">
        <v>0.88472222222222219</v>
      </c>
      <c r="V127" s="490">
        <v>22</v>
      </c>
      <c r="W127" s="243">
        <f t="shared" si="85"/>
        <v>69.000000000000071</v>
      </c>
      <c r="X127" s="64">
        <v>0.82500000000000007</v>
      </c>
      <c r="Y127" s="64">
        <v>0.8340277777777777</v>
      </c>
      <c r="Z127" s="54"/>
      <c r="AA127" s="54"/>
      <c r="AB127" s="658"/>
      <c r="AC127" s="658"/>
      <c r="AD127" s="504"/>
      <c r="AE127" s="504"/>
      <c r="AF127" s="108">
        <f t="shared" si="61"/>
        <v>-87.826086956523113</v>
      </c>
      <c r="AG127" s="109">
        <f t="shared" si="62"/>
        <v>0.93900966183574786</v>
      </c>
      <c r="AH127" s="673"/>
    </row>
    <row r="128" spans="1:34" ht="19.2" customHeight="1">
      <c r="A128" s="708"/>
      <c r="B128" s="131" t="s">
        <v>185</v>
      </c>
      <c r="C128" s="160"/>
      <c r="D128" s="59" t="s">
        <v>115</v>
      </c>
      <c r="E128" s="83"/>
      <c r="F128" s="361">
        <v>50.67</v>
      </c>
      <c r="G128" s="57">
        <v>329</v>
      </c>
      <c r="H128" s="45">
        <f t="shared" si="82"/>
        <v>16670.43</v>
      </c>
      <c r="I128" s="504"/>
      <c r="J128" s="87">
        <v>21</v>
      </c>
      <c r="K128" s="57">
        <v>1636</v>
      </c>
      <c r="L128" s="86">
        <v>77.904761904761898</v>
      </c>
      <c r="M128" s="87">
        <v>21</v>
      </c>
      <c r="N128" s="57">
        <f t="shared" si="83"/>
        <v>1316.0000000000048</v>
      </c>
      <c r="O128" s="86">
        <f t="shared" si="84"/>
        <v>62.666666666666892</v>
      </c>
      <c r="P128" s="54">
        <f t="shared" si="79"/>
        <v>0</v>
      </c>
      <c r="Q128" s="88">
        <f t="shared" si="80"/>
        <v>-15.238095238095006</v>
      </c>
      <c r="R128" s="497">
        <f t="shared" si="81"/>
        <v>0.80440097799511301</v>
      </c>
      <c r="S128" s="709"/>
      <c r="T128" s="50">
        <v>0.88958333333333328</v>
      </c>
      <c r="U128" s="50">
        <v>0.89999999999999991</v>
      </c>
      <c r="V128" s="490">
        <v>7</v>
      </c>
      <c r="W128" s="243">
        <f t="shared" si="85"/>
        <v>14.999999999999947</v>
      </c>
      <c r="X128" s="64"/>
      <c r="Y128" s="64"/>
      <c r="Z128" s="54"/>
      <c r="AA128" s="54"/>
      <c r="AB128" s="658"/>
      <c r="AC128" s="658"/>
      <c r="AD128" s="504"/>
      <c r="AE128" s="504"/>
      <c r="AF128" s="108">
        <f t="shared" si="61"/>
        <v>-319.99999999999523</v>
      </c>
      <c r="AG128" s="109">
        <f t="shared" si="62"/>
        <v>0.8044009779951129</v>
      </c>
      <c r="AH128" s="673"/>
    </row>
    <row r="129" spans="1:34" ht="19.2" customHeight="1">
      <c r="A129" s="708"/>
      <c r="B129" s="131" t="s">
        <v>185</v>
      </c>
      <c r="C129" s="160"/>
      <c r="D129" s="59" t="s">
        <v>121</v>
      </c>
      <c r="E129" s="60"/>
      <c r="F129" s="361">
        <v>50.49</v>
      </c>
      <c r="G129" s="57">
        <v>1394</v>
      </c>
      <c r="H129" s="45">
        <f t="shared" si="82"/>
        <v>70383.06</v>
      </c>
      <c r="I129" s="504"/>
      <c r="J129" s="87">
        <v>14</v>
      </c>
      <c r="K129" s="57">
        <v>1440</v>
      </c>
      <c r="L129" s="86">
        <v>102.85714285714286</v>
      </c>
      <c r="M129" s="493">
        <v>15</v>
      </c>
      <c r="N129" s="57">
        <f t="shared" si="83"/>
        <v>1349.0322580645175</v>
      </c>
      <c r="O129" s="86">
        <f t="shared" si="84"/>
        <v>89.935483870967829</v>
      </c>
      <c r="P129" s="54">
        <f t="shared" si="79"/>
        <v>1</v>
      </c>
      <c r="Q129" s="88">
        <f t="shared" si="80"/>
        <v>-12.921658986175032</v>
      </c>
      <c r="R129" s="497">
        <f t="shared" si="81"/>
        <v>0.87437275985663165</v>
      </c>
      <c r="S129" s="709"/>
      <c r="T129" s="50">
        <v>0.90555555555555545</v>
      </c>
      <c r="U129" s="50">
        <v>0.94861111111111096</v>
      </c>
      <c r="V129" s="490">
        <v>8</v>
      </c>
      <c r="W129" s="243">
        <f t="shared" si="85"/>
        <v>61.999999999999943</v>
      </c>
      <c r="X129" s="64"/>
      <c r="Y129" s="64"/>
      <c r="Z129" s="54"/>
      <c r="AA129" s="54"/>
      <c r="AB129" s="658"/>
      <c r="AC129" s="658"/>
      <c r="AD129" s="504"/>
      <c r="AE129" s="504"/>
      <c r="AF129" s="108"/>
      <c r="AG129" s="109"/>
      <c r="AH129" s="673"/>
    </row>
    <row r="130" spans="1:34" ht="19.2" customHeight="1">
      <c r="A130" s="708"/>
      <c r="B130" s="203" t="s">
        <v>185</v>
      </c>
      <c r="C130" s="160"/>
      <c r="D130" s="59" t="s">
        <v>119</v>
      </c>
      <c r="E130" s="60"/>
      <c r="F130" s="361">
        <v>50.92</v>
      </c>
      <c r="G130" s="57">
        <v>441.40000000000003</v>
      </c>
      <c r="H130" s="45">
        <f t="shared" si="82"/>
        <v>22476.088000000003</v>
      </c>
      <c r="I130" s="504"/>
      <c r="J130" s="87">
        <v>19</v>
      </c>
      <c r="K130" s="57">
        <v>1440</v>
      </c>
      <c r="L130" s="86">
        <v>75.78947368421052</v>
      </c>
      <c r="M130" s="493">
        <v>19</v>
      </c>
      <c r="N130" s="177">
        <f t="shared" si="83"/>
        <v>1324.2000000000048</v>
      </c>
      <c r="O130" s="241">
        <f t="shared" si="84"/>
        <v>69.694736842105513</v>
      </c>
      <c r="P130" s="108">
        <f t="shared" si="79"/>
        <v>0</v>
      </c>
      <c r="Q130" s="185">
        <f t="shared" si="80"/>
        <v>-6.0947368421050072</v>
      </c>
      <c r="R130" s="109">
        <f t="shared" si="81"/>
        <v>0.91958333333333675</v>
      </c>
      <c r="S130" s="709"/>
      <c r="T130" s="50">
        <v>0.95277777777777761</v>
      </c>
      <c r="U130" s="50">
        <v>0.96666666666666645</v>
      </c>
      <c r="V130" s="490">
        <v>6</v>
      </c>
      <c r="W130" s="243">
        <f t="shared" si="85"/>
        <v>19.999999999999929</v>
      </c>
      <c r="X130" s="64"/>
      <c r="Y130" s="64"/>
      <c r="Z130" s="54"/>
      <c r="AA130" s="54"/>
      <c r="AB130" s="658"/>
      <c r="AC130" s="658"/>
      <c r="AD130" s="504"/>
      <c r="AE130" s="504"/>
      <c r="AF130" s="65"/>
      <c r="AG130" s="495"/>
      <c r="AH130" s="673"/>
    </row>
    <row r="131" spans="1:34" ht="19.2" customHeight="1">
      <c r="A131" s="708"/>
      <c r="B131" s="203">
        <v>0</v>
      </c>
      <c r="C131" s="160"/>
      <c r="D131" s="59"/>
      <c r="E131" s="83"/>
      <c r="F131" s="361" t="s">
        <v>186</v>
      </c>
      <c r="G131" s="212"/>
      <c r="H131" s="45">
        <f t="shared" si="82"/>
        <v>0</v>
      </c>
      <c r="I131" s="224"/>
      <c r="J131" s="87"/>
      <c r="K131" s="57"/>
      <c r="L131" s="86"/>
      <c r="M131" s="87"/>
      <c r="N131" s="57"/>
      <c r="O131" s="86"/>
      <c r="P131" s="54"/>
      <c r="Q131" s="88"/>
      <c r="R131" s="497"/>
      <c r="S131" s="709"/>
      <c r="T131" s="50"/>
      <c r="U131" s="50"/>
      <c r="V131" s="490"/>
      <c r="W131" s="243"/>
      <c r="X131" s="64"/>
      <c r="Y131" s="64"/>
      <c r="Z131" s="54"/>
      <c r="AA131" s="54"/>
      <c r="AB131" s="658"/>
      <c r="AC131" s="658"/>
      <c r="AD131" s="504"/>
      <c r="AE131" s="504"/>
      <c r="AF131" s="65"/>
      <c r="AG131" s="495"/>
      <c r="AH131" s="673"/>
    </row>
    <row r="132" spans="1:34" ht="19.2" customHeight="1">
      <c r="A132" s="708"/>
      <c r="B132" s="203">
        <v>0</v>
      </c>
      <c r="C132" s="160"/>
      <c r="D132" s="59"/>
      <c r="E132" s="60"/>
      <c r="F132" s="361" t="s">
        <v>186</v>
      </c>
      <c r="G132" s="57"/>
      <c r="H132" s="45">
        <f t="shared" si="82"/>
        <v>0</v>
      </c>
      <c r="I132" s="504"/>
      <c r="J132" s="87"/>
      <c r="K132" s="57"/>
      <c r="L132" s="86"/>
      <c r="M132" s="493"/>
      <c r="N132" s="57"/>
      <c r="O132" s="86"/>
      <c r="P132" s="54"/>
      <c r="Q132" s="88"/>
      <c r="R132" s="497"/>
      <c r="S132" s="709"/>
      <c r="T132" s="50"/>
      <c r="U132" s="50"/>
      <c r="V132" s="490"/>
      <c r="W132" s="243">
        <f t="shared" si="85"/>
        <v>0</v>
      </c>
      <c r="X132" s="64"/>
      <c r="Y132" s="64"/>
      <c r="Z132" s="54"/>
      <c r="AA132" s="54"/>
      <c r="AB132" s="658"/>
      <c r="AC132" s="658"/>
      <c r="AD132" s="504"/>
      <c r="AE132" s="504"/>
      <c r="AF132" s="65"/>
      <c r="AG132" s="495"/>
      <c r="AH132" s="673"/>
    </row>
    <row r="133" spans="1:34" ht="19.2" customHeight="1">
      <c r="A133" s="708"/>
      <c r="B133" s="203">
        <v>0</v>
      </c>
      <c r="C133" s="160"/>
      <c r="D133" s="59"/>
      <c r="E133" s="60"/>
      <c r="F133" s="374" t="s">
        <v>186</v>
      </c>
      <c r="G133" s="57"/>
      <c r="H133" s="244">
        <f>F133*G133</f>
        <v>0</v>
      </c>
      <c r="I133" s="504"/>
      <c r="J133" s="87"/>
      <c r="K133" s="57"/>
      <c r="L133" s="86"/>
      <c r="M133" s="493"/>
      <c r="N133" s="57"/>
      <c r="O133" s="86"/>
      <c r="P133" s="54"/>
      <c r="Q133" s="88"/>
      <c r="R133" s="497"/>
      <c r="S133" s="709"/>
      <c r="T133" s="50"/>
      <c r="U133" s="50"/>
      <c r="V133" s="490"/>
      <c r="W133" s="243">
        <f t="shared" si="85"/>
        <v>0</v>
      </c>
      <c r="X133" s="64"/>
      <c r="Y133" s="64"/>
      <c r="Z133" s="54"/>
      <c r="AA133" s="54"/>
      <c r="AB133" s="658"/>
      <c r="AC133" s="658"/>
      <c r="AD133" s="504"/>
      <c r="AE133" s="504"/>
      <c r="AF133" s="65"/>
      <c r="AG133" s="495"/>
      <c r="AH133" s="673"/>
    </row>
    <row r="134" spans="1:34" ht="19.2" customHeight="1">
      <c r="A134" s="708"/>
      <c r="B134" s="171">
        <v>0</v>
      </c>
      <c r="C134" s="100" t="s">
        <v>23</v>
      </c>
      <c r="D134" s="687" t="s">
        <v>145</v>
      </c>
      <c r="E134" s="687"/>
      <c r="F134" s="371"/>
      <c r="G134" s="101"/>
      <c r="H134" s="102"/>
      <c r="I134" s="245"/>
      <c r="J134" s="246">
        <v>18.444444444444443</v>
      </c>
      <c r="K134" s="246">
        <v>1513.1111111111111</v>
      </c>
      <c r="L134" s="247">
        <v>83.102145341567436</v>
      </c>
      <c r="M134" s="246">
        <f t="shared" ref="J134:O134" si="86">AVERAGE(M122:M133)</f>
        <v>18.666666666666668</v>
      </c>
      <c r="N134" s="246">
        <f t="shared" si="86"/>
        <v>1379.1865876334216</v>
      </c>
      <c r="O134" s="247">
        <f t="shared" si="86"/>
        <v>74.682831875718307</v>
      </c>
      <c r="P134" s="51">
        <f t="shared" ref="P134:P142" si="87">M134-J134</f>
        <v>0.22222222222222499</v>
      </c>
      <c r="Q134" s="142">
        <f t="shared" ref="Q134:Q142" si="88">O134-L134</f>
        <v>-8.4193134658491289</v>
      </c>
      <c r="R134" s="248">
        <f t="shared" ref="R134:R142" si="89">O134/L134</f>
        <v>0.8986871706952454</v>
      </c>
      <c r="S134" s="672"/>
      <c r="T134" s="50"/>
      <c r="U134" s="50"/>
      <c r="V134" s="490"/>
      <c r="W134" s="490"/>
      <c r="X134" s="53"/>
      <c r="Y134" s="53"/>
      <c r="Z134" s="106">
        <f>SUM(Z122:Z133)</f>
        <v>0</v>
      </c>
      <c r="AA134" s="106">
        <f>SUM(AA122:AA133)</f>
        <v>0</v>
      </c>
      <c r="AB134" s="658"/>
      <c r="AC134" s="658"/>
      <c r="AD134" s="107">
        <f>SUM(AD122:AD133)</f>
        <v>0</v>
      </c>
      <c r="AE134" s="107">
        <f>SUM(AE122:AE133)</f>
        <v>0</v>
      </c>
      <c r="AF134" s="48">
        <f t="shared" si="61"/>
        <v>-133.92452347768949</v>
      </c>
      <c r="AG134" s="494">
        <f t="shared" si="62"/>
        <v>0.91149062187551733</v>
      </c>
      <c r="AH134" s="673"/>
    </row>
    <row r="135" spans="1:34" ht="19.2" customHeight="1">
      <c r="A135" s="710" t="s">
        <v>253</v>
      </c>
      <c r="B135" s="490" t="s">
        <v>185</v>
      </c>
      <c r="C135" s="504"/>
      <c r="D135" s="82" t="s">
        <v>101</v>
      </c>
      <c r="E135" s="83"/>
      <c r="F135" s="361">
        <v>53.68</v>
      </c>
      <c r="G135" s="57">
        <v>1030</v>
      </c>
      <c r="H135" s="249">
        <f t="shared" ref="H135:H146" si="90">F135*G135</f>
        <v>55290.400000000001</v>
      </c>
      <c r="I135" s="504"/>
      <c r="J135" s="46">
        <v>16</v>
      </c>
      <c r="K135" s="57">
        <v>1500</v>
      </c>
      <c r="L135" s="86">
        <v>93.75</v>
      </c>
      <c r="M135" s="232">
        <v>16</v>
      </c>
      <c r="N135" s="57">
        <f t="shared" ref="N135:N142" si="91">G135/W135*60</f>
        <v>1373.3333333333333</v>
      </c>
      <c r="O135" s="116">
        <f t="shared" ref="O135:O142" si="92">N135/M135</f>
        <v>85.833333333333329</v>
      </c>
      <c r="P135" s="54">
        <f t="shared" si="87"/>
        <v>0</v>
      </c>
      <c r="Q135" s="88">
        <f t="shared" si="88"/>
        <v>-7.9166666666666714</v>
      </c>
      <c r="R135" s="497">
        <f t="shared" si="89"/>
        <v>0.91555555555555546</v>
      </c>
      <c r="S135" s="707">
        <f>R147</f>
        <v>0.92249983165681448</v>
      </c>
      <c r="T135" s="250">
        <v>0.5</v>
      </c>
      <c r="U135" s="50">
        <v>0.53125</v>
      </c>
      <c r="V135" s="145">
        <v>5</v>
      </c>
      <c r="W135" s="251">
        <f t="shared" ref="W135:W147" si="93">(U135-T135)*24*60</f>
        <v>45</v>
      </c>
      <c r="X135" s="492"/>
      <c r="Y135" s="492"/>
      <c r="Z135" s="54"/>
      <c r="AA135" s="54"/>
      <c r="AB135" s="658"/>
      <c r="AC135" s="658"/>
      <c r="AD135" s="504"/>
      <c r="AE135" s="504"/>
      <c r="AF135" s="117">
        <f t="shared" si="61"/>
        <v>-126.66666666666674</v>
      </c>
      <c r="AG135" s="121">
        <f t="shared" si="62"/>
        <v>0.91555555555555546</v>
      </c>
      <c r="AH135" s="681">
        <f>AG147</f>
        <v>0.92337125245786511</v>
      </c>
    </row>
    <row r="136" spans="1:34" ht="19.2" customHeight="1">
      <c r="A136" s="711"/>
      <c r="B136" s="490" t="s">
        <v>185</v>
      </c>
      <c r="C136" s="504"/>
      <c r="D136" s="82" t="s">
        <v>102</v>
      </c>
      <c r="E136" s="252"/>
      <c r="F136" s="361">
        <v>57.734999999999999</v>
      </c>
      <c r="G136" s="57">
        <v>1920</v>
      </c>
      <c r="H136" s="84">
        <f t="shared" si="90"/>
        <v>110851.2</v>
      </c>
      <c r="I136" s="504"/>
      <c r="J136" s="46">
        <v>16</v>
      </c>
      <c r="K136" s="57">
        <v>1565</v>
      </c>
      <c r="L136" s="86">
        <v>97.8125</v>
      </c>
      <c r="M136" s="493">
        <v>16</v>
      </c>
      <c r="N136" s="57">
        <f t="shared" si="91"/>
        <v>1387.9518072289152</v>
      </c>
      <c r="O136" s="86">
        <f t="shared" si="92"/>
        <v>86.746987951807199</v>
      </c>
      <c r="P136" s="54">
        <f t="shared" si="87"/>
        <v>0</v>
      </c>
      <c r="Q136" s="88">
        <f t="shared" si="88"/>
        <v>-11.065512048192801</v>
      </c>
      <c r="R136" s="497">
        <f t="shared" si="89"/>
        <v>0.88687016436352406</v>
      </c>
      <c r="S136" s="707"/>
      <c r="T136" s="250">
        <v>0.53611111111111109</v>
      </c>
      <c r="U136" s="50">
        <v>0.59375</v>
      </c>
      <c r="V136" s="145">
        <v>7</v>
      </c>
      <c r="W136" s="251">
        <f t="shared" si="93"/>
        <v>83.000000000000028</v>
      </c>
      <c r="X136" s="53"/>
      <c r="Y136" s="53"/>
      <c r="Z136" s="54"/>
      <c r="AA136" s="54"/>
      <c r="AB136" s="658"/>
      <c r="AC136" s="658"/>
      <c r="AD136" s="504"/>
      <c r="AE136" s="504"/>
      <c r="AF136" s="48">
        <f t="shared" si="61"/>
        <v>-177.04819277108481</v>
      </c>
      <c r="AG136" s="126">
        <f t="shared" si="62"/>
        <v>0.88687016436352406</v>
      </c>
      <c r="AH136" s="681"/>
    </row>
    <row r="137" spans="1:34" ht="19.2" customHeight="1">
      <c r="A137" s="711"/>
      <c r="B137" s="490" t="s">
        <v>185</v>
      </c>
      <c r="C137" s="504"/>
      <c r="D137" s="82" t="s">
        <v>116</v>
      </c>
      <c r="E137" s="83"/>
      <c r="F137" s="361">
        <v>50.67</v>
      </c>
      <c r="G137" s="212">
        <v>987</v>
      </c>
      <c r="H137" s="84">
        <f t="shared" si="90"/>
        <v>50011.29</v>
      </c>
      <c r="I137" s="224"/>
      <c r="J137" s="46">
        <v>17</v>
      </c>
      <c r="K137" s="44">
        <v>1500</v>
      </c>
      <c r="L137" s="47">
        <v>88.235294117647058</v>
      </c>
      <c r="M137" s="87">
        <v>17</v>
      </c>
      <c r="N137" s="57">
        <f t="shared" si="91"/>
        <v>1409.9999999999995</v>
      </c>
      <c r="O137" s="86">
        <f t="shared" si="92"/>
        <v>82.941176470588204</v>
      </c>
      <c r="P137" s="54">
        <f t="shared" si="87"/>
        <v>0</v>
      </c>
      <c r="Q137" s="88">
        <f t="shared" si="88"/>
        <v>-5.2941176470588545</v>
      </c>
      <c r="R137" s="497">
        <f t="shared" si="89"/>
        <v>0.93999999999999961</v>
      </c>
      <c r="S137" s="707"/>
      <c r="T137" s="50">
        <v>0.70833333333333337</v>
      </c>
      <c r="U137" s="50">
        <v>0.73750000000000004</v>
      </c>
      <c r="V137" s="253">
        <v>5</v>
      </c>
      <c r="W137" s="251">
        <f t="shared" si="93"/>
        <v>42.000000000000014</v>
      </c>
      <c r="X137" s="53"/>
      <c r="Y137" s="53"/>
      <c r="Z137" s="54"/>
      <c r="AA137" s="54"/>
      <c r="AB137" s="658"/>
      <c r="AC137" s="658"/>
      <c r="AD137" s="504"/>
      <c r="AE137" s="504"/>
      <c r="AF137" s="48">
        <f t="shared" si="61"/>
        <v>-90.000000000000455</v>
      </c>
      <c r="AG137" s="126">
        <f t="shared" si="62"/>
        <v>0.93999999999999972</v>
      </c>
      <c r="AH137" s="681"/>
    </row>
    <row r="138" spans="1:34" ht="19.2" customHeight="1">
      <c r="A138" s="711"/>
      <c r="B138" s="490" t="s">
        <v>185</v>
      </c>
      <c r="C138" s="226"/>
      <c r="D138" s="82" t="s">
        <v>117</v>
      </c>
      <c r="E138" s="83"/>
      <c r="F138" s="361">
        <v>50.98</v>
      </c>
      <c r="G138" s="57">
        <v>1815</v>
      </c>
      <c r="H138" s="84">
        <f t="shared" si="90"/>
        <v>92528.7</v>
      </c>
      <c r="I138" s="504"/>
      <c r="J138" s="87">
        <v>20</v>
      </c>
      <c r="K138" s="57">
        <v>1440</v>
      </c>
      <c r="L138" s="86">
        <v>72</v>
      </c>
      <c r="M138" s="232">
        <v>20</v>
      </c>
      <c r="N138" s="57">
        <f t="shared" si="91"/>
        <v>1328.0487804878044</v>
      </c>
      <c r="O138" s="86">
        <f t="shared" si="92"/>
        <v>66.402439024390219</v>
      </c>
      <c r="P138" s="54">
        <f t="shared" si="87"/>
        <v>0</v>
      </c>
      <c r="Q138" s="88">
        <f t="shared" si="88"/>
        <v>-5.5975609756097811</v>
      </c>
      <c r="R138" s="503">
        <f t="shared" si="89"/>
        <v>0.92225609756097526</v>
      </c>
      <c r="S138" s="707"/>
      <c r="T138" s="50">
        <v>0.74305555555555558</v>
      </c>
      <c r="U138" s="50">
        <v>0.8</v>
      </c>
      <c r="V138" s="253">
        <v>8</v>
      </c>
      <c r="W138" s="251">
        <f t="shared" si="93"/>
        <v>82.000000000000028</v>
      </c>
      <c r="X138" s="53"/>
      <c r="Y138" s="53"/>
      <c r="Z138" s="54"/>
      <c r="AA138" s="54"/>
      <c r="AB138" s="658"/>
      <c r="AC138" s="658"/>
      <c r="AD138" s="504"/>
      <c r="AE138" s="504"/>
      <c r="AF138" s="48">
        <f t="shared" si="61"/>
        <v>-111.95121951219562</v>
      </c>
      <c r="AG138" s="126">
        <f t="shared" si="62"/>
        <v>0.92225609756097526</v>
      </c>
      <c r="AH138" s="681"/>
    </row>
    <row r="139" spans="1:34" ht="19.2" customHeight="1">
      <c r="A139" s="711"/>
      <c r="B139" s="490" t="s">
        <v>185</v>
      </c>
      <c r="C139" s="500"/>
      <c r="D139" s="42" t="s">
        <v>118</v>
      </c>
      <c r="E139" s="43"/>
      <c r="F139" s="361">
        <v>54.09</v>
      </c>
      <c r="G139" s="57">
        <v>924</v>
      </c>
      <c r="H139" s="84">
        <f t="shared" si="90"/>
        <v>49979.16</v>
      </c>
      <c r="I139" s="504"/>
      <c r="J139" s="46">
        <v>19</v>
      </c>
      <c r="K139" s="44">
        <v>1500</v>
      </c>
      <c r="L139" s="47">
        <v>78.94736842105263</v>
      </c>
      <c r="M139" s="232">
        <v>19</v>
      </c>
      <c r="N139" s="57">
        <f t="shared" si="91"/>
        <v>1421.5384615384608</v>
      </c>
      <c r="O139" s="86">
        <f t="shared" si="92"/>
        <v>74.817813765182152</v>
      </c>
      <c r="P139" s="54">
        <f t="shared" si="87"/>
        <v>0</v>
      </c>
      <c r="Q139" s="88">
        <f t="shared" si="88"/>
        <v>-4.1295546558704785</v>
      </c>
      <c r="R139" s="497">
        <f t="shared" si="89"/>
        <v>0.94769230769230728</v>
      </c>
      <c r="S139" s="707"/>
      <c r="T139" s="50">
        <v>0.80486111111111114</v>
      </c>
      <c r="U139" s="50">
        <v>0.83194444444444449</v>
      </c>
      <c r="V139" s="254">
        <v>7</v>
      </c>
      <c r="W139" s="251">
        <f t="shared" si="93"/>
        <v>39.000000000000021</v>
      </c>
      <c r="X139" s="53"/>
      <c r="Y139" s="53"/>
      <c r="Z139" s="54"/>
      <c r="AA139" s="54"/>
      <c r="AB139" s="658"/>
      <c r="AC139" s="658"/>
      <c r="AD139" s="504"/>
      <c r="AE139" s="504"/>
      <c r="AF139" s="48">
        <f t="shared" si="61"/>
        <v>-78.461538461539249</v>
      </c>
      <c r="AG139" s="126">
        <f t="shared" si="62"/>
        <v>0.94769230769230717</v>
      </c>
      <c r="AH139" s="681"/>
    </row>
    <row r="140" spans="1:34" ht="19.2" customHeight="1">
      <c r="A140" s="712"/>
      <c r="B140" s="490" t="s">
        <v>185</v>
      </c>
      <c r="C140" s="500"/>
      <c r="D140" s="255" t="s">
        <v>119</v>
      </c>
      <c r="E140" s="83"/>
      <c r="F140" s="361">
        <v>50.92</v>
      </c>
      <c r="G140" s="57">
        <v>1765.6000000000001</v>
      </c>
      <c r="H140" s="84">
        <f t="shared" si="90"/>
        <v>89904.352000000014</v>
      </c>
      <c r="I140" s="504"/>
      <c r="J140" s="87">
        <v>19</v>
      </c>
      <c r="K140" s="57">
        <v>1440</v>
      </c>
      <c r="L140" s="86">
        <v>75.78947368421052</v>
      </c>
      <c r="M140" s="232">
        <v>19</v>
      </c>
      <c r="N140" s="57">
        <f t="shared" si="91"/>
        <v>1358.1538461538455</v>
      </c>
      <c r="O140" s="86">
        <f t="shared" si="92"/>
        <v>71.481781376518185</v>
      </c>
      <c r="P140" s="54">
        <f t="shared" si="87"/>
        <v>0</v>
      </c>
      <c r="Q140" s="88">
        <f t="shared" si="88"/>
        <v>-4.307692307692335</v>
      </c>
      <c r="R140" s="497">
        <f t="shared" si="89"/>
        <v>0.94316239316239281</v>
      </c>
      <c r="S140" s="714"/>
      <c r="T140" s="63">
        <v>0.84722222222222221</v>
      </c>
      <c r="U140" s="256">
        <v>0.90138888888888891</v>
      </c>
      <c r="V140" s="257">
        <v>22</v>
      </c>
      <c r="W140" s="251">
        <f t="shared" si="93"/>
        <v>78.000000000000043</v>
      </c>
      <c r="X140" s="53">
        <v>0.8354166666666667</v>
      </c>
      <c r="Y140" s="53">
        <v>0.84444444444444444</v>
      </c>
      <c r="Z140" s="54"/>
      <c r="AA140" s="54"/>
      <c r="AB140" s="658"/>
      <c r="AC140" s="658"/>
      <c r="AD140" s="504"/>
      <c r="AE140" s="504"/>
      <c r="AF140" s="48">
        <f t="shared" si="61"/>
        <v>-81.846153846154493</v>
      </c>
      <c r="AG140" s="126">
        <f t="shared" si="62"/>
        <v>0.9431623931623927</v>
      </c>
      <c r="AH140" s="681"/>
    </row>
    <row r="141" spans="1:34" ht="19.2" customHeight="1">
      <c r="A141" s="712"/>
      <c r="B141" s="490" t="s">
        <v>185</v>
      </c>
      <c r="C141" s="500"/>
      <c r="D141" s="42" t="s">
        <v>120</v>
      </c>
      <c r="E141" s="258"/>
      <c r="F141" s="361">
        <v>50.67</v>
      </c>
      <c r="G141" s="57">
        <v>1216</v>
      </c>
      <c r="H141" s="84">
        <f t="shared" si="90"/>
        <v>61614.720000000001</v>
      </c>
      <c r="I141" s="504"/>
      <c r="J141" s="46">
        <v>17</v>
      </c>
      <c r="K141" s="44">
        <v>1440</v>
      </c>
      <c r="L141" s="47">
        <v>84.705882352941174</v>
      </c>
      <c r="M141" s="232">
        <v>17</v>
      </c>
      <c r="N141" s="57">
        <f t="shared" si="91"/>
        <v>1326.5454545454554</v>
      </c>
      <c r="O141" s="86">
        <f t="shared" si="92"/>
        <v>78.032085561497382</v>
      </c>
      <c r="P141" s="54">
        <f t="shared" si="87"/>
        <v>0</v>
      </c>
      <c r="Q141" s="88">
        <f t="shared" si="88"/>
        <v>-6.6737967914437917</v>
      </c>
      <c r="R141" s="497">
        <f t="shared" si="89"/>
        <v>0.92121212121212193</v>
      </c>
      <c r="S141" s="714"/>
      <c r="T141" s="63">
        <v>0.90555555555555556</v>
      </c>
      <c r="U141" s="256">
        <v>0.94374999999999998</v>
      </c>
      <c r="V141" s="55">
        <v>6</v>
      </c>
      <c r="W141" s="251">
        <f t="shared" si="93"/>
        <v>54.999999999999964</v>
      </c>
      <c r="X141" s="53"/>
      <c r="Y141" s="53"/>
      <c r="Z141" s="54"/>
      <c r="AA141" s="54"/>
      <c r="AB141" s="658"/>
      <c r="AC141" s="658"/>
      <c r="AD141" s="504"/>
      <c r="AE141" s="504"/>
      <c r="AF141" s="48">
        <f t="shared" si="61"/>
        <v>-113.45454545454459</v>
      </c>
      <c r="AG141" s="126">
        <f t="shared" si="62"/>
        <v>0.92121212121212182</v>
      </c>
      <c r="AH141" s="681"/>
    </row>
    <row r="142" spans="1:34" ht="19.2" customHeight="1">
      <c r="A142" s="712"/>
      <c r="B142" s="490" t="s">
        <v>185</v>
      </c>
      <c r="C142" s="500"/>
      <c r="D142" s="42" t="s">
        <v>123</v>
      </c>
      <c r="E142" s="258"/>
      <c r="F142" s="361">
        <v>57.3</v>
      </c>
      <c r="G142" s="57">
        <v>1574</v>
      </c>
      <c r="H142" s="84">
        <f t="shared" si="90"/>
        <v>90190.2</v>
      </c>
      <c r="I142" s="504"/>
      <c r="J142" s="87">
        <v>18</v>
      </c>
      <c r="K142" s="57">
        <v>1500</v>
      </c>
      <c r="L142" s="86">
        <v>83.333333333333329</v>
      </c>
      <c r="M142" s="232">
        <v>18</v>
      </c>
      <c r="N142" s="57">
        <f t="shared" si="91"/>
        <v>1368.6956521739116</v>
      </c>
      <c r="O142" s="86">
        <f t="shared" si="92"/>
        <v>76.038647342995091</v>
      </c>
      <c r="P142" s="54">
        <f t="shared" si="87"/>
        <v>0</v>
      </c>
      <c r="Q142" s="88">
        <f t="shared" si="88"/>
        <v>-7.2946859903382375</v>
      </c>
      <c r="R142" s="497">
        <f t="shared" si="89"/>
        <v>0.9124637681159411</v>
      </c>
      <c r="S142" s="714"/>
      <c r="T142" s="63">
        <v>0.94861111111111107</v>
      </c>
      <c r="U142" s="256">
        <v>0.99652777777777779</v>
      </c>
      <c r="V142" s="55">
        <v>7</v>
      </c>
      <c r="W142" s="251">
        <f t="shared" si="93"/>
        <v>69.000000000000071</v>
      </c>
      <c r="X142" s="53"/>
      <c r="Y142" s="53"/>
      <c r="Z142" s="54"/>
      <c r="AA142" s="54"/>
      <c r="AB142" s="658"/>
      <c r="AC142" s="658"/>
      <c r="AD142" s="504"/>
      <c r="AE142" s="504"/>
      <c r="AF142" s="48">
        <f t="shared" si="61"/>
        <v>-131.30434782608836</v>
      </c>
      <c r="AG142" s="126">
        <f t="shared" si="62"/>
        <v>0.9124637681159411</v>
      </c>
      <c r="AH142" s="681"/>
    </row>
    <row r="143" spans="1:34" ht="19.2" customHeight="1">
      <c r="A143" s="712"/>
      <c r="B143" s="490">
        <v>0</v>
      </c>
      <c r="C143" s="259"/>
      <c r="D143" s="82"/>
      <c r="E143" s="83"/>
      <c r="F143" s="361" t="s">
        <v>186</v>
      </c>
      <c r="G143" s="57"/>
      <c r="H143" s="84">
        <f t="shared" si="90"/>
        <v>0</v>
      </c>
      <c r="I143" s="504"/>
      <c r="J143" s="46"/>
      <c r="K143" s="44"/>
      <c r="L143" s="47"/>
      <c r="M143" s="232"/>
      <c r="N143" s="57"/>
      <c r="O143" s="86"/>
      <c r="P143" s="54"/>
      <c r="Q143" s="88"/>
      <c r="R143" s="497"/>
      <c r="S143" s="714"/>
      <c r="T143" s="63"/>
      <c r="U143" s="256"/>
      <c r="V143" s="55"/>
      <c r="W143" s="251">
        <f t="shared" si="93"/>
        <v>0</v>
      </c>
      <c r="X143" s="53"/>
      <c r="Y143" s="53"/>
      <c r="Z143" s="54"/>
      <c r="AA143" s="54"/>
      <c r="AB143" s="658"/>
      <c r="AC143" s="658"/>
      <c r="AD143" s="504"/>
      <c r="AE143" s="504"/>
      <c r="AF143" s="48">
        <f t="shared" si="61"/>
        <v>0</v>
      </c>
      <c r="AG143" s="126" t="e">
        <f t="shared" si="62"/>
        <v>#DIV/0!</v>
      </c>
      <c r="AH143" s="681"/>
    </row>
    <row r="144" spans="1:34" ht="19.2" customHeight="1">
      <c r="A144" s="712"/>
      <c r="B144" s="490">
        <v>0</v>
      </c>
      <c r="C144" s="500"/>
      <c r="D144" s="42"/>
      <c r="E144" s="258"/>
      <c r="F144" s="361" t="s">
        <v>186</v>
      </c>
      <c r="G144" s="57"/>
      <c r="H144" s="84">
        <f t="shared" si="90"/>
        <v>0</v>
      </c>
      <c r="I144" s="504"/>
      <c r="J144" s="46"/>
      <c r="K144" s="57"/>
      <c r="L144" s="86"/>
      <c r="M144" s="493"/>
      <c r="N144" s="57"/>
      <c r="O144" s="86"/>
      <c r="P144" s="54"/>
      <c r="Q144" s="88"/>
      <c r="R144" s="503"/>
      <c r="S144" s="714"/>
      <c r="T144" s="63"/>
      <c r="U144" s="256"/>
      <c r="V144" s="55"/>
      <c r="W144" s="251">
        <f t="shared" si="93"/>
        <v>0</v>
      </c>
      <c r="X144" s="53"/>
      <c r="Y144" s="53"/>
      <c r="Z144" s="54"/>
      <c r="AA144" s="54"/>
      <c r="AB144" s="658"/>
      <c r="AC144" s="658"/>
      <c r="AD144" s="504"/>
      <c r="AE144" s="504"/>
      <c r="AF144" s="48">
        <f t="shared" si="61"/>
        <v>0</v>
      </c>
      <c r="AG144" s="126" t="e">
        <f t="shared" si="62"/>
        <v>#DIV/0!</v>
      </c>
      <c r="AH144" s="681"/>
    </row>
    <row r="145" spans="1:34" ht="19.2" customHeight="1">
      <c r="A145" s="712"/>
      <c r="B145" s="490">
        <v>0</v>
      </c>
      <c r="C145" s="500"/>
      <c r="D145" s="42"/>
      <c r="E145" s="258"/>
      <c r="F145" s="361" t="s">
        <v>186</v>
      </c>
      <c r="G145" s="57"/>
      <c r="H145" s="84">
        <f t="shared" si="90"/>
        <v>0</v>
      </c>
      <c r="I145" s="504"/>
      <c r="J145" s="87"/>
      <c r="K145" s="57"/>
      <c r="L145" s="86"/>
      <c r="M145" s="493"/>
      <c r="N145" s="57"/>
      <c r="O145" s="86"/>
      <c r="P145" s="54"/>
      <c r="Q145" s="88"/>
      <c r="R145" s="497"/>
      <c r="S145" s="714"/>
      <c r="T145" s="63"/>
      <c r="U145" s="256"/>
      <c r="V145" s="55"/>
      <c r="W145" s="251">
        <f t="shared" si="93"/>
        <v>0</v>
      </c>
      <c r="X145" s="53"/>
      <c r="Y145" s="53"/>
      <c r="Z145" s="54"/>
      <c r="AA145" s="54"/>
      <c r="AB145" s="658"/>
      <c r="AC145" s="658"/>
      <c r="AD145" s="504"/>
      <c r="AE145" s="504"/>
      <c r="AF145" s="48">
        <f t="shared" si="61"/>
        <v>0</v>
      </c>
      <c r="AG145" s="126" t="e">
        <f t="shared" si="62"/>
        <v>#DIV/0!</v>
      </c>
      <c r="AH145" s="681"/>
    </row>
    <row r="146" spans="1:34" ht="19.2" customHeight="1">
      <c r="A146" s="712"/>
      <c r="B146" s="492">
        <v>0</v>
      </c>
      <c r="C146" s="259"/>
      <c r="D146" s="260"/>
      <c r="E146" s="258"/>
      <c r="F146" s="361" t="s">
        <v>186</v>
      </c>
      <c r="G146" s="57"/>
      <c r="H146" s="84">
        <f t="shared" si="90"/>
        <v>0</v>
      </c>
      <c r="I146" s="504"/>
      <c r="J146" s="87"/>
      <c r="K146" s="57"/>
      <c r="L146" s="86"/>
      <c r="M146" s="493"/>
      <c r="N146" s="57"/>
      <c r="O146" s="86"/>
      <c r="P146" s="54"/>
      <c r="Q146" s="88"/>
      <c r="R146" s="497"/>
      <c r="S146" s="714"/>
      <c r="T146" s="63"/>
      <c r="U146" s="256"/>
      <c r="V146" s="55"/>
      <c r="W146" s="251">
        <f t="shared" si="93"/>
        <v>0</v>
      </c>
      <c r="X146" s="53"/>
      <c r="Y146" s="53"/>
      <c r="Z146" s="54"/>
      <c r="AA146" s="54"/>
      <c r="AB146" s="658"/>
      <c r="AC146" s="658"/>
      <c r="AD146" s="504"/>
      <c r="AE146" s="504"/>
      <c r="AF146" s="54"/>
      <c r="AG146" s="497"/>
      <c r="AH146" s="681"/>
    </row>
    <row r="147" spans="1:34" ht="19.2" customHeight="1">
      <c r="A147" s="713"/>
      <c r="B147" s="261">
        <v>0</v>
      </c>
      <c r="C147" s="100" t="s">
        <v>372</v>
      </c>
      <c r="D147" s="687" t="s">
        <v>145</v>
      </c>
      <c r="E147" s="687"/>
      <c r="F147" s="375"/>
      <c r="G147" s="101"/>
      <c r="H147" s="102"/>
      <c r="I147" s="103"/>
      <c r="J147" s="101">
        <v>17.75</v>
      </c>
      <c r="K147" s="101">
        <v>1485.625</v>
      </c>
      <c r="L147" s="104">
        <v>84.321731488648098</v>
      </c>
      <c r="M147" s="246">
        <f t="shared" ref="J147:O147" si="94">AVERAGE(M135:M146)</f>
        <v>17.75</v>
      </c>
      <c r="N147" s="246">
        <f t="shared" si="94"/>
        <v>1371.7834169327159</v>
      </c>
      <c r="O147" s="247">
        <f t="shared" si="94"/>
        <v>77.786783103288982</v>
      </c>
      <c r="P147" s="51">
        <f t="shared" ref="P147:P152" si="95">M147-J147</f>
        <v>0</v>
      </c>
      <c r="Q147" s="142">
        <f t="shared" ref="Q147:Q152" si="96">O147-L147</f>
        <v>-6.5349483853591153</v>
      </c>
      <c r="R147" s="262">
        <f t="shared" ref="R147:R152" si="97">O147/L147</f>
        <v>0.92249983165681448</v>
      </c>
      <c r="S147" s="715"/>
      <c r="T147" s="63"/>
      <c r="U147" s="63"/>
      <c r="V147" s="55"/>
      <c r="W147" s="487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58"/>
      <c r="AC147" s="658"/>
      <c r="AD147" s="107">
        <f>SUM(AD135:AD146)</f>
        <v>0</v>
      </c>
      <c r="AE147" s="107">
        <f>SUM(AE135:AE146)</f>
        <v>0</v>
      </c>
      <c r="AF147" s="207">
        <f t="shared" si="61"/>
        <v>-113.84158306728409</v>
      </c>
      <c r="AG147" s="263">
        <f t="shared" si="62"/>
        <v>0.92337125245786511</v>
      </c>
      <c r="AH147" s="681"/>
    </row>
    <row r="148" spans="1:34" ht="19.2" customHeight="1">
      <c r="A148" s="717" t="s">
        <v>254</v>
      </c>
      <c r="B148" s="504" t="s">
        <v>185</v>
      </c>
      <c r="C148" s="122"/>
      <c r="D148" s="176" t="s">
        <v>201</v>
      </c>
      <c r="E148" s="43"/>
      <c r="F148" s="368">
        <v>44.98</v>
      </c>
      <c r="G148" s="57">
        <v>2006</v>
      </c>
      <c r="H148" s="84">
        <f t="shared" ref="H148:H172" si="98">F148*G148</f>
        <v>90229.87999999999</v>
      </c>
      <c r="I148" s="264"/>
      <c r="J148" s="87">
        <v>19</v>
      </c>
      <c r="K148" s="57">
        <v>1500</v>
      </c>
      <c r="L148" s="86">
        <v>78.94736842105263</v>
      </c>
      <c r="M148" s="232">
        <v>19</v>
      </c>
      <c r="N148" s="44">
        <f t="shared" ref="N148:N152" si="99">G148/W148*60</f>
        <v>1203.6000000000004</v>
      </c>
      <c r="O148" s="47">
        <f t="shared" ref="O148:O152" si="100">N148/M148</f>
        <v>63.34736842105265</v>
      </c>
      <c r="P148" s="48">
        <f t="shared" si="95"/>
        <v>0</v>
      </c>
      <c r="Q148" s="49">
        <f t="shared" si="96"/>
        <v>-15.59999999999998</v>
      </c>
      <c r="R148" s="494">
        <f t="shared" si="97"/>
        <v>0.80240000000000022</v>
      </c>
      <c r="S148" s="718">
        <f>R160</f>
        <v>0.81147468742420437</v>
      </c>
      <c r="T148" s="250">
        <v>0.70833333333333337</v>
      </c>
      <c r="U148" s="50">
        <v>0.77777777777777779</v>
      </c>
      <c r="V148" s="490">
        <v>5</v>
      </c>
      <c r="W148" s="487">
        <f>(U148-T148)*24*60</f>
        <v>99.999999999999972</v>
      </c>
      <c r="X148" s="53"/>
      <c r="Y148" s="53"/>
      <c r="Z148" s="54"/>
      <c r="AA148" s="54"/>
      <c r="AB148" s="658"/>
      <c r="AC148" s="658"/>
      <c r="AD148" s="504"/>
      <c r="AE148" s="504"/>
      <c r="AF148" s="48">
        <f t="shared" si="61"/>
        <v>-296.39999999999964</v>
      </c>
      <c r="AG148" s="126">
        <f t="shared" si="62"/>
        <v>0.80240000000000022</v>
      </c>
      <c r="AH148" s="681">
        <f>AG160</f>
        <v>0.82213906176805218</v>
      </c>
    </row>
    <row r="149" spans="1:34" ht="19.2" customHeight="1">
      <c r="A149" s="717"/>
      <c r="B149" s="504" t="s">
        <v>185</v>
      </c>
      <c r="C149" s="224"/>
      <c r="D149" s="255" t="s">
        <v>97</v>
      </c>
      <c r="E149" s="60"/>
      <c r="F149" s="368">
        <v>53.68</v>
      </c>
      <c r="G149" s="57">
        <v>1134</v>
      </c>
      <c r="H149" s="84">
        <f t="shared" si="98"/>
        <v>60873.120000000003</v>
      </c>
      <c r="I149" s="264"/>
      <c r="J149" s="87">
        <v>20</v>
      </c>
      <c r="K149" s="57">
        <v>1500</v>
      </c>
      <c r="L149" s="86">
        <v>75</v>
      </c>
      <c r="M149" s="232">
        <v>20</v>
      </c>
      <c r="N149" s="44">
        <f t="shared" si="99"/>
        <v>1215.0000000000009</v>
      </c>
      <c r="O149" s="47">
        <f t="shared" si="100"/>
        <v>60.750000000000043</v>
      </c>
      <c r="P149" s="48">
        <f t="shared" si="95"/>
        <v>0</v>
      </c>
      <c r="Q149" s="49">
        <f t="shared" si="96"/>
        <v>-14.249999999999957</v>
      </c>
      <c r="R149" s="494">
        <f t="shared" si="97"/>
        <v>0.81000000000000061</v>
      </c>
      <c r="S149" s="719"/>
      <c r="T149" s="250">
        <v>0.78263888888888888</v>
      </c>
      <c r="U149" s="50">
        <v>0.82152777777777775</v>
      </c>
      <c r="V149" s="490">
        <v>7</v>
      </c>
      <c r="W149" s="487">
        <f t="shared" ref="W149:W159" si="101">(U149-T149)*24*60</f>
        <v>55.999999999999957</v>
      </c>
      <c r="X149" s="53"/>
      <c r="Y149" s="53"/>
      <c r="Z149" s="54"/>
      <c r="AA149" s="54"/>
      <c r="AB149" s="658"/>
      <c r="AC149" s="658"/>
      <c r="AD149" s="504"/>
      <c r="AE149" s="504"/>
      <c r="AF149" s="48">
        <f t="shared" si="61"/>
        <v>-284.99999999999909</v>
      </c>
      <c r="AG149" s="126">
        <f t="shared" si="62"/>
        <v>0.81000000000000061</v>
      </c>
      <c r="AH149" s="721"/>
    </row>
    <row r="150" spans="1:34" ht="19.2" customHeight="1">
      <c r="A150" s="717"/>
      <c r="B150" s="504" t="s">
        <v>185</v>
      </c>
      <c r="C150" s="224"/>
      <c r="D150" s="179" t="s">
        <v>96</v>
      </c>
      <c r="E150" s="60"/>
      <c r="F150" s="368">
        <v>58.17</v>
      </c>
      <c r="G150" s="57">
        <v>945</v>
      </c>
      <c r="H150" s="84">
        <f t="shared" si="98"/>
        <v>54970.65</v>
      </c>
      <c r="I150" s="264"/>
      <c r="J150" s="87">
        <v>19</v>
      </c>
      <c r="K150" s="57">
        <v>1385</v>
      </c>
      <c r="L150" s="86">
        <v>72.89473684210526</v>
      </c>
      <c r="M150" s="232">
        <v>19</v>
      </c>
      <c r="N150" s="44">
        <f t="shared" si="99"/>
        <v>1134.0000000000005</v>
      </c>
      <c r="O150" s="47">
        <f t="shared" si="100"/>
        <v>59.684210526315816</v>
      </c>
      <c r="P150" s="48">
        <f t="shared" si="95"/>
        <v>0</v>
      </c>
      <c r="Q150" s="49">
        <f t="shared" si="96"/>
        <v>-13.210526315789444</v>
      </c>
      <c r="R150" s="494">
        <f t="shared" si="97"/>
        <v>0.81877256317689573</v>
      </c>
      <c r="S150" s="719"/>
      <c r="T150" s="250">
        <v>0.8256944444444444</v>
      </c>
      <c r="U150" s="50">
        <v>0.86041666666666661</v>
      </c>
      <c r="V150" s="490">
        <v>6</v>
      </c>
      <c r="W150" s="487">
        <f t="shared" si="101"/>
        <v>49.999999999999986</v>
      </c>
      <c r="X150" s="219"/>
      <c r="Y150" s="219"/>
      <c r="Z150" s="220"/>
      <c r="AA150" s="220"/>
      <c r="AB150" s="658"/>
      <c r="AC150" s="658"/>
      <c r="AD150" s="504"/>
      <c r="AE150" s="504"/>
      <c r="AF150" s="48">
        <f t="shared" si="61"/>
        <v>-250.99999999999955</v>
      </c>
      <c r="AG150" s="126">
        <f t="shared" si="62"/>
        <v>0.81877256317689562</v>
      </c>
      <c r="AH150" s="721"/>
    </row>
    <row r="151" spans="1:34" s="221" customFormat="1" ht="19.2" customHeight="1">
      <c r="A151" s="717"/>
      <c r="B151" s="504" t="s">
        <v>185</v>
      </c>
      <c r="C151" s="224"/>
      <c r="D151" s="59" t="s">
        <v>108</v>
      </c>
      <c r="E151" s="60"/>
      <c r="F151" s="368">
        <v>57.73</v>
      </c>
      <c r="G151" s="57">
        <v>976</v>
      </c>
      <c r="H151" s="84">
        <f t="shared" si="98"/>
        <v>56344.479999999996</v>
      </c>
      <c r="I151" s="264"/>
      <c r="J151" s="87">
        <v>16</v>
      </c>
      <c r="K151" s="57">
        <v>1440</v>
      </c>
      <c r="L151" s="86">
        <v>90</v>
      </c>
      <c r="M151" s="232">
        <v>17</v>
      </c>
      <c r="N151" s="44">
        <f t="shared" si="99"/>
        <v>1148.2352941176475</v>
      </c>
      <c r="O151" s="47">
        <f t="shared" si="100"/>
        <v>67.543252595155735</v>
      </c>
      <c r="P151" s="48">
        <f t="shared" si="95"/>
        <v>1</v>
      </c>
      <c r="Q151" s="49">
        <f t="shared" si="96"/>
        <v>-22.456747404844265</v>
      </c>
      <c r="R151" s="494">
        <f t="shared" si="97"/>
        <v>0.75048058439061927</v>
      </c>
      <c r="S151" s="719"/>
      <c r="T151" s="250">
        <v>0.86388888888888882</v>
      </c>
      <c r="U151" s="50">
        <v>0.89930555555555547</v>
      </c>
      <c r="V151" s="490">
        <v>5</v>
      </c>
      <c r="W151" s="487">
        <f t="shared" si="101"/>
        <v>50.999999999999979</v>
      </c>
      <c r="X151" s="219"/>
      <c r="Y151" s="219"/>
      <c r="Z151" s="220"/>
      <c r="AA151" s="220"/>
      <c r="AB151" s="658"/>
      <c r="AC151" s="658"/>
      <c r="AD151" s="224"/>
      <c r="AE151" s="224"/>
      <c r="AF151" s="48">
        <f t="shared" si="61"/>
        <v>-291.76470588235247</v>
      </c>
      <c r="AG151" s="126">
        <f t="shared" si="62"/>
        <v>0.79738562091503296</v>
      </c>
      <c r="AH151" s="721"/>
    </row>
    <row r="152" spans="1:34" s="221" customFormat="1" ht="19.2" customHeight="1">
      <c r="A152" s="717"/>
      <c r="B152" s="504" t="s">
        <v>185</v>
      </c>
      <c r="C152" s="224"/>
      <c r="D152" s="255" t="s">
        <v>197</v>
      </c>
      <c r="E152" s="60"/>
      <c r="F152" s="368">
        <v>50.67</v>
      </c>
      <c r="G152" s="57">
        <v>1982</v>
      </c>
      <c r="H152" s="84">
        <f t="shared" si="98"/>
        <v>100427.94</v>
      </c>
      <c r="I152" s="264"/>
      <c r="J152" s="87">
        <v>18</v>
      </c>
      <c r="K152" s="57">
        <v>1500</v>
      </c>
      <c r="L152" s="86">
        <v>83.333333333333329</v>
      </c>
      <c r="M152" s="232">
        <v>18</v>
      </c>
      <c r="N152" s="44">
        <f t="shared" si="99"/>
        <v>1321.3333333333333</v>
      </c>
      <c r="O152" s="47">
        <f t="shared" si="100"/>
        <v>73.407407407407405</v>
      </c>
      <c r="P152" s="48">
        <f t="shared" si="95"/>
        <v>0</v>
      </c>
      <c r="Q152" s="49">
        <f t="shared" si="96"/>
        <v>-9.9259259259259238</v>
      </c>
      <c r="R152" s="494">
        <f t="shared" si="97"/>
        <v>0.88088888888888894</v>
      </c>
      <c r="S152" s="719"/>
      <c r="T152" s="265">
        <v>0.91527777777777763</v>
      </c>
      <c r="U152" s="63">
        <v>0.97777777777777763</v>
      </c>
      <c r="V152" s="491">
        <v>23</v>
      </c>
      <c r="W152" s="487">
        <f t="shared" si="101"/>
        <v>90</v>
      </c>
      <c r="X152" s="222">
        <v>0.90277777777777779</v>
      </c>
      <c r="Y152" s="222">
        <v>0.91249999999999998</v>
      </c>
      <c r="Z152" s="220"/>
      <c r="AA152" s="220"/>
      <c r="AB152" s="658"/>
      <c r="AC152" s="658"/>
      <c r="AD152" s="224"/>
      <c r="AE152" s="224"/>
      <c r="AF152" s="48">
        <f t="shared" si="61"/>
        <v>-178.66666666666674</v>
      </c>
      <c r="AG152" s="126">
        <f t="shared" si="62"/>
        <v>0.88088888888888883</v>
      </c>
      <c r="AH152" s="721"/>
    </row>
    <row r="153" spans="1:34" s="221" customFormat="1" ht="19.2" customHeight="1">
      <c r="A153" s="717"/>
      <c r="B153" s="504">
        <v>0</v>
      </c>
      <c r="C153" s="224"/>
      <c r="D153" s="255"/>
      <c r="E153" s="60"/>
      <c r="F153" s="368" t="s">
        <v>186</v>
      </c>
      <c r="G153" s="57"/>
      <c r="H153" s="84">
        <f t="shared" si="98"/>
        <v>0</v>
      </c>
      <c r="I153" s="264"/>
      <c r="J153" s="87"/>
      <c r="K153" s="57"/>
      <c r="L153" s="86"/>
      <c r="M153" s="202"/>
      <c r="N153" s="44"/>
      <c r="O153" s="47"/>
      <c r="P153" s="48"/>
      <c r="Q153" s="49"/>
      <c r="R153" s="494"/>
      <c r="S153" s="719"/>
      <c r="T153" s="265"/>
      <c r="U153" s="63"/>
      <c r="V153" s="491"/>
      <c r="W153" s="487">
        <f t="shared" si="101"/>
        <v>0</v>
      </c>
      <c r="X153" s="222"/>
      <c r="Y153" s="222"/>
      <c r="Z153" s="220"/>
      <c r="AA153" s="220"/>
      <c r="AB153" s="658"/>
      <c r="AC153" s="658"/>
      <c r="AD153" s="224"/>
      <c r="AE153" s="224"/>
      <c r="AF153" s="48">
        <f t="shared" si="61"/>
        <v>0</v>
      </c>
      <c r="AG153" s="126" t="e">
        <f t="shared" si="62"/>
        <v>#DIV/0!</v>
      </c>
      <c r="AH153" s="721"/>
    </row>
    <row r="154" spans="1:34" s="221" customFormat="1" ht="19.2" customHeight="1">
      <c r="A154" s="717"/>
      <c r="B154" s="504">
        <v>0</v>
      </c>
      <c r="C154" s="224"/>
      <c r="D154" s="255"/>
      <c r="E154" s="60"/>
      <c r="F154" s="368" t="s">
        <v>186</v>
      </c>
      <c r="G154" s="57"/>
      <c r="H154" s="84">
        <f t="shared" si="98"/>
        <v>0</v>
      </c>
      <c r="I154" s="264"/>
      <c r="J154" s="266"/>
      <c r="K154" s="235"/>
      <c r="L154" s="47"/>
      <c r="M154" s="202"/>
      <c r="N154" s="182"/>
      <c r="O154" s="228"/>
      <c r="P154" s="267"/>
      <c r="Q154" s="74"/>
      <c r="R154" s="130"/>
      <c r="S154" s="719"/>
      <c r="T154" s="265"/>
      <c r="U154" s="63"/>
      <c r="V154" s="491"/>
      <c r="W154" s="487">
        <f t="shared" si="101"/>
        <v>0</v>
      </c>
      <c r="X154" s="222"/>
      <c r="Y154" s="222"/>
      <c r="Z154" s="220"/>
      <c r="AA154" s="220"/>
      <c r="AB154" s="658"/>
      <c r="AC154" s="658"/>
      <c r="AD154" s="224"/>
      <c r="AE154" s="224"/>
      <c r="AF154" s="48">
        <f t="shared" si="61"/>
        <v>0</v>
      </c>
      <c r="AG154" s="126" t="e">
        <f t="shared" si="62"/>
        <v>#DIV/0!</v>
      </c>
      <c r="AH154" s="721"/>
    </row>
    <row r="155" spans="1:34" s="221" customFormat="1" ht="19.2" customHeight="1">
      <c r="A155" s="717"/>
      <c r="B155" s="504">
        <v>0</v>
      </c>
      <c r="C155" s="224"/>
      <c r="D155" s="255"/>
      <c r="E155" s="60"/>
      <c r="F155" s="368" t="s">
        <v>186</v>
      </c>
      <c r="G155" s="57"/>
      <c r="H155" s="84">
        <f t="shared" si="98"/>
        <v>0</v>
      </c>
      <c r="I155" s="264"/>
      <c r="J155" s="266"/>
      <c r="K155" s="235"/>
      <c r="L155" s="47"/>
      <c r="M155" s="202"/>
      <c r="N155" s="182"/>
      <c r="O155" s="228"/>
      <c r="P155" s="267"/>
      <c r="Q155" s="74"/>
      <c r="R155" s="130"/>
      <c r="S155" s="719"/>
      <c r="T155" s="265"/>
      <c r="U155" s="63"/>
      <c r="V155" s="491"/>
      <c r="W155" s="487">
        <f t="shared" si="101"/>
        <v>0</v>
      </c>
      <c r="X155" s="222"/>
      <c r="Y155" s="222"/>
      <c r="Z155" s="220"/>
      <c r="AA155" s="220"/>
      <c r="AB155" s="658"/>
      <c r="AC155" s="658"/>
      <c r="AD155" s="224"/>
      <c r="AE155" s="224"/>
      <c r="AF155" s="268"/>
      <c r="AG155" s="130"/>
      <c r="AH155" s="721"/>
    </row>
    <row r="156" spans="1:34" s="221" customFormat="1" ht="19.2" customHeight="1">
      <c r="A156" s="717"/>
      <c r="B156" s="224">
        <v>0</v>
      </c>
      <c r="C156" s="224"/>
      <c r="D156" s="255"/>
      <c r="E156" s="60"/>
      <c r="F156" s="368" t="s">
        <v>186</v>
      </c>
      <c r="G156" s="57"/>
      <c r="H156" s="84">
        <f t="shared" si="98"/>
        <v>0</v>
      </c>
      <c r="I156" s="264"/>
      <c r="J156" s="266"/>
      <c r="K156" s="235"/>
      <c r="L156" s="47"/>
      <c r="M156" s="202"/>
      <c r="N156" s="182"/>
      <c r="O156" s="228"/>
      <c r="P156" s="267"/>
      <c r="Q156" s="74"/>
      <c r="R156" s="130"/>
      <c r="S156" s="719"/>
      <c r="T156" s="265"/>
      <c r="U156" s="63"/>
      <c r="V156" s="491"/>
      <c r="W156" s="269">
        <f t="shared" si="101"/>
        <v>0</v>
      </c>
      <c r="X156" s="222"/>
      <c r="Y156" s="222"/>
      <c r="Z156" s="220"/>
      <c r="AA156" s="220"/>
      <c r="AB156" s="658"/>
      <c r="AC156" s="658"/>
      <c r="AD156" s="224"/>
      <c r="AE156" s="224"/>
      <c r="AF156" s="268"/>
      <c r="AG156" s="130"/>
      <c r="AH156" s="721"/>
    </row>
    <row r="157" spans="1:34" s="221" customFormat="1" ht="19.2" customHeight="1">
      <c r="A157" s="717"/>
      <c r="B157" s="224">
        <v>0</v>
      </c>
      <c r="C157" s="224"/>
      <c r="D157" s="255"/>
      <c r="E157" s="60"/>
      <c r="F157" s="374" t="s">
        <v>186</v>
      </c>
      <c r="G157" s="57"/>
      <c r="H157" s="234">
        <f t="shared" si="98"/>
        <v>0</v>
      </c>
      <c r="I157" s="264"/>
      <c r="J157" s="266"/>
      <c r="K157" s="235"/>
      <c r="L157" s="47"/>
      <c r="M157" s="202"/>
      <c r="N157" s="182"/>
      <c r="O157" s="228"/>
      <c r="P157" s="267"/>
      <c r="Q157" s="74"/>
      <c r="R157" s="130"/>
      <c r="S157" s="719"/>
      <c r="T157" s="265"/>
      <c r="U157" s="63"/>
      <c r="V157" s="491"/>
      <c r="W157" s="269">
        <f t="shared" si="101"/>
        <v>0</v>
      </c>
      <c r="X157" s="222"/>
      <c r="Y157" s="222"/>
      <c r="Z157" s="220"/>
      <c r="AA157" s="220"/>
      <c r="AB157" s="658"/>
      <c r="AC157" s="658"/>
      <c r="AD157" s="224"/>
      <c r="AE157" s="224"/>
      <c r="AF157" s="268"/>
      <c r="AG157" s="130"/>
      <c r="AH157" s="721"/>
    </row>
    <row r="158" spans="1:34" s="221" customFormat="1" ht="19.2" customHeight="1">
      <c r="A158" s="717"/>
      <c r="B158" s="224">
        <v>0</v>
      </c>
      <c r="C158" s="224"/>
      <c r="D158" s="255"/>
      <c r="E158" s="60"/>
      <c r="F158" s="374" t="s">
        <v>186</v>
      </c>
      <c r="G158" s="57"/>
      <c r="H158" s="234">
        <f t="shared" si="98"/>
        <v>0</v>
      </c>
      <c r="I158" s="264"/>
      <c r="J158" s="266"/>
      <c r="K158" s="235"/>
      <c r="L158" s="47"/>
      <c r="M158" s="202"/>
      <c r="N158" s="182"/>
      <c r="O158" s="228"/>
      <c r="P158" s="267"/>
      <c r="Q158" s="74"/>
      <c r="R158" s="130"/>
      <c r="S158" s="719"/>
      <c r="T158" s="265"/>
      <c r="U158" s="63"/>
      <c r="V158" s="491"/>
      <c r="W158" s="269">
        <f t="shared" si="101"/>
        <v>0</v>
      </c>
      <c r="X158" s="222"/>
      <c r="Y158" s="222"/>
      <c r="Z158" s="220"/>
      <c r="AA158" s="220"/>
      <c r="AB158" s="658"/>
      <c r="AC158" s="658"/>
      <c r="AD158" s="224"/>
      <c r="AE158" s="224"/>
      <c r="AF158" s="268"/>
      <c r="AG158" s="130"/>
      <c r="AH158" s="721"/>
    </row>
    <row r="159" spans="1:34" s="221" customFormat="1" ht="19.2" customHeight="1">
      <c r="A159" s="717"/>
      <c r="B159" s="224">
        <v>0</v>
      </c>
      <c r="C159" s="224"/>
      <c r="D159" s="255"/>
      <c r="E159" s="60"/>
      <c r="F159" s="374" t="s">
        <v>186</v>
      </c>
      <c r="G159" s="57"/>
      <c r="H159" s="234">
        <f t="shared" si="98"/>
        <v>0</v>
      </c>
      <c r="I159" s="264"/>
      <c r="J159" s="266"/>
      <c r="K159" s="182"/>
      <c r="L159" s="134"/>
      <c r="M159" s="493"/>
      <c r="N159" s="182"/>
      <c r="O159" s="228"/>
      <c r="P159" s="267"/>
      <c r="Q159" s="74"/>
      <c r="R159" s="130"/>
      <c r="S159" s="719"/>
      <c r="T159" s="265"/>
      <c r="U159" s="63"/>
      <c r="V159" s="491"/>
      <c r="W159" s="270">
        <f t="shared" si="101"/>
        <v>0</v>
      </c>
      <c r="X159" s="222"/>
      <c r="Y159" s="222"/>
      <c r="Z159" s="220"/>
      <c r="AA159" s="220"/>
      <c r="AB159" s="658"/>
      <c r="AC159" s="658"/>
      <c r="AD159" s="224"/>
      <c r="AE159" s="224"/>
      <c r="AF159" s="268"/>
      <c r="AG159" s="130"/>
      <c r="AH159" s="721"/>
    </row>
    <row r="160" spans="1:34" ht="19.2" customHeight="1">
      <c r="A160" s="717"/>
      <c r="B160" s="271">
        <v>0</v>
      </c>
      <c r="C160" s="272" t="s">
        <v>25</v>
      </c>
      <c r="D160" s="716" t="s">
        <v>145</v>
      </c>
      <c r="E160" s="678"/>
      <c r="F160" s="362"/>
      <c r="G160" s="205"/>
      <c r="H160" s="204"/>
      <c r="I160" s="72"/>
      <c r="J160" s="273">
        <v>18.399999999999999</v>
      </c>
      <c r="K160" s="273">
        <v>1465</v>
      </c>
      <c r="L160" s="274">
        <v>80.035087719298247</v>
      </c>
      <c r="M160" s="273">
        <f t="shared" ref="J160:O160" si="102">AVERAGE(M148:M159)</f>
        <v>18.600000000000001</v>
      </c>
      <c r="N160" s="273">
        <f t="shared" si="102"/>
        <v>1204.4337254901964</v>
      </c>
      <c r="O160" s="274">
        <f t="shared" si="102"/>
        <v>64.946447789986323</v>
      </c>
      <c r="P160" s="65">
        <f t="shared" ref="P160:P165" si="103">M160-J160</f>
        <v>0.20000000000000284</v>
      </c>
      <c r="Q160" s="74">
        <f t="shared" ref="Q160:Q165" si="104">O160-L160</f>
        <v>-15.088639929311924</v>
      </c>
      <c r="R160" s="275">
        <f>O160/L160</f>
        <v>0.81147468742420437</v>
      </c>
      <c r="S160" s="719"/>
      <c r="T160" s="276"/>
      <c r="U160" s="276"/>
      <c r="V160" s="194"/>
      <c r="W160" s="194"/>
      <c r="X160" s="195"/>
      <c r="Y160" s="195"/>
      <c r="Z160" s="78">
        <f>SUM(Z148:Z159)</f>
        <v>0</v>
      </c>
      <c r="AA160" s="78">
        <f>SUM(AA148:AA159)</f>
        <v>0</v>
      </c>
      <c r="AB160" s="658"/>
      <c r="AC160" s="658"/>
      <c r="AD160" s="79">
        <f>SUM(AD148:AD159)</f>
        <v>0</v>
      </c>
      <c r="AE160" s="79">
        <f>SUM(AE148:AE159)</f>
        <v>0</v>
      </c>
      <c r="AF160" s="65">
        <f t="shared" si="61"/>
        <v>-260.56627450980363</v>
      </c>
      <c r="AG160" s="130">
        <f t="shared" si="62"/>
        <v>0.82213906176805218</v>
      </c>
      <c r="AH160" s="721"/>
    </row>
    <row r="161" spans="1:36" ht="19.2" customHeight="1">
      <c r="A161" s="680" t="s">
        <v>255</v>
      </c>
      <c r="B161" s="122" t="s">
        <v>184</v>
      </c>
      <c r="C161" s="122"/>
      <c r="D161" s="82" t="s">
        <v>274</v>
      </c>
      <c r="E161" s="83"/>
      <c r="F161" s="367">
        <v>29.965493443754308</v>
      </c>
      <c r="G161" s="57">
        <v>2040</v>
      </c>
      <c r="H161" s="84">
        <f t="shared" ref="H161:H170" si="105">F161*G161</f>
        <v>61129.606625258792</v>
      </c>
      <c r="I161" s="504"/>
      <c r="J161" s="87">
        <v>18</v>
      </c>
      <c r="K161" s="57">
        <v>1200</v>
      </c>
      <c r="L161" s="86">
        <v>66.666666666666671</v>
      </c>
      <c r="M161" s="87">
        <v>19</v>
      </c>
      <c r="N161" s="57">
        <f t="shared" ref="N161:N165" si="106">G161/W161*60</f>
        <v>1224</v>
      </c>
      <c r="O161" s="86">
        <f t="shared" ref="O161:O165" si="107">N161/M161</f>
        <v>64.421052631578945</v>
      </c>
      <c r="P161" s="54">
        <f t="shared" si="103"/>
        <v>1</v>
      </c>
      <c r="Q161" s="88">
        <f t="shared" si="104"/>
        <v>-2.2456140350877263</v>
      </c>
      <c r="R161" s="497">
        <f t="shared" ref="R161:R165" si="108">O161/L161</f>
        <v>0.96631578947368413</v>
      </c>
      <c r="S161" s="681">
        <f>R173</f>
        <v>0.9366896868147</v>
      </c>
      <c r="T161" s="89">
        <v>0.16666666666666666</v>
      </c>
      <c r="U161" s="89">
        <v>0.2361111111111111</v>
      </c>
      <c r="V161" s="504">
        <v>5</v>
      </c>
      <c r="W161" s="90">
        <f t="shared" ref="W161:W172" si="109">(U161-T161)*24*60</f>
        <v>100</v>
      </c>
      <c r="X161" s="96"/>
      <c r="Y161" s="96"/>
      <c r="Z161" s="54"/>
      <c r="AA161" s="54"/>
      <c r="AB161" s="658"/>
      <c r="AC161" s="658"/>
      <c r="AD161" s="504"/>
      <c r="AE161" s="504"/>
      <c r="AF161" s="54">
        <f t="shared" si="61"/>
        <v>24</v>
      </c>
      <c r="AG161" s="497">
        <f t="shared" si="62"/>
        <v>1.02</v>
      </c>
      <c r="AH161" s="681">
        <f>AG173</f>
        <v>0.94728210641100419</v>
      </c>
    </row>
    <row r="162" spans="1:36" ht="19.2" customHeight="1">
      <c r="A162" s="680"/>
      <c r="B162" s="122" t="s">
        <v>184</v>
      </c>
      <c r="C162" s="122"/>
      <c r="D162" s="82" t="s">
        <v>124</v>
      </c>
      <c r="E162" s="83"/>
      <c r="F162" s="367">
        <v>34.229999999999997</v>
      </c>
      <c r="G162" s="57">
        <v>3542</v>
      </c>
      <c r="H162" s="84">
        <f t="shared" si="105"/>
        <v>121242.65999999999</v>
      </c>
      <c r="I162" s="50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6"/>
        <v>2190.9278350515465</v>
      </c>
      <c r="O162" s="86">
        <f t="shared" si="107"/>
        <v>168.53291038858049</v>
      </c>
      <c r="P162" s="54">
        <f t="shared" si="103"/>
        <v>0</v>
      </c>
      <c r="Q162" s="88">
        <f t="shared" si="104"/>
        <v>-4.5440126883425762</v>
      </c>
      <c r="R162" s="497">
        <f t="shared" si="108"/>
        <v>0.97374570446735398</v>
      </c>
      <c r="S162" s="681"/>
      <c r="T162" s="89">
        <v>0.24097222222222223</v>
      </c>
      <c r="U162" s="89">
        <v>0.30833333333333335</v>
      </c>
      <c r="V162" s="504">
        <v>7</v>
      </c>
      <c r="W162" s="90">
        <f t="shared" si="109"/>
        <v>97.000000000000014</v>
      </c>
      <c r="X162" s="96"/>
      <c r="Y162" s="96"/>
      <c r="Z162" s="54"/>
      <c r="AA162" s="54"/>
      <c r="AB162" s="658"/>
      <c r="AC162" s="658"/>
      <c r="AD162" s="504"/>
      <c r="AE162" s="504"/>
      <c r="AF162" s="54">
        <f t="shared" si="61"/>
        <v>-59.072164948453519</v>
      </c>
      <c r="AG162" s="497">
        <f t="shared" si="62"/>
        <v>0.97374570446735398</v>
      </c>
      <c r="AH162" s="681"/>
    </row>
    <row r="163" spans="1:36" ht="19.2" customHeight="1">
      <c r="A163" s="680"/>
      <c r="B163" s="122" t="s">
        <v>184</v>
      </c>
      <c r="C163" s="122"/>
      <c r="D163" s="252" t="s">
        <v>125</v>
      </c>
      <c r="E163" s="252"/>
      <c r="F163" s="367">
        <v>34.229999999999997</v>
      </c>
      <c r="G163" s="57">
        <v>4233</v>
      </c>
      <c r="H163" s="84">
        <f t="shared" si="105"/>
        <v>144895.59</v>
      </c>
      <c r="I163" s="504"/>
      <c r="J163" s="87">
        <v>13</v>
      </c>
      <c r="K163" s="57">
        <v>2250</v>
      </c>
      <c r="L163" s="86">
        <v>173.07692307692307</v>
      </c>
      <c r="M163" s="87">
        <v>13</v>
      </c>
      <c r="N163" s="57">
        <f t="shared" si="106"/>
        <v>2134.2857142857147</v>
      </c>
      <c r="O163" s="86">
        <f t="shared" si="107"/>
        <v>164.1758241758242</v>
      </c>
      <c r="P163" s="54">
        <f t="shared" si="103"/>
        <v>0</v>
      </c>
      <c r="Q163" s="88">
        <f t="shared" si="104"/>
        <v>-8.9010989010988624</v>
      </c>
      <c r="R163" s="497">
        <f t="shared" si="108"/>
        <v>0.94857142857142884</v>
      </c>
      <c r="S163" s="681"/>
      <c r="T163" s="89">
        <v>0.32430555555555557</v>
      </c>
      <c r="U163" s="89">
        <v>0.40694444444444444</v>
      </c>
      <c r="V163" s="504">
        <v>23</v>
      </c>
      <c r="W163" s="90">
        <f t="shared" si="109"/>
        <v>118.99999999999997</v>
      </c>
      <c r="X163" s="96">
        <v>0.31180555555555556</v>
      </c>
      <c r="Y163" s="96">
        <v>0.3215277777777778</v>
      </c>
      <c r="Z163" s="54"/>
      <c r="AA163" s="54"/>
      <c r="AB163" s="658"/>
      <c r="AC163" s="658"/>
      <c r="AD163" s="504"/>
      <c r="AE163" s="504"/>
      <c r="AF163" s="54">
        <f t="shared" si="61"/>
        <v>-115.71428571428532</v>
      </c>
      <c r="AG163" s="497">
        <f t="shared" si="62"/>
        <v>0.94857142857142873</v>
      </c>
      <c r="AH163" s="681"/>
    </row>
    <row r="164" spans="1:36" ht="19.2" customHeight="1">
      <c r="A164" s="680"/>
      <c r="B164" s="122" t="s">
        <v>184</v>
      </c>
      <c r="C164" s="122"/>
      <c r="D164" s="277" t="s">
        <v>127</v>
      </c>
      <c r="E164" s="277"/>
      <c r="F164" s="367">
        <v>35.83</v>
      </c>
      <c r="G164" s="57">
        <v>6035</v>
      </c>
      <c r="H164" s="84">
        <f t="shared" si="105"/>
        <v>216234.05</v>
      </c>
      <c r="I164" s="504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6"/>
        <v>2194.545454545454</v>
      </c>
      <c r="O164" s="86">
        <f t="shared" si="107"/>
        <v>199.50413223140492</v>
      </c>
      <c r="P164" s="54">
        <f t="shared" si="103"/>
        <v>0</v>
      </c>
      <c r="Q164" s="88">
        <f t="shared" si="104"/>
        <v>-5.0413223140496086</v>
      </c>
      <c r="R164" s="497">
        <f t="shared" si="108"/>
        <v>0.97535353535353519</v>
      </c>
      <c r="S164" s="681"/>
      <c r="T164" s="89">
        <v>0.44861111111111107</v>
      </c>
      <c r="U164" s="89">
        <v>0.56319444444444444</v>
      </c>
      <c r="V164" s="504">
        <v>7</v>
      </c>
      <c r="W164" s="90">
        <f t="shared" si="109"/>
        <v>165.00000000000006</v>
      </c>
      <c r="X164" s="96"/>
      <c r="Y164" s="96"/>
      <c r="Z164" s="54"/>
      <c r="AA164" s="54"/>
      <c r="AB164" s="658"/>
      <c r="AC164" s="658"/>
      <c r="AD164" s="504"/>
      <c r="AE164" s="504"/>
      <c r="AF164" s="54">
        <f t="shared" si="61"/>
        <v>-55.454545454545951</v>
      </c>
      <c r="AG164" s="497">
        <f t="shared" si="62"/>
        <v>0.97535353535353508</v>
      </c>
      <c r="AH164" s="681"/>
    </row>
    <row r="165" spans="1:36" ht="19.2" customHeight="1">
      <c r="A165" s="680"/>
      <c r="B165" s="122" t="s">
        <v>184</v>
      </c>
      <c r="C165" s="81"/>
      <c r="D165" s="82" t="s">
        <v>82</v>
      </c>
      <c r="E165" s="83"/>
      <c r="F165" s="364">
        <v>36.409999999999997</v>
      </c>
      <c r="G165" s="57">
        <v>4579.3</v>
      </c>
      <c r="H165" s="84">
        <f t="shared" si="105"/>
        <v>166732.31299999999</v>
      </c>
      <c r="I165" s="504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6"/>
        <v>2410.1578947368407</v>
      </c>
      <c r="O165" s="86">
        <f t="shared" si="107"/>
        <v>241.01578947368407</v>
      </c>
      <c r="P165" s="54">
        <f t="shared" si="103"/>
        <v>0</v>
      </c>
      <c r="Q165" s="88">
        <f t="shared" si="104"/>
        <v>-35.884210526315911</v>
      </c>
      <c r="R165" s="497">
        <f t="shared" si="108"/>
        <v>0.87040732926574249</v>
      </c>
      <c r="S165" s="681"/>
      <c r="T165" s="89">
        <v>0.57847222222222217</v>
      </c>
      <c r="U165" s="89">
        <v>0.65763888888888888</v>
      </c>
      <c r="V165" s="504">
        <v>22</v>
      </c>
      <c r="W165" s="90">
        <f t="shared" si="109"/>
        <v>114.00000000000007</v>
      </c>
      <c r="X165" s="96">
        <v>0.56666666666666665</v>
      </c>
      <c r="Y165" s="96">
        <v>0.5756944444444444</v>
      </c>
      <c r="Z165" s="54"/>
      <c r="AA165" s="54"/>
      <c r="AB165" s="658"/>
      <c r="AC165" s="658"/>
      <c r="AD165" s="504"/>
      <c r="AE165" s="504"/>
      <c r="AF165" s="54">
        <f t="shared" si="61"/>
        <v>-358.84210526315928</v>
      </c>
      <c r="AG165" s="497">
        <f t="shared" si="62"/>
        <v>0.87040732926574238</v>
      </c>
      <c r="AH165" s="681"/>
    </row>
    <row r="166" spans="1:36" ht="19.2" customHeight="1">
      <c r="A166" s="680"/>
      <c r="B166" s="122">
        <v>0</v>
      </c>
      <c r="C166" s="122"/>
      <c r="D166" s="82"/>
      <c r="E166" s="83"/>
      <c r="F166" s="367" t="s">
        <v>186</v>
      </c>
      <c r="G166" s="57"/>
      <c r="H166" s="84">
        <f t="shared" si="105"/>
        <v>0</v>
      </c>
      <c r="I166" s="504"/>
      <c r="J166" s="87"/>
      <c r="K166" s="57"/>
      <c r="L166" s="86"/>
      <c r="M166" s="87"/>
      <c r="N166" s="57"/>
      <c r="O166" s="86"/>
      <c r="P166" s="54"/>
      <c r="Q166" s="88"/>
      <c r="R166" s="497"/>
      <c r="S166" s="681"/>
      <c r="T166" s="89"/>
      <c r="U166" s="89"/>
      <c r="V166" s="504"/>
      <c r="W166" s="90">
        <f t="shared" si="109"/>
        <v>0</v>
      </c>
      <c r="X166" s="96"/>
      <c r="Y166" s="96"/>
      <c r="Z166" s="54"/>
      <c r="AA166" s="54"/>
      <c r="AB166" s="658"/>
      <c r="AC166" s="658"/>
      <c r="AD166" s="504"/>
      <c r="AE166" s="504"/>
      <c r="AF166" s="54">
        <f t="shared" si="61"/>
        <v>0</v>
      </c>
      <c r="AG166" s="497" t="e">
        <f t="shared" si="62"/>
        <v>#DIV/0!</v>
      </c>
      <c r="AH166" s="681"/>
    </row>
    <row r="167" spans="1:36" ht="19.2" customHeight="1">
      <c r="A167" s="680"/>
      <c r="B167" s="122">
        <v>0</v>
      </c>
      <c r="C167" s="122"/>
      <c r="D167" s="255"/>
      <c r="E167" s="60"/>
      <c r="F167" s="367" t="s">
        <v>186</v>
      </c>
      <c r="G167" s="57"/>
      <c r="H167" s="84">
        <f t="shared" si="105"/>
        <v>0</v>
      </c>
      <c r="I167" s="504"/>
      <c r="J167" s="87"/>
      <c r="K167" s="57"/>
      <c r="L167" s="86"/>
      <c r="M167" s="87"/>
      <c r="N167" s="57"/>
      <c r="O167" s="86"/>
      <c r="P167" s="54"/>
      <c r="Q167" s="88"/>
      <c r="R167" s="497"/>
      <c r="S167" s="681"/>
      <c r="T167" s="89"/>
      <c r="U167" s="89"/>
      <c r="V167" s="504"/>
      <c r="W167" s="90">
        <f t="shared" si="109"/>
        <v>0</v>
      </c>
      <c r="X167" s="96"/>
      <c r="Y167" s="96"/>
      <c r="Z167" s="54"/>
      <c r="AA167" s="54"/>
      <c r="AB167" s="658"/>
      <c r="AC167" s="658"/>
      <c r="AD167" s="504"/>
      <c r="AE167" s="504"/>
      <c r="AF167" s="54">
        <f t="shared" si="61"/>
        <v>0</v>
      </c>
      <c r="AG167" s="497" t="e">
        <f t="shared" si="62"/>
        <v>#DIV/0!</v>
      </c>
      <c r="AH167" s="681"/>
    </row>
    <row r="168" spans="1:36" ht="19.2" customHeight="1">
      <c r="A168" s="680"/>
      <c r="B168" s="122">
        <v>0</v>
      </c>
      <c r="C168" s="122"/>
      <c r="D168" s="255"/>
      <c r="E168" s="60"/>
      <c r="F168" s="367" t="s">
        <v>186</v>
      </c>
      <c r="G168" s="57"/>
      <c r="H168" s="84">
        <f t="shared" si="105"/>
        <v>0</v>
      </c>
      <c r="I168" s="504"/>
      <c r="J168" s="87"/>
      <c r="K168" s="57"/>
      <c r="L168" s="86"/>
      <c r="M168" s="87"/>
      <c r="N168" s="57"/>
      <c r="O168" s="86"/>
      <c r="P168" s="54"/>
      <c r="Q168" s="88"/>
      <c r="R168" s="497"/>
      <c r="S168" s="681"/>
      <c r="T168" s="89"/>
      <c r="U168" s="89"/>
      <c r="V168" s="504"/>
      <c r="W168" s="90">
        <f t="shared" si="109"/>
        <v>0</v>
      </c>
      <c r="X168" s="96"/>
      <c r="Y168" s="96"/>
      <c r="Z168" s="54"/>
      <c r="AA168" s="54"/>
      <c r="AB168" s="658"/>
      <c r="AC168" s="658"/>
      <c r="AD168" s="504"/>
      <c r="AE168" s="504"/>
      <c r="AF168" s="54">
        <f t="shared" si="61"/>
        <v>0</v>
      </c>
      <c r="AG168" s="497" t="e">
        <f t="shared" si="62"/>
        <v>#DIV/0!</v>
      </c>
      <c r="AH168" s="681"/>
    </row>
    <row r="169" spans="1:36" ht="19.2" customHeight="1">
      <c r="A169" s="680"/>
      <c r="B169" s="122">
        <v>0</v>
      </c>
      <c r="C169" s="122"/>
      <c r="D169" s="255"/>
      <c r="E169" s="60"/>
      <c r="F169" s="367" t="s">
        <v>186</v>
      </c>
      <c r="G169" s="57"/>
      <c r="H169" s="84">
        <f t="shared" si="105"/>
        <v>0</v>
      </c>
      <c r="I169" s="504"/>
      <c r="J169" s="87"/>
      <c r="K169" s="57"/>
      <c r="L169" s="86"/>
      <c r="M169" s="87"/>
      <c r="N169" s="57"/>
      <c r="O169" s="86"/>
      <c r="P169" s="54"/>
      <c r="Q169" s="88"/>
      <c r="R169" s="497"/>
      <c r="S169" s="681"/>
      <c r="T169" s="89"/>
      <c r="U169" s="89"/>
      <c r="V169" s="504" t="s">
        <v>30</v>
      </c>
      <c r="W169" s="90">
        <f t="shared" si="109"/>
        <v>0</v>
      </c>
      <c r="X169" s="96"/>
      <c r="Y169" s="96"/>
      <c r="Z169" s="54"/>
      <c r="AA169" s="54"/>
      <c r="AB169" s="658"/>
      <c r="AC169" s="658"/>
      <c r="AD169" s="504"/>
      <c r="AE169" s="504"/>
      <c r="AF169" s="54">
        <f t="shared" si="61"/>
        <v>0</v>
      </c>
      <c r="AG169" s="497" t="e">
        <f t="shared" si="62"/>
        <v>#DIV/0!</v>
      </c>
      <c r="AH169" s="681"/>
    </row>
    <row r="170" spans="1:36" ht="19.2" customHeight="1">
      <c r="A170" s="680"/>
      <c r="B170" s="122">
        <v>0</v>
      </c>
      <c r="C170" s="122"/>
      <c r="D170" s="255"/>
      <c r="E170" s="60"/>
      <c r="F170" s="367" t="s">
        <v>186</v>
      </c>
      <c r="G170" s="57"/>
      <c r="H170" s="84">
        <f t="shared" si="105"/>
        <v>0</v>
      </c>
      <c r="I170" s="504"/>
      <c r="J170" s="87"/>
      <c r="K170" s="57"/>
      <c r="L170" s="86"/>
      <c r="M170" s="87"/>
      <c r="N170" s="57"/>
      <c r="O170" s="86"/>
      <c r="P170" s="54"/>
      <c r="Q170" s="88"/>
      <c r="R170" s="497"/>
      <c r="S170" s="681"/>
      <c r="T170" s="89"/>
      <c r="U170" s="89"/>
      <c r="V170" s="504"/>
      <c r="W170" s="90">
        <f t="shared" si="109"/>
        <v>0</v>
      </c>
      <c r="X170" s="96"/>
      <c r="Y170" s="96"/>
      <c r="Z170" s="54"/>
      <c r="AA170" s="54"/>
      <c r="AB170" s="658"/>
      <c r="AC170" s="658"/>
      <c r="AD170" s="504"/>
      <c r="AE170" s="504"/>
      <c r="AF170" s="54">
        <f t="shared" si="61"/>
        <v>0</v>
      </c>
      <c r="AG170" s="497" t="e">
        <f t="shared" si="62"/>
        <v>#DIV/0!</v>
      </c>
      <c r="AH170" s="681"/>
    </row>
    <row r="171" spans="1:36" ht="19.2" customHeight="1">
      <c r="A171" s="680"/>
      <c r="B171" s="122">
        <v>0</v>
      </c>
      <c r="C171" s="122"/>
      <c r="D171" s="255"/>
      <c r="E171" s="60"/>
      <c r="F171" s="367" t="s">
        <v>186</v>
      </c>
      <c r="G171" s="57"/>
      <c r="H171" s="84">
        <f t="shared" si="98"/>
        <v>0</v>
      </c>
      <c r="I171" s="504"/>
      <c r="J171" s="87"/>
      <c r="K171" s="57"/>
      <c r="L171" s="86"/>
      <c r="M171" s="87"/>
      <c r="N171" s="57"/>
      <c r="O171" s="86"/>
      <c r="P171" s="54"/>
      <c r="Q171" s="88"/>
      <c r="R171" s="497"/>
      <c r="S171" s="681"/>
      <c r="T171" s="89"/>
      <c r="U171" s="89"/>
      <c r="V171" s="504"/>
      <c r="W171" s="90">
        <f t="shared" si="109"/>
        <v>0</v>
      </c>
      <c r="X171" s="96"/>
      <c r="Y171" s="96"/>
      <c r="Z171" s="54"/>
      <c r="AA171" s="54"/>
      <c r="AB171" s="658"/>
      <c r="AC171" s="658"/>
      <c r="AD171" s="504"/>
      <c r="AE171" s="504"/>
      <c r="AF171" s="54"/>
      <c r="AG171" s="497"/>
      <c r="AH171" s="681"/>
    </row>
    <row r="172" spans="1:36" ht="19.2" customHeight="1">
      <c r="A172" s="680"/>
      <c r="B172" s="122">
        <v>0</v>
      </c>
      <c r="C172" s="122"/>
      <c r="D172" s="255"/>
      <c r="E172" s="60"/>
      <c r="F172" s="367" t="s">
        <v>186</v>
      </c>
      <c r="G172" s="57"/>
      <c r="H172" s="84">
        <f t="shared" si="98"/>
        <v>0</v>
      </c>
      <c r="I172" s="504"/>
      <c r="J172" s="87"/>
      <c r="K172" s="57"/>
      <c r="L172" s="86"/>
      <c r="M172" s="87"/>
      <c r="N172" s="57"/>
      <c r="O172" s="86"/>
      <c r="P172" s="54"/>
      <c r="Q172" s="88"/>
      <c r="R172" s="497"/>
      <c r="S172" s="681"/>
      <c r="T172" s="89"/>
      <c r="U172" s="89"/>
      <c r="V172" s="504"/>
      <c r="W172" s="90">
        <f t="shared" si="109"/>
        <v>0</v>
      </c>
      <c r="X172" s="96"/>
      <c r="Y172" s="96"/>
      <c r="Z172" s="54"/>
      <c r="AA172" s="54"/>
      <c r="AB172" s="658"/>
      <c r="AC172" s="658"/>
      <c r="AD172" s="504"/>
      <c r="AE172" s="504"/>
      <c r="AF172" s="54"/>
      <c r="AG172" s="497"/>
      <c r="AH172" s="681"/>
    </row>
    <row r="173" spans="1:36" ht="19.2" customHeight="1">
      <c r="A173" s="680"/>
      <c r="B173" s="122">
        <v>0</v>
      </c>
      <c r="C173" s="100" t="s">
        <v>26</v>
      </c>
      <c r="D173" s="687" t="s">
        <v>145</v>
      </c>
      <c r="E173" s="687"/>
      <c r="F173" s="365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J173:O173" si="110">AVERAGE(M161:M172)</f>
        <v>13.2</v>
      </c>
      <c r="N173" s="101">
        <f t="shared" si="110"/>
        <v>2030.7833797239109</v>
      </c>
      <c r="O173" s="104">
        <f t="shared" si="110"/>
        <v>167.52994178021453</v>
      </c>
      <c r="P173" s="54">
        <f>M173-J173</f>
        <v>0.19999999999999929</v>
      </c>
      <c r="Q173" s="88">
        <f>O173-L173</f>
        <v>-11.323251692978943</v>
      </c>
      <c r="R173" s="105">
        <f>O173/L173</f>
        <v>0.9366896868147</v>
      </c>
      <c r="S173" s="681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720"/>
      <c r="AC173" s="720"/>
      <c r="AD173" s="107">
        <f>SUM(AD161:AD172)</f>
        <v>0</v>
      </c>
      <c r="AE173" s="107">
        <f>SUM(AE161:AE172)</f>
        <v>0</v>
      </c>
      <c r="AF173" s="54">
        <f t="shared" si="61"/>
        <v>-113.01662027608927</v>
      </c>
      <c r="AG173" s="497">
        <f t="shared" si="62"/>
        <v>0.94728210641100419</v>
      </c>
      <c r="AH173" s="681"/>
    </row>
    <row r="174" spans="1:36" ht="19.2" customHeight="1">
      <c r="AJ174" s="279" t="s">
        <v>128</v>
      </c>
    </row>
    <row r="175" spans="1:36" ht="19.2" customHeight="1">
      <c r="AJ175" s="279" t="s">
        <v>129</v>
      </c>
    </row>
    <row r="176" spans="1:36" ht="19.2" customHeight="1">
      <c r="AJ176" s="279" t="s">
        <v>256</v>
      </c>
    </row>
    <row r="177" spans="23:36" ht="19.2" customHeight="1">
      <c r="W177" s="33"/>
      <c r="AJ177" s="279" t="s">
        <v>130</v>
      </c>
    </row>
    <row r="178" spans="23:36" ht="19.2" customHeight="1">
      <c r="W178" s="33"/>
      <c r="AJ178" s="279" t="s">
        <v>131</v>
      </c>
    </row>
    <row r="179" spans="23:36">
      <c r="W179" s="33"/>
      <c r="AJ179" s="279" t="s">
        <v>132</v>
      </c>
    </row>
    <row r="180" spans="23:36">
      <c r="W180" s="33"/>
      <c r="AJ180" s="279" t="s">
        <v>133</v>
      </c>
    </row>
    <row r="181" spans="23:36">
      <c r="W181" s="33"/>
      <c r="AJ181" s="279" t="s">
        <v>134</v>
      </c>
    </row>
    <row r="182" spans="23:36">
      <c r="W182" s="33"/>
      <c r="AJ182" s="279" t="s">
        <v>135</v>
      </c>
    </row>
    <row r="183" spans="23:36">
      <c r="W183" s="33"/>
      <c r="AJ183" s="279" t="s">
        <v>136</v>
      </c>
    </row>
    <row r="184" spans="23:36">
      <c r="W184" s="33"/>
      <c r="AJ184" s="279" t="s">
        <v>137</v>
      </c>
    </row>
    <row r="185" spans="23:36">
      <c r="W185" s="33"/>
      <c r="AJ185" s="279" t="s">
        <v>257</v>
      </c>
    </row>
    <row r="186" spans="23:36">
      <c r="W186" s="33"/>
      <c r="AJ186" s="279" t="s">
        <v>275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AF17:AF29 AF5:AF13 AF36 AF40 AF57:AF70 AF74 AF78 Q109:Q117 Q57:Q70">
    <cfRule type="cellIs" dxfId="3255" priority="3256" operator="lessThan">
      <formula>0</formula>
    </cfRule>
  </conditionalFormatting>
  <conditionalFormatting sqref="AH57 AH70 S43 S123 S95 AH95 S5:S9 AH5:AH9 S134 AH17:AH18 S17:S18 S32 S82 AH82 S57:S70">
    <cfRule type="cellIs" dxfId="3254" priority="3255" operator="lessThan">
      <formula>0.8</formula>
    </cfRule>
  </conditionalFormatting>
  <conditionalFormatting sqref="R147 R173 R30 R121 R95 R43 R134 R82 R154:R159 R17:R18 R109:R117 R57:R70">
    <cfRule type="cellIs" dxfId="3253" priority="3253" operator="lessThan">
      <formula>0.8</formula>
    </cfRule>
    <cfRule type="cellIs" dxfId="3252" priority="3254" operator="greaterThan">
      <formula>1</formula>
    </cfRule>
  </conditionalFormatting>
  <conditionalFormatting sqref="R147 AG147 R173 AG173 AG123 R30 AG121 R121 R95 AG95 AG43 R43 AG134 R134 AG136 AG32 R82 AG82 R154:R159 AG125 R17:R18 AG155:AG159 AG17:AG29 AG5:AG13 AG36 AG40 AG57:AG70 AG74 AG78 R109:R117 R57:R70">
    <cfRule type="cellIs" dxfId="3251" priority="3251" operator="greaterThan">
      <formula>1</formula>
    </cfRule>
    <cfRule type="cellIs" dxfId="3250" priority="3252" operator="lessThan">
      <formula>0.8</formula>
    </cfRule>
  </conditionalFormatting>
  <conditionalFormatting sqref="P147 P30 P121 P95 P43 P134 P82 P154:P159 P17:P18 P109:P117 P57:P70">
    <cfRule type="cellIs" dxfId="3249" priority="3250" operator="greaterThan">
      <formula>0</formula>
    </cfRule>
  </conditionalFormatting>
  <conditionalFormatting sqref="S161">
    <cfRule type="cellIs" dxfId="3248" priority="3249" operator="lessThan">
      <formula>0.8</formula>
    </cfRule>
  </conditionalFormatting>
  <conditionalFormatting sqref="Q161:Q166">
    <cfRule type="cellIs" dxfId="3247" priority="3248" operator="lessThan">
      <formula>0</formula>
    </cfRule>
  </conditionalFormatting>
  <conditionalFormatting sqref="R161:R166">
    <cfRule type="cellIs" dxfId="3246" priority="3246" operator="lessThan">
      <formula>0.8</formula>
    </cfRule>
    <cfRule type="cellIs" dxfId="3245" priority="3247" operator="greaterThan">
      <formula>1</formula>
    </cfRule>
  </conditionalFormatting>
  <conditionalFormatting sqref="R161:R166">
    <cfRule type="cellIs" dxfId="3244" priority="3244" operator="greaterThan">
      <formula>1</formula>
    </cfRule>
    <cfRule type="cellIs" dxfId="3243" priority="3245" operator="lessThan">
      <formula>0.8</formula>
    </cfRule>
  </conditionalFormatting>
  <conditionalFormatting sqref="P161:P166">
    <cfRule type="cellIs" dxfId="3242" priority="3243" operator="greaterThan">
      <formula>0</formula>
    </cfRule>
  </conditionalFormatting>
  <conditionalFormatting sqref="Q169:Q172 AF161:AF172">
    <cfRule type="cellIs" dxfId="3241" priority="3242" operator="lessThan">
      <formula>0</formula>
    </cfRule>
  </conditionalFormatting>
  <conditionalFormatting sqref="R169:R172">
    <cfRule type="cellIs" dxfId="3240" priority="3240" operator="lessThan">
      <formula>0.8</formula>
    </cfRule>
    <cfRule type="cellIs" dxfId="3239" priority="3241" operator="greaterThan">
      <formula>1</formula>
    </cfRule>
  </conditionalFormatting>
  <conditionalFormatting sqref="R169:R172 AG161:AG172">
    <cfRule type="cellIs" dxfId="3238" priority="3238" operator="greaterThan">
      <formula>1</formula>
    </cfRule>
    <cfRule type="cellIs" dxfId="3237" priority="3239" operator="lessThan">
      <formula>0.8</formula>
    </cfRule>
  </conditionalFormatting>
  <conditionalFormatting sqref="P169:P172">
    <cfRule type="cellIs" dxfId="3236" priority="3237" operator="greaterThan">
      <formula>0</formula>
    </cfRule>
  </conditionalFormatting>
  <conditionalFormatting sqref="AF145">
    <cfRule type="cellIs" dxfId="3235" priority="3236" operator="lessThan">
      <formula>0</formula>
    </cfRule>
  </conditionalFormatting>
  <conditionalFormatting sqref="AG145">
    <cfRule type="cellIs" dxfId="3234" priority="3234" operator="greaterThan">
      <formula>1</formula>
    </cfRule>
    <cfRule type="cellIs" dxfId="3233" priority="3235" operator="lessThan">
      <formula>0.8</formula>
    </cfRule>
  </conditionalFormatting>
  <conditionalFormatting sqref="AF44:AF54">
    <cfRule type="cellIs" dxfId="3232" priority="3233" operator="lessThan">
      <formula>0</formula>
    </cfRule>
  </conditionalFormatting>
  <conditionalFormatting sqref="AG44:AG54">
    <cfRule type="cellIs" dxfId="3231" priority="3231" operator="greaterThan">
      <formula>1</formula>
    </cfRule>
    <cfRule type="cellIs" dxfId="3230" priority="3232" operator="lessThan">
      <formula>0.8</formula>
    </cfRule>
  </conditionalFormatting>
  <conditionalFormatting sqref="AF83:AF94">
    <cfRule type="cellIs" dxfId="3229" priority="3230" operator="lessThan">
      <formula>0</formula>
    </cfRule>
  </conditionalFormatting>
  <conditionalFormatting sqref="AH83">
    <cfRule type="cellIs" dxfId="3228" priority="3229" operator="lessThan">
      <formula>0.8</formula>
    </cfRule>
  </conditionalFormatting>
  <conditionalFormatting sqref="AG83:AG94">
    <cfRule type="cellIs" dxfId="3227" priority="3227" operator="greaterThan">
      <formula>1</formula>
    </cfRule>
    <cfRule type="cellIs" dxfId="3226" priority="3228" operator="lessThan">
      <formula>0.8</formula>
    </cfRule>
  </conditionalFormatting>
  <conditionalFormatting sqref="S83">
    <cfRule type="cellIs" dxfId="3225" priority="3226" operator="lessThan">
      <formula>0.8</formula>
    </cfRule>
  </conditionalFormatting>
  <conditionalFormatting sqref="AH84">
    <cfRule type="cellIs" dxfId="3224" priority="3225" operator="lessThan">
      <formula>0.8</formula>
    </cfRule>
  </conditionalFormatting>
  <conditionalFormatting sqref="S84">
    <cfRule type="cellIs" dxfId="3223" priority="3224" operator="lessThan">
      <formula>0.8</formula>
    </cfRule>
  </conditionalFormatting>
  <conditionalFormatting sqref="S90">
    <cfRule type="cellIs" dxfId="3222" priority="3223" operator="lessThan">
      <formula>0.8</formula>
    </cfRule>
  </conditionalFormatting>
  <conditionalFormatting sqref="AH90">
    <cfRule type="cellIs" dxfId="3221" priority="3222" operator="lessThan">
      <formula>0.8</formula>
    </cfRule>
  </conditionalFormatting>
  <conditionalFormatting sqref="AF122">
    <cfRule type="cellIs" dxfId="3220" priority="3221" operator="lessThan">
      <formula>0</formula>
    </cfRule>
  </conditionalFormatting>
  <conditionalFormatting sqref="S122">
    <cfRule type="cellIs" dxfId="3219" priority="3220" operator="lessThan">
      <formula>0.8</formula>
    </cfRule>
  </conditionalFormatting>
  <conditionalFormatting sqref="AG122">
    <cfRule type="cellIs" dxfId="3218" priority="3218" operator="greaterThan">
      <formula>1</formula>
    </cfRule>
    <cfRule type="cellIs" dxfId="3217" priority="3219" operator="lessThan">
      <formula>0.8</formula>
    </cfRule>
  </conditionalFormatting>
  <conditionalFormatting sqref="P162:P168">
    <cfRule type="cellIs" dxfId="3216" priority="3212" operator="greaterThan">
      <formula>0</formula>
    </cfRule>
  </conditionalFormatting>
  <conditionalFormatting sqref="R162:R168">
    <cfRule type="cellIs" dxfId="3215" priority="3215" operator="lessThan">
      <formula>0.8</formula>
    </cfRule>
    <cfRule type="cellIs" dxfId="3214" priority="3216" operator="greaterThan">
      <formula>1</formula>
    </cfRule>
  </conditionalFormatting>
  <conditionalFormatting sqref="R162:R168">
    <cfRule type="cellIs" dxfId="3213" priority="3213" operator="greaterThan">
      <formula>1</formula>
    </cfRule>
    <cfRule type="cellIs" dxfId="3212" priority="3214" operator="lessThan">
      <formula>0.8</formula>
    </cfRule>
  </conditionalFormatting>
  <conditionalFormatting sqref="Q162:Q168">
    <cfRule type="cellIs" dxfId="3211" priority="3217" operator="lessThan">
      <formula>0</formula>
    </cfRule>
  </conditionalFormatting>
  <conditionalFormatting sqref="P132:P133">
    <cfRule type="cellIs" dxfId="3210" priority="3205" operator="greaterThan">
      <formula>0</formula>
    </cfRule>
  </conditionalFormatting>
  <conditionalFormatting sqref="AF124 Q132:Q133 AF126:AF133">
    <cfRule type="cellIs" dxfId="3209" priority="3211" operator="lessThan">
      <formula>0</formula>
    </cfRule>
  </conditionalFormatting>
  <conditionalFormatting sqref="S124:S133">
    <cfRule type="cellIs" dxfId="3208" priority="3210" operator="lessThan">
      <formula>0.8</formula>
    </cfRule>
  </conditionalFormatting>
  <conditionalFormatting sqref="R132:R133">
    <cfRule type="cellIs" dxfId="3207" priority="3208" operator="lessThan">
      <formula>0.8</formula>
    </cfRule>
    <cfRule type="cellIs" dxfId="3206" priority="3209" operator="greaterThan">
      <formula>1</formula>
    </cfRule>
  </conditionalFormatting>
  <conditionalFormatting sqref="AG124 R132:R133 AG126:AG133">
    <cfRule type="cellIs" dxfId="3205" priority="3206" operator="greaterThan">
      <formula>1</formula>
    </cfRule>
    <cfRule type="cellIs" dxfId="3204" priority="3207" operator="lessThan">
      <formula>0.8</formula>
    </cfRule>
  </conditionalFormatting>
  <conditionalFormatting sqref="AH109">
    <cfRule type="cellIs" dxfId="3203" priority="3204" operator="lessThan">
      <formula>0.8</formula>
    </cfRule>
  </conditionalFormatting>
  <conditionalFormatting sqref="R160 AG160">
    <cfRule type="cellIs" dxfId="3202" priority="3199" operator="greaterThan">
      <formula>1</formula>
    </cfRule>
    <cfRule type="cellIs" dxfId="3201" priority="3200" operator="lessThan">
      <formula>0.8</formula>
    </cfRule>
  </conditionalFormatting>
  <conditionalFormatting sqref="R160">
    <cfRule type="cellIs" dxfId="3200" priority="3201" operator="lessThan">
      <formula>0.8</formula>
    </cfRule>
    <cfRule type="cellIs" dxfId="3199" priority="3202" operator="greaterThan">
      <formula>1</formula>
    </cfRule>
  </conditionalFormatting>
  <conditionalFormatting sqref="P160">
    <cfRule type="cellIs" dxfId="3198" priority="3198" operator="greaterThan">
      <formula>0</formula>
    </cfRule>
  </conditionalFormatting>
  <conditionalFormatting sqref="AH148">
    <cfRule type="cellIs" dxfId="3197" priority="3197" operator="lessThan">
      <formula>0.8</formula>
    </cfRule>
  </conditionalFormatting>
  <conditionalFormatting sqref="Q160 AF160">
    <cfRule type="cellIs" dxfId="3196" priority="3203" operator="lessThan">
      <formula>0</formula>
    </cfRule>
  </conditionalFormatting>
  <conditionalFormatting sqref="AF148:AF154">
    <cfRule type="cellIs" dxfId="3195" priority="3196" operator="lessThan">
      <formula>0</formula>
    </cfRule>
  </conditionalFormatting>
  <conditionalFormatting sqref="S148">
    <cfRule type="cellIs" dxfId="3194" priority="3195" operator="lessThan">
      <formula>0.8</formula>
    </cfRule>
  </conditionalFormatting>
  <conditionalFormatting sqref="AG148:AG154">
    <cfRule type="cellIs" dxfId="3193" priority="3193" operator="greaterThan">
      <formula>1</formula>
    </cfRule>
    <cfRule type="cellIs" dxfId="3192" priority="3194" operator="lessThan">
      <formula>0.8</formula>
    </cfRule>
  </conditionalFormatting>
  <conditionalFormatting sqref="S86">
    <cfRule type="cellIs" dxfId="3191" priority="3192" operator="lessThan">
      <formula>0.8</formula>
    </cfRule>
  </conditionalFormatting>
  <conditionalFormatting sqref="S88 AH88">
    <cfRule type="cellIs" dxfId="3190" priority="3187" operator="lessThan">
      <formula>0.8</formula>
    </cfRule>
  </conditionalFormatting>
  <conditionalFormatting sqref="AH86">
    <cfRule type="cellIs" dxfId="3189" priority="3191" operator="lessThan">
      <formula>0.8</formula>
    </cfRule>
  </conditionalFormatting>
  <conditionalFormatting sqref="S87">
    <cfRule type="cellIs" dxfId="3188" priority="3190" operator="lessThan">
      <formula>0.8</formula>
    </cfRule>
  </conditionalFormatting>
  <conditionalFormatting sqref="AH87">
    <cfRule type="cellIs" dxfId="3187" priority="3189" operator="lessThan">
      <formula>0.8</formula>
    </cfRule>
  </conditionalFormatting>
  <conditionalFormatting sqref="S89 AH89">
    <cfRule type="cellIs" dxfId="3186" priority="3188" operator="lessThan">
      <formula>0.8</formula>
    </cfRule>
  </conditionalFormatting>
  <conditionalFormatting sqref="AF31 AF35 AF39">
    <cfRule type="cellIs" dxfId="3185" priority="3186" operator="lessThan">
      <formula>0</formula>
    </cfRule>
  </conditionalFormatting>
  <conditionalFormatting sqref="AH31 S31">
    <cfRule type="cellIs" dxfId="3184" priority="3185" operator="lessThan">
      <formula>0.8</formula>
    </cfRule>
  </conditionalFormatting>
  <conditionalFormatting sqref="AG31 AG35 AG39">
    <cfRule type="cellIs" dxfId="3183" priority="3183" operator="greaterThan">
      <formula>1</formula>
    </cfRule>
    <cfRule type="cellIs" dxfId="3182" priority="3184" operator="lessThan">
      <formula>0.8</formula>
    </cfRule>
  </conditionalFormatting>
  <conditionalFormatting sqref="AF135">
    <cfRule type="cellIs" dxfId="3181" priority="3182" operator="lessThan">
      <formula>0</formula>
    </cfRule>
  </conditionalFormatting>
  <conditionalFormatting sqref="AH135 S135">
    <cfRule type="cellIs" dxfId="3180" priority="3181" operator="lessThan">
      <formula>0.8</formula>
    </cfRule>
  </conditionalFormatting>
  <conditionalFormatting sqref="AG135">
    <cfRule type="cellIs" dxfId="3179" priority="3179" operator="greaterThan">
      <formula>1</formula>
    </cfRule>
    <cfRule type="cellIs" dxfId="3178" priority="3180" operator="lessThan">
      <formula>0.8</formula>
    </cfRule>
  </conditionalFormatting>
  <conditionalFormatting sqref="AF108 Q108">
    <cfRule type="cellIs" dxfId="3177" priority="3178" operator="lessThan">
      <formula>0</formula>
    </cfRule>
  </conditionalFormatting>
  <conditionalFormatting sqref="R108">
    <cfRule type="cellIs" dxfId="3176" priority="3176" operator="lessThan">
      <formula>0.8</formula>
    </cfRule>
    <cfRule type="cellIs" dxfId="3175" priority="3177" operator="greaterThan">
      <formula>1</formula>
    </cfRule>
  </conditionalFormatting>
  <conditionalFormatting sqref="AG108 R108">
    <cfRule type="cellIs" dxfId="3174" priority="3174" operator="greaterThan">
      <formula>1</formula>
    </cfRule>
    <cfRule type="cellIs" dxfId="3173" priority="3175" operator="lessThan">
      <formula>0.8</formula>
    </cfRule>
  </conditionalFormatting>
  <conditionalFormatting sqref="P108">
    <cfRule type="cellIs" dxfId="3172" priority="3173" operator="greaterThan">
      <formula>0</formula>
    </cfRule>
  </conditionalFormatting>
  <conditionalFormatting sqref="AH97">
    <cfRule type="cellIs" dxfId="3171" priority="3168" operator="lessThan">
      <formula>0.8</formula>
    </cfRule>
  </conditionalFormatting>
  <conditionalFormatting sqref="AG96 AG98 AG100 AG102 AG104">
    <cfRule type="cellIs" dxfId="3170" priority="3170" operator="greaterThan">
      <formula>1</formula>
    </cfRule>
    <cfRule type="cellIs" dxfId="3169" priority="3171" operator="lessThan">
      <formula>0.8</formula>
    </cfRule>
  </conditionalFormatting>
  <conditionalFormatting sqref="AF96 AF98 AF100 AF102 AF104">
    <cfRule type="cellIs" dxfId="3168" priority="3172" operator="lessThan">
      <formula>0</formula>
    </cfRule>
  </conditionalFormatting>
  <conditionalFormatting sqref="AG97 AG99 AG101 AG103 AG105">
    <cfRule type="cellIs" dxfId="3167" priority="3166" operator="greaterThan">
      <formula>1</formula>
    </cfRule>
    <cfRule type="cellIs" dxfId="3166" priority="3167" operator="lessThan">
      <formula>0.8</formula>
    </cfRule>
  </conditionalFormatting>
  <conditionalFormatting sqref="AF97 AF99 AF101 AF103 AF105">
    <cfRule type="cellIs" dxfId="3165" priority="3169" operator="lessThan">
      <formula>0</formula>
    </cfRule>
  </conditionalFormatting>
  <conditionalFormatting sqref="AF71 AF73 AF75 AF79 AF77">
    <cfRule type="cellIs" dxfId="3164" priority="3163" operator="lessThan">
      <formula>0</formula>
    </cfRule>
  </conditionalFormatting>
  <conditionalFormatting sqref="S71 AH71">
    <cfRule type="cellIs" dxfId="3163" priority="3162" operator="lessThan">
      <formula>0.8</formula>
    </cfRule>
  </conditionalFormatting>
  <conditionalFormatting sqref="AG71 AG73 AG75 AG79 AG77">
    <cfRule type="cellIs" dxfId="3162" priority="3160" operator="greaterThan">
      <formula>1</formula>
    </cfRule>
    <cfRule type="cellIs" dxfId="3161" priority="3161" operator="lessThan">
      <formula>0.8</formula>
    </cfRule>
  </conditionalFormatting>
  <conditionalFormatting sqref="AF72 AF76 AF80">
    <cfRule type="cellIs" dxfId="3160" priority="3159" operator="lessThan">
      <formula>0</formula>
    </cfRule>
  </conditionalFormatting>
  <conditionalFormatting sqref="S72 AH72">
    <cfRule type="cellIs" dxfId="3159" priority="3158" operator="lessThan">
      <formula>0.8</formula>
    </cfRule>
  </conditionalFormatting>
  <conditionalFormatting sqref="S11">
    <cfRule type="cellIs" dxfId="3158" priority="3165" operator="lessThan">
      <formula>0.8</formula>
    </cfRule>
  </conditionalFormatting>
  <conditionalFormatting sqref="S10">
    <cfRule type="cellIs" dxfId="3157" priority="3164" operator="lessThan">
      <formula>0.8</formula>
    </cfRule>
  </conditionalFormatting>
  <conditionalFormatting sqref="AG72 AG76 AG80">
    <cfRule type="cellIs" dxfId="3156" priority="3156" operator="greaterThan">
      <formula>1</formula>
    </cfRule>
    <cfRule type="cellIs" dxfId="3155" priority="3157" operator="lessThan">
      <formula>0.8</formula>
    </cfRule>
  </conditionalFormatting>
  <conditionalFormatting sqref="AF14:AF16 Q15:Q16">
    <cfRule type="cellIs" dxfId="3154" priority="3155" operator="lessThan">
      <formula>0</formula>
    </cfRule>
  </conditionalFormatting>
  <conditionalFormatting sqref="R15:R16">
    <cfRule type="cellIs" dxfId="3153" priority="3153" operator="lessThan">
      <formula>0.8</formula>
    </cfRule>
    <cfRule type="cellIs" dxfId="3152" priority="3154" operator="greaterThan">
      <formula>1</formula>
    </cfRule>
  </conditionalFormatting>
  <conditionalFormatting sqref="AG14:AG16 R15:R16">
    <cfRule type="cellIs" dxfId="3151" priority="3151" operator="greaterThan">
      <formula>1</formula>
    </cfRule>
    <cfRule type="cellIs" dxfId="3150" priority="3152" operator="lessThan">
      <formula>0.8</formula>
    </cfRule>
  </conditionalFormatting>
  <conditionalFormatting sqref="P15:P16">
    <cfRule type="cellIs" dxfId="3149" priority="3150" operator="greaterThan">
      <formula>0</formula>
    </cfRule>
  </conditionalFormatting>
  <conditionalFormatting sqref="AH98">
    <cfRule type="cellIs" dxfId="3148" priority="3149" operator="lessThan">
      <formula>0.8</formula>
    </cfRule>
  </conditionalFormatting>
  <conditionalFormatting sqref="AF33 AF37">
    <cfRule type="cellIs" dxfId="3147" priority="3148" operator="lessThan">
      <formula>0</formula>
    </cfRule>
  </conditionalFormatting>
  <conditionalFormatting sqref="AG33 AG37">
    <cfRule type="cellIs" dxfId="3146" priority="3146" operator="greaterThan">
      <formula>1</formula>
    </cfRule>
    <cfRule type="cellIs" dxfId="3145" priority="3147" operator="lessThan">
      <formula>0.8</formula>
    </cfRule>
  </conditionalFormatting>
  <conditionalFormatting sqref="P41:P42">
    <cfRule type="cellIs" dxfId="3144" priority="3140" operator="greaterThan">
      <formula>0</formula>
    </cfRule>
  </conditionalFormatting>
  <conditionalFormatting sqref="Q41:Q42 AF34 AF41:AF42 AF38">
    <cfRule type="cellIs" dxfId="3143" priority="3145" operator="lessThan">
      <formula>0</formula>
    </cfRule>
  </conditionalFormatting>
  <conditionalFormatting sqref="R41:R42">
    <cfRule type="cellIs" dxfId="3142" priority="3143" operator="lessThan">
      <formula>0.8</formula>
    </cfRule>
    <cfRule type="cellIs" dxfId="3141" priority="3144" operator="greaterThan">
      <formula>1</formula>
    </cfRule>
  </conditionalFormatting>
  <conditionalFormatting sqref="R41:R42 AG34 AG41:AG42 AG38">
    <cfRule type="cellIs" dxfId="3140" priority="3141" operator="greaterThan">
      <formula>1</formula>
    </cfRule>
    <cfRule type="cellIs" dxfId="3139" priority="3142" operator="lessThan">
      <formula>0.8</formula>
    </cfRule>
  </conditionalFormatting>
  <conditionalFormatting sqref="AF137:AF144">
    <cfRule type="cellIs" dxfId="3138" priority="3139" operator="lessThan">
      <formula>0</formula>
    </cfRule>
  </conditionalFormatting>
  <conditionalFormatting sqref="AH137 S137">
    <cfRule type="cellIs" dxfId="3137" priority="3138" operator="lessThan">
      <formula>0.8</formula>
    </cfRule>
  </conditionalFormatting>
  <conditionalFormatting sqref="AG137:AG144">
    <cfRule type="cellIs" dxfId="3136" priority="3136" operator="greaterThan">
      <formula>1</formula>
    </cfRule>
    <cfRule type="cellIs" dxfId="3135" priority="3137" operator="lessThan">
      <formula>0.8</formula>
    </cfRule>
  </conditionalFormatting>
  <conditionalFormatting sqref="AF55">
    <cfRule type="cellIs" dxfId="3134" priority="3135" operator="lessThan">
      <formula>0</formula>
    </cfRule>
  </conditionalFormatting>
  <conditionalFormatting sqref="AG55">
    <cfRule type="cellIs" dxfId="3133" priority="3133" operator="greaterThan">
      <formula>1</formula>
    </cfRule>
    <cfRule type="cellIs" dxfId="3132" priority="3134" operator="lessThan">
      <formula>0.8</formula>
    </cfRule>
  </conditionalFormatting>
  <conditionalFormatting sqref="AF56 Q56">
    <cfRule type="cellIs" dxfId="3131" priority="3132" operator="lessThan">
      <formula>0</formula>
    </cfRule>
  </conditionalFormatting>
  <conditionalFormatting sqref="R56">
    <cfRule type="cellIs" dxfId="3130" priority="3130" operator="lessThan">
      <formula>0.8</formula>
    </cfRule>
    <cfRule type="cellIs" dxfId="3129" priority="3131" operator="greaterThan">
      <formula>1</formula>
    </cfRule>
  </conditionalFormatting>
  <conditionalFormatting sqref="AG56 R56">
    <cfRule type="cellIs" dxfId="3128" priority="3128" operator="greaterThan">
      <formula>1</formula>
    </cfRule>
    <cfRule type="cellIs" dxfId="3127" priority="3129" operator="lessThan">
      <formula>0.8</formula>
    </cfRule>
  </conditionalFormatting>
  <conditionalFormatting sqref="P56">
    <cfRule type="cellIs" dxfId="3126" priority="3127" operator="greaterThan">
      <formula>0</formula>
    </cfRule>
  </conditionalFormatting>
  <conditionalFormatting sqref="P52:P55">
    <cfRule type="cellIs" dxfId="3125" priority="3121" operator="greaterThan">
      <formula>0</formula>
    </cfRule>
  </conditionalFormatting>
  <conditionalFormatting sqref="Q52:Q55">
    <cfRule type="cellIs" dxfId="3124" priority="3126" operator="lessThan">
      <formula>0</formula>
    </cfRule>
  </conditionalFormatting>
  <conditionalFormatting sqref="R52:R55">
    <cfRule type="cellIs" dxfId="3123" priority="3124" operator="lessThan">
      <formula>0.8</formula>
    </cfRule>
    <cfRule type="cellIs" dxfId="3122" priority="3125" operator="greaterThan">
      <formula>1</formula>
    </cfRule>
  </conditionalFormatting>
  <conditionalFormatting sqref="R52:R55">
    <cfRule type="cellIs" dxfId="3121" priority="3122" operator="greaterThan">
      <formula>1</formula>
    </cfRule>
    <cfRule type="cellIs" dxfId="3120" priority="3123" operator="lessThan">
      <formula>0.8</formula>
    </cfRule>
  </conditionalFormatting>
  <conditionalFormatting sqref="P80:P81">
    <cfRule type="cellIs" dxfId="3119" priority="3115" operator="greaterThan">
      <formula>0</formula>
    </cfRule>
  </conditionalFormatting>
  <conditionalFormatting sqref="AF81 Q80:Q81">
    <cfRule type="cellIs" dxfId="3118" priority="3120" operator="lessThan">
      <formula>0</formula>
    </cfRule>
  </conditionalFormatting>
  <conditionalFormatting sqref="R80:R81">
    <cfRule type="cellIs" dxfId="3117" priority="3118" operator="lessThan">
      <formula>0.8</formula>
    </cfRule>
    <cfRule type="cellIs" dxfId="3116" priority="3119" operator="greaterThan">
      <formula>1</formula>
    </cfRule>
  </conditionalFormatting>
  <conditionalFormatting sqref="AG81 R80:R81">
    <cfRule type="cellIs" dxfId="3115" priority="3116" operator="greaterThan">
      <formula>1</formula>
    </cfRule>
    <cfRule type="cellIs" dxfId="3114" priority="3117" operator="lessThan">
      <formula>0.8</formula>
    </cfRule>
  </conditionalFormatting>
  <conditionalFormatting sqref="AH85">
    <cfRule type="cellIs" dxfId="3113" priority="3114" operator="lessThan">
      <formula>0.8</formula>
    </cfRule>
  </conditionalFormatting>
  <conditionalFormatting sqref="S85">
    <cfRule type="cellIs" dxfId="3112" priority="3113" operator="lessThan">
      <formula>0.8</formula>
    </cfRule>
  </conditionalFormatting>
  <conditionalFormatting sqref="AF106:AF107">
    <cfRule type="cellIs" dxfId="3111" priority="3112" operator="lessThan">
      <formula>0</formula>
    </cfRule>
  </conditionalFormatting>
  <conditionalFormatting sqref="AH100:AH107">
    <cfRule type="cellIs" dxfId="3110" priority="3111" operator="lessThan">
      <formula>0.8</formula>
    </cfRule>
  </conditionalFormatting>
  <conditionalFormatting sqref="AG106:AG107">
    <cfRule type="cellIs" dxfId="3109" priority="3109" operator="greaterThan">
      <formula>1</formula>
    </cfRule>
    <cfRule type="cellIs" dxfId="3108" priority="3110" operator="lessThan">
      <formula>0.8</formula>
    </cfRule>
  </conditionalFormatting>
  <conditionalFormatting sqref="P106:P107">
    <cfRule type="cellIs" dxfId="3107" priority="3103" operator="greaterThan">
      <formula>0</formula>
    </cfRule>
  </conditionalFormatting>
  <conditionalFormatting sqref="Q106:Q107">
    <cfRule type="cellIs" dxfId="3106" priority="3108" operator="lessThan">
      <formula>0</formula>
    </cfRule>
  </conditionalFormatting>
  <conditionalFormatting sqref="R106:R107">
    <cfRule type="cellIs" dxfId="3105" priority="3106" operator="lessThan">
      <formula>0.8</formula>
    </cfRule>
    <cfRule type="cellIs" dxfId="3104" priority="3107" operator="greaterThan">
      <formula>1</formula>
    </cfRule>
  </conditionalFormatting>
  <conditionalFormatting sqref="R106:R107">
    <cfRule type="cellIs" dxfId="3103" priority="3104" operator="greaterThan">
      <formula>1</formula>
    </cfRule>
    <cfRule type="cellIs" dxfId="3102" priority="3105" operator="lessThan">
      <formula>0.8</formula>
    </cfRule>
  </conditionalFormatting>
  <conditionalFormatting sqref="AF109:AF120">
    <cfRule type="cellIs" dxfId="3101" priority="3102" operator="lessThan">
      <formula>0</formula>
    </cfRule>
  </conditionalFormatting>
  <conditionalFormatting sqref="S109">
    <cfRule type="cellIs" dxfId="3100" priority="3101" operator="lessThan">
      <formula>0.8</formula>
    </cfRule>
  </conditionalFormatting>
  <conditionalFormatting sqref="AG109:AG120">
    <cfRule type="cellIs" dxfId="3099" priority="3099" operator="greaterThan">
      <formula>1</formula>
    </cfRule>
    <cfRule type="cellIs" dxfId="3098" priority="3100" operator="lessThan">
      <formula>0.8</formula>
    </cfRule>
  </conditionalFormatting>
  <conditionalFormatting sqref="S150">
    <cfRule type="cellIs" dxfId="3097" priority="3098" operator="lessThan">
      <formula>0.8</formula>
    </cfRule>
  </conditionalFormatting>
  <conditionalFormatting sqref="AH150">
    <cfRule type="cellIs" dxfId="3096" priority="3097" operator="lessThan">
      <formula>0.8</formula>
    </cfRule>
  </conditionalFormatting>
  <conditionalFormatting sqref="S149">
    <cfRule type="cellIs" dxfId="3095" priority="3096" operator="lessThan">
      <formula>0.8</formula>
    </cfRule>
  </conditionalFormatting>
  <conditionalFormatting sqref="Q26:Q29">
    <cfRule type="cellIs" dxfId="3094" priority="3095" operator="lessThan">
      <formula>0</formula>
    </cfRule>
  </conditionalFormatting>
  <conditionalFormatting sqref="S21:S29 AH21:AH29">
    <cfRule type="cellIs" dxfId="3093" priority="3094" operator="lessThan">
      <formula>0.8</formula>
    </cfRule>
  </conditionalFormatting>
  <conditionalFormatting sqref="R26:R29">
    <cfRule type="cellIs" dxfId="3092" priority="3092" operator="lessThan">
      <formula>0.8</formula>
    </cfRule>
    <cfRule type="cellIs" dxfId="3091" priority="3093" operator="greaterThan">
      <formula>1</formula>
    </cfRule>
  </conditionalFormatting>
  <conditionalFormatting sqref="R26:R29">
    <cfRule type="cellIs" dxfId="3090" priority="3090" operator="greaterThan">
      <formula>1</formula>
    </cfRule>
    <cfRule type="cellIs" dxfId="3089" priority="3091" operator="lessThan">
      <formula>0.8</formula>
    </cfRule>
  </conditionalFormatting>
  <conditionalFormatting sqref="P26:P29">
    <cfRule type="cellIs" dxfId="3088" priority="3089" operator="greaterThan">
      <formula>0</formula>
    </cfRule>
  </conditionalFormatting>
  <conditionalFormatting sqref="AH91 S91">
    <cfRule type="cellIs" dxfId="3087" priority="3088" operator="lessThan">
      <formula>0.8</formula>
    </cfRule>
  </conditionalFormatting>
  <conditionalFormatting sqref="P92:P94">
    <cfRule type="cellIs" dxfId="3086" priority="3082" operator="greaterThan">
      <formula>0</formula>
    </cfRule>
  </conditionalFormatting>
  <conditionalFormatting sqref="Q92:Q94">
    <cfRule type="cellIs" dxfId="3085" priority="3087" operator="lessThan">
      <formula>0</formula>
    </cfRule>
  </conditionalFormatting>
  <conditionalFormatting sqref="R92:R94">
    <cfRule type="cellIs" dxfId="3084" priority="3085" operator="lessThan">
      <formula>0.8</formula>
    </cfRule>
    <cfRule type="cellIs" dxfId="3083" priority="3086" operator="greaterThan">
      <formula>1</formula>
    </cfRule>
  </conditionalFormatting>
  <conditionalFormatting sqref="R92:R94">
    <cfRule type="cellIs" dxfId="3082" priority="3083" operator="greaterThan">
      <formula>1</formula>
    </cfRule>
    <cfRule type="cellIs" dxfId="3081" priority="3084" operator="lessThan">
      <formula>0.8</formula>
    </cfRule>
  </conditionalFormatting>
  <conditionalFormatting sqref="AF146 Q145:Q146">
    <cfRule type="cellIs" dxfId="3080" priority="3081" operator="lessThan">
      <formula>0</formula>
    </cfRule>
  </conditionalFormatting>
  <conditionalFormatting sqref="AH139:AH146 S139:S146">
    <cfRule type="cellIs" dxfId="3079" priority="3080" operator="lessThan">
      <formula>0.8</formula>
    </cfRule>
  </conditionalFormatting>
  <conditionalFormatting sqref="R145:R146">
    <cfRule type="cellIs" dxfId="3078" priority="3078" operator="lessThan">
      <formula>0.8</formula>
    </cfRule>
    <cfRule type="cellIs" dxfId="3077" priority="3079" operator="greaterThan">
      <formula>1</formula>
    </cfRule>
  </conditionalFormatting>
  <conditionalFormatting sqref="AG146 R145:R146">
    <cfRule type="cellIs" dxfId="3076" priority="3076" operator="greaterThan">
      <formula>1</formula>
    </cfRule>
    <cfRule type="cellIs" dxfId="3075" priority="3077" operator="lessThan">
      <formula>0.8</formula>
    </cfRule>
  </conditionalFormatting>
  <conditionalFormatting sqref="P145:P146">
    <cfRule type="cellIs" dxfId="3074" priority="3075" operator="greaterThan">
      <formula>0</formula>
    </cfRule>
  </conditionalFormatting>
  <conditionalFormatting sqref="Q119:Q120">
    <cfRule type="cellIs" dxfId="3073" priority="3074" operator="lessThan">
      <formula>0</formula>
    </cfRule>
  </conditionalFormatting>
  <conditionalFormatting sqref="R119:R120">
    <cfRule type="cellIs" dxfId="3072" priority="3072" operator="lessThan">
      <formula>0.8</formula>
    </cfRule>
    <cfRule type="cellIs" dxfId="3071" priority="3073" operator="greaterThan">
      <formula>1</formula>
    </cfRule>
  </conditionalFormatting>
  <conditionalFormatting sqref="R119:R120">
    <cfRule type="cellIs" dxfId="3070" priority="3070" operator="greaterThan">
      <formula>1</formula>
    </cfRule>
    <cfRule type="cellIs" dxfId="3069" priority="3071" operator="lessThan">
      <formula>0.8</formula>
    </cfRule>
  </conditionalFormatting>
  <conditionalFormatting sqref="P119:P120">
    <cfRule type="cellIs" dxfId="3068" priority="3069" operator="greaterThan">
      <formula>0</formula>
    </cfRule>
  </conditionalFormatting>
  <conditionalFormatting sqref="S44:S56">
    <cfRule type="cellIs" dxfId="3067" priority="3068" operator="lessThan">
      <formula>0.8</formula>
    </cfRule>
  </conditionalFormatting>
  <conditionalFormatting sqref="S108">
    <cfRule type="cellIs" dxfId="3066" priority="3067" operator="lessThan">
      <formula>0.8</formula>
    </cfRule>
  </conditionalFormatting>
  <conditionalFormatting sqref="S96">
    <cfRule type="cellIs" dxfId="3065" priority="3066" operator="lessThan">
      <formula>0.8</formula>
    </cfRule>
  </conditionalFormatting>
  <conditionalFormatting sqref="S97">
    <cfRule type="cellIs" dxfId="3064" priority="3065" operator="lessThan">
      <formula>0.8</formula>
    </cfRule>
  </conditionalFormatting>
  <conditionalFormatting sqref="S103">
    <cfRule type="cellIs" dxfId="3063" priority="3064" operator="lessThan">
      <formula>0.8</formula>
    </cfRule>
  </conditionalFormatting>
  <conditionalFormatting sqref="S99">
    <cfRule type="cellIs" dxfId="3062" priority="3063" operator="lessThan">
      <formula>0.8</formula>
    </cfRule>
  </conditionalFormatting>
  <conditionalFormatting sqref="S101">
    <cfRule type="cellIs" dxfId="3061" priority="3060" operator="lessThan">
      <formula>0.8</formula>
    </cfRule>
  </conditionalFormatting>
  <conditionalFormatting sqref="S100">
    <cfRule type="cellIs" dxfId="3060" priority="3062" operator="lessThan">
      <formula>0.8</formula>
    </cfRule>
  </conditionalFormatting>
  <conditionalFormatting sqref="S102">
    <cfRule type="cellIs" dxfId="3059" priority="3061" operator="lessThan">
      <formula>0.8</formula>
    </cfRule>
  </conditionalFormatting>
  <conditionalFormatting sqref="S98">
    <cfRule type="cellIs" dxfId="3058" priority="3059" operator="lessThan">
      <formula>0.8</formula>
    </cfRule>
  </conditionalFormatting>
  <conditionalFormatting sqref="S104">
    <cfRule type="cellIs" dxfId="3057" priority="3058" operator="lessThan">
      <formula>0.8</formula>
    </cfRule>
  </conditionalFormatting>
  <conditionalFormatting sqref="P118">
    <cfRule type="cellIs" dxfId="3056" priority="3052" operator="greaterThan">
      <formula>0</formula>
    </cfRule>
  </conditionalFormatting>
  <conditionalFormatting sqref="Q118">
    <cfRule type="cellIs" dxfId="3055" priority="3057" operator="lessThan">
      <formula>0</formula>
    </cfRule>
  </conditionalFormatting>
  <conditionalFormatting sqref="R118">
    <cfRule type="cellIs" dxfId="3054" priority="3055" operator="lessThan">
      <formula>0.8</formula>
    </cfRule>
    <cfRule type="cellIs" dxfId="3053" priority="3056" operator="greaterThan">
      <formula>1</formula>
    </cfRule>
  </conditionalFormatting>
  <conditionalFormatting sqref="R118">
    <cfRule type="cellIs" dxfId="3052" priority="3053" operator="greaterThan">
      <formula>1</formula>
    </cfRule>
    <cfRule type="cellIs" dxfId="3051" priority="3054" operator="lessThan">
      <formula>0.8</formula>
    </cfRule>
  </conditionalFormatting>
  <conditionalFormatting sqref="Q162:Q166">
    <cfRule type="cellIs" dxfId="3050" priority="3051" operator="lessThan">
      <formula>0</formula>
    </cfRule>
  </conditionalFormatting>
  <conditionalFormatting sqref="R162:R166">
    <cfRule type="cellIs" dxfId="3049" priority="3049" operator="lessThan">
      <formula>0.8</formula>
    </cfRule>
    <cfRule type="cellIs" dxfId="3048" priority="3050" operator="greaterThan">
      <formula>1</formula>
    </cfRule>
  </conditionalFormatting>
  <conditionalFormatting sqref="R162:R166">
    <cfRule type="cellIs" dxfId="3047" priority="3047" operator="greaterThan">
      <formula>1</formula>
    </cfRule>
    <cfRule type="cellIs" dxfId="3046" priority="3048" operator="lessThan">
      <formula>0.8</formula>
    </cfRule>
  </conditionalFormatting>
  <conditionalFormatting sqref="P162:P166">
    <cfRule type="cellIs" dxfId="3045" priority="3046" operator="greaterThan">
      <formula>0</formula>
    </cfRule>
  </conditionalFormatting>
  <conditionalFormatting sqref="P167:P168">
    <cfRule type="cellIs" dxfId="3044" priority="3040" operator="greaterThan">
      <formula>0</formula>
    </cfRule>
  </conditionalFormatting>
  <conditionalFormatting sqref="R167:R168">
    <cfRule type="cellIs" dxfId="3043" priority="3043" operator="lessThan">
      <formula>0.8</formula>
    </cfRule>
    <cfRule type="cellIs" dxfId="3042" priority="3044" operator="greaterThan">
      <formula>1</formula>
    </cfRule>
  </conditionalFormatting>
  <conditionalFormatting sqref="R167:R168">
    <cfRule type="cellIs" dxfId="3041" priority="3041" operator="greaterThan">
      <formula>1</formula>
    </cfRule>
    <cfRule type="cellIs" dxfId="3040" priority="3042" operator="lessThan">
      <formula>0.8</formula>
    </cfRule>
  </conditionalFormatting>
  <conditionalFormatting sqref="Q167:Q168">
    <cfRule type="cellIs" dxfId="3039" priority="3045" operator="lessThan">
      <formula>0</formula>
    </cfRule>
  </conditionalFormatting>
  <conditionalFormatting sqref="Q83">
    <cfRule type="cellIs" dxfId="3038" priority="3039" operator="lessThan">
      <formula>0</formula>
    </cfRule>
  </conditionalFormatting>
  <conditionalFormatting sqref="R83">
    <cfRule type="cellIs" dxfId="3037" priority="3037" operator="lessThan">
      <formula>0.8</formula>
    </cfRule>
    <cfRule type="cellIs" dxfId="3036" priority="3038" operator="greaterThan">
      <formula>1</formula>
    </cfRule>
  </conditionalFormatting>
  <conditionalFormatting sqref="R83">
    <cfRule type="cellIs" dxfId="3035" priority="3035" operator="greaterThan">
      <formula>1</formula>
    </cfRule>
    <cfRule type="cellIs" dxfId="3034" priority="3036" operator="lessThan">
      <formula>0.8</formula>
    </cfRule>
  </conditionalFormatting>
  <conditionalFormatting sqref="P83">
    <cfRule type="cellIs" dxfId="3033" priority="3034" operator="greaterThan">
      <formula>0</formula>
    </cfRule>
  </conditionalFormatting>
  <conditionalFormatting sqref="Q83">
    <cfRule type="cellIs" dxfId="3032" priority="3033" operator="lessThan">
      <formula>0</formula>
    </cfRule>
  </conditionalFormatting>
  <conditionalFormatting sqref="R83">
    <cfRule type="cellIs" dxfId="3031" priority="3031" operator="lessThan">
      <formula>0.8</formula>
    </cfRule>
    <cfRule type="cellIs" dxfId="3030" priority="3032" operator="greaterThan">
      <formula>1</formula>
    </cfRule>
  </conditionalFormatting>
  <conditionalFormatting sqref="R83">
    <cfRule type="cellIs" dxfId="3029" priority="3029" operator="greaterThan">
      <formula>1</formula>
    </cfRule>
    <cfRule type="cellIs" dxfId="3028" priority="3030" operator="lessThan">
      <formula>0.8</formula>
    </cfRule>
  </conditionalFormatting>
  <conditionalFormatting sqref="P83">
    <cfRule type="cellIs" dxfId="3027" priority="3028" operator="greaterThan">
      <formula>0</formula>
    </cfRule>
  </conditionalFormatting>
  <conditionalFormatting sqref="Q83">
    <cfRule type="cellIs" dxfId="3026" priority="3027" operator="lessThan">
      <formula>0</formula>
    </cfRule>
  </conditionalFormatting>
  <conditionalFormatting sqref="R83">
    <cfRule type="cellIs" dxfId="3025" priority="3025" operator="lessThan">
      <formula>0.8</formula>
    </cfRule>
    <cfRule type="cellIs" dxfId="3024" priority="3026" operator="greaterThan">
      <formula>1</formula>
    </cfRule>
  </conditionalFormatting>
  <conditionalFormatting sqref="R83">
    <cfRule type="cellIs" dxfId="3023" priority="3023" operator="greaterThan">
      <formula>1</formula>
    </cfRule>
    <cfRule type="cellIs" dxfId="3022" priority="3024" operator="lessThan">
      <formula>0.8</formula>
    </cfRule>
  </conditionalFormatting>
  <conditionalFormatting sqref="P83">
    <cfRule type="cellIs" dxfId="3021" priority="3022" operator="greaterThan">
      <formula>0</formula>
    </cfRule>
  </conditionalFormatting>
  <conditionalFormatting sqref="Q83">
    <cfRule type="cellIs" dxfId="3020" priority="3021" operator="lessThan">
      <formula>0</formula>
    </cfRule>
  </conditionalFormatting>
  <conditionalFormatting sqref="R83">
    <cfRule type="cellIs" dxfId="3019" priority="3019" operator="lessThan">
      <formula>0.8</formula>
    </cfRule>
    <cfRule type="cellIs" dxfId="3018" priority="3020" operator="greaterThan">
      <formula>1</formula>
    </cfRule>
  </conditionalFormatting>
  <conditionalFormatting sqref="R83">
    <cfRule type="cellIs" dxfId="3017" priority="3017" operator="greaterThan">
      <formula>1</formula>
    </cfRule>
    <cfRule type="cellIs" dxfId="3016" priority="3018" operator="lessThan">
      <formula>0.8</formula>
    </cfRule>
  </conditionalFormatting>
  <conditionalFormatting sqref="P83">
    <cfRule type="cellIs" dxfId="3015" priority="3016" operator="greaterThan">
      <formula>0</formula>
    </cfRule>
  </conditionalFormatting>
  <conditionalFormatting sqref="P83">
    <cfRule type="cellIs" dxfId="3014" priority="3010" operator="greaterThan">
      <formula>0</formula>
    </cfRule>
  </conditionalFormatting>
  <conditionalFormatting sqref="Q83">
    <cfRule type="cellIs" dxfId="3013" priority="3015" operator="lessThan">
      <formula>0</formula>
    </cfRule>
  </conditionalFormatting>
  <conditionalFormatting sqref="R83">
    <cfRule type="cellIs" dxfId="3012" priority="3013" operator="lessThan">
      <formula>0.8</formula>
    </cfRule>
    <cfRule type="cellIs" dxfId="3011" priority="3014" operator="greaterThan">
      <formula>1</formula>
    </cfRule>
  </conditionalFormatting>
  <conditionalFormatting sqref="R83">
    <cfRule type="cellIs" dxfId="3010" priority="3011" operator="greaterThan">
      <formula>1</formula>
    </cfRule>
    <cfRule type="cellIs" dxfId="3009" priority="3012" operator="lessThan">
      <formula>0.8</formula>
    </cfRule>
  </conditionalFormatting>
  <conditionalFormatting sqref="P83">
    <cfRule type="cellIs" dxfId="3008" priority="3004" operator="greaterThan">
      <formula>0</formula>
    </cfRule>
  </conditionalFormatting>
  <conditionalFormatting sqref="Q83">
    <cfRule type="cellIs" dxfId="3007" priority="3009" operator="lessThan">
      <formula>0</formula>
    </cfRule>
  </conditionalFormatting>
  <conditionalFormatting sqref="R83">
    <cfRule type="cellIs" dxfId="3006" priority="3007" operator="lessThan">
      <formula>0.8</formula>
    </cfRule>
    <cfRule type="cellIs" dxfId="3005" priority="3008" operator="greaterThan">
      <formula>1</formula>
    </cfRule>
  </conditionalFormatting>
  <conditionalFormatting sqref="R83">
    <cfRule type="cellIs" dxfId="3004" priority="3005" operator="greaterThan">
      <formula>1</formula>
    </cfRule>
    <cfRule type="cellIs" dxfId="3003" priority="3006" operator="lessThan">
      <formula>0.8</formula>
    </cfRule>
  </conditionalFormatting>
  <conditionalFormatting sqref="R83">
    <cfRule type="cellIs" dxfId="3002" priority="3001" operator="lessThan">
      <formula>0.8</formula>
    </cfRule>
    <cfRule type="cellIs" dxfId="3001" priority="3002" operator="greaterThan">
      <formula>1</formula>
    </cfRule>
  </conditionalFormatting>
  <conditionalFormatting sqref="R83">
    <cfRule type="cellIs" dxfId="3000" priority="2999" operator="greaterThan">
      <formula>1</formula>
    </cfRule>
    <cfRule type="cellIs" dxfId="2999" priority="3000" operator="lessThan">
      <formula>0.8</formula>
    </cfRule>
  </conditionalFormatting>
  <conditionalFormatting sqref="P83">
    <cfRule type="cellIs" dxfId="2998" priority="2998" operator="greaterThan">
      <formula>0</formula>
    </cfRule>
  </conditionalFormatting>
  <conditionalFormatting sqref="Q83">
    <cfRule type="cellIs" dxfId="2997" priority="3003" operator="lessThan">
      <formula>0</formula>
    </cfRule>
  </conditionalFormatting>
  <conditionalFormatting sqref="Q83">
    <cfRule type="cellIs" dxfId="2996" priority="2997" operator="lessThan">
      <formula>0</formula>
    </cfRule>
  </conditionalFormatting>
  <conditionalFormatting sqref="R83">
    <cfRule type="cellIs" dxfId="2995" priority="2995" operator="lessThan">
      <formula>0.8</formula>
    </cfRule>
    <cfRule type="cellIs" dxfId="2994" priority="2996" operator="greaterThan">
      <formula>1</formula>
    </cfRule>
  </conditionalFormatting>
  <conditionalFormatting sqref="R83">
    <cfRule type="cellIs" dxfId="2993" priority="2993" operator="greaterThan">
      <formula>1</formula>
    </cfRule>
    <cfRule type="cellIs" dxfId="2992" priority="2994" operator="lessThan">
      <formula>0.8</formula>
    </cfRule>
  </conditionalFormatting>
  <conditionalFormatting sqref="P83">
    <cfRule type="cellIs" dxfId="2991" priority="2992" operator="greaterThan">
      <formula>0</formula>
    </cfRule>
  </conditionalFormatting>
  <conditionalFormatting sqref="P83">
    <cfRule type="cellIs" dxfId="2990" priority="2986" operator="greaterThan">
      <formula>0</formula>
    </cfRule>
  </conditionalFormatting>
  <conditionalFormatting sqref="Q83">
    <cfRule type="cellIs" dxfId="2989" priority="2991" operator="lessThan">
      <formula>0</formula>
    </cfRule>
  </conditionalFormatting>
  <conditionalFormatting sqref="R83">
    <cfRule type="cellIs" dxfId="2988" priority="2989" operator="lessThan">
      <formula>0.8</formula>
    </cfRule>
    <cfRule type="cellIs" dxfId="2987" priority="2990" operator="greaterThan">
      <formula>1</formula>
    </cfRule>
  </conditionalFormatting>
  <conditionalFormatting sqref="R83">
    <cfRule type="cellIs" dxfId="2986" priority="2987" operator="greaterThan">
      <formula>1</formula>
    </cfRule>
    <cfRule type="cellIs" dxfId="2985" priority="2988" operator="lessThan">
      <formula>0.8</formula>
    </cfRule>
  </conditionalFormatting>
  <conditionalFormatting sqref="P83">
    <cfRule type="cellIs" dxfId="2984" priority="2980" operator="greaterThan">
      <formula>0</formula>
    </cfRule>
  </conditionalFormatting>
  <conditionalFormatting sqref="Q83">
    <cfRule type="cellIs" dxfId="2983" priority="2985" operator="lessThan">
      <formula>0</formula>
    </cfRule>
  </conditionalFormatting>
  <conditionalFormatting sqref="R83">
    <cfRule type="cellIs" dxfId="2982" priority="2983" operator="lessThan">
      <formula>0.8</formula>
    </cfRule>
    <cfRule type="cellIs" dxfId="2981" priority="2984" operator="greaterThan">
      <formula>1</formula>
    </cfRule>
  </conditionalFormatting>
  <conditionalFormatting sqref="R83">
    <cfRule type="cellIs" dxfId="2980" priority="2981" operator="greaterThan">
      <formula>1</formula>
    </cfRule>
    <cfRule type="cellIs" dxfId="2979" priority="2982" operator="lessThan">
      <formula>0.8</formula>
    </cfRule>
  </conditionalFormatting>
  <conditionalFormatting sqref="R83">
    <cfRule type="cellIs" dxfId="2978" priority="2977" operator="lessThan">
      <formula>0.8</formula>
    </cfRule>
    <cfRule type="cellIs" dxfId="2977" priority="2978" operator="greaterThan">
      <formula>1</formula>
    </cfRule>
  </conditionalFormatting>
  <conditionalFormatting sqref="R83">
    <cfRule type="cellIs" dxfId="2976" priority="2975" operator="greaterThan">
      <formula>1</formula>
    </cfRule>
    <cfRule type="cellIs" dxfId="2975" priority="2976" operator="lessThan">
      <formula>0.8</formula>
    </cfRule>
  </conditionalFormatting>
  <conditionalFormatting sqref="P83">
    <cfRule type="cellIs" dxfId="2974" priority="2974" operator="greaterThan">
      <formula>0</formula>
    </cfRule>
  </conditionalFormatting>
  <conditionalFormatting sqref="Q83">
    <cfRule type="cellIs" dxfId="2973" priority="2979" operator="lessThan">
      <formula>0</formula>
    </cfRule>
  </conditionalFormatting>
  <conditionalFormatting sqref="P83">
    <cfRule type="cellIs" dxfId="2972" priority="2968" operator="greaterThan">
      <formula>0</formula>
    </cfRule>
  </conditionalFormatting>
  <conditionalFormatting sqref="Q83">
    <cfRule type="cellIs" dxfId="2971" priority="2973" operator="lessThan">
      <formula>0</formula>
    </cfRule>
  </conditionalFormatting>
  <conditionalFormatting sqref="R83">
    <cfRule type="cellIs" dxfId="2970" priority="2971" operator="lessThan">
      <formula>0.8</formula>
    </cfRule>
    <cfRule type="cellIs" dxfId="2969" priority="2972" operator="greaterThan">
      <formula>1</formula>
    </cfRule>
  </conditionalFormatting>
  <conditionalFormatting sqref="R83">
    <cfRule type="cellIs" dxfId="2968" priority="2969" operator="greaterThan">
      <formula>1</formula>
    </cfRule>
    <cfRule type="cellIs" dxfId="2967" priority="2970" operator="lessThan">
      <formula>0.8</formula>
    </cfRule>
  </conditionalFormatting>
  <conditionalFormatting sqref="R83">
    <cfRule type="cellIs" dxfId="2966" priority="2965" operator="lessThan">
      <formula>0.8</formula>
    </cfRule>
    <cfRule type="cellIs" dxfId="2965" priority="2966" operator="greaterThan">
      <formula>1</formula>
    </cfRule>
  </conditionalFormatting>
  <conditionalFormatting sqref="R83">
    <cfRule type="cellIs" dxfId="2964" priority="2963" operator="greaterThan">
      <formula>1</formula>
    </cfRule>
    <cfRule type="cellIs" dxfId="2963" priority="2964" operator="lessThan">
      <formula>0.8</formula>
    </cfRule>
  </conditionalFormatting>
  <conditionalFormatting sqref="P83">
    <cfRule type="cellIs" dxfId="2962" priority="2962" operator="greaterThan">
      <formula>0</formula>
    </cfRule>
  </conditionalFormatting>
  <conditionalFormatting sqref="Q83">
    <cfRule type="cellIs" dxfId="2961" priority="2967" operator="lessThan">
      <formula>0</formula>
    </cfRule>
  </conditionalFormatting>
  <conditionalFormatting sqref="R83">
    <cfRule type="cellIs" dxfId="2960" priority="2959" operator="lessThan">
      <formula>0.8</formula>
    </cfRule>
    <cfRule type="cellIs" dxfId="2959" priority="2960" operator="greaterThan">
      <formula>1</formula>
    </cfRule>
  </conditionalFormatting>
  <conditionalFormatting sqref="R83">
    <cfRule type="cellIs" dxfId="2958" priority="2957" operator="greaterThan">
      <formula>1</formula>
    </cfRule>
    <cfRule type="cellIs" dxfId="2957" priority="2958" operator="lessThan">
      <formula>0.8</formula>
    </cfRule>
  </conditionalFormatting>
  <conditionalFormatting sqref="P83">
    <cfRule type="cellIs" dxfId="2956" priority="2956" operator="greaterThan">
      <formula>0</formula>
    </cfRule>
  </conditionalFormatting>
  <conditionalFormatting sqref="Q83">
    <cfRule type="cellIs" dxfId="2955" priority="2961" operator="lessThan">
      <formula>0</formula>
    </cfRule>
  </conditionalFormatting>
  <conditionalFormatting sqref="Q83">
    <cfRule type="cellIs" dxfId="2954" priority="2955" operator="lessThan">
      <formula>0</formula>
    </cfRule>
  </conditionalFormatting>
  <conditionalFormatting sqref="R83">
    <cfRule type="cellIs" dxfId="2953" priority="2953" operator="lessThan">
      <formula>0.8</formula>
    </cfRule>
    <cfRule type="cellIs" dxfId="2952" priority="2954" operator="greaterThan">
      <formula>1</formula>
    </cfRule>
  </conditionalFormatting>
  <conditionalFormatting sqref="R83">
    <cfRule type="cellIs" dxfId="2951" priority="2951" operator="greaterThan">
      <formula>1</formula>
    </cfRule>
    <cfRule type="cellIs" dxfId="2950" priority="2952" operator="lessThan">
      <formula>0.8</formula>
    </cfRule>
  </conditionalFormatting>
  <conditionalFormatting sqref="P83">
    <cfRule type="cellIs" dxfId="2949" priority="2950" operator="greaterThan">
      <formula>0</formula>
    </cfRule>
  </conditionalFormatting>
  <conditionalFormatting sqref="Q83">
    <cfRule type="cellIs" dxfId="2948" priority="2944" operator="lessThan">
      <formula>0</formula>
    </cfRule>
  </conditionalFormatting>
  <conditionalFormatting sqref="R83">
    <cfRule type="cellIs" dxfId="2947" priority="2948" operator="lessThan">
      <formula>0.8</formula>
    </cfRule>
    <cfRule type="cellIs" dxfId="2946" priority="2949" operator="greaterThan">
      <formula>1</formula>
    </cfRule>
  </conditionalFormatting>
  <conditionalFormatting sqref="R83">
    <cfRule type="cellIs" dxfId="2945" priority="2946" operator="greaterThan">
      <formula>1</formula>
    </cfRule>
    <cfRule type="cellIs" dxfId="2944" priority="2947" operator="lessThan">
      <formula>0.8</formula>
    </cfRule>
  </conditionalFormatting>
  <conditionalFormatting sqref="P83">
    <cfRule type="cellIs" dxfId="2943" priority="2945" operator="greaterThan">
      <formula>0</formula>
    </cfRule>
  </conditionalFormatting>
  <conditionalFormatting sqref="Q83">
    <cfRule type="cellIs" dxfId="2942" priority="2943" operator="lessThan">
      <formula>0</formula>
    </cfRule>
  </conditionalFormatting>
  <conditionalFormatting sqref="R83">
    <cfRule type="cellIs" dxfId="2941" priority="2941" operator="lessThan">
      <formula>0.8</formula>
    </cfRule>
    <cfRule type="cellIs" dxfId="2940" priority="2942" operator="greaterThan">
      <formula>1</formula>
    </cfRule>
  </conditionalFormatting>
  <conditionalFormatting sqref="R83">
    <cfRule type="cellIs" dxfId="2939" priority="2939" operator="greaterThan">
      <formula>1</formula>
    </cfRule>
    <cfRule type="cellIs" dxfId="2938" priority="2940" operator="lessThan">
      <formula>0.8</formula>
    </cfRule>
  </conditionalFormatting>
  <conditionalFormatting sqref="P83">
    <cfRule type="cellIs" dxfId="2937" priority="2938" operator="greaterThan">
      <formula>0</formula>
    </cfRule>
  </conditionalFormatting>
  <conditionalFormatting sqref="Q83">
    <cfRule type="cellIs" dxfId="2936" priority="2937" operator="lessThan">
      <formula>0</formula>
    </cfRule>
  </conditionalFormatting>
  <conditionalFormatting sqref="R83">
    <cfRule type="cellIs" dxfId="2935" priority="2935" operator="lessThan">
      <formula>0.8</formula>
    </cfRule>
    <cfRule type="cellIs" dxfId="2934" priority="2936" operator="greaterThan">
      <formula>1</formula>
    </cfRule>
  </conditionalFormatting>
  <conditionalFormatting sqref="R83">
    <cfRule type="cellIs" dxfId="2933" priority="2933" operator="greaterThan">
      <formula>1</formula>
    </cfRule>
    <cfRule type="cellIs" dxfId="2932" priority="2934" operator="lessThan">
      <formula>0.8</formula>
    </cfRule>
  </conditionalFormatting>
  <conditionalFormatting sqref="P83">
    <cfRule type="cellIs" dxfId="2931" priority="2932" operator="greaterThan">
      <formula>0</formula>
    </cfRule>
  </conditionalFormatting>
  <conditionalFormatting sqref="Q83">
    <cfRule type="cellIs" dxfId="2930" priority="2931" operator="lessThan">
      <formula>0</formula>
    </cfRule>
  </conditionalFormatting>
  <conditionalFormatting sqref="R83">
    <cfRule type="cellIs" dxfId="2929" priority="2929" operator="lessThan">
      <formula>0.8</formula>
    </cfRule>
    <cfRule type="cellIs" dxfId="2928" priority="2930" operator="greaterThan">
      <formula>1</formula>
    </cfRule>
  </conditionalFormatting>
  <conditionalFormatting sqref="R83">
    <cfRule type="cellIs" dxfId="2927" priority="2927" operator="greaterThan">
      <formula>1</formula>
    </cfRule>
    <cfRule type="cellIs" dxfId="2926" priority="2928" operator="lessThan">
      <formula>0.8</formula>
    </cfRule>
  </conditionalFormatting>
  <conditionalFormatting sqref="P83">
    <cfRule type="cellIs" dxfId="2925" priority="2926" operator="greaterThan">
      <formula>0</formula>
    </cfRule>
  </conditionalFormatting>
  <conditionalFormatting sqref="Q83">
    <cfRule type="cellIs" dxfId="2924" priority="2925" operator="lessThan">
      <formula>0</formula>
    </cfRule>
  </conditionalFormatting>
  <conditionalFormatting sqref="R83">
    <cfRule type="cellIs" dxfId="2923" priority="2923" operator="lessThan">
      <formula>0.8</formula>
    </cfRule>
    <cfRule type="cellIs" dxfId="2922" priority="2924" operator="greaterThan">
      <formula>1</formula>
    </cfRule>
  </conditionalFormatting>
  <conditionalFormatting sqref="R83">
    <cfRule type="cellIs" dxfId="2921" priority="2921" operator="greaterThan">
      <formula>1</formula>
    </cfRule>
    <cfRule type="cellIs" dxfId="2920" priority="2922" operator="lessThan">
      <formula>0.8</formula>
    </cfRule>
  </conditionalFormatting>
  <conditionalFormatting sqref="P83">
    <cfRule type="cellIs" dxfId="2919" priority="2920" operator="greaterThan">
      <formula>0</formula>
    </cfRule>
  </conditionalFormatting>
  <conditionalFormatting sqref="Q83">
    <cfRule type="cellIs" dxfId="2918" priority="2919" operator="lessThan">
      <formula>0</formula>
    </cfRule>
  </conditionalFormatting>
  <conditionalFormatting sqref="R83">
    <cfRule type="cellIs" dxfId="2917" priority="2917" operator="lessThan">
      <formula>0.8</formula>
    </cfRule>
    <cfRule type="cellIs" dxfId="2916" priority="2918" operator="greaterThan">
      <formula>1</formula>
    </cfRule>
  </conditionalFormatting>
  <conditionalFormatting sqref="R83">
    <cfRule type="cellIs" dxfId="2915" priority="2915" operator="greaterThan">
      <formula>1</formula>
    </cfRule>
    <cfRule type="cellIs" dxfId="2914" priority="2916" operator="lessThan">
      <formula>0.8</formula>
    </cfRule>
  </conditionalFormatting>
  <conditionalFormatting sqref="P83">
    <cfRule type="cellIs" dxfId="2913" priority="2914" operator="greaterThan">
      <formula>0</formula>
    </cfRule>
  </conditionalFormatting>
  <conditionalFormatting sqref="P83">
    <cfRule type="cellIs" dxfId="2912" priority="2908" operator="greaterThan">
      <formula>0</formula>
    </cfRule>
  </conditionalFormatting>
  <conditionalFormatting sqref="Q83">
    <cfRule type="cellIs" dxfId="2911" priority="2913" operator="lessThan">
      <formula>0</formula>
    </cfRule>
  </conditionalFormatting>
  <conditionalFormatting sqref="R83">
    <cfRule type="cellIs" dxfId="2910" priority="2911" operator="lessThan">
      <formula>0.8</formula>
    </cfRule>
    <cfRule type="cellIs" dxfId="2909" priority="2912" operator="greaterThan">
      <formula>1</formula>
    </cfRule>
  </conditionalFormatting>
  <conditionalFormatting sqref="R83">
    <cfRule type="cellIs" dxfId="2908" priority="2909" operator="greaterThan">
      <formula>1</formula>
    </cfRule>
    <cfRule type="cellIs" dxfId="2907" priority="2910" operator="lessThan">
      <formula>0.8</formula>
    </cfRule>
  </conditionalFormatting>
  <conditionalFormatting sqref="P83">
    <cfRule type="cellIs" dxfId="2906" priority="2902" operator="greaterThan">
      <formula>0</formula>
    </cfRule>
  </conditionalFormatting>
  <conditionalFormatting sqref="Q83">
    <cfRule type="cellIs" dxfId="2905" priority="2907" operator="lessThan">
      <formula>0</formula>
    </cfRule>
  </conditionalFormatting>
  <conditionalFormatting sqref="R83">
    <cfRule type="cellIs" dxfId="2904" priority="2905" operator="lessThan">
      <formula>0.8</formula>
    </cfRule>
    <cfRule type="cellIs" dxfId="2903" priority="2906" operator="greaterThan">
      <formula>1</formula>
    </cfRule>
  </conditionalFormatting>
  <conditionalFormatting sqref="R83">
    <cfRule type="cellIs" dxfId="2902" priority="2903" operator="greaterThan">
      <formula>1</formula>
    </cfRule>
    <cfRule type="cellIs" dxfId="2901" priority="2904" operator="lessThan">
      <formula>0.8</formula>
    </cfRule>
  </conditionalFormatting>
  <conditionalFormatting sqref="R83">
    <cfRule type="cellIs" dxfId="2900" priority="2899" operator="lessThan">
      <formula>0.8</formula>
    </cfRule>
    <cfRule type="cellIs" dxfId="2899" priority="2900" operator="greaterThan">
      <formula>1</formula>
    </cfRule>
  </conditionalFormatting>
  <conditionalFormatting sqref="R83">
    <cfRule type="cellIs" dxfId="2898" priority="2897" operator="greaterThan">
      <formula>1</formula>
    </cfRule>
    <cfRule type="cellIs" dxfId="2897" priority="2898" operator="lessThan">
      <formula>0.8</formula>
    </cfRule>
  </conditionalFormatting>
  <conditionalFormatting sqref="P83">
    <cfRule type="cellIs" dxfId="2896" priority="2896" operator="greaterThan">
      <formula>0</formula>
    </cfRule>
  </conditionalFormatting>
  <conditionalFormatting sqref="Q83">
    <cfRule type="cellIs" dxfId="2895" priority="2901" operator="lessThan">
      <formula>0</formula>
    </cfRule>
  </conditionalFormatting>
  <conditionalFormatting sqref="Q83">
    <cfRule type="cellIs" dxfId="2894" priority="2895" operator="lessThan">
      <formula>0</formula>
    </cfRule>
  </conditionalFormatting>
  <conditionalFormatting sqref="R83">
    <cfRule type="cellIs" dxfId="2893" priority="2893" operator="lessThan">
      <formula>0.8</formula>
    </cfRule>
    <cfRule type="cellIs" dxfId="2892" priority="2894" operator="greaterThan">
      <formula>1</formula>
    </cfRule>
  </conditionalFormatting>
  <conditionalFormatting sqref="R83">
    <cfRule type="cellIs" dxfId="2891" priority="2891" operator="greaterThan">
      <formula>1</formula>
    </cfRule>
    <cfRule type="cellIs" dxfId="2890" priority="2892" operator="lessThan">
      <formula>0.8</formula>
    </cfRule>
  </conditionalFormatting>
  <conditionalFormatting sqref="P83">
    <cfRule type="cellIs" dxfId="2889" priority="2890" operator="greaterThan">
      <formula>0</formula>
    </cfRule>
  </conditionalFormatting>
  <conditionalFormatting sqref="Q83">
    <cfRule type="cellIs" dxfId="2888" priority="2889" operator="lessThan">
      <formula>0</formula>
    </cfRule>
  </conditionalFormatting>
  <conditionalFormatting sqref="R83">
    <cfRule type="cellIs" dxfId="2887" priority="2887" operator="lessThan">
      <formula>0.8</formula>
    </cfRule>
    <cfRule type="cellIs" dxfId="2886" priority="2888" operator="greaterThan">
      <formula>1</formula>
    </cfRule>
  </conditionalFormatting>
  <conditionalFormatting sqref="R83">
    <cfRule type="cellIs" dxfId="2885" priority="2885" operator="greaterThan">
      <formula>1</formula>
    </cfRule>
    <cfRule type="cellIs" dxfId="2884" priority="2886" operator="lessThan">
      <formula>0.8</formula>
    </cfRule>
  </conditionalFormatting>
  <conditionalFormatting sqref="P83">
    <cfRule type="cellIs" dxfId="2883" priority="2884" operator="greaterThan">
      <formula>0</formula>
    </cfRule>
  </conditionalFormatting>
  <conditionalFormatting sqref="Q83">
    <cfRule type="cellIs" dxfId="2882" priority="2883" operator="lessThan">
      <formula>0</formula>
    </cfRule>
  </conditionalFormatting>
  <conditionalFormatting sqref="R83">
    <cfRule type="cellIs" dxfId="2881" priority="2881" operator="lessThan">
      <formula>0.8</formula>
    </cfRule>
    <cfRule type="cellIs" dxfId="2880" priority="2882" operator="greaterThan">
      <formula>1</formula>
    </cfRule>
  </conditionalFormatting>
  <conditionalFormatting sqref="R83">
    <cfRule type="cellIs" dxfId="2879" priority="2879" operator="greaterThan">
      <formula>1</formula>
    </cfRule>
    <cfRule type="cellIs" dxfId="2878" priority="2880" operator="lessThan">
      <formula>0.8</formula>
    </cfRule>
  </conditionalFormatting>
  <conditionalFormatting sqref="P83">
    <cfRule type="cellIs" dxfId="2877" priority="2878" operator="greaterThan">
      <formula>0</formula>
    </cfRule>
  </conditionalFormatting>
  <conditionalFormatting sqref="Q83">
    <cfRule type="cellIs" dxfId="2876" priority="2877" operator="lessThan">
      <formula>0</formula>
    </cfRule>
  </conditionalFormatting>
  <conditionalFormatting sqref="R83">
    <cfRule type="cellIs" dxfId="2875" priority="2875" operator="lessThan">
      <formula>0.8</formula>
    </cfRule>
    <cfRule type="cellIs" dxfId="2874" priority="2876" operator="greaterThan">
      <formula>1</formula>
    </cfRule>
  </conditionalFormatting>
  <conditionalFormatting sqref="R83">
    <cfRule type="cellIs" dxfId="2873" priority="2873" operator="greaterThan">
      <formula>1</formula>
    </cfRule>
    <cfRule type="cellIs" dxfId="2872" priority="2874" operator="lessThan">
      <formula>0.8</formula>
    </cfRule>
  </conditionalFormatting>
  <conditionalFormatting sqref="P83">
    <cfRule type="cellIs" dxfId="2871" priority="2872" operator="greaterThan">
      <formula>0</formula>
    </cfRule>
  </conditionalFormatting>
  <conditionalFormatting sqref="P83">
    <cfRule type="cellIs" dxfId="2870" priority="2866" operator="greaterThan">
      <formula>0</formula>
    </cfRule>
  </conditionalFormatting>
  <conditionalFormatting sqref="Q83">
    <cfRule type="cellIs" dxfId="2869" priority="2871" operator="lessThan">
      <formula>0</formula>
    </cfRule>
  </conditionalFormatting>
  <conditionalFormatting sqref="R83">
    <cfRule type="cellIs" dxfId="2868" priority="2869" operator="lessThan">
      <formula>0.8</formula>
    </cfRule>
    <cfRule type="cellIs" dxfId="2867" priority="2870" operator="greaterThan">
      <formula>1</formula>
    </cfRule>
  </conditionalFormatting>
  <conditionalFormatting sqref="R83">
    <cfRule type="cellIs" dxfId="2866" priority="2867" operator="greaterThan">
      <formula>1</formula>
    </cfRule>
    <cfRule type="cellIs" dxfId="2865" priority="2868" operator="lessThan">
      <formula>0.8</formula>
    </cfRule>
  </conditionalFormatting>
  <conditionalFormatting sqref="P83">
    <cfRule type="cellIs" dxfId="2864" priority="2860" operator="greaterThan">
      <formula>0</formula>
    </cfRule>
  </conditionalFormatting>
  <conditionalFormatting sqref="Q83">
    <cfRule type="cellIs" dxfId="2863" priority="2865" operator="lessThan">
      <formula>0</formula>
    </cfRule>
  </conditionalFormatting>
  <conditionalFormatting sqref="R83">
    <cfRule type="cellIs" dxfId="2862" priority="2863" operator="lessThan">
      <formula>0.8</formula>
    </cfRule>
    <cfRule type="cellIs" dxfId="2861" priority="2864" operator="greaterThan">
      <formula>1</formula>
    </cfRule>
  </conditionalFormatting>
  <conditionalFormatting sqref="R83">
    <cfRule type="cellIs" dxfId="2860" priority="2861" operator="greaterThan">
      <formula>1</formula>
    </cfRule>
    <cfRule type="cellIs" dxfId="2859" priority="2862" operator="lessThan">
      <formula>0.8</formula>
    </cfRule>
  </conditionalFormatting>
  <conditionalFormatting sqref="R83">
    <cfRule type="cellIs" dxfId="2858" priority="2857" operator="lessThan">
      <formula>0.8</formula>
    </cfRule>
    <cfRule type="cellIs" dxfId="2857" priority="2858" operator="greaterThan">
      <formula>1</formula>
    </cfRule>
  </conditionalFormatting>
  <conditionalFormatting sqref="R83">
    <cfRule type="cellIs" dxfId="2856" priority="2855" operator="greaterThan">
      <formula>1</formula>
    </cfRule>
    <cfRule type="cellIs" dxfId="2855" priority="2856" operator="lessThan">
      <formula>0.8</formula>
    </cfRule>
  </conditionalFormatting>
  <conditionalFormatting sqref="P83">
    <cfRule type="cellIs" dxfId="2854" priority="2854" operator="greaterThan">
      <formula>0</formula>
    </cfRule>
  </conditionalFormatting>
  <conditionalFormatting sqref="Q83">
    <cfRule type="cellIs" dxfId="2853" priority="2859" operator="lessThan">
      <formula>0</formula>
    </cfRule>
  </conditionalFormatting>
  <conditionalFormatting sqref="Q83">
    <cfRule type="cellIs" dxfId="2852" priority="2853" operator="lessThan">
      <formula>0</formula>
    </cfRule>
  </conditionalFormatting>
  <conditionalFormatting sqref="R83">
    <cfRule type="cellIs" dxfId="2851" priority="2851" operator="lessThan">
      <formula>0.8</formula>
    </cfRule>
    <cfRule type="cellIs" dxfId="2850" priority="2852" operator="greaterThan">
      <formula>1</formula>
    </cfRule>
  </conditionalFormatting>
  <conditionalFormatting sqref="R83">
    <cfRule type="cellIs" dxfId="2849" priority="2849" operator="greaterThan">
      <formula>1</formula>
    </cfRule>
    <cfRule type="cellIs" dxfId="2848" priority="2850" operator="lessThan">
      <formula>0.8</formula>
    </cfRule>
  </conditionalFormatting>
  <conditionalFormatting sqref="P83">
    <cfRule type="cellIs" dxfId="2847" priority="2848" operator="greaterThan">
      <formula>0</formula>
    </cfRule>
  </conditionalFormatting>
  <conditionalFormatting sqref="P83">
    <cfRule type="cellIs" dxfId="2846" priority="2842" operator="greaterThan">
      <formula>0</formula>
    </cfRule>
  </conditionalFormatting>
  <conditionalFormatting sqref="Q83">
    <cfRule type="cellIs" dxfId="2845" priority="2847" operator="lessThan">
      <formula>0</formula>
    </cfRule>
  </conditionalFormatting>
  <conditionalFormatting sqref="R83">
    <cfRule type="cellIs" dxfId="2844" priority="2845" operator="lessThan">
      <formula>0.8</formula>
    </cfRule>
    <cfRule type="cellIs" dxfId="2843" priority="2846" operator="greaterThan">
      <formula>1</formula>
    </cfRule>
  </conditionalFormatting>
  <conditionalFormatting sqref="R83">
    <cfRule type="cellIs" dxfId="2842" priority="2843" operator="greaterThan">
      <formula>1</formula>
    </cfRule>
    <cfRule type="cellIs" dxfId="2841" priority="2844" operator="lessThan">
      <formula>0.8</formula>
    </cfRule>
  </conditionalFormatting>
  <conditionalFormatting sqref="P83">
    <cfRule type="cellIs" dxfId="2840" priority="2836" operator="greaterThan">
      <formula>0</formula>
    </cfRule>
  </conditionalFormatting>
  <conditionalFormatting sqref="Q83">
    <cfRule type="cellIs" dxfId="2839" priority="2841" operator="lessThan">
      <formula>0</formula>
    </cfRule>
  </conditionalFormatting>
  <conditionalFormatting sqref="R83">
    <cfRule type="cellIs" dxfId="2838" priority="2839" operator="lessThan">
      <formula>0.8</formula>
    </cfRule>
    <cfRule type="cellIs" dxfId="2837" priority="2840" operator="greaterThan">
      <formula>1</formula>
    </cfRule>
  </conditionalFormatting>
  <conditionalFormatting sqref="R83">
    <cfRule type="cellIs" dxfId="2836" priority="2837" operator="greaterThan">
      <formula>1</formula>
    </cfRule>
    <cfRule type="cellIs" dxfId="2835" priority="2838" operator="lessThan">
      <formula>0.8</formula>
    </cfRule>
  </conditionalFormatting>
  <conditionalFormatting sqref="R83">
    <cfRule type="cellIs" dxfId="2834" priority="2833" operator="lessThan">
      <formula>0.8</formula>
    </cfRule>
    <cfRule type="cellIs" dxfId="2833" priority="2834" operator="greaterThan">
      <formula>1</formula>
    </cfRule>
  </conditionalFormatting>
  <conditionalFormatting sqref="R83">
    <cfRule type="cellIs" dxfId="2832" priority="2831" operator="greaterThan">
      <formula>1</formula>
    </cfRule>
    <cfRule type="cellIs" dxfId="2831" priority="2832" operator="lessThan">
      <formula>0.8</formula>
    </cfRule>
  </conditionalFormatting>
  <conditionalFormatting sqref="P83">
    <cfRule type="cellIs" dxfId="2830" priority="2830" operator="greaterThan">
      <formula>0</formula>
    </cfRule>
  </conditionalFormatting>
  <conditionalFormatting sqref="Q83">
    <cfRule type="cellIs" dxfId="2829" priority="2835" operator="lessThan">
      <formula>0</formula>
    </cfRule>
  </conditionalFormatting>
  <conditionalFormatting sqref="P83">
    <cfRule type="cellIs" dxfId="2828" priority="2824" operator="greaterThan">
      <formula>0</formula>
    </cfRule>
  </conditionalFormatting>
  <conditionalFormatting sqref="Q83">
    <cfRule type="cellIs" dxfId="2827" priority="2829" operator="lessThan">
      <formula>0</formula>
    </cfRule>
  </conditionalFormatting>
  <conditionalFormatting sqref="R83">
    <cfRule type="cellIs" dxfId="2826" priority="2827" operator="lessThan">
      <formula>0.8</formula>
    </cfRule>
    <cfRule type="cellIs" dxfId="2825" priority="2828" operator="greaterThan">
      <formula>1</formula>
    </cfRule>
  </conditionalFormatting>
  <conditionalFormatting sqref="R83">
    <cfRule type="cellIs" dxfId="2824" priority="2825" operator="greaterThan">
      <formula>1</formula>
    </cfRule>
    <cfRule type="cellIs" dxfId="2823" priority="2826" operator="lessThan">
      <formula>0.8</formula>
    </cfRule>
  </conditionalFormatting>
  <conditionalFormatting sqref="R83">
    <cfRule type="cellIs" dxfId="2822" priority="2821" operator="lessThan">
      <formula>0.8</formula>
    </cfRule>
    <cfRule type="cellIs" dxfId="2821" priority="2822" operator="greaterThan">
      <formula>1</formula>
    </cfRule>
  </conditionalFormatting>
  <conditionalFormatting sqref="R83">
    <cfRule type="cellIs" dxfId="2820" priority="2819" operator="greaterThan">
      <formula>1</formula>
    </cfRule>
    <cfRule type="cellIs" dxfId="2819" priority="2820" operator="lessThan">
      <formula>0.8</formula>
    </cfRule>
  </conditionalFormatting>
  <conditionalFormatting sqref="P83">
    <cfRule type="cellIs" dxfId="2818" priority="2818" operator="greaterThan">
      <formula>0</formula>
    </cfRule>
  </conditionalFormatting>
  <conditionalFormatting sqref="Q83">
    <cfRule type="cellIs" dxfId="2817" priority="2823" operator="lessThan">
      <formula>0</formula>
    </cfRule>
  </conditionalFormatting>
  <conditionalFormatting sqref="R83">
    <cfRule type="cellIs" dxfId="2816" priority="2815" operator="lessThan">
      <formula>0.8</formula>
    </cfRule>
    <cfRule type="cellIs" dxfId="2815" priority="2816" operator="greaterThan">
      <formula>1</formula>
    </cfRule>
  </conditionalFormatting>
  <conditionalFormatting sqref="R83">
    <cfRule type="cellIs" dxfId="2814" priority="2813" operator="greaterThan">
      <formula>1</formula>
    </cfRule>
    <cfRule type="cellIs" dxfId="2813" priority="2814" operator="lessThan">
      <formula>0.8</formula>
    </cfRule>
  </conditionalFormatting>
  <conditionalFormatting sqref="P83">
    <cfRule type="cellIs" dxfId="2812" priority="2812" operator="greaterThan">
      <formula>0</formula>
    </cfRule>
  </conditionalFormatting>
  <conditionalFormatting sqref="Q83">
    <cfRule type="cellIs" dxfId="2811" priority="2817" operator="lessThan">
      <formula>0</formula>
    </cfRule>
  </conditionalFormatting>
  <conditionalFormatting sqref="Q83">
    <cfRule type="cellIs" dxfId="2810" priority="2811" operator="lessThan">
      <formula>0</formula>
    </cfRule>
  </conditionalFormatting>
  <conditionalFormatting sqref="R83">
    <cfRule type="cellIs" dxfId="2809" priority="2809" operator="lessThan">
      <formula>0.8</formula>
    </cfRule>
    <cfRule type="cellIs" dxfId="2808" priority="2810" operator="greaterThan">
      <formula>1</formula>
    </cfRule>
  </conditionalFormatting>
  <conditionalFormatting sqref="R83">
    <cfRule type="cellIs" dxfId="2807" priority="2807" operator="greaterThan">
      <formula>1</formula>
    </cfRule>
    <cfRule type="cellIs" dxfId="2806" priority="2808" operator="lessThan">
      <formula>0.8</formula>
    </cfRule>
  </conditionalFormatting>
  <conditionalFormatting sqref="P83">
    <cfRule type="cellIs" dxfId="2805" priority="2806" operator="greaterThan">
      <formula>0</formula>
    </cfRule>
  </conditionalFormatting>
  <conditionalFormatting sqref="Q83">
    <cfRule type="cellIs" dxfId="2804" priority="2800" operator="lessThan">
      <formula>0</formula>
    </cfRule>
  </conditionalFormatting>
  <conditionalFormatting sqref="R83">
    <cfRule type="cellIs" dxfId="2803" priority="2804" operator="lessThan">
      <formula>0.8</formula>
    </cfRule>
    <cfRule type="cellIs" dxfId="2802" priority="2805" operator="greaterThan">
      <formula>1</formula>
    </cfRule>
  </conditionalFormatting>
  <conditionalFormatting sqref="R83">
    <cfRule type="cellIs" dxfId="2801" priority="2802" operator="greaterThan">
      <formula>1</formula>
    </cfRule>
    <cfRule type="cellIs" dxfId="2800" priority="2803" operator="lessThan">
      <formula>0.8</formula>
    </cfRule>
  </conditionalFormatting>
  <conditionalFormatting sqref="P83">
    <cfRule type="cellIs" dxfId="2799" priority="2801" operator="greaterThan">
      <formula>0</formula>
    </cfRule>
  </conditionalFormatting>
  <conditionalFormatting sqref="Q83">
    <cfRule type="cellIs" dxfId="2798" priority="2799" operator="lessThan">
      <formula>0</formula>
    </cfRule>
  </conditionalFormatting>
  <conditionalFormatting sqref="R83">
    <cfRule type="cellIs" dxfId="2797" priority="2797" operator="lessThan">
      <formula>0.8</formula>
    </cfRule>
    <cfRule type="cellIs" dxfId="2796" priority="2798" operator="greaterThan">
      <formula>1</formula>
    </cfRule>
  </conditionalFormatting>
  <conditionalFormatting sqref="R83">
    <cfRule type="cellIs" dxfId="2795" priority="2795" operator="greaterThan">
      <formula>1</formula>
    </cfRule>
    <cfRule type="cellIs" dxfId="2794" priority="2796" operator="lessThan">
      <formula>0.8</formula>
    </cfRule>
  </conditionalFormatting>
  <conditionalFormatting sqref="P83">
    <cfRule type="cellIs" dxfId="2793" priority="2794" operator="greaterThan">
      <formula>0</formula>
    </cfRule>
  </conditionalFormatting>
  <conditionalFormatting sqref="Q83">
    <cfRule type="cellIs" dxfId="2792" priority="2793" operator="lessThan">
      <formula>0</formula>
    </cfRule>
  </conditionalFormatting>
  <conditionalFormatting sqref="R83">
    <cfRule type="cellIs" dxfId="2791" priority="2791" operator="lessThan">
      <formula>0.8</formula>
    </cfRule>
    <cfRule type="cellIs" dxfId="2790" priority="2792" operator="greaterThan">
      <formula>1</formula>
    </cfRule>
  </conditionalFormatting>
  <conditionalFormatting sqref="R83">
    <cfRule type="cellIs" dxfId="2789" priority="2789" operator="greaterThan">
      <formula>1</formula>
    </cfRule>
    <cfRule type="cellIs" dxfId="2788" priority="2790" operator="lessThan">
      <formula>0.8</formula>
    </cfRule>
  </conditionalFormatting>
  <conditionalFormatting sqref="P83">
    <cfRule type="cellIs" dxfId="2787" priority="2788" operator="greaterThan">
      <formula>0</formula>
    </cfRule>
  </conditionalFormatting>
  <conditionalFormatting sqref="Q83">
    <cfRule type="cellIs" dxfId="2786" priority="2787" operator="lessThan">
      <formula>0</formula>
    </cfRule>
  </conditionalFormatting>
  <conditionalFormatting sqref="R83">
    <cfRule type="cellIs" dxfId="2785" priority="2785" operator="lessThan">
      <formula>0.8</formula>
    </cfRule>
    <cfRule type="cellIs" dxfId="2784" priority="2786" operator="greaterThan">
      <formula>1</formula>
    </cfRule>
  </conditionalFormatting>
  <conditionalFormatting sqref="R83">
    <cfRule type="cellIs" dxfId="2783" priority="2783" operator="greaterThan">
      <formula>1</formula>
    </cfRule>
    <cfRule type="cellIs" dxfId="2782" priority="2784" operator="lessThan">
      <formula>0.8</formula>
    </cfRule>
  </conditionalFormatting>
  <conditionalFormatting sqref="P83">
    <cfRule type="cellIs" dxfId="2781" priority="2782" operator="greaterThan">
      <formula>0</formula>
    </cfRule>
  </conditionalFormatting>
  <conditionalFormatting sqref="Q83">
    <cfRule type="cellIs" dxfId="2780" priority="2781" operator="lessThan">
      <formula>0</formula>
    </cfRule>
  </conditionalFormatting>
  <conditionalFormatting sqref="R83">
    <cfRule type="cellIs" dxfId="2779" priority="2779" operator="lessThan">
      <formula>0.8</formula>
    </cfRule>
    <cfRule type="cellIs" dxfId="2778" priority="2780" operator="greaterThan">
      <formula>1</formula>
    </cfRule>
  </conditionalFormatting>
  <conditionalFormatting sqref="R83">
    <cfRule type="cellIs" dxfId="2777" priority="2777" operator="greaterThan">
      <formula>1</formula>
    </cfRule>
    <cfRule type="cellIs" dxfId="2776" priority="2778" operator="lessThan">
      <formula>0.8</formula>
    </cfRule>
  </conditionalFormatting>
  <conditionalFormatting sqref="P83">
    <cfRule type="cellIs" dxfId="2775" priority="2776" operator="greaterThan">
      <formula>0</formula>
    </cfRule>
  </conditionalFormatting>
  <conditionalFormatting sqref="Q83">
    <cfRule type="cellIs" dxfId="2774" priority="2775" operator="lessThan">
      <formula>0</formula>
    </cfRule>
  </conditionalFormatting>
  <conditionalFormatting sqref="R83">
    <cfRule type="cellIs" dxfId="2773" priority="2773" operator="lessThan">
      <formula>0.8</formula>
    </cfRule>
    <cfRule type="cellIs" dxfId="2772" priority="2774" operator="greaterThan">
      <formula>1</formula>
    </cfRule>
  </conditionalFormatting>
  <conditionalFormatting sqref="R83">
    <cfRule type="cellIs" dxfId="2771" priority="2771" operator="greaterThan">
      <formula>1</formula>
    </cfRule>
    <cfRule type="cellIs" dxfId="2770" priority="2772" operator="lessThan">
      <formula>0.8</formula>
    </cfRule>
  </conditionalFormatting>
  <conditionalFormatting sqref="P83">
    <cfRule type="cellIs" dxfId="2769" priority="2770" operator="greaterThan">
      <formula>0</formula>
    </cfRule>
  </conditionalFormatting>
  <conditionalFormatting sqref="P83">
    <cfRule type="cellIs" dxfId="2768" priority="2764" operator="greaterThan">
      <formula>0</formula>
    </cfRule>
  </conditionalFormatting>
  <conditionalFormatting sqref="Q83">
    <cfRule type="cellIs" dxfId="2767" priority="2769" operator="lessThan">
      <formula>0</formula>
    </cfRule>
  </conditionalFormatting>
  <conditionalFormatting sqref="R83">
    <cfRule type="cellIs" dxfId="2766" priority="2767" operator="lessThan">
      <formula>0.8</formula>
    </cfRule>
    <cfRule type="cellIs" dxfId="2765" priority="2768" operator="greaterThan">
      <formula>1</formula>
    </cfRule>
  </conditionalFormatting>
  <conditionalFormatting sqref="R83">
    <cfRule type="cellIs" dxfId="2764" priority="2765" operator="greaterThan">
      <formula>1</formula>
    </cfRule>
    <cfRule type="cellIs" dxfId="2763" priority="2766" operator="lessThan">
      <formula>0.8</formula>
    </cfRule>
  </conditionalFormatting>
  <conditionalFormatting sqref="P83">
    <cfRule type="cellIs" dxfId="2762" priority="2758" operator="greaterThan">
      <formula>0</formula>
    </cfRule>
  </conditionalFormatting>
  <conditionalFormatting sqref="Q83">
    <cfRule type="cellIs" dxfId="2761" priority="2763" operator="lessThan">
      <formula>0</formula>
    </cfRule>
  </conditionalFormatting>
  <conditionalFormatting sqref="R83">
    <cfRule type="cellIs" dxfId="2760" priority="2761" operator="lessThan">
      <formula>0.8</formula>
    </cfRule>
    <cfRule type="cellIs" dxfId="2759" priority="2762" operator="greaterThan">
      <formula>1</formula>
    </cfRule>
  </conditionalFormatting>
  <conditionalFormatting sqref="R83">
    <cfRule type="cellIs" dxfId="2758" priority="2759" operator="greaterThan">
      <formula>1</formula>
    </cfRule>
    <cfRule type="cellIs" dxfId="2757" priority="2760" operator="lessThan">
      <formula>0.8</formula>
    </cfRule>
  </conditionalFormatting>
  <conditionalFormatting sqref="R83">
    <cfRule type="cellIs" dxfId="2756" priority="2755" operator="lessThan">
      <formula>0.8</formula>
    </cfRule>
    <cfRule type="cellIs" dxfId="2755" priority="2756" operator="greaterThan">
      <formula>1</formula>
    </cfRule>
  </conditionalFormatting>
  <conditionalFormatting sqref="R83">
    <cfRule type="cellIs" dxfId="2754" priority="2753" operator="greaterThan">
      <formula>1</formula>
    </cfRule>
    <cfRule type="cellIs" dxfId="2753" priority="2754" operator="lessThan">
      <formula>0.8</formula>
    </cfRule>
  </conditionalFormatting>
  <conditionalFormatting sqref="P83">
    <cfRule type="cellIs" dxfId="2752" priority="2752" operator="greaterThan">
      <formula>0</formula>
    </cfRule>
  </conditionalFormatting>
  <conditionalFormatting sqref="Q83">
    <cfRule type="cellIs" dxfId="2751" priority="2757" operator="lessThan">
      <formula>0</formula>
    </cfRule>
  </conditionalFormatting>
  <conditionalFormatting sqref="Q83">
    <cfRule type="cellIs" dxfId="2750" priority="2746" operator="lessThan">
      <formula>0</formula>
    </cfRule>
  </conditionalFormatting>
  <conditionalFormatting sqref="P83">
    <cfRule type="cellIs" dxfId="2749" priority="2747" operator="greaterThan">
      <formula>0</formula>
    </cfRule>
  </conditionalFormatting>
  <conditionalFormatting sqref="R83">
    <cfRule type="cellIs" dxfId="2748" priority="2750" operator="lessThan">
      <formula>0.8</formula>
    </cfRule>
    <cfRule type="cellIs" dxfId="2747" priority="2751" operator="greaterThan">
      <formula>1</formula>
    </cfRule>
  </conditionalFormatting>
  <conditionalFormatting sqref="R83">
    <cfRule type="cellIs" dxfId="2746" priority="2748" operator="greaterThan">
      <formula>1</formula>
    </cfRule>
    <cfRule type="cellIs" dxfId="2745" priority="2749" operator="lessThan">
      <formula>0.8</formula>
    </cfRule>
  </conditionalFormatting>
  <conditionalFormatting sqref="Q83">
    <cfRule type="cellIs" dxfId="2744" priority="2740" operator="lessThan">
      <formula>0</formula>
    </cfRule>
  </conditionalFormatting>
  <conditionalFormatting sqref="R83">
    <cfRule type="cellIs" dxfId="2743" priority="2744" operator="lessThan">
      <formula>0.8</formula>
    </cfRule>
    <cfRule type="cellIs" dxfId="2742" priority="2745" operator="greaterThan">
      <formula>1</formula>
    </cfRule>
  </conditionalFormatting>
  <conditionalFormatting sqref="R83">
    <cfRule type="cellIs" dxfId="2741" priority="2742" operator="greaterThan">
      <formula>1</formula>
    </cfRule>
    <cfRule type="cellIs" dxfId="2740" priority="2743" operator="lessThan">
      <formula>0.8</formula>
    </cfRule>
  </conditionalFormatting>
  <conditionalFormatting sqref="P83">
    <cfRule type="cellIs" dxfId="2739" priority="2741" operator="greaterThan">
      <formula>0</formula>
    </cfRule>
  </conditionalFormatting>
  <conditionalFormatting sqref="Q83">
    <cfRule type="cellIs" dxfId="2738" priority="2739" operator="lessThan">
      <formula>0</formula>
    </cfRule>
  </conditionalFormatting>
  <conditionalFormatting sqref="R83">
    <cfRule type="cellIs" dxfId="2737" priority="2737" operator="lessThan">
      <formula>0.8</formula>
    </cfRule>
    <cfRule type="cellIs" dxfId="2736" priority="2738" operator="greaterThan">
      <formula>1</formula>
    </cfRule>
  </conditionalFormatting>
  <conditionalFormatting sqref="R83">
    <cfRule type="cellIs" dxfId="2735" priority="2735" operator="greaterThan">
      <formula>1</formula>
    </cfRule>
    <cfRule type="cellIs" dxfId="2734" priority="2736" operator="lessThan">
      <formula>0.8</formula>
    </cfRule>
  </conditionalFormatting>
  <conditionalFormatting sqref="P83">
    <cfRule type="cellIs" dxfId="2733" priority="2734" operator="greaterThan">
      <formula>0</formula>
    </cfRule>
  </conditionalFormatting>
  <conditionalFormatting sqref="Q83">
    <cfRule type="cellIs" dxfId="2732" priority="2733" operator="lessThan">
      <formula>0</formula>
    </cfRule>
  </conditionalFormatting>
  <conditionalFormatting sqref="R83">
    <cfRule type="cellIs" dxfId="2731" priority="2731" operator="lessThan">
      <formula>0.8</formula>
    </cfRule>
    <cfRule type="cellIs" dxfId="2730" priority="2732" operator="greaterThan">
      <formula>1</formula>
    </cfRule>
  </conditionalFormatting>
  <conditionalFormatting sqref="R83">
    <cfRule type="cellIs" dxfId="2729" priority="2729" operator="greaterThan">
      <formula>1</formula>
    </cfRule>
    <cfRule type="cellIs" dxfId="2728" priority="2730" operator="lessThan">
      <formula>0.8</formula>
    </cfRule>
  </conditionalFormatting>
  <conditionalFormatting sqref="P83">
    <cfRule type="cellIs" dxfId="2727" priority="2728" operator="greaterThan">
      <formula>0</formula>
    </cfRule>
  </conditionalFormatting>
  <conditionalFormatting sqref="Q83">
    <cfRule type="cellIs" dxfId="2726" priority="2727" operator="lessThan">
      <formula>0</formula>
    </cfRule>
  </conditionalFormatting>
  <conditionalFormatting sqref="R83">
    <cfRule type="cellIs" dxfId="2725" priority="2725" operator="lessThan">
      <formula>0.8</formula>
    </cfRule>
    <cfRule type="cellIs" dxfId="2724" priority="2726" operator="greaterThan">
      <formula>1</formula>
    </cfRule>
  </conditionalFormatting>
  <conditionalFormatting sqref="R83">
    <cfRule type="cellIs" dxfId="2723" priority="2723" operator="greaterThan">
      <formula>1</formula>
    </cfRule>
    <cfRule type="cellIs" dxfId="2722" priority="2724" operator="lessThan">
      <formula>0.8</formula>
    </cfRule>
  </conditionalFormatting>
  <conditionalFormatting sqref="P83">
    <cfRule type="cellIs" dxfId="2721" priority="2722" operator="greaterThan">
      <formula>0</formula>
    </cfRule>
  </conditionalFormatting>
  <conditionalFormatting sqref="Q83">
    <cfRule type="cellIs" dxfId="2720" priority="2721" operator="lessThan">
      <formula>0</formula>
    </cfRule>
  </conditionalFormatting>
  <conditionalFormatting sqref="R83">
    <cfRule type="cellIs" dxfId="2719" priority="2719" operator="lessThan">
      <formula>0.8</formula>
    </cfRule>
    <cfRule type="cellIs" dxfId="2718" priority="2720" operator="greaterThan">
      <formula>1</formula>
    </cfRule>
  </conditionalFormatting>
  <conditionalFormatting sqref="R83">
    <cfRule type="cellIs" dxfId="2717" priority="2717" operator="greaterThan">
      <formula>1</formula>
    </cfRule>
    <cfRule type="cellIs" dxfId="2716" priority="2718" operator="lessThan">
      <formula>0.8</formula>
    </cfRule>
  </conditionalFormatting>
  <conditionalFormatting sqref="P83">
    <cfRule type="cellIs" dxfId="2715" priority="2716" operator="greaterThan">
      <formula>0</formula>
    </cfRule>
  </conditionalFormatting>
  <conditionalFormatting sqref="Q83">
    <cfRule type="cellIs" dxfId="2714" priority="2715" operator="lessThan">
      <formula>0</formula>
    </cfRule>
  </conditionalFormatting>
  <conditionalFormatting sqref="R83">
    <cfRule type="cellIs" dxfId="2713" priority="2713" operator="lessThan">
      <formula>0.8</formula>
    </cfRule>
    <cfRule type="cellIs" dxfId="2712" priority="2714" operator="greaterThan">
      <formula>1</formula>
    </cfRule>
  </conditionalFormatting>
  <conditionalFormatting sqref="R83">
    <cfRule type="cellIs" dxfId="2711" priority="2711" operator="greaterThan">
      <formula>1</formula>
    </cfRule>
    <cfRule type="cellIs" dxfId="2710" priority="2712" operator="lessThan">
      <formula>0.8</formula>
    </cfRule>
  </conditionalFormatting>
  <conditionalFormatting sqref="P83">
    <cfRule type="cellIs" dxfId="2709" priority="2710" operator="greaterThan">
      <formula>0</formula>
    </cfRule>
  </conditionalFormatting>
  <conditionalFormatting sqref="Q83">
    <cfRule type="cellIs" dxfId="2708" priority="2709" operator="lessThan">
      <formula>0</formula>
    </cfRule>
  </conditionalFormatting>
  <conditionalFormatting sqref="R83">
    <cfRule type="cellIs" dxfId="2707" priority="2707" operator="lessThan">
      <formula>0.8</formula>
    </cfRule>
    <cfRule type="cellIs" dxfId="2706" priority="2708" operator="greaterThan">
      <formula>1</formula>
    </cfRule>
  </conditionalFormatting>
  <conditionalFormatting sqref="R83">
    <cfRule type="cellIs" dxfId="2705" priority="2705" operator="greaterThan">
      <formula>1</formula>
    </cfRule>
    <cfRule type="cellIs" dxfId="2704" priority="2706" operator="lessThan">
      <formula>0.8</formula>
    </cfRule>
  </conditionalFormatting>
  <conditionalFormatting sqref="P83">
    <cfRule type="cellIs" dxfId="2703" priority="2704" operator="greaterThan">
      <formula>0</formula>
    </cfRule>
  </conditionalFormatting>
  <conditionalFormatting sqref="Q83">
    <cfRule type="cellIs" dxfId="2702" priority="2703" operator="lessThan">
      <formula>0</formula>
    </cfRule>
  </conditionalFormatting>
  <conditionalFormatting sqref="R83">
    <cfRule type="cellIs" dxfId="2701" priority="2701" operator="lessThan">
      <formula>0.8</formula>
    </cfRule>
    <cfRule type="cellIs" dxfId="2700" priority="2702" operator="greaterThan">
      <formula>1</formula>
    </cfRule>
  </conditionalFormatting>
  <conditionalFormatting sqref="R83">
    <cfRule type="cellIs" dxfId="2699" priority="2699" operator="greaterThan">
      <formula>1</formula>
    </cfRule>
    <cfRule type="cellIs" dxfId="2698" priority="2700" operator="lessThan">
      <formula>0.8</formula>
    </cfRule>
  </conditionalFormatting>
  <conditionalFormatting sqref="P83">
    <cfRule type="cellIs" dxfId="2697" priority="2698" operator="greaterThan">
      <formula>0</formula>
    </cfRule>
  </conditionalFormatting>
  <conditionalFormatting sqref="P83">
    <cfRule type="cellIs" dxfId="2696" priority="2692" operator="greaterThan">
      <formula>0</formula>
    </cfRule>
  </conditionalFormatting>
  <conditionalFormatting sqref="Q83">
    <cfRule type="cellIs" dxfId="2695" priority="2697" operator="lessThan">
      <formula>0</formula>
    </cfRule>
  </conditionalFormatting>
  <conditionalFormatting sqref="R83">
    <cfRule type="cellIs" dxfId="2694" priority="2695" operator="lessThan">
      <formula>0.8</formula>
    </cfRule>
    <cfRule type="cellIs" dxfId="2693" priority="2696" operator="greaterThan">
      <formula>1</formula>
    </cfRule>
  </conditionalFormatting>
  <conditionalFormatting sqref="R83">
    <cfRule type="cellIs" dxfId="2692" priority="2693" operator="greaterThan">
      <formula>1</formula>
    </cfRule>
    <cfRule type="cellIs" dxfId="2691" priority="2694" operator="lessThan">
      <formula>0.8</formula>
    </cfRule>
  </conditionalFormatting>
  <conditionalFormatting sqref="P83">
    <cfRule type="cellIs" dxfId="2690" priority="2686" operator="greaterThan">
      <formula>0</formula>
    </cfRule>
  </conditionalFormatting>
  <conditionalFormatting sqref="Q83">
    <cfRule type="cellIs" dxfId="2689" priority="2691" operator="lessThan">
      <formula>0</formula>
    </cfRule>
  </conditionalFormatting>
  <conditionalFormatting sqref="R83">
    <cfRule type="cellIs" dxfId="2688" priority="2689" operator="lessThan">
      <formula>0.8</formula>
    </cfRule>
    <cfRule type="cellIs" dxfId="2687" priority="2690" operator="greaterThan">
      <formula>1</formula>
    </cfRule>
  </conditionalFormatting>
  <conditionalFormatting sqref="R83">
    <cfRule type="cellIs" dxfId="2686" priority="2687" operator="greaterThan">
      <formula>1</formula>
    </cfRule>
    <cfRule type="cellIs" dxfId="2685" priority="2688" operator="lessThan">
      <formula>0.8</formula>
    </cfRule>
  </conditionalFormatting>
  <conditionalFormatting sqref="R83">
    <cfRule type="cellIs" dxfId="2684" priority="2683" operator="lessThan">
      <formula>0.8</formula>
    </cfRule>
    <cfRule type="cellIs" dxfId="2683" priority="2684" operator="greaterThan">
      <formula>1</formula>
    </cfRule>
  </conditionalFormatting>
  <conditionalFormatting sqref="R83">
    <cfRule type="cellIs" dxfId="2682" priority="2681" operator="greaterThan">
      <formula>1</formula>
    </cfRule>
    <cfRule type="cellIs" dxfId="2681" priority="2682" operator="lessThan">
      <formula>0.8</formula>
    </cfRule>
  </conditionalFormatting>
  <conditionalFormatting sqref="P83">
    <cfRule type="cellIs" dxfId="2680" priority="2680" operator="greaterThan">
      <formula>0</formula>
    </cfRule>
  </conditionalFormatting>
  <conditionalFormatting sqref="Q83">
    <cfRule type="cellIs" dxfId="2679" priority="2685" operator="lessThan">
      <formula>0</formula>
    </cfRule>
  </conditionalFormatting>
  <conditionalFormatting sqref="Q83">
    <cfRule type="cellIs" dxfId="2678" priority="2679" operator="lessThan">
      <formula>0</formula>
    </cfRule>
  </conditionalFormatting>
  <conditionalFormatting sqref="R83">
    <cfRule type="cellIs" dxfId="2677" priority="2677" operator="lessThan">
      <formula>0.8</formula>
    </cfRule>
    <cfRule type="cellIs" dxfId="2676" priority="2678" operator="greaterThan">
      <formula>1</formula>
    </cfRule>
  </conditionalFormatting>
  <conditionalFormatting sqref="R83">
    <cfRule type="cellIs" dxfId="2675" priority="2675" operator="greaterThan">
      <formula>1</formula>
    </cfRule>
    <cfRule type="cellIs" dxfId="2674" priority="2676" operator="lessThan">
      <formula>0.8</formula>
    </cfRule>
  </conditionalFormatting>
  <conditionalFormatting sqref="P83">
    <cfRule type="cellIs" dxfId="2673" priority="2674" operator="greaterThan">
      <formula>0</formula>
    </cfRule>
  </conditionalFormatting>
  <conditionalFormatting sqref="P83">
    <cfRule type="cellIs" dxfId="2672" priority="2668" operator="greaterThan">
      <formula>0</formula>
    </cfRule>
  </conditionalFormatting>
  <conditionalFormatting sqref="Q83">
    <cfRule type="cellIs" dxfId="2671" priority="2673" operator="lessThan">
      <formula>0</formula>
    </cfRule>
  </conditionalFormatting>
  <conditionalFormatting sqref="R83">
    <cfRule type="cellIs" dxfId="2670" priority="2671" operator="lessThan">
      <formula>0.8</formula>
    </cfRule>
    <cfRule type="cellIs" dxfId="2669" priority="2672" operator="greaterThan">
      <formula>1</formula>
    </cfRule>
  </conditionalFormatting>
  <conditionalFormatting sqref="R83">
    <cfRule type="cellIs" dxfId="2668" priority="2669" operator="greaterThan">
      <formula>1</formula>
    </cfRule>
    <cfRule type="cellIs" dxfId="2667" priority="2670" operator="lessThan">
      <formula>0.8</formula>
    </cfRule>
  </conditionalFormatting>
  <conditionalFormatting sqref="P83">
    <cfRule type="cellIs" dxfId="2666" priority="2662" operator="greaterThan">
      <formula>0</formula>
    </cfRule>
  </conditionalFormatting>
  <conditionalFormatting sqref="Q83">
    <cfRule type="cellIs" dxfId="2665" priority="2667" operator="lessThan">
      <formula>0</formula>
    </cfRule>
  </conditionalFormatting>
  <conditionalFormatting sqref="R83">
    <cfRule type="cellIs" dxfId="2664" priority="2665" operator="lessThan">
      <formula>0.8</formula>
    </cfRule>
    <cfRule type="cellIs" dxfId="2663" priority="2666" operator="greaterThan">
      <formula>1</formula>
    </cfRule>
  </conditionalFormatting>
  <conditionalFormatting sqref="R83">
    <cfRule type="cellIs" dxfId="2662" priority="2663" operator="greaterThan">
      <formula>1</formula>
    </cfRule>
    <cfRule type="cellIs" dxfId="2661" priority="2664" operator="lessThan">
      <formula>0.8</formula>
    </cfRule>
  </conditionalFormatting>
  <conditionalFormatting sqref="R83">
    <cfRule type="cellIs" dxfId="2660" priority="2659" operator="lessThan">
      <formula>0.8</formula>
    </cfRule>
    <cfRule type="cellIs" dxfId="2659" priority="2660" operator="greaterThan">
      <formula>1</formula>
    </cfRule>
  </conditionalFormatting>
  <conditionalFormatting sqref="R83">
    <cfRule type="cellIs" dxfId="2658" priority="2657" operator="greaterThan">
      <formula>1</formula>
    </cfRule>
    <cfRule type="cellIs" dxfId="2657" priority="2658" operator="lessThan">
      <formula>0.8</formula>
    </cfRule>
  </conditionalFormatting>
  <conditionalFormatting sqref="P83">
    <cfRule type="cellIs" dxfId="2656" priority="2656" operator="greaterThan">
      <formula>0</formula>
    </cfRule>
  </conditionalFormatting>
  <conditionalFormatting sqref="Q83">
    <cfRule type="cellIs" dxfId="2655" priority="2661" operator="lessThan">
      <formula>0</formula>
    </cfRule>
  </conditionalFormatting>
  <conditionalFormatting sqref="P83">
    <cfRule type="cellIs" dxfId="2654" priority="2650" operator="greaterThan">
      <formula>0</formula>
    </cfRule>
  </conditionalFormatting>
  <conditionalFormatting sqref="Q83">
    <cfRule type="cellIs" dxfId="2653" priority="2655" operator="lessThan">
      <formula>0</formula>
    </cfRule>
  </conditionalFormatting>
  <conditionalFormatting sqref="R83">
    <cfRule type="cellIs" dxfId="2652" priority="2653" operator="lessThan">
      <formula>0.8</formula>
    </cfRule>
    <cfRule type="cellIs" dxfId="2651" priority="2654" operator="greaterThan">
      <formula>1</formula>
    </cfRule>
  </conditionalFormatting>
  <conditionalFormatting sqref="R83">
    <cfRule type="cellIs" dxfId="2650" priority="2651" operator="greaterThan">
      <formula>1</formula>
    </cfRule>
    <cfRule type="cellIs" dxfId="2649" priority="2652" operator="lessThan">
      <formula>0.8</formula>
    </cfRule>
  </conditionalFormatting>
  <conditionalFormatting sqref="R83">
    <cfRule type="cellIs" dxfId="2648" priority="2647" operator="lessThan">
      <formula>0.8</formula>
    </cfRule>
    <cfRule type="cellIs" dxfId="2647" priority="2648" operator="greaterThan">
      <formula>1</formula>
    </cfRule>
  </conditionalFormatting>
  <conditionalFormatting sqref="R83">
    <cfRule type="cellIs" dxfId="2646" priority="2645" operator="greaterThan">
      <formula>1</formula>
    </cfRule>
    <cfRule type="cellIs" dxfId="2645" priority="2646" operator="lessThan">
      <formula>0.8</formula>
    </cfRule>
  </conditionalFormatting>
  <conditionalFormatting sqref="P83">
    <cfRule type="cellIs" dxfId="2644" priority="2644" operator="greaterThan">
      <formula>0</formula>
    </cfRule>
  </conditionalFormatting>
  <conditionalFormatting sqref="Q83">
    <cfRule type="cellIs" dxfId="2643" priority="2649" operator="lessThan">
      <formula>0</formula>
    </cfRule>
  </conditionalFormatting>
  <conditionalFormatting sqref="R83">
    <cfRule type="cellIs" dxfId="2642" priority="2641" operator="lessThan">
      <formula>0.8</formula>
    </cfRule>
    <cfRule type="cellIs" dxfId="2641" priority="2642" operator="greaterThan">
      <formula>1</formula>
    </cfRule>
  </conditionalFormatting>
  <conditionalFormatting sqref="R83">
    <cfRule type="cellIs" dxfId="2640" priority="2639" operator="greaterThan">
      <formula>1</formula>
    </cfRule>
    <cfRule type="cellIs" dxfId="2639" priority="2640" operator="lessThan">
      <formula>0.8</formula>
    </cfRule>
  </conditionalFormatting>
  <conditionalFormatting sqref="P83">
    <cfRule type="cellIs" dxfId="2638" priority="2638" operator="greaterThan">
      <formula>0</formula>
    </cfRule>
  </conditionalFormatting>
  <conditionalFormatting sqref="Q83">
    <cfRule type="cellIs" dxfId="2637" priority="2643" operator="lessThan">
      <formula>0</formula>
    </cfRule>
  </conditionalFormatting>
  <conditionalFormatting sqref="Q83">
    <cfRule type="cellIs" dxfId="2636" priority="2637" operator="lessThan">
      <formula>0</formula>
    </cfRule>
  </conditionalFormatting>
  <conditionalFormatting sqref="R83">
    <cfRule type="cellIs" dxfId="2635" priority="2635" operator="lessThan">
      <formula>0.8</formula>
    </cfRule>
    <cfRule type="cellIs" dxfId="2634" priority="2636" operator="greaterThan">
      <formula>1</formula>
    </cfRule>
  </conditionalFormatting>
  <conditionalFormatting sqref="R83">
    <cfRule type="cellIs" dxfId="2633" priority="2633" operator="greaterThan">
      <formula>1</formula>
    </cfRule>
    <cfRule type="cellIs" dxfId="2632" priority="2634" operator="lessThan">
      <formula>0.8</formula>
    </cfRule>
  </conditionalFormatting>
  <conditionalFormatting sqref="P83">
    <cfRule type="cellIs" dxfId="2631" priority="2632" operator="greaterThan">
      <formula>0</formula>
    </cfRule>
  </conditionalFormatting>
  <conditionalFormatting sqref="Q83">
    <cfRule type="cellIs" dxfId="2630" priority="2626" operator="lessThan">
      <formula>0</formula>
    </cfRule>
  </conditionalFormatting>
  <conditionalFormatting sqref="R83">
    <cfRule type="cellIs" dxfId="2629" priority="2630" operator="lessThan">
      <formula>0.8</formula>
    </cfRule>
    <cfRule type="cellIs" dxfId="2628" priority="2631" operator="greaterThan">
      <formula>1</formula>
    </cfRule>
  </conditionalFormatting>
  <conditionalFormatting sqref="R83">
    <cfRule type="cellIs" dxfId="2627" priority="2628" operator="greaterThan">
      <formula>1</formula>
    </cfRule>
    <cfRule type="cellIs" dxfId="2626" priority="2629" operator="lessThan">
      <formula>0.8</formula>
    </cfRule>
  </conditionalFormatting>
  <conditionalFormatting sqref="P83">
    <cfRule type="cellIs" dxfId="2625" priority="2627" operator="greaterThan">
      <formula>0</formula>
    </cfRule>
  </conditionalFormatting>
  <conditionalFormatting sqref="Q83">
    <cfRule type="cellIs" dxfId="2624" priority="2625" operator="lessThan">
      <formula>0</formula>
    </cfRule>
  </conditionalFormatting>
  <conditionalFormatting sqref="R83">
    <cfRule type="cellIs" dxfId="2623" priority="2623" operator="lessThan">
      <formula>0.8</formula>
    </cfRule>
    <cfRule type="cellIs" dxfId="2622" priority="2624" operator="greaterThan">
      <formula>1</formula>
    </cfRule>
  </conditionalFormatting>
  <conditionalFormatting sqref="R83">
    <cfRule type="cellIs" dxfId="2621" priority="2621" operator="greaterThan">
      <formula>1</formula>
    </cfRule>
    <cfRule type="cellIs" dxfId="2620" priority="2622" operator="lessThan">
      <formula>0.8</formula>
    </cfRule>
  </conditionalFormatting>
  <conditionalFormatting sqref="P83">
    <cfRule type="cellIs" dxfId="2619" priority="2620" operator="greaterThan">
      <formula>0</formula>
    </cfRule>
  </conditionalFormatting>
  <conditionalFormatting sqref="Q83">
    <cfRule type="cellIs" dxfId="2618" priority="2619" operator="lessThan">
      <formula>0</formula>
    </cfRule>
  </conditionalFormatting>
  <conditionalFormatting sqref="R83">
    <cfRule type="cellIs" dxfId="2617" priority="2617" operator="lessThan">
      <formula>0.8</formula>
    </cfRule>
    <cfRule type="cellIs" dxfId="2616" priority="2618" operator="greaterThan">
      <formula>1</formula>
    </cfRule>
  </conditionalFormatting>
  <conditionalFormatting sqref="R83">
    <cfRule type="cellIs" dxfId="2615" priority="2615" operator="greaterThan">
      <formula>1</formula>
    </cfRule>
    <cfRule type="cellIs" dxfId="2614" priority="2616" operator="lessThan">
      <formula>0.8</formula>
    </cfRule>
  </conditionalFormatting>
  <conditionalFormatting sqref="P83">
    <cfRule type="cellIs" dxfId="2613" priority="2614" operator="greaterThan">
      <formula>0</formula>
    </cfRule>
  </conditionalFormatting>
  <conditionalFormatting sqref="Q83">
    <cfRule type="cellIs" dxfId="2612" priority="2613" operator="lessThan">
      <formula>0</formula>
    </cfRule>
  </conditionalFormatting>
  <conditionalFormatting sqref="R83">
    <cfRule type="cellIs" dxfId="2611" priority="2611" operator="lessThan">
      <formula>0.8</formula>
    </cfRule>
    <cfRule type="cellIs" dxfId="2610" priority="2612" operator="greaterThan">
      <formula>1</formula>
    </cfRule>
  </conditionalFormatting>
  <conditionalFormatting sqref="R83">
    <cfRule type="cellIs" dxfId="2609" priority="2609" operator="greaterThan">
      <formula>1</formula>
    </cfRule>
    <cfRule type="cellIs" dxfId="2608" priority="2610" operator="lessThan">
      <formula>0.8</formula>
    </cfRule>
  </conditionalFormatting>
  <conditionalFormatting sqref="P83">
    <cfRule type="cellIs" dxfId="2607" priority="2608" operator="greaterThan">
      <formula>0</formula>
    </cfRule>
  </conditionalFormatting>
  <conditionalFormatting sqref="Q83">
    <cfRule type="cellIs" dxfId="2606" priority="2607" operator="lessThan">
      <formula>0</formula>
    </cfRule>
  </conditionalFormatting>
  <conditionalFormatting sqref="R83">
    <cfRule type="cellIs" dxfId="2605" priority="2605" operator="lessThan">
      <formula>0.8</formula>
    </cfRule>
    <cfRule type="cellIs" dxfId="2604" priority="2606" operator="greaterThan">
      <formula>1</formula>
    </cfRule>
  </conditionalFormatting>
  <conditionalFormatting sqref="R83">
    <cfRule type="cellIs" dxfId="2603" priority="2603" operator="greaterThan">
      <formula>1</formula>
    </cfRule>
    <cfRule type="cellIs" dxfId="2602" priority="2604" operator="lessThan">
      <formula>0.8</formula>
    </cfRule>
  </conditionalFormatting>
  <conditionalFormatting sqref="P83">
    <cfRule type="cellIs" dxfId="2601" priority="2602" operator="greaterThan">
      <formula>0</formula>
    </cfRule>
  </conditionalFormatting>
  <conditionalFormatting sqref="Q83">
    <cfRule type="cellIs" dxfId="2600" priority="2601" operator="lessThan">
      <formula>0</formula>
    </cfRule>
  </conditionalFormatting>
  <conditionalFormatting sqref="R83">
    <cfRule type="cellIs" dxfId="2599" priority="2599" operator="lessThan">
      <formula>0.8</formula>
    </cfRule>
    <cfRule type="cellIs" dxfId="2598" priority="2600" operator="greaterThan">
      <formula>1</formula>
    </cfRule>
  </conditionalFormatting>
  <conditionalFormatting sqref="R83">
    <cfRule type="cellIs" dxfId="2597" priority="2597" operator="greaterThan">
      <formula>1</formula>
    </cfRule>
    <cfRule type="cellIs" dxfId="2596" priority="2598" operator="lessThan">
      <formula>0.8</formula>
    </cfRule>
  </conditionalFormatting>
  <conditionalFormatting sqref="P83">
    <cfRule type="cellIs" dxfId="2595" priority="2596" operator="greaterThan">
      <formula>0</formula>
    </cfRule>
  </conditionalFormatting>
  <conditionalFormatting sqref="P83">
    <cfRule type="cellIs" dxfId="2594" priority="2590" operator="greaterThan">
      <formula>0</formula>
    </cfRule>
  </conditionalFormatting>
  <conditionalFormatting sqref="Q83">
    <cfRule type="cellIs" dxfId="2593" priority="2595" operator="lessThan">
      <formula>0</formula>
    </cfRule>
  </conditionalFormatting>
  <conditionalFormatting sqref="R83">
    <cfRule type="cellIs" dxfId="2592" priority="2593" operator="lessThan">
      <formula>0.8</formula>
    </cfRule>
    <cfRule type="cellIs" dxfId="2591" priority="2594" operator="greaterThan">
      <formula>1</formula>
    </cfRule>
  </conditionalFormatting>
  <conditionalFormatting sqref="R83">
    <cfRule type="cellIs" dxfId="2590" priority="2591" operator="greaterThan">
      <formula>1</formula>
    </cfRule>
    <cfRule type="cellIs" dxfId="2589" priority="2592" operator="lessThan">
      <formula>0.8</formula>
    </cfRule>
  </conditionalFormatting>
  <conditionalFormatting sqref="P83">
    <cfRule type="cellIs" dxfId="2588" priority="2584" operator="greaterThan">
      <formula>0</formula>
    </cfRule>
  </conditionalFormatting>
  <conditionalFormatting sqref="Q83">
    <cfRule type="cellIs" dxfId="2587" priority="2589" operator="lessThan">
      <formula>0</formula>
    </cfRule>
  </conditionalFormatting>
  <conditionalFormatting sqref="R83">
    <cfRule type="cellIs" dxfId="2586" priority="2587" operator="lessThan">
      <formula>0.8</formula>
    </cfRule>
    <cfRule type="cellIs" dxfId="2585" priority="2588" operator="greaterThan">
      <formula>1</formula>
    </cfRule>
  </conditionalFormatting>
  <conditionalFormatting sqref="R83">
    <cfRule type="cellIs" dxfId="2584" priority="2585" operator="greaterThan">
      <formula>1</formula>
    </cfRule>
    <cfRule type="cellIs" dxfId="2583" priority="2586" operator="lessThan">
      <formula>0.8</formula>
    </cfRule>
  </conditionalFormatting>
  <conditionalFormatting sqref="R83">
    <cfRule type="cellIs" dxfId="2582" priority="2581" operator="lessThan">
      <formula>0.8</formula>
    </cfRule>
    <cfRule type="cellIs" dxfId="2581" priority="2582" operator="greaterThan">
      <formula>1</formula>
    </cfRule>
  </conditionalFormatting>
  <conditionalFormatting sqref="R83">
    <cfRule type="cellIs" dxfId="2580" priority="2579" operator="greaterThan">
      <formula>1</formula>
    </cfRule>
    <cfRule type="cellIs" dxfId="2579" priority="2580" operator="lessThan">
      <formula>0.8</formula>
    </cfRule>
  </conditionalFormatting>
  <conditionalFormatting sqref="P83">
    <cfRule type="cellIs" dxfId="2578" priority="2578" operator="greaterThan">
      <formula>0</formula>
    </cfRule>
  </conditionalFormatting>
  <conditionalFormatting sqref="Q83">
    <cfRule type="cellIs" dxfId="2577" priority="2583" operator="lessThan">
      <formula>0</formula>
    </cfRule>
  </conditionalFormatting>
  <conditionalFormatting sqref="P123 P125:P126 P131 P128:P129">
    <cfRule type="cellIs" dxfId="2576" priority="2572" operator="greaterThan">
      <formula>0</formula>
    </cfRule>
  </conditionalFormatting>
  <conditionalFormatting sqref="Q123 Q125:Q126 Q131 Q128:Q129">
    <cfRule type="cellIs" dxfId="2575" priority="2577" operator="lessThan">
      <formula>0</formula>
    </cfRule>
  </conditionalFormatting>
  <conditionalFormatting sqref="R123 R125:R126 R131 R128:R129">
    <cfRule type="cellIs" dxfId="2574" priority="2575" operator="lessThan">
      <formula>0.8</formula>
    </cfRule>
    <cfRule type="cellIs" dxfId="2573" priority="2576" operator="greaterThan">
      <formula>1</formula>
    </cfRule>
  </conditionalFormatting>
  <conditionalFormatting sqref="R123 R125:R126 R131 R128:R129">
    <cfRule type="cellIs" dxfId="2572" priority="2573" operator="greaterThan">
      <formula>1</formula>
    </cfRule>
    <cfRule type="cellIs" dxfId="2571" priority="2574" operator="lessThan">
      <formula>0.8</formula>
    </cfRule>
  </conditionalFormatting>
  <conditionalFormatting sqref="Q123 Q125:Q126 Q131 Q128:Q129">
    <cfRule type="cellIs" dxfId="2570" priority="2571" operator="lessThan">
      <formula>0</formula>
    </cfRule>
  </conditionalFormatting>
  <conditionalFormatting sqref="R123 R125:R126 R131 R128:R129">
    <cfRule type="cellIs" dxfId="2569" priority="2569" operator="lessThan">
      <formula>0.8</formula>
    </cfRule>
    <cfRule type="cellIs" dxfId="2568" priority="2570" operator="greaterThan">
      <formula>1</formula>
    </cfRule>
  </conditionalFormatting>
  <conditionalFormatting sqref="R123 R125:R126 R131 R128:R129">
    <cfRule type="cellIs" dxfId="2567" priority="2567" operator="greaterThan">
      <formula>1</formula>
    </cfRule>
    <cfRule type="cellIs" dxfId="2566" priority="2568" operator="lessThan">
      <formula>0.8</formula>
    </cfRule>
  </conditionalFormatting>
  <conditionalFormatting sqref="P123 P125:P126 P131 P128:P129">
    <cfRule type="cellIs" dxfId="2565" priority="2566" operator="greaterThan">
      <formula>0</formula>
    </cfRule>
  </conditionalFormatting>
  <conditionalFormatting sqref="Q31">
    <cfRule type="cellIs" dxfId="2564" priority="2565" operator="lessThan">
      <formula>0</formula>
    </cfRule>
  </conditionalFormatting>
  <conditionalFormatting sqref="R31">
    <cfRule type="cellIs" dxfId="2563" priority="2563" operator="lessThan">
      <formula>0.8</formula>
    </cfRule>
    <cfRule type="cellIs" dxfId="2562" priority="2564" operator="greaterThan">
      <formula>1</formula>
    </cfRule>
  </conditionalFormatting>
  <conditionalFormatting sqref="R31">
    <cfRule type="cellIs" dxfId="2561" priority="2561" operator="greaterThan">
      <formula>1</formula>
    </cfRule>
    <cfRule type="cellIs" dxfId="2560" priority="2562" operator="lessThan">
      <formula>0.8</formula>
    </cfRule>
  </conditionalFormatting>
  <conditionalFormatting sqref="P31">
    <cfRule type="cellIs" dxfId="2559" priority="2560" operator="greaterThan">
      <formula>0</formula>
    </cfRule>
  </conditionalFormatting>
  <conditionalFormatting sqref="Q31">
    <cfRule type="cellIs" dxfId="2558" priority="2559" operator="lessThan">
      <formula>0</formula>
    </cfRule>
  </conditionalFormatting>
  <conditionalFormatting sqref="R31">
    <cfRule type="cellIs" dxfId="2557" priority="2557" operator="lessThan">
      <formula>0.8</formula>
    </cfRule>
    <cfRule type="cellIs" dxfId="2556" priority="2558" operator="greaterThan">
      <formula>1</formula>
    </cfRule>
  </conditionalFormatting>
  <conditionalFormatting sqref="R31">
    <cfRule type="cellIs" dxfId="2555" priority="2555" operator="greaterThan">
      <formula>1</formula>
    </cfRule>
    <cfRule type="cellIs" dxfId="2554" priority="2556" operator="lessThan">
      <formula>0.8</formula>
    </cfRule>
  </conditionalFormatting>
  <conditionalFormatting sqref="P31">
    <cfRule type="cellIs" dxfId="2553" priority="2554" operator="greaterThan">
      <formula>0</formula>
    </cfRule>
  </conditionalFormatting>
  <conditionalFormatting sqref="Q31">
    <cfRule type="cellIs" dxfId="2552" priority="2553" operator="lessThan">
      <formula>0</formula>
    </cfRule>
  </conditionalFormatting>
  <conditionalFormatting sqref="R31">
    <cfRule type="cellIs" dxfId="2551" priority="2551" operator="lessThan">
      <formula>0.8</formula>
    </cfRule>
    <cfRule type="cellIs" dxfId="2550" priority="2552" operator="greaterThan">
      <formula>1</formula>
    </cfRule>
  </conditionalFormatting>
  <conditionalFormatting sqref="R31">
    <cfRule type="cellIs" dxfId="2549" priority="2549" operator="greaterThan">
      <formula>1</formula>
    </cfRule>
    <cfRule type="cellIs" dxfId="2548" priority="2550" operator="lessThan">
      <formula>0.8</formula>
    </cfRule>
  </conditionalFormatting>
  <conditionalFormatting sqref="P31">
    <cfRule type="cellIs" dxfId="2547" priority="2548" operator="greaterThan">
      <formula>0</formula>
    </cfRule>
  </conditionalFormatting>
  <conditionalFormatting sqref="Q31">
    <cfRule type="cellIs" dxfId="2546" priority="2547" operator="lessThan">
      <formula>0</formula>
    </cfRule>
  </conditionalFormatting>
  <conditionalFormatting sqref="R31">
    <cfRule type="cellIs" dxfId="2545" priority="2545" operator="lessThan">
      <formula>0.8</formula>
    </cfRule>
    <cfRule type="cellIs" dxfId="2544" priority="2546" operator="greaterThan">
      <formula>1</formula>
    </cfRule>
  </conditionalFormatting>
  <conditionalFormatting sqref="R31">
    <cfRule type="cellIs" dxfId="2543" priority="2543" operator="greaterThan">
      <formula>1</formula>
    </cfRule>
    <cfRule type="cellIs" dxfId="2542" priority="2544" operator="lessThan">
      <formula>0.8</formula>
    </cfRule>
  </conditionalFormatting>
  <conditionalFormatting sqref="P31">
    <cfRule type="cellIs" dxfId="2541" priority="2542" operator="greaterThan">
      <formula>0</formula>
    </cfRule>
  </conditionalFormatting>
  <conditionalFormatting sqref="P31">
    <cfRule type="cellIs" dxfId="2540" priority="2536" operator="greaterThan">
      <formula>0</formula>
    </cfRule>
  </conditionalFormatting>
  <conditionalFormatting sqref="Q31">
    <cfRule type="cellIs" dxfId="2539" priority="2541" operator="lessThan">
      <formula>0</formula>
    </cfRule>
  </conditionalFormatting>
  <conditionalFormatting sqref="R31">
    <cfRule type="cellIs" dxfId="2538" priority="2539" operator="lessThan">
      <formula>0.8</formula>
    </cfRule>
    <cfRule type="cellIs" dxfId="2537" priority="2540" operator="greaterThan">
      <formula>1</formula>
    </cfRule>
  </conditionalFormatting>
  <conditionalFormatting sqref="R31">
    <cfRule type="cellIs" dxfId="2536" priority="2537" operator="greaterThan">
      <formula>1</formula>
    </cfRule>
    <cfRule type="cellIs" dxfId="2535" priority="2538" operator="lessThan">
      <formula>0.8</formula>
    </cfRule>
  </conditionalFormatting>
  <conditionalFormatting sqref="P31">
    <cfRule type="cellIs" dxfId="2534" priority="2530" operator="greaterThan">
      <formula>0</formula>
    </cfRule>
  </conditionalFormatting>
  <conditionalFormatting sqref="Q31">
    <cfRule type="cellIs" dxfId="2533" priority="2535" operator="lessThan">
      <formula>0</formula>
    </cfRule>
  </conditionalFormatting>
  <conditionalFormatting sqref="R31">
    <cfRule type="cellIs" dxfId="2532" priority="2533" operator="lessThan">
      <formula>0.8</formula>
    </cfRule>
    <cfRule type="cellIs" dxfId="2531" priority="2534" operator="greaterThan">
      <formula>1</formula>
    </cfRule>
  </conditionalFormatting>
  <conditionalFormatting sqref="R31">
    <cfRule type="cellIs" dxfId="2530" priority="2531" operator="greaterThan">
      <formula>1</formula>
    </cfRule>
    <cfRule type="cellIs" dxfId="2529" priority="2532" operator="lessThan">
      <formula>0.8</formula>
    </cfRule>
  </conditionalFormatting>
  <conditionalFormatting sqref="R31">
    <cfRule type="cellIs" dxfId="2528" priority="2527" operator="lessThan">
      <formula>0.8</formula>
    </cfRule>
    <cfRule type="cellIs" dxfId="2527" priority="2528" operator="greaterThan">
      <formula>1</formula>
    </cfRule>
  </conditionalFormatting>
  <conditionalFormatting sqref="R31">
    <cfRule type="cellIs" dxfId="2526" priority="2525" operator="greaterThan">
      <formula>1</formula>
    </cfRule>
    <cfRule type="cellIs" dxfId="2525" priority="2526" operator="lessThan">
      <formula>0.8</formula>
    </cfRule>
  </conditionalFormatting>
  <conditionalFormatting sqref="P31">
    <cfRule type="cellIs" dxfId="2524" priority="2524" operator="greaterThan">
      <formula>0</formula>
    </cfRule>
  </conditionalFormatting>
  <conditionalFormatting sqref="Q31">
    <cfRule type="cellIs" dxfId="2523" priority="2529" operator="lessThan">
      <formula>0</formula>
    </cfRule>
  </conditionalFormatting>
  <conditionalFormatting sqref="Q31">
    <cfRule type="cellIs" dxfId="2522" priority="2523" operator="lessThan">
      <formula>0</formula>
    </cfRule>
  </conditionalFormatting>
  <conditionalFormatting sqref="R31">
    <cfRule type="cellIs" dxfId="2521" priority="2521" operator="lessThan">
      <formula>0.8</formula>
    </cfRule>
    <cfRule type="cellIs" dxfId="2520" priority="2522" operator="greaterThan">
      <formula>1</formula>
    </cfRule>
  </conditionalFormatting>
  <conditionalFormatting sqref="R31">
    <cfRule type="cellIs" dxfId="2519" priority="2519" operator="greaterThan">
      <formula>1</formula>
    </cfRule>
    <cfRule type="cellIs" dxfId="2518" priority="2520" operator="lessThan">
      <formula>0.8</formula>
    </cfRule>
  </conditionalFormatting>
  <conditionalFormatting sqref="P31">
    <cfRule type="cellIs" dxfId="2517" priority="2518" operator="greaterThan">
      <formula>0</formula>
    </cfRule>
  </conditionalFormatting>
  <conditionalFormatting sqref="P31">
    <cfRule type="cellIs" dxfId="2516" priority="2512" operator="greaterThan">
      <formula>0</formula>
    </cfRule>
  </conditionalFormatting>
  <conditionalFormatting sqref="Q31">
    <cfRule type="cellIs" dxfId="2515" priority="2517" operator="lessThan">
      <formula>0</formula>
    </cfRule>
  </conditionalFormatting>
  <conditionalFormatting sqref="R31">
    <cfRule type="cellIs" dxfId="2514" priority="2515" operator="lessThan">
      <formula>0.8</formula>
    </cfRule>
    <cfRule type="cellIs" dxfId="2513" priority="2516" operator="greaterThan">
      <formula>1</formula>
    </cfRule>
  </conditionalFormatting>
  <conditionalFormatting sqref="R31">
    <cfRule type="cellIs" dxfId="2512" priority="2513" operator="greaterThan">
      <formula>1</formula>
    </cfRule>
    <cfRule type="cellIs" dxfId="2511" priority="2514" operator="lessThan">
      <formula>0.8</formula>
    </cfRule>
  </conditionalFormatting>
  <conditionalFormatting sqref="P31">
    <cfRule type="cellIs" dxfId="2510" priority="2506" operator="greaterThan">
      <formula>0</formula>
    </cfRule>
  </conditionalFormatting>
  <conditionalFormatting sqref="Q31">
    <cfRule type="cellIs" dxfId="2509" priority="2511" operator="lessThan">
      <formula>0</formula>
    </cfRule>
  </conditionalFormatting>
  <conditionalFormatting sqref="R31">
    <cfRule type="cellIs" dxfId="2508" priority="2509" operator="lessThan">
      <formula>0.8</formula>
    </cfRule>
    <cfRule type="cellIs" dxfId="2507" priority="2510" operator="greaterThan">
      <formula>1</formula>
    </cfRule>
  </conditionalFormatting>
  <conditionalFormatting sqref="R31">
    <cfRule type="cellIs" dxfId="2506" priority="2507" operator="greaterThan">
      <formula>1</formula>
    </cfRule>
    <cfRule type="cellIs" dxfId="2505" priority="2508" operator="lessThan">
      <formula>0.8</formula>
    </cfRule>
  </conditionalFormatting>
  <conditionalFormatting sqref="R31">
    <cfRule type="cellIs" dxfId="2504" priority="2503" operator="lessThan">
      <formula>0.8</formula>
    </cfRule>
    <cfRule type="cellIs" dxfId="2503" priority="2504" operator="greaterThan">
      <formula>1</formula>
    </cfRule>
  </conditionalFormatting>
  <conditionalFormatting sqref="R31">
    <cfRule type="cellIs" dxfId="2502" priority="2501" operator="greaterThan">
      <formula>1</formula>
    </cfRule>
    <cfRule type="cellIs" dxfId="2501" priority="2502" operator="lessThan">
      <formula>0.8</formula>
    </cfRule>
  </conditionalFormatting>
  <conditionalFormatting sqref="P31">
    <cfRule type="cellIs" dxfId="2500" priority="2500" operator="greaterThan">
      <formula>0</formula>
    </cfRule>
  </conditionalFormatting>
  <conditionalFormatting sqref="Q31">
    <cfRule type="cellIs" dxfId="2499" priority="2505" operator="lessThan">
      <formula>0</formula>
    </cfRule>
  </conditionalFormatting>
  <conditionalFormatting sqref="P31">
    <cfRule type="cellIs" dxfId="2498" priority="2494" operator="greaterThan">
      <formula>0</formula>
    </cfRule>
  </conditionalFormatting>
  <conditionalFormatting sqref="Q31">
    <cfRule type="cellIs" dxfId="2497" priority="2499" operator="lessThan">
      <formula>0</formula>
    </cfRule>
  </conditionalFormatting>
  <conditionalFormatting sqref="R31">
    <cfRule type="cellIs" dxfId="2496" priority="2497" operator="lessThan">
      <formula>0.8</formula>
    </cfRule>
    <cfRule type="cellIs" dxfId="2495" priority="2498" operator="greaterThan">
      <formula>1</formula>
    </cfRule>
  </conditionalFormatting>
  <conditionalFormatting sqref="R31">
    <cfRule type="cellIs" dxfId="2494" priority="2495" operator="greaterThan">
      <formula>1</formula>
    </cfRule>
    <cfRule type="cellIs" dxfId="2493" priority="2496" operator="lessThan">
      <formula>0.8</formula>
    </cfRule>
  </conditionalFormatting>
  <conditionalFormatting sqref="R31">
    <cfRule type="cellIs" dxfId="2492" priority="2491" operator="lessThan">
      <formula>0.8</formula>
    </cfRule>
    <cfRule type="cellIs" dxfId="2491" priority="2492" operator="greaterThan">
      <formula>1</formula>
    </cfRule>
  </conditionalFormatting>
  <conditionalFormatting sqref="R31">
    <cfRule type="cellIs" dxfId="2490" priority="2489" operator="greaterThan">
      <formula>1</formula>
    </cfRule>
    <cfRule type="cellIs" dxfId="2489" priority="2490" operator="lessThan">
      <formula>0.8</formula>
    </cfRule>
  </conditionalFormatting>
  <conditionalFormatting sqref="P31">
    <cfRule type="cellIs" dxfId="2488" priority="2488" operator="greaterThan">
      <formula>0</formula>
    </cfRule>
  </conditionalFormatting>
  <conditionalFormatting sqref="Q31">
    <cfRule type="cellIs" dxfId="2487" priority="2493" operator="lessThan">
      <formula>0</formula>
    </cfRule>
  </conditionalFormatting>
  <conditionalFormatting sqref="R31">
    <cfRule type="cellIs" dxfId="2486" priority="2485" operator="lessThan">
      <formula>0.8</formula>
    </cfRule>
    <cfRule type="cellIs" dxfId="2485" priority="2486" operator="greaterThan">
      <formula>1</formula>
    </cfRule>
  </conditionalFormatting>
  <conditionalFormatting sqref="R31">
    <cfRule type="cellIs" dxfId="2484" priority="2483" operator="greaterThan">
      <formula>1</formula>
    </cfRule>
    <cfRule type="cellIs" dxfId="2483" priority="2484" operator="lessThan">
      <formula>0.8</formula>
    </cfRule>
  </conditionalFormatting>
  <conditionalFormatting sqref="P31">
    <cfRule type="cellIs" dxfId="2482" priority="2482" operator="greaterThan">
      <formula>0</formula>
    </cfRule>
  </conditionalFormatting>
  <conditionalFormatting sqref="Q31">
    <cfRule type="cellIs" dxfId="2481" priority="2487" operator="lessThan">
      <formula>0</formula>
    </cfRule>
  </conditionalFormatting>
  <conditionalFormatting sqref="Q31">
    <cfRule type="cellIs" dxfId="2480" priority="2481" operator="lessThan">
      <formula>0</formula>
    </cfRule>
  </conditionalFormatting>
  <conditionalFormatting sqref="R31">
    <cfRule type="cellIs" dxfId="2479" priority="2479" operator="lessThan">
      <formula>0.8</formula>
    </cfRule>
    <cfRule type="cellIs" dxfId="2478" priority="2480" operator="greaterThan">
      <formula>1</formula>
    </cfRule>
  </conditionalFormatting>
  <conditionalFormatting sqref="R31">
    <cfRule type="cellIs" dxfId="2477" priority="2477" operator="greaterThan">
      <formula>1</formula>
    </cfRule>
    <cfRule type="cellIs" dxfId="2476" priority="2478" operator="lessThan">
      <formula>0.8</formula>
    </cfRule>
  </conditionalFormatting>
  <conditionalFormatting sqref="P31">
    <cfRule type="cellIs" dxfId="2475" priority="2476" operator="greaterThan">
      <formula>0</formula>
    </cfRule>
  </conditionalFormatting>
  <conditionalFormatting sqref="Q31">
    <cfRule type="cellIs" dxfId="2474" priority="2470" operator="lessThan">
      <formula>0</formula>
    </cfRule>
  </conditionalFormatting>
  <conditionalFormatting sqref="R31">
    <cfRule type="cellIs" dxfId="2473" priority="2474" operator="lessThan">
      <formula>0.8</formula>
    </cfRule>
    <cfRule type="cellIs" dxfId="2472" priority="2475" operator="greaterThan">
      <formula>1</formula>
    </cfRule>
  </conditionalFormatting>
  <conditionalFormatting sqref="R31">
    <cfRule type="cellIs" dxfId="2471" priority="2472" operator="greaterThan">
      <formula>1</formula>
    </cfRule>
    <cfRule type="cellIs" dxfId="2470" priority="2473" operator="lessThan">
      <formula>0.8</formula>
    </cfRule>
  </conditionalFormatting>
  <conditionalFormatting sqref="P31">
    <cfRule type="cellIs" dxfId="2469" priority="2471" operator="greaterThan">
      <formula>0</formula>
    </cfRule>
  </conditionalFormatting>
  <conditionalFormatting sqref="Q31">
    <cfRule type="cellIs" dxfId="2468" priority="2469" operator="lessThan">
      <formula>0</formula>
    </cfRule>
  </conditionalFormatting>
  <conditionalFormatting sqref="R31">
    <cfRule type="cellIs" dxfId="2467" priority="2467" operator="lessThan">
      <formula>0.8</formula>
    </cfRule>
    <cfRule type="cellIs" dxfId="2466" priority="2468" operator="greaterThan">
      <formula>1</formula>
    </cfRule>
  </conditionalFormatting>
  <conditionalFormatting sqref="R31">
    <cfRule type="cellIs" dxfId="2465" priority="2465" operator="greaterThan">
      <formula>1</formula>
    </cfRule>
    <cfRule type="cellIs" dxfId="2464" priority="2466" operator="lessThan">
      <formula>0.8</formula>
    </cfRule>
  </conditionalFormatting>
  <conditionalFormatting sqref="P31">
    <cfRule type="cellIs" dxfId="2463" priority="2464" operator="greaterThan">
      <formula>0</formula>
    </cfRule>
  </conditionalFormatting>
  <conditionalFormatting sqref="Q31">
    <cfRule type="cellIs" dxfId="2462" priority="2463" operator="lessThan">
      <formula>0</formula>
    </cfRule>
  </conditionalFormatting>
  <conditionalFormatting sqref="R31">
    <cfRule type="cellIs" dxfId="2461" priority="2461" operator="lessThan">
      <formula>0.8</formula>
    </cfRule>
    <cfRule type="cellIs" dxfId="2460" priority="2462" operator="greaterThan">
      <formula>1</formula>
    </cfRule>
  </conditionalFormatting>
  <conditionalFormatting sqref="R31">
    <cfRule type="cellIs" dxfId="2459" priority="2459" operator="greaterThan">
      <formula>1</formula>
    </cfRule>
    <cfRule type="cellIs" dxfId="2458" priority="2460" operator="lessThan">
      <formula>0.8</formula>
    </cfRule>
  </conditionalFormatting>
  <conditionalFormatting sqref="P31">
    <cfRule type="cellIs" dxfId="2457" priority="2458" operator="greaterThan">
      <formula>0</formula>
    </cfRule>
  </conditionalFormatting>
  <conditionalFormatting sqref="Q31">
    <cfRule type="cellIs" dxfId="2456" priority="2457" operator="lessThan">
      <formula>0</formula>
    </cfRule>
  </conditionalFormatting>
  <conditionalFormatting sqref="R31">
    <cfRule type="cellIs" dxfId="2455" priority="2455" operator="lessThan">
      <formula>0.8</formula>
    </cfRule>
    <cfRule type="cellIs" dxfId="2454" priority="2456" operator="greaterThan">
      <formula>1</formula>
    </cfRule>
  </conditionalFormatting>
  <conditionalFormatting sqref="R31">
    <cfRule type="cellIs" dxfId="2453" priority="2453" operator="greaterThan">
      <formula>1</formula>
    </cfRule>
    <cfRule type="cellIs" dxfId="2452" priority="2454" operator="lessThan">
      <formula>0.8</formula>
    </cfRule>
  </conditionalFormatting>
  <conditionalFormatting sqref="P31">
    <cfRule type="cellIs" dxfId="2451" priority="2452" operator="greaterThan">
      <formula>0</formula>
    </cfRule>
  </conditionalFormatting>
  <conditionalFormatting sqref="Q31">
    <cfRule type="cellIs" dxfId="2450" priority="2451" operator="lessThan">
      <formula>0</formula>
    </cfRule>
  </conditionalFormatting>
  <conditionalFormatting sqref="R31">
    <cfRule type="cellIs" dxfId="2449" priority="2449" operator="lessThan">
      <formula>0.8</formula>
    </cfRule>
    <cfRule type="cellIs" dxfId="2448" priority="2450" operator="greaterThan">
      <formula>1</formula>
    </cfRule>
  </conditionalFormatting>
  <conditionalFormatting sqref="R31">
    <cfRule type="cellIs" dxfId="2447" priority="2447" operator="greaterThan">
      <formula>1</formula>
    </cfRule>
    <cfRule type="cellIs" dxfId="2446" priority="2448" operator="lessThan">
      <formula>0.8</formula>
    </cfRule>
  </conditionalFormatting>
  <conditionalFormatting sqref="P31">
    <cfRule type="cellIs" dxfId="2445" priority="2446" operator="greaterThan">
      <formula>0</formula>
    </cfRule>
  </conditionalFormatting>
  <conditionalFormatting sqref="Q31">
    <cfRule type="cellIs" dxfId="2444" priority="2445" operator="lessThan">
      <formula>0</formula>
    </cfRule>
  </conditionalFormatting>
  <conditionalFormatting sqref="R31">
    <cfRule type="cellIs" dxfId="2443" priority="2443" operator="lessThan">
      <formula>0.8</formula>
    </cfRule>
    <cfRule type="cellIs" dxfId="2442" priority="2444" operator="greaterThan">
      <formula>1</formula>
    </cfRule>
  </conditionalFormatting>
  <conditionalFormatting sqref="R31">
    <cfRule type="cellIs" dxfId="2441" priority="2441" operator="greaterThan">
      <formula>1</formula>
    </cfRule>
    <cfRule type="cellIs" dxfId="2440" priority="2442" operator="lessThan">
      <formula>0.8</formula>
    </cfRule>
  </conditionalFormatting>
  <conditionalFormatting sqref="P31">
    <cfRule type="cellIs" dxfId="2439" priority="2440" operator="greaterThan">
      <formula>0</formula>
    </cfRule>
  </conditionalFormatting>
  <conditionalFormatting sqref="P31">
    <cfRule type="cellIs" dxfId="2438" priority="2434" operator="greaterThan">
      <formula>0</formula>
    </cfRule>
  </conditionalFormatting>
  <conditionalFormatting sqref="Q31">
    <cfRule type="cellIs" dxfId="2437" priority="2439" operator="lessThan">
      <formula>0</formula>
    </cfRule>
  </conditionalFormatting>
  <conditionalFormatting sqref="R31">
    <cfRule type="cellIs" dxfId="2436" priority="2437" operator="lessThan">
      <formula>0.8</formula>
    </cfRule>
    <cfRule type="cellIs" dxfId="2435" priority="2438" operator="greaterThan">
      <formula>1</formula>
    </cfRule>
  </conditionalFormatting>
  <conditionalFormatting sqref="R31">
    <cfRule type="cellIs" dxfId="2434" priority="2435" operator="greaterThan">
      <formula>1</formula>
    </cfRule>
    <cfRule type="cellIs" dxfId="2433" priority="2436" operator="lessThan">
      <formula>0.8</formula>
    </cfRule>
  </conditionalFormatting>
  <conditionalFormatting sqref="P31">
    <cfRule type="cellIs" dxfId="2432" priority="2428" operator="greaterThan">
      <formula>0</formula>
    </cfRule>
  </conditionalFormatting>
  <conditionalFormatting sqref="Q31">
    <cfRule type="cellIs" dxfId="2431" priority="2433" operator="lessThan">
      <formula>0</formula>
    </cfRule>
  </conditionalFormatting>
  <conditionalFormatting sqref="R31">
    <cfRule type="cellIs" dxfId="2430" priority="2431" operator="lessThan">
      <formula>0.8</formula>
    </cfRule>
    <cfRule type="cellIs" dxfId="2429" priority="2432" operator="greaterThan">
      <formula>1</formula>
    </cfRule>
  </conditionalFormatting>
  <conditionalFormatting sqref="R31">
    <cfRule type="cellIs" dxfId="2428" priority="2429" operator="greaterThan">
      <formula>1</formula>
    </cfRule>
    <cfRule type="cellIs" dxfId="2427" priority="2430" operator="lessThan">
      <formula>0.8</formula>
    </cfRule>
  </conditionalFormatting>
  <conditionalFormatting sqref="R31">
    <cfRule type="cellIs" dxfId="2426" priority="2425" operator="lessThan">
      <formula>0.8</formula>
    </cfRule>
    <cfRule type="cellIs" dxfId="2425" priority="2426" operator="greaterThan">
      <formula>1</formula>
    </cfRule>
  </conditionalFormatting>
  <conditionalFormatting sqref="R31">
    <cfRule type="cellIs" dxfId="2424" priority="2423" operator="greaterThan">
      <formula>1</formula>
    </cfRule>
    <cfRule type="cellIs" dxfId="2423" priority="2424" operator="lessThan">
      <formula>0.8</formula>
    </cfRule>
  </conditionalFormatting>
  <conditionalFormatting sqref="P31">
    <cfRule type="cellIs" dxfId="2422" priority="2422" operator="greaterThan">
      <formula>0</formula>
    </cfRule>
  </conditionalFormatting>
  <conditionalFormatting sqref="Q31">
    <cfRule type="cellIs" dxfId="2421" priority="2427" operator="lessThan">
      <formula>0</formula>
    </cfRule>
  </conditionalFormatting>
  <conditionalFormatting sqref="Q31">
    <cfRule type="cellIs" dxfId="2420" priority="2421" operator="lessThan">
      <formula>0</formula>
    </cfRule>
  </conditionalFormatting>
  <conditionalFormatting sqref="R31">
    <cfRule type="cellIs" dxfId="2419" priority="2419" operator="lessThan">
      <formula>0.8</formula>
    </cfRule>
    <cfRule type="cellIs" dxfId="2418" priority="2420" operator="greaterThan">
      <formula>1</formula>
    </cfRule>
  </conditionalFormatting>
  <conditionalFormatting sqref="R31">
    <cfRule type="cellIs" dxfId="2417" priority="2417" operator="greaterThan">
      <formula>1</formula>
    </cfRule>
    <cfRule type="cellIs" dxfId="2416" priority="2418" operator="lessThan">
      <formula>0.8</formula>
    </cfRule>
  </conditionalFormatting>
  <conditionalFormatting sqref="P31">
    <cfRule type="cellIs" dxfId="2415" priority="2416" operator="greaterThan">
      <formula>0</formula>
    </cfRule>
  </conditionalFormatting>
  <conditionalFormatting sqref="Q31">
    <cfRule type="cellIs" dxfId="2414" priority="2415" operator="lessThan">
      <formula>0</formula>
    </cfRule>
  </conditionalFormatting>
  <conditionalFormatting sqref="R31">
    <cfRule type="cellIs" dxfId="2413" priority="2413" operator="lessThan">
      <formula>0.8</formula>
    </cfRule>
    <cfRule type="cellIs" dxfId="2412" priority="2414" operator="greaterThan">
      <formula>1</formula>
    </cfRule>
  </conditionalFormatting>
  <conditionalFormatting sqref="R31">
    <cfRule type="cellIs" dxfId="2411" priority="2411" operator="greaterThan">
      <formula>1</formula>
    </cfRule>
    <cfRule type="cellIs" dxfId="2410" priority="2412" operator="lessThan">
      <formula>0.8</formula>
    </cfRule>
  </conditionalFormatting>
  <conditionalFormatting sqref="P31">
    <cfRule type="cellIs" dxfId="2409" priority="2410" operator="greaterThan">
      <formula>0</formula>
    </cfRule>
  </conditionalFormatting>
  <conditionalFormatting sqref="Q31">
    <cfRule type="cellIs" dxfId="2408" priority="2409" operator="lessThan">
      <formula>0</formula>
    </cfRule>
  </conditionalFormatting>
  <conditionalFormatting sqref="R31">
    <cfRule type="cellIs" dxfId="2407" priority="2407" operator="lessThan">
      <formula>0.8</formula>
    </cfRule>
    <cfRule type="cellIs" dxfId="2406" priority="2408" operator="greaterThan">
      <formula>1</formula>
    </cfRule>
  </conditionalFormatting>
  <conditionalFormatting sqref="R31">
    <cfRule type="cellIs" dxfId="2405" priority="2405" operator="greaterThan">
      <formula>1</formula>
    </cfRule>
    <cfRule type="cellIs" dxfId="2404" priority="2406" operator="lessThan">
      <formula>0.8</formula>
    </cfRule>
  </conditionalFormatting>
  <conditionalFormatting sqref="P31">
    <cfRule type="cellIs" dxfId="2403" priority="2404" operator="greaterThan">
      <formula>0</formula>
    </cfRule>
  </conditionalFormatting>
  <conditionalFormatting sqref="Q31">
    <cfRule type="cellIs" dxfId="2402" priority="2403" operator="lessThan">
      <formula>0</formula>
    </cfRule>
  </conditionalFormatting>
  <conditionalFormatting sqref="R31">
    <cfRule type="cellIs" dxfId="2401" priority="2401" operator="lessThan">
      <formula>0.8</formula>
    </cfRule>
    <cfRule type="cellIs" dxfId="2400" priority="2402" operator="greaterThan">
      <formula>1</formula>
    </cfRule>
  </conditionalFormatting>
  <conditionalFormatting sqref="R31">
    <cfRule type="cellIs" dxfId="2399" priority="2399" operator="greaterThan">
      <formula>1</formula>
    </cfRule>
    <cfRule type="cellIs" dxfId="2398" priority="2400" operator="lessThan">
      <formula>0.8</formula>
    </cfRule>
  </conditionalFormatting>
  <conditionalFormatting sqref="P31">
    <cfRule type="cellIs" dxfId="2397" priority="2398" operator="greaterThan">
      <formula>0</formula>
    </cfRule>
  </conditionalFormatting>
  <conditionalFormatting sqref="P31">
    <cfRule type="cellIs" dxfId="2396" priority="2392" operator="greaterThan">
      <formula>0</formula>
    </cfRule>
  </conditionalFormatting>
  <conditionalFormatting sqref="Q31">
    <cfRule type="cellIs" dxfId="2395" priority="2397" operator="lessThan">
      <formula>0</formula>
    </cfRule>
  </conditionalFormatting>
  <conditionalFormatting sqref="R31">
    <cfRule type="cellIs" dxfId="2394" priority="2395" operator="lessThan">
      <formula>0.8</formula>
    </cfRule>
    <cfRule type="cellIs" dxfId="2393" priority="2396" operator="greaterThan">
      <formula>1</formula>
    </cfRule>
  </conditionalFormatting>
  <conditionalFormatting sqref="R31">
    <cfRule type="cellIs" dxfId="2392" priority="2393" operator="greaterThan">
      <formula>1</formula>
    </cfRule>
    <cfRule type="cellIs" dxfId="2391" priority="2394" operator="lessThan">
      <formula>0.8</formula>
    </cfRule>
  </conditionalFormatting>
  <conditionalFormatting sqref="P31">
    <cfRule type="cellIs" dxfId="2390" priority="2386" operator="greaterThan">
      <formula>0</formula>
    </cfRule>
  </conditionalFormatting>
  <conditionalFormatting sqref="Q31">
    <cfRule type="cellIs" dxfId="2389" priority="2391" operator="lessThan">
      <formula>0</formula>
    </cfRule>
  </conditionalFormatting>
  <conditionalFormatting sqref="R31">
    <cfRule type="cellIs" dxfId="2388" priority="2389" operator="lessThan">
      <formula>0.8</formula>
    </cfRule>
    <cfRule type="cellIs" dxfId="2387" priority="2390" operator="greaterThan">
      <formula>1</formula>
    </cfRule>
  </conditionalFormatting>
  <conditionalFormatting sqref="R31">
    <cfRule type="cellIs" dxfId="2386" priority="2387" operator="greaterThan">
      <formula>1</formula>
    </cfRule>
    <cfRule type="cellIs" dxfId="2385" priority="2388" operator="lessThan">
      <formula>0.8</formula>
    </cfRule>
  </conditionalFormatting>
  <conditionalFormatting sqref="R31">
    <cfRule type="cellIs" dxfId="2384" priority="2383" operator="lessThan">
      <formula>0.8</formula>
    </cfRule>
    <cfRule type="cellIs" dxfId="2383" priority="2384" operator="greaterThan">
      <formula>1</formula>
    </cfRule>
  </conditionalFormatting>
  <conditionalFormatting sqref="R31">
    <cfRule type="cellIs" dxfId="2382" priority="2381" operator="greaterThan">
      <formula>1</formula>
    </cfRule>
    <cfRule type="cellIs" dxfId="2381" priority="2382" operator="lessThan">
      <formula>0.8</formula>
    </cfRule>
  </conditionalFormatting>
  <conditionalFormatting sqref="P31">
    <cfRule type="cellIs" dxfId="2380" priority="2380" operator="greaterThan">
      <formula>0</formula>
    </cfRule>
  </conditionalFormatting>
  <conditionalFormatting sqref="Q31">
    <cfRule type="cellIs" dxfId="2379" priority="2385" operator="lessThan">
      <formula>0</formula>
    </cfRule>
  </conditionalFormatting>
  <conditionalFormatting sqref="Q31">
    <cfRule type="cellIs" dxfId="2378" priority="2379" operator="lessThan">
      <formula>0</formula>
    </cfRule>
  </conditionalFormatting>
  <conditionalFormatting sqref="R31">
    <cfRule type="cellIs" dxfId="2377" priority="2377" operator="lessThan">
      <formula>0.8</formula>
    </cfRule>
    <cfRule type="cellIs" dxfId="2376" priority="2378" operator="greaterThan">
      <formula>1</formula>
    </cfRule>
  </conditionalFormatting>
  <conditionalFormatting sqref="R31">
    <cfRule type="cellIs" dxfId="2375" priority="2375" operator="greaterThan">
      <formula>1</formula>
    </cfRule>
    <cfRule type="cellIs" dxfId="2374" priority="2376" operator="lessThan">
      <formula>0.8</formula>
    </cfRule>
  </conditionalFormatting>
  <conditionalFormatting sqref="P31">
    <cfRule type="cellIs" dxfId="2373" priority="2374" operator="greaterThan">
      <formula>0</formula>
    </cfRule>
  </conditionalFormatting>
  <conditionalFormatting sqref="P31">
    <cfRule type="cellIs" dxfId="2372" priority="2368" operator="greaterThan">
      <formula>0</formula>
    </cfRule>
  </conditionalFormatting>
  <conditionalFormatting sqref="Q31">
    <cfRule type="cellIs" dxfId="2371" priority="2373" operator="lessThan">
      <formula>0</formula>
    </cfRule>
  </conditionalFormatting>
  <conditionalFormatting sqref="R31">
    <cfRule type="cellIs" dxfId="2370" priority="2371" operator="lessThan">
      <formula>0.8</formula>
    </cfRule>
    <cfRule type="cellIs" dxfId="2369" priority="2372" operator="greaterThan">
      <formula>1</formula>
    </cfRule>
  </conditionalFormatting>
  <conditionalFormatting sqref="R31">
    <cfRule type="cellIs" dxfId="2368" priority="2369" operator="greaterThan">
      <formula>1</formula>
    </cfRule>
    <cfRule type="cellIs" dxfId="2367" priority="2370" operator="lessThan">
      <formula>0.8</formula>
    </cfRule>
  </conditionalFormatting>
  <conditionalFormatting sqref="P31">
    <cfRule type="cellIs" dxfId="2366" priority="2362" operator="greaterThan">
      <formula>0</formula>
    </cfRule>
  </conditionalFormatting>
  <conditionalFormatting sqref="Q31">
    <cfRule type="cellIs" dxfId="2365" priority="2367" operator="lessThan">
      <formula>0</formula>
    </cfRule>
  </conditionalFormatting>
  <conditionalFormatting sqref="R31">
    <cfRule type="cellIs" dxfId="2364" priority="2365" operator="lessThan">
      <formula>0.8</formula>
    </cfRule>
    <cfRule type="cellIs" dxfId="2363" priority="2366" operator="greaterThan">
      <formula>1</formula>
    </cfRule>
  </conditionalFormatting>
  <conditionalFormatting sqref="R31">
    <cfRule type="cellIs" dxfId="2362" priority="2363" operator="greaterThan">
      <formula>1</formula>
    </cfRule>
    <cfRule type="cellIs" dxfId="2361" priority="2364" operator="lessThan">
      <formula>0.8</formula>
    </cfRule>
  </conditionalFormatting>
  <conditionalFormatting sqref="R31">
    <cfRule type="cellIs" dxfId="2360" priority="2359" operator="lessThan">
      <formula>0.8</formula>
    </cfRule>
    <cfRule type="cellIs" dxfId="2359" priority="2360" operator="greaterThan">
      <formula>1</formula>
    </cfRule>
  </conditionalFormatting>
  <conditionalFormatting sqref="R31">
    <cfRule type="cellIs" dxfId="2358" priority="2357" operator="greaterThan">
      <formula>1</formula>
    </cfRule>
    <cfRule type="cellIs" dxfId="2357" priority="2358" operator="lessThan">
      <formula>0.8</formula>
    </cfRule>
  </conditionalFormatting>
  <conditionalFormatting sqref="P31">
    <cfRule type="cellIs" dxfId="2356" priority="2356" operator="greaterThan">
      <formula>0</formula>
    </cfRule>
  </conditionalFormatting>
  <conditionalFormatting sqref="Q31">
    <cfRule type="cellIs" dxfId="2355" priority="2361" operator="lessThan">
      <formula>0</formula>
    </cfRule>
  </conditionalFormatting>
  <conditionalFormatting sqref="P31">
    <cfRule type="cellIs" dxfId="2354" priority="2350" operator="greaterThan">
      <formula>0</formula>
    </cfRule>
  </conditionalFormatting>
  <conditionalFormatting sqref="Q31">
    <cfRule type="cellIs" dxfId="2353" priority="2355" operator="lessThan">
      <formula>0</formula>
    </cfRule>
  </conditionalFormatting>
  <conditionalFormatting sqref="R31">
    <cfRule type="cellIs" dxfId="2352" priority="2353" operator="lessThan">
      <formula>0.8</formula>
    </cfRule>
    <cfRule type="cellIs" dxfId="2351" priority="2354" operator="greaterThan">
      <formula>1</formula>
    </cfRule>
  </conditionalFormatting>
  <conditionalFormatting sqref="R31">
    <cfRule type="cellIs" dxfId="2350" priority="2351" operator="greaterThan">
      <formula>1</formula>
    </cfRule>
    <cfRule type="cellIs" dxfId="2349" priority="2352" operator="lessThan">
      <formula>0.8</formula>
    </cfRule>
  </conditionalFormatting>
  <conditionalFormatting sqref="R31">
    <cfRule type="cellIs" dxfId="2348" priority="2347" operator="lessThan">
      <formula>0.8</formula>
    </cfRule>
    <cfRule type="cellIs" dxfId="2347" priority="2348" operator="greaterThan">
      <formula>1</formula>
    </cfRule>
  </conditionalFormatting>
  <conditionalFormatting sqref="R31">
    <cfRule type="cellIs" dxfId="2346" priority="2345" operator="greaterThan">
      <formula>1</formula>
    </cfRule>
    <cfRule type="cellIs" dxfId="2345" priority="2346" operator="lessThan">
      <formula>0.8</formula>
    </cfRule>
  </conditionalFormatting>
  <conditionalFormatting sqref="P31">
    <cfRule type="cellIs" dxfId="2344" priority="2344" operator="greaterThan">
      <formula>0</formula>
    </cfRule>
  </conditionalFormatting>
  <conditionalFormatting sqref="Q31">
    <cfRule type="cellIs" dxfId="2343" priority="2349" operator="lessThan">
      <formula>0</formula>
    </cfRule>
  </conditionalFormatting>
  <conditionalFormatting sqref="R31">
    <cfRule type="cellIs" dxfId="2342" priority="2341" operator="lessThan">
      <formula>0.8</formula>
    </cfRule>
    <cfRule type="cellIs" dxfId="2341" priority="2342" operator="greaterThan">
      <formula>1</formula>
    </cfRule>
  </conditionalFormatting>
  <conditionalFormatting sqref="R31">
    <cfRule type="cellIs" dxfId="2340" priority="2339" operator="greaterThan">
      <formula>1</formula>
    </cfRule>
    <cfRule type="cellIs" dxfId="2339" priority="2340" operator="lessThan">
      <formula>0.8</formula>
    </cfRule>
  </conditionalFormatting>
  <conditionalFormatting sqref="P31">
    <cfRule type="cellIs" dxfId="2338" priority="2338" operator="greaterThan">
      <formula>0</formula>
    </cfRule>
  </conditionalFormatting>
  <conditionalFormatting sqref="Q31">
    <cfRule type="cellIs" dxfId="2337" priority="2343" operator="lessThan">
      <formula>0</formula>
    </cfRule>
  </conditionalFormatting>
  <conditionalFormatting sqref="Q31">
    <cfRule type="cellIs" dxfId="2336" priority="2337" operator="lessThan">
      <formula>0</formula>
    </cfRule>
  </conditionalFormatting>
  <conditionalFormatting sqref="R31">
    <cfRule type="cellIs" dxfId="2335" priority="2335" operator="lessThan">
      <formula>0.8</formula>
    </cfRule>
    <cfRule type="cellIs" dxfId="2334" priority="2336" operator="greaterThan">
      <formula>1</formula>
    </cfRule>
  </conditionalFormatting>
  <conditionalFormatting sqref="R31">
    <cfRule type="cellIs" dxfId="2333" priority="2333" operator="greaterThan">
      <formula>1</formula>
    </cfRule>
    <cfRule type="cellIs" dxfId="2332" priority="2334" operator="lessThan">
      <formula>0.8</formula>
    </cfRule>
  </conditionalFormatting>
  <conditionalFormatting sqref="P31">
    <cfRule type="cellIs" dxfId="2331" priority="2332" operator="greaterThan">
      <formula>0</formula>
    </cfRule>
  </conditionalFormatting>
  <conditionalFormatting sqref="Q31">
    <cfRule type="cellIs" dxfId="2330" priority="2326" operator="lessThan">
      <formula>0</formula>
    </cfRule>
  </conditionalFormatting>
  <conditionalFormatting sqref="R31">
    <cfRule type="cellIs" dxfId="2329" priority="2330" operator="lessThan">
      <formula>0.8</formula>
    </cfRule>
    <cfRule type="cellIs" dxfId="2328" priority="2331" operator="greaterThan">
      <formula>1</formula>
    </cfRule>
  </conditionalFormatting>
  <conditionalFormatting sqref="R31">
    <cfRule type="cellIs" dxfId="2327" priority="2328" operator="greaterThan">
      <formula>1</formula>
    </cfRule>
    <cfRule type="cellIs" dxfId="2326" priority="2329" operator="lessThan">
      <formula>0.8</formula>
    </cfRule>
  </conditionalFormatting>
  <conditionalFormatting sqref="P31">
    <cfRule type="cellIs" dxfId="2325" priority="2327" operator="greaterThan">
      <formula>0</formula>
    </cfRule>
  </conditionalFormatting>
  <conditionalFormatting sqref="Q31">
    <cfRule type="cellIs" dxfId="2324" priority="2325" operator="lessThan">
      <formula>0</formula>
    </cfRule>
  </conditionalFormatting>
  <conditionalFormatting sqref="R31">
    <cfRule type="cellIs" dxfId="2323" priority="2323" operator="lessThan">
      <formula>0.8</formula>
    </cfRule>
    <cfRule type="cellIs" dxfId="2322" priority="2324" operator="greaterThan">
      <formula>1</formula>
    </cfRule>
  </conditionalFormatting>
  <conditionalFormatting sqref="R31">
    <cfRule type="cellIs" dxfId="2321" priority="2321" operator="greaterThan">
      <formula>1</formula>
    </cfRule>
    <cfRule type="cellIs" dxfId="2320" priority="2322" operator="lessThan">
      <formula>0.8</formula>
    </cfRule>
  </conditionalFormatting>
  <conditionalFormatting sqref="P31">
    <cfRule type="cellIs" dxfId="2319" priority="2320" operator="greaterThan">
      <formula>0</formula>
    </cfRule>
  </conditionalFormatting>
  <conditionalFormatting sqref="Q31">
    <cfRule type="cellIs" dxfId="2318" priority="2319" operator="lessThan">
      <formula>0</formula>
    </cfRule>
  </conditionalFormatting>
  <conditionalFormatting sqref="R31">
    <cfRule type="cellIs" dxfId="2317" priority="2317" operator="lessThan">
      <formula>0.8</formula>
    </cfRule>
    <cfRule type="cellIs" dxfId="2316" priority="2318" operator="greaterThan">
      <formula>1</formula>
    </cfRule>
  </conditionalFormatting>
  <conditionalFormatting sqref="R31">
    <cfRule type="cellIs" dxfId="2315" priority="2315" operator="greaterThan">
      <formula>1</formula>
    </cfRule>
    <cfRule type="cellIs" dxfId="2314" priority="2316" operator="lessThan">
      <formula>0.8</formula>
    </cfRule>
  </conditionalFormatting>
  <conditionalFormatting sqref="P31">
    <cfRule type="cellIs" dxfId="2313" priority="2314" operator="greaterThan">
      <formula>0</formula>
    </cfRule>
  </conditionalFormatting>
  <conditionalFormatting sqref="Q31">
    <cfRule type="cellIs" dxfId="2312" priority="2313" operator="lessThan">
      <formula>0</formula>
    </cfRule>
  </conditionalFormatting>
  <conditionalFormatting sqref="R31">
    <cfRule type="cellIs" dxfId="2311" priority="2311" operator="lessThan">
      <formula>0.8</formula>
    </cfRule>
    <cfRule type="cellIs" dxfId="2310" priority="2312" operator="greaterThan">
      <formula>1</formula>
    </cfRule>
  </conditionalFormatting>
  <conditionalFormatting sqref="R31">
    <cfRule type="cellIs" dxfId="2309" priority="2309" operator="greaterThan">
      <formula>1</formula>
    </cfRule>
    <cfRule type="cellIs" dxfId="2308" priority="2310" operator="lessThan">
      <formula>0.8</formula>
    </cfRule>
  </conditionalFormatting>
  <conditionalFormatting sqref="P31">
    <cfRule type="cellIs" dxfId="2307" priority="2308" operator="greaterThan">
      <formula>0</formula>
    </cfRule>
  </conditionalFormatting>
  <conditionalFormatting sqref="Q31">
    <cfRule type="cellIs" dxfId="2306" priority="2307" operator="lessThan">
      <formula>0</formula>
    </cfRule>
  </conditionalFormatting>
  <conditionalFormatting sqref="R31">
    <cfRule type="cellIs" dxfId="2305" priority="2305" operator="lessThan">
      <formula>0.8</formula>
    </cfRule>
    <cfRule type="cellIs" dxfId="2304" priority="2306" operator="greaterThan">
      <formula>1</formula>
    </cfRule>
  </conditionalFormatting>
  <conditionalFormatting sqref="R31">
    <cfRule type="cellIs" dxfId="2303" priority="2303" operator="greaterThan">
      <formula>1</formula>
    </cfRule>
    <cfRule type="cellIs" dxfId="2302" priority="2304" operator="lessThan">
      <formula>0.8</formula>
    </cfRule>
  </conditionalFormatting>
  <conditionalFormatting sqref="P31">
    <cfRule type="cellIs" dxfId="2301" priority="2302" operator="greaterThan">
      <formula>0</formula>
    </cfRule>
  </conditionalFormatting>
  <conditionalFormatting sqref="Q31">
    <cfRule type="cellIs" dxfId="2300" priority="2301" operator="lessThan">
      <formula>0</formula>
    </cfRule>
  </conditionalFormatting>
  <conditionalFormatting sqref="R31">
    <cfRule type="cellIs" dxfId="2299" priority="2299" operator="lessThan">
      <formula>0.8</formula>
    </cfRule>
    <cfRule type="cellIs" dxfId="2298" priority="2300" operator="greaterThan">
      <formula>1</formula>
    </cfRule>
  </conditionalFormatting>
  <conditionalFormatting sqref="R31">
    <cfRule type="cellIs" dxfId="2297" priority="2297" operator="greaterThan">
      <formula>1</formula>
    </cfRule>
    <cfRule type="cellIs" dxfId="2296" priority="2298" operator="lessThan">
      <formula>0.8</formula>
    </cfRule>
  </conditionalFormatting>
  <conditionalFormatting sqref="P31">
    <cfRule type="cellIs" dxfId="2295" priority="2296" operator="greaterThan">
      <formula>0</formula>
    </cfRule>
  </conditionalFormatting>
  <conditionalFormatting sqref="P31">
    <cfRule type="cellIs" dxfId="2294" priority="2290" operator="greaterThan">
      <formula>0</formula>
    </cfRule>
  </conditionalFormatting>
  <conditionalFormatting sqref="Q31">
    <cfRule type="cellIs" dxfId="2293" priority="2295" operator="lessThan">
      <formula>0</formula>
    </cfRule>
  </conditionalFormatting>
  <conditionalFormatting sqref="R31">
    <cfRule type="cellIs" dxfId="2292" priority="2293" operator="lessThan">
      <formula>0.8</formula>
    </cfRule>
    <cfRule type="cellIs" dxfId="2291" priority="2294" operator="greaterThan">
      <formula>1</formula>
    </cfRule>
  </conditionalFormatting>
  <conditionalFormatting sqref="R31">
    <cfRule type="cellIs" dxfId="2290" priority="2291" operator="greaterThan">
      <formula>1</formula>
    </cfRule>
    <cfRule type="cellIs" dxfId="2289" priority="2292" operator="lessThan">
      <formula>0.8</formula>
    </cfRule>
  </conditionalFormatting>
  <conditionalFormatting sqref="P31">
    <cfRule type="cellIs" dxfId="2288" priority="2284" operator="greaterThan">
      <formula>0</formula>
    </cfRule>
  </conditionalFormatting>
  <conditionalFormatting sqref="Q31">
    <cfRule type="cellIs" dxfId="2287" priority="2289" operator="lessThan">
      <formula>0</formula>
    </cfRule>
  </conditionalFormatting>
  <conditionalFormatting sqref="R31">
    <cfRule type="cellIs" dxfId="2286" priority="2287" operator="lessThan">
      <formula>0.8</formula>
    </cfRule>
    <cfRule type="cellIs" dxfId="2285" priority="2288" operator="greaterThan">
      <formula>1</formula>
    </cfRule>
  </conditionalFormatting>
  <conditionalFormatting sqref="R31">
    <cfRule type="cellIs" dxfId="2284" priority="2285" operator="greaterThan">
      <formula>1</formula>
    </cfRule>
    <cfRule type="cellIs" dxfId="2283" priority="2286" operator="lessThan">
      <formula>0.8</formula>
    </cfRule>
  </conditionalFormatting>
  <conditionalFormatting sqref="R31">
    <cfRule type="cellIs" dxfId="2282" priority="2281" operator="lessThan">
      <formula>0.8</formula>
    </cfRule>
    <cfRule type="cellIs" dxfId="2281" priority="2282" operator="greaterThan">
      <formula>1</formula>
    </cfRule>
  </conditionalFormatting>
  <conditionalFormatting sqref="R31">
    <cfRule type="cellIs" dxfId="2280" priority="2279" operator="greaterThan">
      <formula>1</formula>
    </cfRule>
    <cfRule type="cellIs" dxfId="2279" priority="2280" operator="lessThan">
      <formula>0.8</formula>
    </cfRule>
  </conditionalFormatting>
  <conditionalFormatting sqref="P31">
    <cfRule type="cellIs" dxfId="2278" priority="2278" operator="greaterThan">
      <formula>0</formula>
    </cfRule>
  </conditionalFormatting>
  <conditionalFormatting sqref="Q31">
    <cfRule type="cellIs" dxfId="2277" priority="2283" operator="lessThan">
      <formula>0</formula>
    </cfRule>
  </conditionalFormatting>
  <conditionalFormatting sqref="P79">
    <cfRule type="cellIs" dxfId="2276" priority="2272" operator="greaterThan">
      <formula>0</formula>
    </cfRule>
  </conditionalFormatting>
  <conditionalFormatting sqref="Q79">
    <cfRule type="cellIs" dxfId="2275" priority="2277" operator="lessThan">
      <formula>0</formula>
    </cfRule>
  </conditionalFormatting>
  <conditionalFormatting sqref="R79">
    <cfRule type="cellIs" dxfId="2274" priority="2275" operator="lessThan">
      <formula>0.8</formula>
    </cfRule>
    <cfRule type="cellIs" dxfId="2273" priority="2276" operator="greaterThan">
      <formula>1</formula>
    </cfRule>
  </conditionalFormatting>
  <conditionalFormatting sqref="R79">
    <cfRule type="cellIs" dxfId="2272" priority="2273" operator="greaterThan">
      <formula>1</formula>
    </cfRule>
    <cfRule type="cellIs" dxfId="2271" priority="2274" operator="lessThan">
      <formula>0.8</formula>
    </cfRule>
  </conditionalFormatting>
  <conditionalFormatting sqref="Q79">
    <cfRule type="cellIs" dxfId="2270" priority="2271" operator="lessThan">
      <formula>0</formula>
    </cfRule>
  </conditionalFormatting>
  <conditionalFormatting sqref="R79">
    <cfRule type="cellIs" dxfId="2269" priority="2269" operator="lessThan">
      <formula>0.8</formula>
    </cfRule>
    <cfRule type="cellIs" dxfId="2268" priority="2270" operator="greaterThan">
      <formula>1</formula>
    </cfRule>
  </conditionalFormatting>
  <conditionalFormatting sqref="R79">
    <cfRule type="cellIs" dxfId="2267" priority="2267" operator="greaterThan">
      <formula>1</formula>
    </cfRule>
    <cfRule type="cellIs" dxfId="2266" priority="2268" operator="lessThan">
      <formula>0.8</formula>
    </cfRule>
  </conditionalFormatting>
  <conditionalFormatting sqref="P79">
    <cfRule type="cellIs" dxfId="2265" priority="2266" operator="greaterThan">
      <formula>0</formula>
    </cfRule>
  </conditionalFormatting>
  <conditionalFormatting sqref="P79">
    <cfRule type="cellIs" dxfId="2264" priority="2260" operator="greaterThan">
      <formula>0</formula>
    </cfRule>
  </conditionalFormatting>
  <conditionalFormatting sqref="Q79">
    <cfRule type="cellIs" dxfId="2263" priority="2265" operator="lessThan">
      <formula>0</formula>
    </cfRule>
  </conditionalFormatting>
  <conditionalFormatting sqref="R79">
    <cfRule type="cellIs" dxfId="2262" priority="2263" operator="lessThan">
      <formula>0.8</formula>
    </cfRule>
    <cfRule type="cellIs" dxfId="2261" priority="2264" operator="greaterThan">
      <formula>1</formula>
    </cfRule>
  </conditionalFormatting>
  <conditionalFormatting sqref="R79">
    <cfRule type="cellIs" dxfId="2260" priority="2261" operator="greaterThan">
      <formula>1</formula>
    </cfRule>
    <cfRule type="cellIs" dxfId="2259" priority="2262" operator="lessThan">
      <formula>0.8</formula>
    </cfRule>
  </conditionalFormatting>
  <conditionalFormatting sqref="Q79">
    <cfRule type="cellIs" dxfId="2258" priority="2254" operator="lessThan">
      <formula>0</formula>
    </cfRule>
  </conditionalFormatting>
  <conditionalFormatting sqref="P79">
    <cfRule type="cellIs" dxfId="2257" priority="2255" operator="greaterThan">
      <formula>0</formula>
    </cfRule>
  </conditionalFormatting>
  <conditionalFormatting sqref="R79">
    <cfRule type="cellIs" dxfId="2256" priority="2258" operator="lessThan">
      <formula>0.8</formula>
    </cfRule>
    <cfRule type="cellIs" dxfId="2255" priority="2259" operator="greaterThan">
      <formula>1</formula>
    </cfRule>
  </conditionalFormatting>
  <conditionalFormatting sqref="R79">
    <cfRule type="cellIs" dxfId="2254" priority="2256" operator="greaterThan">
      <formula>1</formula>
    </cfRule>
    <cfRule type="cellIs" dxfId="2253" priority="2257" operator="lessThan">
      <formula>0.8</formula>
    </cfRule>
  </conditionalFormatting>
  <conditionalFormatting sqref="Q79">
    <cfRule type="cellIs" dxfId="2252" priority="2248" operator="lessThan">
      <formula>0</formula>
    </cfRule>
  </conditionalFormatting>
  <conditionalFormatting sqref="R79">
    <cfRule type="cellIs" dxfId="2251" priority="2252" operator="lessThan">
      <formula>0.8</formula>
    </cfRule>
    <cfRule type="cellIs" dxfId="2250" priority="2253" operator="greaterThan">
      <formula>1</formula>
    </cfRule>
  </conditionalFormatting>
  <conditionalFormatting sqref="R79">
    <cfRule type="cellIs" dxfId="2249" priority="2250" operator="greaterThan">
      <formula>1</formula>
    </cfRule>
    <cfRule type="cellIs" dxfId="2248" priority="2251" operator="lessThan">
      <formula>0.8</formula>
    </cfRule>
  </conditionalFormatting>
  <conditionalFormatting sqref="P79">
    <cfRule type="cellIs" dxfId="2247" priority="2249" operator="greaterThan">
      <formula>0</formula>
    </cfRule>
  </conditionalFormatting>
  <conditionalFormatting sqref="Q79">
    <cfRule type="cellIs" dxfId="2246" priority="2247" operator="lessThan">
      <formula>0</formula>
    </cfRule>
  </conditionalFormatting>
  <conditionalFormatting sqref="R79">
    <cfRule type="cellIs" dxfId="2245" priority="2245" operator="lessThan">
      <formula>0.8</formula>
    </cfRule>
    <cfRule type="cellIs" dxfId="2244" priority="2246" operator="greaterThan">
      <formula>1</formula>
    </cfRule>
  </conditionalFormatting>
  <conditionalFormatting sqref="R79">
    <cfRule type="cellIs" dxfId="2243" priority="2243" operator="greaterThan">
      <formula>1</formula>
    </cfRule>
    <cfRule type="cellIs" dxfId="2242" priority="2244" operator="lessThan">
      <formula>0.8</formula>
    </cfRule>
  </conditionalFormatting>
  <conditionalFormatting sqref="P79">
    <cfRule type="cellIs" dxfId="2241" priority="2242" operator="greaterThan">
      <formula>0</formula>
    </cfRule>
  </conditionalFormatting>
  <conditionalFormatting sqref="Q79">
    <cfRule type="cellIs" dxfId="2240" priority="2241" operator="lessThan">
      <formula>0</formula>
    </cfRule>
  </conditionalFormatting>
  <conditionalFormatting sqref="R79">
    <cfRule type="cellIs" dxfId="2239" priority="2239" operator="lessThan">
      <formula>0.8</formula>
    </cfRule>
    <cfRule type="cellIs" dxfId="2238" priority="2240" operator="greaterThan">
      <formula>1</formula>
    </cfRule>
  </conditionalFormatting>
  <conditionalFormatting sqref="R79">
    <cfRule type="cellIs" dxfId="2237" priority="2237" operator="greaterThan">
      <formula>1</formula>
    </cfRule>
    <cfRule type="cellIs" dxfId="2236" priority="2238" operator="lessThan">
      <formula>0.8</formula>
    </cfRule>
  </conditionalFormatting>
  <conditionalFormatting sqref="P79">
    <cfRule type="cellIs" dxfId="2235" priority="2236" operator="greaterThan">
      <formula>0</formula>
    </cfRule>
  </conditionalFormatting>
  <conditionalFormatting sqref="P79">
    <cfRule type="cellIs" dxfId="2234" priority="2230" operator="greaterThan">
      <formula>0</formula>
    </cfRule>
  </conditionalFormatting>
  <conditionalFormatting sqref="Q79">
    <cfRule type="cellIs" dxfId="2233" priority="2235" operator="lessThan">
      <formula>0</formula>
    </cfRule>
  </conditionalFormatting>
  <conditionalFormatting sqref="R79">
    <cfRule type="cellIs" dxfId="2232" priority="2233" operator="lessThan">
      <formula>0.8</formula>
    </cfRule>
    <cfRule type="cellIs" dxfId="2231" priority="2234" operator="greaterThan">
      <formula>1</formula>
    </cfRule>
  </conditionalFormatting>
  <conditionalFormatting sqref="R79">
    <cfRule type="cellIs" dxfId="2230" priority="2231" operator="greaterThan">
      <formula>1</formula>
    </cfRule>
    <cfRule type="cellIs" dxfId="2229" priority="2232" operator="lessThan">
      <formula>0.8</formula>
    </cfRule>
  </conditionalFormatting>
  <conditionalFormatting sqref="P71:P78">
    <cfRule type="cellIs" dxfId="2228" priority="2224" operator="greaterThan">
      <formula>0</formula>
    </cfRule>
  </conditionalFormatting>
  <conditionalFormatting sqref="Q71:Q78">
    <cfRule type="cellIs" dxfId="2227" priority="2229" operator="lessThan">
      <formula>0</formula>
    </cfRule>
  </conditionalFormatting>
  <conditionalFormatting sqref="R71:R78">
    <cfRule type="cellIs" dxfId="2226" priority="2227" operator="lessThan">
      <formula>0.8</formula>
    </cfRule>
    <cfRule type="cellIs" dxfId="2225" priority="2228" operator="greaterThan">
      <formula>1</formula>
    </cfRule>
  </conditionalFormatting>
  <conditionalFormatting sqref="R71:R78">
    <cfRule type="cellIs" dxfId="2224" priority="2225" operator="greaterThan">
      <formula>1</formula>
    </cfRule>
    <cfRule type="cellIs" dxfId="2223" priority="2226" operator="lessThan">
      <formula>0.8</formula>
    </cfRule>
  </conditionalFormatting>
  <conditionalFormatting sqref="Q148:Q153">
    <cfRule type="cellIs" dxfId="2222" priority="2223" operator="lessThan">
      <formula>0</formula>
    </cfRule>
  </conditionalFormatting>
  <conditionalFormatting sqref="R148:R153">
    <cfRule type="cellIs" dxfId="2221" priority="2221" operator="lessThan">
      <formula>0.8</formula>
    </cfRule>
    <cfRule type="cellIs" dxfId="2220" priority="2222" operator="greaterThan">
      <formula>1</formula>
    </cfRule>
  </conditionalFormatting>
  <conditionalFormatting sqref="R148:R153">
    <cfRule type="cellIs" dxfId="2219" priority="2219" operator="greaterThan">
      <formula>1</formula>
    </cfRule>
    <cfRule type="cellIs" dxfId="2218" priority="2220" operator="lessThan">
      <formula>0.8</formula>
    </cfRule>
  </conditionalFormatting>
  <conditionalFormatting sqref="P148:P153">
    <cfRule type="cellIs" dxfId="2217" priority="2218" operator="greaterThan">
      <formula>0</formula>
    </cfRule>
  </conditionalFormatting>
  <conditionalFormatting sqref="Q148:Q153">
    <cfRule type="cellIs" dxfId="2216" priority="2217" operator="lessThan">
      <formula>0</formula>
    </cfRule>
  </conditionalFormatting>
  <conditionalFormatting sqref="R148:R153">
    <cfRule type="cellIs" dxfId="2215" priority="2215" operator="lessThan">
      <formula>0.8</formula>
    </cfRule>
    <cfRule type="cellIs" dxfId="2214" priority="2216" operator="greaterThan">
      <formula>1</formula>
    </cfRule>
  </conditionalFormatting>
  <conditionalFormatting sqref="R148:R153">
    <cfRule type="cellIs" dxfId="2213" priority="2213" operator="greaterThan">
      <formula>1</formula>
    </cfRule>
    <cfRule type="cellIs" dxfId="2212" priority="2214" operator="lessThan">
      <formula>0.8</formula>
    </cfRule>
  </conditionalFormatting>
  <conditionalFormatting sqref="P148:P153">
    <cfRule type="cellIs" dxfId="2211" priority="2212" operator="greaterThan">
      <formula>0</formula>
    </cfRule>
  </conditionalFormatting>
  <conditionalFormatting sqref="Q148:Q153">
    <cfRule type="cellIs" dxfId="2210" priority="2211" operator="lessThan">
      <formula>0</formula>
    </cfRule>
  </conditionalFormatting>
  <conditionalFormatting sqref="R148:R153">
    <cfRule type="cellIs" dxfId="2209" priority="2209" operator="lessThan">
      <formula>0.8</formula>
    </cfRule>
    <cfRule type="cellIs" dxfId="2208" priority="2210" operator="greaterThan">
      <formula>1</formula>
    </cfRule>
  </conditionalFormatting>
  <conditionalFormatting sqref="R148:R153">
    <cfRule type="cellIs" dxfId="2207" priority="2207" operator="greaterThan">
      <formula>1</formula>
    </cfRule>
    <cfRule type="cellIs" dxfId="2206" priority="2208" operator="lessThan">
      <formula>0.8</formula>
    </cfRule>
  </conditionalFormatting>
  <conditionalFormatting sqref="P148:P153">
    <cfRule type="cellIs" dxfId="2205" priority="2206" operator="greaterThan">
      <formula>0</formula>
    </cfRule>
  </conditionalFormatting>
  <conditionalFormatting sqref="Q148:Q153">
    <cfRule type="cellIs" dxfId="2204" priority="2205" operator="lessThan">
      <formula>0</formula>
    </cfRule>
  </conditionalFormatting>
  <conditionalFormatting sqref="R148:R153">
    <cfRule type="cellIs" dxfId="2203" priority="2203" operator="lessThan">
      <formula>0.8</formula>
    </cfRule>
    <cfRule type="cellIs" dxfId="2202" priority="2204" operator="greaterThan">
      <formula>1</formula>
    </cfRule>
  </conditionalFormatting>
  <conditionalFormatting sqref="R148:R153">
    <cfRule type="cellIs" dxfId="2201" priority="2201" operator="greaterThan">
      <formula>1</formula>
    </cfRule>
    <cfRule type="cellIs" dxfId="2200" priority="2202" operator="lessThan">
      <formula>0.8</formula>
    </cfRule>
  </conditionalFormatting>
  <conditionalFormatting sqref="P148:P153">
    <cfRule type="cellIs" dxfId="2199" priority="2200" operator="greaterThan">
      <formula>0</formula>
    </cfRule>
  </conditionalFormatting>
  <conditionalFormatting sqref="P148:P153">
    <cfRule type="cellIs" dxfId="2198" priority="2194" operator="greaterThan">
      <formula>0</formula>
    </cfRule>
  </conditionalFormatting>
  <conditionalFormatting sqref="Q148:Q153">
    <cfRule type="cellIs" dxfId="2197" priority="2199" operator="lessThan">
      <formula>0</formula>
    </cfRule>
  </conditionalFormatting>
  <conditionalFormatting sqref="R148:R153">
    <cfRule type="cellIs" dxfId="2196" priority="2197" operator="lessThan">
      <formula>0.8</formula>
    </cfRule>
    <cfRule type="cellIs" dxfId="2195" priority="2198" operator="greaterThan">
      <formula>1</formula>
    </cfRule>
  </conditionalFormatting>
  <conditionalFormatting sqref="R148:R153">
    <cfRule type="cellIs" dxfId="2194" priority="2195" operator="greaterThan">
      <formula>1</formula>
    </cfRule>
    <cfRule type="cellIs" dxfId="2193" priority="2196" operator="lessThan">
      <formula>0.8</formula>
    </cfRule>
  </conditionalFormatting>
  <conditionalFormatting sqref="P148:P153">
    <cfRule type="cellIs" dxfId="2192" priority="2188" operator="greaterThan">
      <formula>0</formula>
    </cfRule>
  </conditionalFormatting>
  <conditionalFormatting sqref="Q148:Q153">
    <cfRule type="cellIs" dxfId="2191" priority="2193" operator="lessThan">
      <formula>0</formula>
    </cfRule>
  </conditionalFormatting>
  <conditionalFormatting sqref="R148:R153">
    <cfRule type="cellIs" dxfId="2190" priority="2191" operator="lessThan">
      <formula>0.8</formula>
    </cfRule>
    <cfRule type="cellIs" dxfId="2189" priority="2192" operator="greaterThan">
      <formula>1</formula>
    </cfRule>
  </conditionalFormatting>
  <conditionalFormatting sqref="R148:R153">
    <cfRule type="cellIs" dxfId="2188" priority="2189" operator="greaterThan">
      <formula>1</formula>
    </cfRule>
    <cfRule type="cellIs" dxfId="2187" priority="2190" operator="lessThan">
      <formula>0.8</formula>
    </cfRule>
  </conditionalFormatting>
  <conditionalFormatting sqref="R148:R153">
    <cfRule type="cellIs" dxfId="2186" priority="2185" operator="lessThan">
      <formula>0.8</formula>
    </cfRule>
    <cfRule type="cellIs" dxfId="2185" priority="2186" operator="greaterThan">
      <formula>1</formula>
    </cfRule>
  </conditionalFormatting>
  <conditionalFormatting sqref="R148:R153">
    <cfRule type="cellIs" dxfId="2184" priority="2183" operator="greaterThan">
      <formula>1</formula>
    </cfRule>
    <cfRule type="cellIs" dxfId="2183" priority="2184" operator="lessThan">
      <formula>0.8</formula>
    </cfRule>
  </conditionalFormatting>
  <conditionalFormatting sqref="P148:P153">
    <cfRule type="cellIs" dxfId="2182" priority="2182" operator="greaterThan">
      <formula>0</formula>
    </cfRule>
  </conditionalFormatting>
  <conditionalFormatting sqref="Q148:Q153">
    <cfRule type="cellIs" dxfId="2181" priority="2187" operator="lessThan">
      <formula>0</formula>
    </cfRule>
  </conditionalFormatting>
  <conditionalFormatting sqref="Q148:Q153">
    <cfRule type="cellIs" dxfId="2180" priority="2181" operator="lessThan">
      <formula>0</formula>
    </cfRule>
  </conditionalFormatting>
  <conditionalFormatting sqref="R148:R153">
    <cfRule type="cellIs" dxfId="2179" priority="2179" operator="lessThan">
      <formula>0.8</formula>
    </cfRule>
    <cfRule type="cellIs" dxfId="2178" priority="2180" operator="greaterThan">
      <formula>1</formula>
    </cfRule>
  </conditionalFormatting>
  <conditionalFormatting sqref="R148:R153">
    <cfRule type="cellIs" dxfId="2177" priority="2177" operator="greaterThan">
      <formula>1</formula>
    </cfRule>
    <cfRule type="cellIs" dxfId="2176" priority="2178" operator="lessThan">
      <formula>0.8</formula>
    </cfRule>
  </conditionalFormatting>
  <conditionalFormatting sqref="P148:P153">
    <cfRule type="cellIs" dxfId="2175" priority="2176" operator="greaterThan">
      <formula>0</formula>
    </cfRule>
  </conditionalFormatting>
  <conditionalFormatting sqref="P148:P153">
    <cfRule type="cellIs" dxfId="2174" priority="2170" operator="greaterThan">
      <formula>0</formula>
    </cfRule>
  </conditionalFormatting>
  <conditionalFormatting sqref="Q148:Q153">
    <cfRule type="cellIs" dxfId="2173" priority="2175" operator="lessThan">
      <formula>0</formula>
    </cfRule>
  </conditionalFormatting>
  <conditionalFormatting sqref="R148:R153">
    <cfRule type="cellIs" dxfId="2172" priority="2173" operator="lessThan">
      <formula>0.8</formula>
    </cfRule>
    <cfRule type="cellIs" dxfId="2171" priority="2174" operator="greaterThan">
      <formula>1</formula>
    </cfRule>
  </conditionalFormatting>
  <conditionalFormatting sqref="R148:R153">
    <cfRule type="cellIs" dxfId="2170" priority="2171" operator="greaterThan">
      <formula>1</formula>
    </cfRule>
    <cfRule type="cellIs" dxfId="2169" priority="2172" operator="lessThan">
      <formula>0.8</formula>
    </cfRule>
  </conditionalFormatting>
  <conditionalFormatting sqref="P148:P153">
    <cfRule type="cellIs" dxfId="2168" priority="2164" operator="greaterThan">
      <formula>0</formula>
    </cfRule>
  </conditionalFormatting>
  <conditionalFormatting sqref="Q148:Q153">
    <cfRule type="cellIs" dxfId="2167" priority="2169" operator="lessThan">
      <formula>0</formula>
    </cfRule>
  </conditionalFormatting>
  <conditionalFormatting sqref="R148:R153">
    <cfRule type="cellIs" dxfId="2166" priority="2167" operator="lessThan">
      <formula>0.8</formula>
    </cfRule>
    <cfRule type="cellIs" dxfId="2165" priority="2168" operator="greaterThan">
      <formula>1</formula>
    </cfRule>
  </conditionalFormatting>
  <conditionalFormatting sqref="R148:R153">
    <cfRule type="cellIs" dxfId="2164" priority="2165" operator="greaterThan">
      <formula>1</formula>
    </cfRule>
    <cfRule type="cellIs" dxfId="2163" priority="2166" operator="lessThan">
      <formula>0.8</formula>
    </cfRule>
  </conditionalFormatting>
  <conditionalFormatting sqref="R148:R153">
    <cfRule type="cellIs" dxfId="2162" priority="2161" operator="lessThan">
      <formula>0.8</formula>
    </cfRule>
    <cfRule type="cellIs" dxfId="2161" priority="2162" operator="greaterThan">
      <formula>1</formula>
    </cfRule>
  </conditionalFormatting>
  <conditionalFormatting sqref="R148:R153">
    <cfRule type="cellIs" dxfId="2160" priority="2159" operator="greaterThan">
      <formula>1</formula>
    </cfRule>
    <cfRule type="cellIs" dxfId="2159" priority="2160" operator="lessThan">
      <formula>0.8</formula>
    </cfRule>
  </conditionalFormatting>
  <conditionalFormatting sqref="P148:P153">
    <cfRule type="cellIs" dxfId="2158" priority="2158" operator="greaterThan">
      <formula>0</formula>
    </cfRule>
  </conditionalFormatting>
  <conditionalFormatting sqref="Q148:Q153">
    <cfRule type="cellIs" dxfId="2157" priority="2163" operator="lessThan">
      <formula>0</formula>
    </cfRule>
  </conditionalFormatting>
  <conditionalFormatting sqref="P148:P153">
    <cfRule type="cellIs" dxfId="2156" priority="2152" operator="greaterThan">
      <formula>0</formula>
    </cfRule>
  </conditionalFormatting>
  <conditionalFormatting sqref="Q148:Q153">
    <cfRule type="cellIs" dxfId="2155" priority="2157" operator="lessThan">
      <formula>0</formula>
    </cfRule>
  </conditionalFormatting>
  <conditionalFormatting sqref="R148:R153">
    <cfRule type="cellIs" dxfId="2154" priority="2155" operator="lessThan">
      <formula>0.8</formula>
    </cfRule>
    <cfRule type="cellIs" dxfId="2153" priority="2156" operator="greaterThan">
      <formula>1</formula>
    </cfRule>
  </conditionalFormatting>
  <conditionalFormatting sqref="R148:R153">
    <cfRule type="cellIs" dxfId="2152" priority="2153" operator="greaterThan">
      <formula>1</formula>
    </cfRule>
    <cfRule type="cellIs" dxfId="2151" priority="2154" operator="lessThan">
      <formula>0.8</formula>
    </cfRule>
  </conditionalFormatting>
  <conditionalFormatting sqref="R148:R153">
    <cfRule type="cellIs" dxfId="2150" priority="2149" operator="lessThan">
      <formula>0.8</formula>
    </cfRule>
    <cfRule type="cellIs" dxfId="2149" priority="2150" operator="greaterThan">
      <formula>1</formula>
    </cfRule>
  </conditionalFormatting>
  <conditionalFormatting sqref="R148:R153">
    <cfRule type="cellIs" dxfId="2148" priority="2147" operator="greaterThan">
      <formula>1</formula>
    </cfRule>
    <cfRule type="cellIs" dxfId="2147" priority="2148" operator="lessThan">
      <formula>0.8</formula>
    </cfRule>
  </conditionalFormatting>
  <conditionalFormatting sqref="P148:P153">
    <cfRule type="cellIs" dxfId="2146" priority="2146" operator="greaterThan">
      <formula>0</formula>
    </cfRule>
  </conditionalFormatting>
  <conditionalFormatting sqref="Q148:Q153">
    <cfRule type="cellIs" dxfId="2145" priority="2151" operator="lessThan">
      <formula>0</formula>
    </cfRule>
  </conditionalFormatting>
  <conditionalFormatting sqref="R148:R153">
    <cfRule type="cellIs" dxfId="2144" priority="2143" operator="lessThan">
      <formula>0.8</formula>
    </cfRule>
    <cfRule type="cellIs" dxfId="2143" priority="2144" operator="greaterThan">
      <formula>1</formula>
    </cfRule>
  </conditionalFormatting>
  <conditionalFormatting sqref="R148:R153">
    <cfRule type="cellIs" dxfId="2142" priority="2141" operator="greaterThan">
      <formula>1</formula>
    </cfRule>
    <cfRule type="cellIs" dxfId="2141" priority="2142" operator="lessThan">
      <formula>0.8</formula>
    </cfRule>
  </conditionalFormatting>
  <conditionalFormatting sqref="P148:P153">
    <cfRule type="cellIs" dxfId="2140" priority="2140" operator="greaterThan">
      <formula>0</formula>
    </cfRule>
  </conditionalFormatting>
  <conditionalFormatting sqref="Q148:Q153">
    <cfRule type="cellIs" dxfId="2139" priority="2145" operator="lessThan">
      <formula>0</formula>
    </cfRule>
  </conditionalFormatting>
  <conditionalFormatting sqref="Q148:Q153">
    <cfRule type="cellIs" dxfId="2138" priority="2139" operator="lessThan">
      <formula>0</formula>
    </cfRule>
  </conditionalFormatting>
  <conditionalFormatting sqref="R148:R153">
    <cfRule type="cellIs" dxfId="2137" priority="2137" operator="lessThan">
      <formula>0.8</formula>
    </cfRule>
    <cfRule type="cellIs" dxfId="2136" priority="2138" operator="greaterThan">
      <formula>1</formula>
    </cfRule>
  </conditionalFormatting>
  <conditionalFormatting sqref="R148:R153">
    <cfRule type="cellIs" dxfId="2135" priority="2135" operator="greaterThan">
      <formula>1</formula>
    </cfRule>
    <cfRule type="cellIs" dxfId="2134" priority="2136" operator="lessThan">
      <formula>0.8</formula>
    </cfRule>
  </conditionalFormatting>
  <conditionalFormatting sqref="P148:P153">
    <cfRule type="cellIs" dxfId="2133" priority="2134" operator="greaterThan">
      <formula>0</formula>
    </cfRule>
  </conditionalFormatting>
  <conditionalFormatting sqref="Q148:Q153">
    <cfRule type="cellIs" dxfId="2132" priority="2128" operator="lessThan">
      <formula>0</formula>
    </cfRule>
  </conditionalFormatting>
  <conditionalFormatting sqref="R148:R153">
    <cfRule type="cellIs" dxfId="2131" priority="2132" operator="lessThan">
      <formula>0.8</formula>
    </cfRule>
    <cfRule type="cellIs" dxfId="2130" priority="2133" operator="greaterThan">
      <formula>1</formula>
    </cfRule>
  </conditionalFormatting>
  <conditionalFormatting sqref="R148:R153">
    <cfRule type="cellIs" dxfId="2129" priority="2130" operator="greaterThan">
      <formula>1</formula>
    </cfRule>
    <cfRule type="cellIs" dxfId="2128" priority="2131" operator="lessThan">
      <formula>0.8</formula>
    </cfRule>
  </conditionalFormatting>
  <conditionalFormatting sqref="P148:P153">
    <cfRule type="cellIs" dxfId="2127" priority="2129" operator="greaterThan">
      <formula>0</formula>
    </cfRule>
  </conditionalFormatting>
  <conditionalFormatting sqref="Q148:Q153">
    <cfRule type="cellIs" dxfId="2126" priority="2127" operator="lessThan">
      <formula>0</formula>
    </cfRule>
  </conditionalFormatting>
  <conditionalFormatting sqref="R148:R153">
    <cfRule type="cellIs" dxfId="2125" priority="2125" operator="lessThan">
      <formula>0.8</formula>
    </cfRule>
    <cfRule type="cellIs" dxfId="2124" priority="2126" operator="greaterThan">
      <formula>1</formula>
    </cfRule>
  </conditionalFormatting>
  <conditionalFormatting sqref="R148:R153">
    <cfRule type="cellIs" dxfId="2123" priority="2123" operator="greaterThan">
      <formula>1</formula>
    </cfRule>
    <cfRule type="cellIs" dxfId="2122" priority="2124" operator="lessThan">
      <formula>0.8</formula>
    </cfRule>
  </conditionalFormatting>
  <conditionalFormatting sqref="P148:P153">
    <cfRule type="cellIs" dxfId="2121" priority="2122" operator="greaterThan">
      <formula>0</formula>
    </cfRule>
  </conditionalFormatting>
  <conditionalFormatting sqref="Q148:Q153">
    <cfRule type="cellIs" dxfId="2120" priority="2121" operator="lessThan">
      <formula>0</formula>
    </cfRule>
  </conditionalFormatting>
  <conditionalFormatting sqref="R148:R153">
    <cfRule type="cellIs" dxfId="2119" priority="2119" operator="lessThan">
      <formula>0.8</formula>
    </cfRule>
    <cfRule type="cellIs" dxfId="2118" priority="2120" operator="greaterThan">
      <formula>1</formula>
    </cfRule>
  </conditionalFormatting>
  <conditionalFormatting sqref="R148:R153">
    <cfRule type="cellIs" dxfId="2117" priority="2117" operator="greaterThan">
      <formula>1</formula>
    </cfRule>
    <cfRule type="cellIs" dxfId="2116" priority="2118" operator="lessThan">
      <formula>0.8</formula>
    </cfRule>
  </conditionalFormatting>
  <conditionalFormatting sqref="P148:P153">
    <cfRule type="cellIs" dxfId="2115" priority="2116" operator="greaterThan">
      <formula>0</formula>
    </cfRule>
  </conditionalFormatting>
  <conditionalFormatting sqref="Q148:Q153">
    <cfRule type="cellIs" dxfId="2114" priority="2115" operator="lessThan">
      <formula>0</formula>
    </cfRule>
  </conditionalFormatting>
  <conditionalFormatting sqref="R148:R153">
    <cfRule type="cellIs" dxfId="2113" priority="2113" operator="lessThan">
      <formula>0.8</formula>
    </cfRule>
    <cfRule type="cellIs" dxfId="2112" priority="2114" operator="greaterThan">
      <formula>1</formula>
    </cfRule>
  </conditionalFormatting>
  <conditionalFormatting sqref="R148:R153">
    <cfRule type="cellIs" dxfId="2111" priority="2111" operator="greaterThan">
      <formula>1</formula>
    </cfRule>
    <cfRule type="cellIs" dxfId="2110" priority="2112" operator="lessThan">
      <formula>0.8</formula>
    </cfRule>
  </conditionalFormatting>
  <conditionalFormatting sqref="P148:P153">
    <cfRule type="cellIs" dxfId="2109" priority="2110" operator="greaterThan">
      <formula>0</formula>
    </cfRule>
  </conditionalFormatting>
  <conditionalFormatting sqref="Q148:Q153">
    <cfRule type="cellIs" dxfId="2108" priority="2109" operator="lessThan">
      <formula>0</formula>
    </cfRule>
  </conditionalFormatting>
  <conditionalFormatting sqref="R148:R153">
    <cfRule type="cellIs" dxfId="2107" priority="2107" operator="lessThan">
      <formula>0.8</formula>
    </cfRule>
    <cfRule type="cellIs" dxfId="2106" priority="2108" operator="greaterThan">
      <formula>1</formula>
    </cfRule>
  </conditionalFormatting>
  <conditionalFormatting sqref="R148:R153">
    <cfRule type="cellIs" dxfId="2105" priority="2105" operator="greaterThan">
      <formula>1</formula>
    </cfRule>
    <cfRule type="cellIs" dxfId="2104" priority="2106" operator="lessThan">
      <formula>0.8</formula>
    </cfRule>
  </conditionalFormatting>
  <conditionalFormatting sqref="P148:P153">
    <cfRule type="cellIs" dxfId="2103" priority="2104" operator="greaterThan">
      <formula>0</formula>
    </cfRule>
  </conditionalFormatting>
  <conditionalFormatting sqref="Q148:Q153">
    <cfRule type="cellIs" dxfId="2102" priority="2103" operator="lessThan">
      <formula>0</formula>
    </cfRule>
  </conditionalFormatting>
  <conditionalFormatting sqref="R148:R153">
    <cfRule type="cellIs" dxfId="2101" priority="2101" operator="lessThan">
      <formula>0.8</formula>
    </cfRule>
    <cfRule type="cellIs" dxfId="2100" priority="2102" operator="greaterThan">
      <formula>1</formula>
    </cfRule>
  </conditionalFormatting>
  <conditionalFormatting sqref="R148:R153">
    <cfRule type="cellIs" dxfId="2099" priority="2099" operator="greaterThan">
      <formula>1</formula>
    </cfRule>
    <cfRule type="cellIs" dxfId="2098" priority="2100" operator="lessThan">
      <formula>0.8</formula>
    </cfRule>
  </conditionalFormatting>
  <conditionalFormatting sqref="P148:P153">
    <cfRule type="cellIs" dxfId="2097" priority="2098" operator="greaterThan">
      <formula>0</formula>
    </cfRule>
  </conditionalFormatting>
  <conditionalFormatting sqref="P148:P153">
    <cfRule type="cellIs" dxfId="2096" priority="2092" operator="greaterThan">
      <formula>0</formula>
    </cfRule>
  </conditionalFormatting>
  <conditionalFormatting sqref="Q148:Q153">
    <cfRule type="cellIs" dxfId="2095" priority="2097" operator="lessThan">
      <formula>0</formula>
    </cfRule>
  </conditionalFormatting>
  <conditionalFormatting sqref="R148:R153">
    <cfRule type="cellIs" dxfId="2094" priority="2095" operator="lessThan">
      <formula>0.8</formula>
    </cfRule>
    <cfRule type="cellIs" dxfId="2093" priority="2096" operator="greaterThan">
      <formula>1</formula>
    </cfRule>
  </conditionalFormatting>
  <conditionalFormatting sqref="R148:R153">
    <cfRule type="cellIs" dxfId="2092" priority="2093" operator="greaterThan">
      <formula>1</formula>
    </cfRule>
    <cfRule type="cellIs" dxfId="2091" priority="2094" operator="lessThan">
      <formula>0.8</formula>
    </cfRule>
  </conditionalFormatting>
  <conditionalFormatting sqref="P148:P153">
    <cfRule type="cellIs" dxfId="2090" priority="2086" operator="greaterThan">
      <formula>0</formula>
    </cfRule>
  </conditionalFormatting>
  <conditionalFormatting sqref="Q148:Q153">
    <cfRule type="cellIs" dxfId="2089" priority="2091" operator="lessThan">
      <formula>0</formula>
    </cfRule>
  </conditionalFormatting>
  <conditionalFormatting sqref="R148:R153">
    <cfRule type="cellIs" dxfId="2088" priority="2089" operator="lessThan">
      <formula>0.8</formula>
    </cfRule>
    <cfRule type="cellIs" dxfId="2087" priority="2090" operator="greaterThan">
      <formula>1</formula>
    </cfRule>
  </conditionalFormatting>
  <conditionalFormatting sqref="R148:R153">
    <cfRule type="cellIs" dxfId="2086" priority="2087" operator="greaterThan">
      <formula>1</formula>
    </cfRule>
    <cfRule type="cellIs" dxfId="2085" priority="2088" operator="lessThan">
      <formula>0.8</formula>
    </cfRule>
  </conditionalFormatting>
  <conditionalFormatting sqref="R148:R153">
    <cfRule type="cellIs" dxfId="2084" priority="2083" operator="lessThan">
      <formula>0.8</formula>
    </cfRule>
    <cfRule type="cellIs" dxfId="2083" priority="2084" operator="greaterThan">
      <formula>1</formula>
    </cfRule>
  </conditionalFormatting>
  <conditionalFormatting sqref="R148:R153">
    <cfRule type="cellIs" dxfId="2082" priority="2081" operator="greaterThan">
      <formula>1</formula>
    </cfRule>
    <cfRule type="cellIs" dxfId="2081" priority="2082" operator="lessThan">
      <formula>0.8</formula>
    </cfRule>
  </conditionalFormatting>
  <conditionalFormatting sqref="P148:P153">
    <cfRule type="cellIs" dxfId="2080" priority="2080" operator="greaterThan">
      <formula>0</formula>
    </cfRule>
  </conditionalFormatting>
  <conditionalFormatting sqref="Q148:Q153">
    <cfRule type="cellIs" dxfId="2079" priority="2085" operator="lessThan">
      <formula>0</formula>
    </cfRule>
  </conditionalFormatting>
  <conditionalFormatting sqref="Q148:Q153">
    <cfRule type="cellIs" dxfId="2078" priority="2074" operator="lessThan">
      <formula>0</formula>
    </cfRule>
  </conditionalFormatting>
  <conditionalFormatting sqref="P148:P153">
    <cfRule type="cellIs" dxfId="2077" priority="2075" operator="greaterThan">
      <formula>0</formula>
    </cfRule>
  </conditionalFormatting>
  <conditionalFormatting sqref="R148:R153">
    <cfRule type="cellIs" dxfId="2076" priority="2078" operator="lessThan">
      <formula>0.8</formula>
    </cfRule>
    <cfRule type="cellIs" dxfId="2075" priority="2079" operator="greaterThan">
      <formula>1</formula>
    </cfRule>
  </conditionalFormatting>
  <conditionalFormatting sqref="R148:R153">
    <cfRule type="cellIs" dxfId="2074" priority="2076" operator="greaterThan">
      <formula>1</formula>
    </cfRule>
    <cfRule type="cellIs" dxfId="2073" priority="2077" operator="lessThan">
      <formula>0.8</formula>
    </cfRule>
  </conditionalFormatting>
  <conditionalFormatting sqref="Q148:Q153">
    <cfRule type="cellIs" dxfId="2072" priority="2068" operator="lessThan">
      <formula>0</formula>
    </cfRule>
  </conditionalFormatting>
  <conditionalFormatting sqref="R148:R153">
    <cfRule type="cellIs" dxfId="2071" priority="2072" operator="lessThan">
      <formula>0.8</formula>
    </cfRule>
    <cfRule type="cellIs" dxfId="2070" priority="2073" operator="greaterThan">
      <formula>1</formula>
    </cfRule>
  </conditionalFormatting>
  <conditionalFormatting sqref="R148:R153">
    <cfRule type="cellIs" dxfId="2069" priority="2070" operator="greaterThan">
      <formula>1</formula>
    </cfRule>
    <cfRule type="cellIs" dxfId="2068" priority="2071" operator="lessThan">
      <formula>0.8</formula>
    </cfRule>
  </conditionalFormatting>
  <conditionalFormatting sqref="P148:P153">
    <cfRule type="cellIs" dxfId="2067" priority="2069" operator="greaterThan">
      <formula>0</formula>
    </cfRule>
  </conditionalFormatting>
  <conditionalFormatting sqref="Q148:Q153">
    <cfRule type="cellIs" dxfId="2066" priority="2067" operator="lessThan">
      <formula>0</formula>
    </cfRule>
  </conditionalFormatting>
  <conditionalFormatting sqref="R148:R153">
    <cfRule type="cellIs" dxfId="2065" priority="2065" operator="lessThan">
      <formula>0.8</formula>
    </cfRule>
    <cfRule type="cellIs" dxfId="2064" priority="2066" operator="greaterThan">
      <formula>1</formula>
    </cfRule>
  </conditionalFormatting>
  <conditionalFormatting sqref="R148:R153">
    <cfRule type="cellIs" dxfId="2063" priority="2063" operator="greaterThan">
      <formula>1</formula>
    </cfRule>
    <cfRule type="cellIs" dxfId="2062" priority="2064" operator="lessThan">
      <formula>0.8</formula>
    </cfRule>
  </conditionalFormatting>
  <conditionalFormatting sqref="P148:P153">
    <cfRule type="cellIs" dxfId="2061" priority="2062" operator="greaterThan">
      <formula>0</formula>
    </cfRule>
  </conditionalFormatting>
  <conditionalFormatting sqref="Q148:Q153">
    <cfRule type="cellIs" dxfId="2060" priority="2061" operator="lessThan">
      <formula>0</formula>
    </cfRule>
  </conditionalFormatting>
  <conditionalFormatting sqref="R148:R153">
    <cfRule type="cellIs" dxfId="2059" priority="2059" operator="lessThan">
      <formula>0.8</formula>
    </cfRule>
    <cfRule type="cellIs" dxfId="2058" priority="2060" operator="greaterThan">
      <formula>1</formula>
    </cfRule>
  </conditionalFormatting>
  <conditionalFormatting sqref="R148:R153">
    <cfRule type="cellIs" dxfId="2057" priority="2057" operator="greaterThan">
      <formula>1</formula>
    </cfRule>
    <cfRule type="cellIs" dxfId="2056" priority="2058" operator="lessThan">
      <formula>0.8</formula>
    </cfRule>
  </conditionalFormatting>
  <conditionalFormatting sqref="P148:P153">
    <cfRule type="cellIs" dxfId="2055" priority="2056" operator="greaterThan">
      <formula>0</formula>
    </cfRule>
  </conditionalFormatting>
  <conditionalFormatting sqref="Q148:Q153">
    <cfRule type="cellIs" dxfId="2054" priority="2055" operator="lessThan">
      <formula>0</formula>
    </cfRule>
  </conditionalFormatting>
  <conditionalFormatting sqref="R148:R153">
    <cfRule type="cellIs" dxfId="2053" priority="2053" operator="lessThan">
      <formula>0.8</formula>
    </cfRule>
    <cfRule type="cellIs" dxfId="2052" priority="2054" operator="greaterThan">
      <formula>1</formula>
    </cfRule>
  </conditionalFormatting>
  <conditionalFormatting sqref="R148:R153">
    <cfRule type="cellIs" dxfId="2051" priority="2051" operator="greaterThan">
      <formula>1</formula>
    </cfRule>
    <cfRule type="cellIs" dxfId="2050" priority="2052" operator="lessThan">
      <formula>0.8</formula>
    </cfRule>
  </conditionalFormatting>
  <conditionalFormatting sqref="P148:P153">
    <cfRule type="cellIs" dxfId="2049" priority="2050" operator="greaterThan">
      <formula>0</formula>
    </cfRule>
  </conditionalFormatting>
  <conditionalFormatting sqref="Q148:Q153">
    <cfRule type="cellIs" dxfId="2048" priority="2049" operator="lessThan">
      <formula>0</formula>
    </cfRule>
  </conditionalFormatting>
  <conditionalFormatting sqref="R148:R153">
    <cfRule type="cellIs" dxfId="2047" priority="2047" operator="lessThan">
      <formula>0.8</formula>
    </cfRule>
    <cfRule type="cellIs" dxfId="2046" priority="2048" operator="greaterThan">
      <formula>1</formula>
    </cfRule>
  </conditionalFormatting>
  <conditionalFormatting sqref="R148:R153">
    <cfRule type="cellIs" dxfId="2045" priority="2045" operator="greaterThan">
      <formula>1</formula>
    </cfRule>
    <cfRule type="cellIs" dxfId="2044" priority="2046" operator="lessThan">
      <formula>0.8</formula>
    </cfRule>
  </conditionalFormatting>
  <conditionalFormatting sqref="P148:P153">
    <cfRule type="cellIs" dxfId="2043" priority="2044" operator="greaterThan">
      <formula>0</formula>
    </cfRule>
  </conditionalFormatting>
  <conditionalFormatting sqref="Q124 Q127 Q130">
    <cfRule type="cellIs" dxfId="2042" priority="2038" operator="lessThan">
      <formula>0</formula>
    </cfRule>
  </conditionalFormatting>
  <conditionalFormatting sqref="P124 P127 P130">
    <cfRule type="cellIs" dxfId="2041" priority="2039" operator="greaterThan">
      <formula>0</formula>
    </cfRule>
  </conditionalFormatting>
  <conditionalFormatting sqref="R124 R127 R130">
    <cfRule type="cellIs" dxfId="2040" priority="2042" operator="lessThan">
      <formula>0.8</formula>
    </cfRule>
    <cfRule type="cellIs" dxfId="2039" priority="2043" operator="greaterThan">
      <formula>1</formula>
    </cfRule>
  </conditionalFormatting>
  <conditionalFormatting sqref="R124 R127 R130">
    <cfRule type="cellIs" dxfId="2038" priority="2040" operator="greaterThan">
      <formula>1</formula>
    </cfRule>
    <cfRule type="cellIs" dxfId="2037" priority="2041" operator="lessThan">
      <formula>0.8</formula>
    </cfRule>
  </conditionalFormatting>
  <conditionalFormatting sqref="Q124 Q127 Q130">
    <cfRule type="cellIs" dxfId="2036" priority="2032" operator="lessThan">
      <formula>0</formula>
    </cfRule>
  </conditionalFormatting>
  <conditionalFormatting sqref="R124 R127 R130">
    <cfRule type="cellIs" dxfId="2035" priority="2036" operator="lessThan">
      <formula>0.8</formula>
    </cfRule>
    <cfRule type="cellIs" dxfId="2034" priority="2037" operator="greaterThan">
      <formula>1</formula>
    </cfRule>
  </conditionalFormatting>
  <conditionalFormatting sqref="R124 R127 R130">
    <cfRule type="cellIs" dxfId="2033" priority="2034" operator="greaterThan">
      <formula>1</formula>
    </cfRule>
    <cfRule type="cellIs" dxfId="2032" priority="2035" operator="lessThan">
      <formula>0.8</formula>
    </cfRule>
  </conditionalFormatting>
  <conditionalFormatting sqref="P124 P127 P130">
    <cfRule type="cellIs" dxfId="2031" priority="2033" operator="greaterThan">
      <formula>0</formula>
    </cfRule>
  </conditionalFormatting>
  <conditionalFormatting sqref="Q124 Q127 Q130">
    <cfRule type="cellIs" dxfId="2030" priority="2031" operator="lessThan">
      <formula>0</formula>
    </cfRule>
  </conditionalFormatting>
  <conditionalFormatting sqref="R124 R127 R130">
    <cfRule type="cellIs" dxfId="2029" priority="2029" operator="lessThan">
      <formula>0.8</formula>
    </cfRule>
    <cfRule type="cellIs" dxfId="2028" priority="2030" operator="greaterThan">
      <formula>1</formula>
    </cfRule>
  </conditionalFormatting>
  <conditionalFormatting sqref="R124 R127 R130">
    <cfRule type="cellIs" dxfId="2027" priority="2027" operator="greaterThan">
      <formula>1</formula>
    </cfRule>
    <cfRule type="cellIs" dxfId="2026" priority="2028" operator="lessThan">
      <formula>0.8</formula>
    </cfRule>
  </conditionalFormatting>
  <conditionalFormatting sqref="P124 P127 P130">
    <cfRule type="cellIs" dxfId="2025" priority="2026" operator="greaterThan">
      <formula>0</formula>
    </cfRule>
  </conditionalFormatting>
  <conditionalFormatting sqref="Q124 Q127 Q130">
    <cfRule type="cellIs" dxfId="2024" priority="2025" operator="lessThan">
      <formula>0</formula>
    </cfRule>
  </conditionalFormatting>
  <conditionalFormatting sqref="R124 R127 R130">
    <cfRule type="cellIs" dxfId="2023" priority="2023" operator="lessThan">
      <formula>0.8</formula>
    </cfRule>
    <cfRule type="cellIs" dxfId="2022" priority="2024" operator="greaterThan">
      <formula>1</formula>
    </cfRule>
  </conditionalFormatting>
  <conditionalFormatting sqref="R124 R127 R130">
    <cfRule type="cellIs" dxfId="2021" priority="2021" operator="greaterThan">
      <formula>1</formula>
    </cfRule>
    <cfRule type="cellIs" dxfId="2020" priority="2022" operator="lessThan">
      <formula>0.8</formula>
    </cfRule>
  </conditionalFormatting>
  <conditionalFormatting sqref="P124 P127 P130">
    <cfRule type="cellIs" dxfId="2019" priority="2020" operator="greaterThan">
      <formula>0</formula>
    </cfRule>
  </conditionalFormatting>
  <conditionalFormatting sqref="Q124 Q127 Q130">
    <cfRule type="cellIs" dxfId="2018" priority="2019" operator="lessThan">
      <formula>0</formula>
    </cfRule>
  </conditionalFormatting>
  <conditionalFormatting sqref="R124 R127 R130">
    <cfRule type="cellIs" dxfId="2017" priority="2017" operator="lessThan">
      <formula>0.8</formula>
    </cfRule>
    <cfRule type="cellIs" dxfId="2016" priority="2018" operator="greaterThan">
      <formula>1</formula>
    </cfRule>
  </conditionalFormatting>
  <conditionalFormatting sqref="R124 R127 R130">
    <cfRule type="cellIs" dxfId="2015" priority="2015" operator="greaterThan">
      <formula>1</formula>
    </cfRule>
    <cfRule type="cellIs" dxfId="2014" priority="2016" operator="lessThan">
      <formula>0.8</formula>
    </cfRule>
  </conditionalFormatting>
  <conditionalFormatting sqref="P124 P127 P130">
    <cfRule type="cellIs" dxfId="2013" priority="2014" operator="greaterThan">
      <formula>0</formula>
    </cfRule>
  </conditionalFormatting>
  <conditionalFormatting sqref="Q124 Q127 Q130">
    <cfRule type="cellIs" dxfId="2012" priority="2013" operator="lessThan">
      <formula>0</formula>
    </cfRule>
  </conditionalFormatting>
  <conditionalFormatting sqref="R124 R127 R130">
    <cfRule type="cellIs" dxfId="2011" priority="2011" operator="lessThan">
      <formula>0.8</formula>
    </cfRule>
    <cfRule type="cellIs" dxfId="2010" priority="2012" operator="greaterThan">
      <formula>1</formula>
    </cfRule>
  </conditionalFormatting>
  <conditionalFormatting sqref="R124 R127 R130">
    <cfRule type="cellIs" dxfId="2009" priority="2009" operator="greaterThan">
      <formula>1</formula>
    </cfRule>
    <cfRule type="cellIs" dxfId="2008" priority="2010" operator="lessThan">
      <formula>0.8</formula>
    </cfRule>
  </conditionalFormatting>
  <conditionalFormatting sqref="P124 P127 P130">
    <cfRule type="cellIs" dxfId="2007" priority="2008" operator="greaterThan">
      <formula>0</formula>
    </cfRule>
  </conditionalFormatting>
  <conditionalFormatting sqref="Q124 Q127 Q130">
    <cfRule type="cellIs" dxfId="2006" priority="2007" operator="lessThan">
      <formula>0</formula>
    </cfRule>
  </conditionalFormatting>
  <conditionalFormatting sqref="R124 R127 R130">
    <cfRule type="cellIs" dxfId="2005" priority="2005" operator="lessThan">
      <formula>0.8</formula>
    </cfRule>
    <cfRule type="cellIs" dxfId="2004" priority="2006" operator="greaterThan">
      <formula>1</formula>
    </cfRule>
  </conditionalFormatting>
  <conditionalFormatting sqref="R124 R127 R130">
    <cfRule type="cellIs" dxfId="2003" priority="2003" operator="greaterThan">
      <formula>1</formula>
    </cfRule>
    <cfRule type="cellIs" dxfId="2002" priority="2004" operator="lessThan">
      <formula>0.8</formula>
    </cfRule>
  </conditionalFormatting>
  <conditionalFormatting sqref="P124 P127 P130">
    <cfRule type="cellIs" dxfId="2001" priority="2002" operator="greaterThan">
      <formula>0</formula>
    </cfRule>
  </conditionalFormatting>
  <conditionalFormatting sqref="Q124 Q127 Q130">
    <cfRule type="cellIs" dxfId="2000" priority="2001" operator="lessThan">
      <formula>0</formula>
    </cfRule>
  </conditionalFormatting>
  <conditionalFormatting sqref="R124 R127 R130">
    <cfRule type="cellIs" dxfId="1999" priority="1999" operator="lessThan">
      <formula>0.8</formula>
    </cfRule>
    <cfRule type="cellIs" dxfId="1998" priority="2000" operator="greaterThan">
      <formula>1</formula>
    </cfRule>
  </conditionalFormatting>
  <conditionalFormatting sqref="R124 R127 R130">
    <cfRule type="cellIs" dxfId="1997" priority="1997" operator="greaterThan">
      <formula>1</formula>
    </cfRule>
    <cfRule type="cellIs" dxfId="1996" priority="1998" operator="lessThan">
      <formula>0.8</formula>
    </cfRule>
  </conditionalFormatting>
  <conditionalFormatting sqref="P124 P127 P130">
    <cfRule type="cellIs" dxfId="1995" priority="1996" operator="greaterThan">
      <formula>0</formula>
    </cfRule>
  </conditionalFormatting>
  <conditionalFormatting sqref="Q124 Q127 Q130">
    <cfRule type="cellIs" dxfId="1994" priority="1995" operator="lessThan">
      <formula>0</formula>
    </cfRule>
  </conditionalFormatting>
  <conditionalFormatting sqref="R124 R127 R130">
    <cfRule type="cellIs" dxfId="1993" priority="1993" operator="lessThan">
      <formula>0.8</formula>
    </cfRule>
    <cfRule type="cellIs" dxfId="1992" priority="1994" operator="greaterThan">
      <formula>1</formula>
    </cfRule>
  </conditionalFormatting>
  <conditionalFormatting sqref="R124 R127 R130">
    <cfRule type="cellIs" dxfId="1991" priority="1991" operator="greaterThan">
      <formula>1</formula>
    </cfRule>
    <cfRule type="cellIs" dxfId="1990" priority="1992" operator="lessThan">
      <formula>0.8</formula>
    </cfRule>
  </conditionalFormatting>
  <conditionalFormatting sqref="P124 P127 P130">
    <cfRule type="cellIs" dxfId="1989" priority="1990" operator="greaterThan">
      <formula>0</formula>
    </cfRule>
  </conditionalFormatting>
  <conditionalFormatting sqref="P124 P127 P130">
    <cfRule type="cellIs" dxfId="1988" priority="1984" operator="greaterThan">
      <formula>0</formula>
    </cfRule>
  </conditionalFormatting>
  <conditionalFormatting sqref="Q124 Q127 Q130">
    <cfRule type="cellIs" dxfId="1987" priority="1989" operator="lessThan">
      <formula>0</formula>
    </cfRule>
  </conditionalFormatting>
  <conditionalFormatting sqref="R124 R127 R130">
    <cfRule type="cellIs" dxfId="1986" priority="1987" operator="lessThan">
      <formula>0.8</formula>
    </cfRule>
    <cfRule type="cellIs" dxfId="1985" priority="1988" operator="greaterThan">
      <formula>1</formula>
    </cfRule>
  </conditionalFormatting>
  <conditionalFormatting sqref="R124 R127 R130">
    <cfRule type="cellIs" dxfId="1984" priority="1985" operator="greaterThan">
      <formula>1</formula>
    </cfRule>
    <cfRule type="cellIs" dxfId="1983" priority="1986" operator="lessThan">
      <formula>0.8</formula>
    </cfRule>
  </conditionalFormatting>
  <conditionalFormatting sqref="P124 P127 P130">
    <cfRule type="cellIs" dxfId="1982" priority="1978" operator="greaterThan">
      <formula>0</formula>
    </cfRule>
  </conditionalFormatting>
  <conditionalFormatting sqref="Q124 Q127 Q130">
    <cfRule type="cellIs" dxfId="1981" priority="1983" operator="lessThan">
      <formula>0</formula>
    </cfRule>
  </conditionalFormatting>
  <conditionalFormatting sqref="R124 R127 R130">
    <cfRule type="cellIs" dxfId="1980" priority="1981" operator="lessThan">
      <formula>0.8</formula>
    </cfRule>
    <cfRule type="cellIs" dxfId="1979" priority="1982" operator="greaterThan">
      <formula>1</formula>
    </cfRule>
  </conditionalFormatting>
  <conditionalFormatting sqref="R124 R127 R130">
    <cfRule type="cellIs" dxfId="1978" priority="1979" operator="greaterThan">
      <formula>1</formula>
    </cfRule>
    <cfRule type="cellIs" dxfId="1977" priority="1980" operator="lessThan">
      <formula>0.8</formula>
    </cfRule>
  </conditionalFormatting>
  <conditionalFormatting sqref="R124 R127 R130">
    <cfRule type="cellIs" dxfId="1976" priority="1975" operator="lessThan">
      <formula>0.8</formula>
    </cfRule>
    <cfRule type="cellIs" dxfId="1975" priority="1976" operator="greaterThan">
      <formula>1</formula>
    </cfRule>
  </conditionalFormatting>
  <conditionalFormatting sqref="R124 R127 R130">
    <cfRule type="cellIs" dxfId="1974" priority="1973" operator="greaterThan">
      <formula>1</formula>
    </cfRule>
    <cfRule type="cellIs" dxfId="1973" priority="1974" operator="lessThan">
      <formula>0.8</formula>
    </cfRule>
  </conditionalFormatting>
  <conditionalFormatting sqref="P124 P127 P130">
    <cfRule type="cellIs" dxfId="1972" priority="1972" operator="greaterThan">
      <formula>0</formula>
    </cfRule>
  </conditionalFormatting>
  <conditionalFormatting sqref="Q124 Q127 Q130">
    <cfRule type="cellIs" dxfId="1971" priority="1977" operator="lessThan">
      <formula>0</formula>
    </cfRule>
  </conditionalFormatting>
  <conditionalFormatting sqref="Q124 Q127 Q130">
    <cfRule type="cellIs" dxfId="1970" priority="1971" operator="lessThan">
      <formula>0</formula>
    </cfRule>
  </conditionalFormatting>
  <conditionalFormatting sqref="R124 R127 R130">
    <cfRule type="cellIs" dxfId="1969" priority="1969" operator="lessThan">
      <formula>0.8</formula>
    </cfRule>
    <cfRule type="cellIs" dxfId="1968" priority="1970" operator="greaterThan">
      <formula>1</formula>
    </cfRule>
  </conditionalFormatting>
  <conditionalFormatting sqref="R124 R127 R130">
    <cfRule type="cellIs" dxfId="1967" priority="1967" operator="greaterThan">
      <formula>1</formula>
    </cfRule>
    <cfRule type="cellIs" dxfId="1966" priority="1968" operator="lessThan">
      <formula>0.8</formula>
    </cfRule>
  </conditionalFormatting>
  <conditionalFormatting sqref="P124 P127 P130">
    <cfRule type="cellIs" dxfId="1965" priority="1966" operator="greaterThan">
      <formula>0</formula>
    </cfRule>
  </conditionalFormatting>
  <conditionalFormatting sqref="P124 P127 P130">
    <cfRule type="cellIs" dxfId="1964" priority="1960" operator="greaterThan">
      <formula>0</formula>
    </cfRule>
  </conditionalFormatting>
  <conditionalFormatting sqref="Q124 Q127 Q130">
    <cfRule type="cellIs" dxfId="1963" priority="1965" operator="lessThan">
      <formula>0</formula>
    </cfRule>
  </conditionalFormatting>
  <conditionalFormatting sqref="R124 R127 R130">
    <cfRule type="cellIs" dxfId="1962" priority="1963" operator="lessThan">
      <formula>0.8</formula>
    </cfRule>
    <cfRule type="cellIs" dxfId="1961" priority="1964" operator="greaterThan">
      <formula>1</formula>
    </cfRule>
  </conditionalFormatting>
  <conditionalFormatting sqref="R124 R127 R130">
    <cfRule type="cellIs" dxfId="1960" priority="1961" operator="greaterThan">
      <formula>1</formula>
    </cfRule>
    <cfRule type="cellIs" dxfId="1959" priority="1962" operator="lessThan">
      <formula>0.8</formula>
    </cfRule>
  </conditionalFormatting>
  <conditionalFormatting sqref="P124 P127 P130">
    <cfRule type="cellIs" dxfId="1958" priority="1954" operator="greaterThan">
      <formula>0</formula>
    </cfRule>
  </conditionalFormatting>
  <conditionalFormatting sqref="Q124 Q127 Q130">
    <cfRule type="cellIs" dxfId="1957" priority="1959" operator="lessThan">
      <formula>0</formula>
    </cfRule>
  </conditionalFormatting>
  <conditionalFormatting sqref="R124 R127 R130">
    <cfRule type="cellIs" dxfId="1956" priority="1957" operator="lessThan">
      <formula>0.8</formula>
    </cfRule>
    <cfRule type="cellIs" dxfId="1955" priority="1958" operator="greaterThan">
      <formula>1</formula>
    </cfRule>
  </conditionalFormatting>
  <conditionalFormatting sqref="R124 R127 R130">
    <cfRule type="cellIs" dxfId="1954" priority="1955" operator="greaterThan">
      <formula>1</formula>
    </cfRule>
    <cfRule type="cellIs" dxfId="1953" priority="1956" operator="lessThan">
      <formula>0.8</formula>
    </cfRule>
  </conditionalFormatting>
  <conditionalFormatting sqref="R124 R127 R130">
    <cfRule type="cellIs" dxfId="1952" priority="1951" operator="lessThan">
      <formula>0.8</formula>
    </cfRule>
    <cfRule type="cellIs" dxfId="1951" priority="1952" operator="greaterThan">
      <formula>1</formula>
    </cfRule>
  </conditionalFormatting>
  <conditionalFormatting sqref="R124 R127 R130">
    <cfRule type="cellIs" dxfId="1950" priority="1949" operator="greaterThan">
      <formula>1</formula>
    </cfRule>
    <cfRule type="cellIs" dxfId="1949" priority="1950" operator="lessThan">
      <formula>0.8</formula>
    </cfRule>
  </conditionalFormatting>
  <conditionalFormatting sqref="P124 P127 P130">
    <cfRule type="cellIs" dxfId="1948" priority="1948" operator="greaterThan">
      <formula>0</formula>
    </cfRule>
  </conditionalFormatting>
  <conditionalFormatting sqref="Q124 Q127 Q130">
    <cfRule type="cellIs" dxfId="1947" priority="1953" operator="lessThan">
      <formula>0</formula>
    </cfRule>
  </conditionalFormatting>
  <conditionalFormatting sqref="P124 P127 P130">
    <cfRule type="cellIs" dxfId="1946" priority="1942" operator="greaterThan">
      <formula>0</formula>
    </cfRule>
  </conditionalFormatting>
  <conditionalFormatting sqref="Q124 Q127 Q130">
    <cfRule type="cellIs" dxfId="1945" priority="1947" operator="lessThan">
      <formula>0</formula>
    </cfRule>
  </conditionalFormatting>
  <conditionalFormatting sqref="R124 R127 R130">
    <cfRule type="cellIs" dxfId="1944" priority="1945" operator="lessThan">
      <formula>0.8</formula>
    </cfRule>
    <cfRule type="cellIs" dxfId="1943" priority="1946" operator="greaterThan">
      <formula>1</formula>
    </cfRule>
  </conditionalFormatting>
  <conditionalFormatting sqref="R124 R127 R130">
    <cfRule type="cellIs" dxfId="1942" priority="1943" operator="greaterThan">
      <formula>1</formula>
    </cfRule>
    <cfRule type="cellIs" dxfId="1941" priority="1944" operator="lessThan">
      <formula>0.8</formula>
    </cfRule>
  </conditionalFormatting>
  <conditionalFormatting sqref="R124 R127 R130">
    <cfRule type="cellIs" dxfId="1940" priority="1939" operator="lessThan">
      <formula>0.8</formula>
    </cfRule>
    <cfRule type="cellIs" dxfId="1939" priority="1940" operator="greaterThan">
      <formula>1</formula>
    </cfRule>
  </conditionalFormatting>
  <conditionalFormatting sqref="R124 R127 R130">
    <cfRule type="cellIs" dxfId="1938" priority="1937" operator="greaterThan">
      <formula>1</formula>
    </cfRule>
    <cfRule type="cellIs" dxfId="1937" priority="1938" operator="lessThan">
      <formula>0.8</formula>
    </cfRule>
  </conditionalFormatting>
  <conditionalFormatting sqref="P124 P127 P130">
    <cfRule type="cellIs" dxfId="1936" priority="1936" operator="greaterThan">
      <formula>0</formula>
    </cfRule>
  </conditionalFormatting>
  <conditionalFormatting sqref="Q124 Q127 Q130">
    <cfRule type="cellIs" dxfId="1935" priority="1941" operator="lessThan">
      <formula>0</formula>
    </cfRule>
  </conditionalFormatting>
  <conditionalFormatting sqref="R124 R127 R130">
    <cfRule type="cellIs" dxfId="1934" priority="1933" operator="lessThan">
      <formula>0.8</formula>
    </cfRule>
    <cfRule type="cellIs" dxfId="1933" priority="1934" operator="greaterThan">
      <formula>1</formula>
    </cfRule>
  </conditionalFormatting>
  <conditionalFormatting sqref="R124 R127 R130">
    <cfRule type="cellIs" dxfId="1932" priority="1931" operator="greaterThan">
      <formula>1</formula>
    </cfRule>
    <cfRule type="cellIs" dxfId="1931" priority="1932" operator="lessThan">
      <formula>0.8</formula>
    </cfRule>
  </conditionalFormatting>
  <conditionalFormatting sqref="P124 P127 P130">
    <cfRule type="cellIs" dxfId="1930" priority="1930" operator="greaterThan">
      <formula>0</formula>
    </cfRule>
  </conditionalFormatting>
  <conditionalFormatting sqref="Q124 Q127 Q130">
    <cfRule type="cellIs" dxfId="1929" priority="1935" operator="lessThan">
      <formula>0</formula>
    </cfRule>
  </conditionalFormatting>
  <conditionalFormatting sqref="Q124 Q127 Q130">
    <cfRule type="cellIs" dxfId="1928" priority="1929" operator="lessThan">
      <formula>0</formula>
    </cfRule>
  </conditionalFormatting>
  <conditionalFormatting sqref="R124 R127 R130">
    <cfRule type="cellIs" dxfId="1927" priority="1927" operator="lessThan">
      <formula>0.8</formula>
    </cfRule>
    <cfRule type="cellIs" dxfId="1926" priority="1928" operator="greaterThan">
      <formula>1</formula>
    </cfRule>
  </conditionalFormatting>
  <conditionalFormatting sqref="R124 R127 R130">
    <cfRule type="cellIs" dxfId="1925" priority="1925" operator="greaterThan">
      <formula>1</formula>
    </cfRule>
    <cfRule type="cellIs" dxfId="1924" priority="1926" operator="lessThan">
      <formula>0.8</formula>
    </cfRule>
  </conditionalFormatting>
  <conditionalFormatting sqref="P124 P127 P130">
    <cfRule type="cellIs" dxfId="1923" priority="1924" operator="greaterThan">
      <formula>0</formula>
    </cfRule>
  </conditionalFormatting>
  <conditionalFormatting sqref="Q124 Q127 Q130">
    <cfRule type="cellIs" dxfId="1922" priority="1918" operator="lessThan">
      <formula>0</formula>
    </cfRule>
  </conditionalFormatting>
  <conditionalFormatting sqref="R124 R127 R130">
    <cfRule type="cellIs" dxfId="1921" priority="1922" operator="lessThan">
      <formula>0.8</formula>
    </cfRule>
    <cfRule type="cellIs" dxfId="1920" priority="1923" operator="greaterThan">
      <formula>1</formula>
    </cfRule>
  </conditionalFormatting>
  <conditionalFormatting sqref="R124 R127 R130">
    <cfRule type="cellIs" dxfId="1919" priority="1920" operator="greaterThan">
      <formula>1</formula>
    </cfRule>
    <cfRule type="cellIs" dxfId="1918" priority="1921" operator="lessThan">
      <formula>0.8</formula>
    </cfRule>
  </conditionalFormatting>
  <conditionalFormatting sqref="P124 P127 P130">
    <cfRule type="cellIs" dxfId="1917" priority="1919" operator="greaterThan">
      <formula>0</formula>
    </cfRule>
  </conditionalFormatting>
  <conditionalFormatting sqref="Q124 Q127 Q130">
    <cfRule type="cellIs" dxfId="1916" priority="1917" operator="lessThan">
      <formula>0</formula>
    </cfRule>
  </conditionalFormatting>
  <conditionalFormatting sqref="R124 R127 R130">
    <cfRule type="cellIs" dxfId="1915" priority="1915" operator="lessThan">
      <formula>0.8</formula>
    </cfRule>
    <cfRule type="cellIs" dxfId="1914" priority="1916" operator="greaterThan">
      <formula>1</formula>
    </cfRule>
  </conditionalFormatting>
  <conditionalFormatting sqref="R124 R127 R130">
    <cfRule type="cellIs" dxfId="1913" priority="1913" operator="greaterThan">
      <formula>1</formula>
    </cfRule>
    <cfRule type="cellIs" dxfId="1912" priority="1914" operator="lessThan">
      <formula>0.8</formula>
    </cfRule>
  </conditionalFormatting>
  <conditionalFormatting sqref="P124 P127 P130">
    <cfRule type="cellIs" dxfId="1911" priority="1912" operator="greaterThan">
      <formula>0</formula>
    </cfRule>
  </conditionalFormatting>
  <conditionalFormatting sqref="Q124 Q127 Q130">
    <cfRule type="cellIs" dxfId="1910" priority="1911" operator="lessThan">
      <formula>0</formula>
    </cfRule>
  </conditionalFormatting>
  <conditionalFormatting sqref="R124 R127 R130">
    <cfRule type="cellIs" dxfId="1909" priority="1909" operator="lessThan">
      <formula>0.8</formula>
    </cfRule>
    <cfRule type="cellIs" dxfId="1908" priority="1910" operator="greaterThan">
      <formula>1</formula>
    </cfRule>
  </conditionalFormatting>
  <conditionalFormatting sqref="R124 R127 R130">
    <cfRule type="cellIs" dxfId="1907" priority="1907" operator="greaterThan">
      <formula>1</formula>
    </cfRule>
    <cfRule type="cellIs" dxfId="1906" priority="1908" operator="lessThan">
      <formula>0.8</formula>
    </cfRule>
  </conditionalFormatting>
  <conditionalFormatting sqref="P124 P127 P130">
    <cfRule type="cellIs" dxfId="1905" priority="1906" operator="greaterThan">
      <formula>0</formula>
    </cfRule>
  </conditionalFormatting>
  <conditionalFormatting sqref="Q124 Q127 Q130">
    <cfRule type="cellIs" dxfId="1904" priority="1905" operator="lessThan">
      <formula>0</formula>
    </cfRule>
  </conditionalFormatting>
  <conditionalFormatting sqref="R124 R127 R130">
    <cfRule type="cellIs" dxfId="1903" priority="1903" operator="lessThan">
      <formula>0.8</formula>
    </cfRule>
    <cfRule type="cellIs" dxfId="1902" priority="1904" operator="greaterThan">
      <formula>1</formula>
    </cfRule>
  </conditionalFormatting>
  <conditionalFormatting sqref="R124 R127 R130">
    <cfRule type="cellIs" dxfId="1901" priority="1901" operator="greaterThan">
      <formula>1</formula>
    </cfRule>
    <cfRule type="cellIs" dxfId="1900" priority="1902" operator="lessThan">
      <formula>0.8</formula>
    </cfRule>
  </conditionalFormatting>
  <conditionalFormatting sqref="P124 P127 P130">
    <cfRule type="cellIs" dxfId="1899" priority="1900" operator="greaterThan">
      <formula>0</formula>
    </cfRule>
  </conditionalFormatting>
  <conditionalFormatting sqref="Q124 Q127 Q130">
    <cfRule type="cellIs" dxfId="1898" priority="1899" operator="lessThan">
      <formula>0</formula>
    </cfRule>
  </conditionalFormatting>
  <conditionalFormatting sqref="R124 R127 R130">
    <cfRule type="cellIs" dxfId="1897" priority="1897" operator="lessThan">
      <formula>0.8</formula>
    </cfRule>
    <cfRule type="cellIs" dxfId="1896" priority="1898" operator="greaterThan">
      <formula>1</formula>
    </cfRule>
  </conditionalFormatting>
  <conditionalFormatting sqref="R124 R127 R130">
    <cfRule type="cellIs" dxfId="1895" priority="1895" operator="greaterThan">
      <formula>1</formula>
    </cfRule>
    <cfRule type="cellIs" dxfId="1894" priority="1896" operator="lessThan">
      <formula>0.8</formula>
    </cfRule>
  </conditionalFormatting>
  <conditionalFormatting sqref="P124 P127 P130">
    <cfRule type="cellIs" dxfId="1893" priority="1894" operator="greaterThan">
      <formula>0</formula>
    </cfRule>
  </conditionalFormatting>
  <conditionalFormatting sqref="Q124 Q127 Q130">
    <cfRule type="cellIs" dxfId="1892" priority="1893" operator="lessThan">
      <formula>0</formula>
    </cfRule>
  </conditionalFormatting>
  <conditionalFormatting sqref="R124 R127 R130">
    <cfRule type="cellIs" dxfId="1891" priority="1891" operator="lessThan">
      <formula>0.8</formula>
    </cfRule>
    <cfRule type="cellIs" dxfId="1890" priority="1892" operator="greaterThan">
      <formula>1</formula>
    </cfRule>
  </conditionalFormatting>
  <conditionalFormatting sqref="R124 R127 R130">
    <cfRule type="cellIs" dxfId="1889" priority="1889" operator="greaterThan">
      <formula>1</formula>
    </cfRule>
    <cfRule type="cellIs" dxfId="1888" priority="1890" operator="lessThan">
      <formula>0.8</formula>
    </cfRule>
  </conditionalFormatting>
  <conditionalFormatting sqref="P124 P127 P130">
    <cfRule type="cellIs" dxfId="1887" priority="1888" operator="greaterThan">
      <formula>0</formula>
    </cfRule>
  </conditionalFormatting>
  <conditionalFormatting sqref="P124 P127 P130">
    <cfRule type="cellIs" dxfId="1886" priority="1882" operator="greaterThan">
      <formula>0</formula>
    </cfRule>
  </conditionalFormatting>
  <conditionalFormatting sqref="Q124 Q127 Q130">
    <cfRule type="cellIs" dxfId="1885" priority="1887" operator="lessThan">
      <formula>0</formula>
    </cfRule>
  </conditionalFormatting>
  <conditionalFormatting sqref="R124 R127 R130">
    <cfRule type="cellIs" dxfId="1884" priority="1885" operator="lessThan">
      <formula>0.8</formula>
    </cfRule>
    <cfRule type="cellIs" dxfId="1883" priority="1886" operator="greaterThan">
      <formula>1</formula>
    </cfRule>
  </conditionalFormatting>
  <conditionalFormatting sqref="R124 R127 R130">
    <cfRule type="cellIs" dxfId="1882" priority="1883" operator="greaterThan">
      <formula>1</formula>
    </cfRule>
    <cfRule type="cellIs" dxfId="1881" priority="1884" operator="lessThan">
      <formula>0.8</formula>
    </cfRule>
  </conditionalFormatting>
  <conditionalFormatting sqref="P124 P127 P130">
    <cfRule type="cellIs" dxfId="1880" priority="1876" operator="greaterThan">
      <formula>0</formula>
    </cfRule>
  </conditionalFormatting>
  <conditionalFormatting sqref="Q124 Q127 Q130">
    <cfRule type="cellIs" dxfId="1879" priority="1881" operator="lessThan">
      <formula>0</formula>
    </cfRule>
  </conditionalFormatting>
  <conditionalFormatting sqref="R124 R127 R130">
    <cfRule type="cellIs" dxfId="1878" priority="1879" operator="lessThan">
      <formula>0.8</formula>
    </cfRule>
    <cfRule type="cellIs" dxfId="1877" priority="1880" operator="greaterThan">
      <formula>1</formula>
    </cfRule>
  </conditionalFormatting>
  <conditionalFormatting sqref="R124 R127 R130">
    <cfRule type="cellIs" dxfId="1876" priority="1877" operator="greaterThan">
      <formula>1</formula>
    </cfRule>
    <cfRule type="cellIs" dxfId="1875" priority="1878" operator="lessThan">
      <formula>0.8</formula>
    </cfRule>
  </conditionalFormatting>
  <conditionalFormatting sqref="R124 R127 R130">
    <cfRule type="cellIs" dxfId="1874" priority="1873" operator="lessThan">
      <formula>0.8</formula>
    </cfRule>
    <cfRule type="cellIs" dxfId="1873" priority="1874" operator="greaterThan">
      <formula>1</formula>
    </cfRule>
  </conditionalFormatting>
  <conditionalFormatting sqref="R124 R127 R130">
    <cfRule type="cellIs" dxfId="1872" priority="1871" operator="greaterThan">
      <formula>1</formula>
    </cfRule>
    <cfRule type="cellIs" dxfId="1871" priority="1872" operator="lessThan">
      <formula>0.8</formula>
    </cfRule>
  </conditionalFormatting>
  <conditionalFormatting sqref="P124 P127 P130">
    <cfRule type="cellIs" dxfId="1870" priority="1870" operator="greaterThan">
      <formula>0</formula>
    </cfRule>
  </conditionalFormatting>
  <conditionalFormatting sqref="Q124 Q127 Q130">
    <cfRule type="cellIs" dxfId="1869" priority="1875" operator="lessThan">
      <formula>0</formula>
    </cfRule>
  </conditionalFormatting>
  <conditionalFormatting sqref="Q5:Q14">
    <cfRule type="cellIs" dxfId="1868" priority="1869" operator="lessThan">
      <formula>0</formula>
    </cfRule>
  </conditionalFormatting>
  <conditionalFormatting sqref="R5:R14">
    <cfRule type="cellIs" dxfId="1867" priority="1867" operator="lessThan">
      <formula>0.8</formula>
    </cfRule>
    <cfRule type="cellIs" dxfId="1866" priority="1868" operator="greaterThan">
      <formula>1</formula>
    </cfRule>
  </conditionalFormatting>
  <conditionalFormatting sqref="R5:R14">
    <cfRule type="cellIs" dxfId="1865" priority="1865" operator="greaterThan">
      <formula>1</formula>
    </cfRule>
    <cfRule type="cellIs" dxfId="1864" priority="1866" operator="lessThan">
      <formula>0.8</formula>
    </cfRule>
  </conditionalFormatting>
  <conditionalFormatting sqref="P5:P14">
    <cfRule type="cellIs" dxfId="1863" priority="1864" operator="greaterThan">
      <formula>0</formula>
    </cfRule>
  </conditionalFormatting>
  <conditionalFormatting sqref="Q83">
    <cfRule type="cellIs" dxfId="1862" priority="1863" operator="lessThan">
      <formula>0</formula>
    </cfRule>
  </conditionalFormatting>
  <conditionalFormatting sqref="R83">
    <cfRule type="cellIs" dxfId="1861" priority="1861" operator="lessThan">
      <formula>0.8</formula>
    </cfRule>
    <cfRule type="cellIs" dxfId="1860" priority="1862" operator="greaterThan">
      <formula>1</formula>
    </cfRule>
  </conditionalFormatting>
  <conditionalFormatting sqref="R83">
    <cfRule type="cellIs" dxfId="1859" priority="1859" operator="greaterThan">
      <formula>1</formula>
    </cfRule>
    <cfRule type="cellIs" dxfId="1858" priority="1860" operator="lessThan">
      <formula>0.8</formula>
    </cfRule>
  </conditionalFormatting>
  <conditionalFormatting sqref="P83">
    <cfRule type="cellIs" dxfId="1857" priority="1858" operator="greaterThan">
      <formula>0</formula>
    </cfRule>
  </conditionalFormatting>
  <conditionalFormatting sqref="Q83">
    <cfRule type="cellIs" dxfId="1856" priority="1857" operator="lessThan">
      <formula>0</formula>
    </cfRule>
  </conditionalFormatting>
  <conditionalFormatting sqref="R83">
    <cfRule type="cellIs" dxfId="1855" priority="1855" operator="lessThan">
      <formula>0.8</formula>
    </cfRule>
    <cfRule type="cellIs" dxfId="1854" priority="1856" operator="greaterThan">
      <formula>1</formula>
    </cfRule>
  </conditionalFormatting>
  <conditionalFormatting sqref="R83">
    <cfRule type="cellIs" dxfId="1853" priority="1853" operator="greaterThan">
      <formula>1</formula>
    </cfRule>
    <cfRule type="cellIs" dxfId="1852" priority="1854" operator="lessThan">
      <formula>0.8</formula>
    </cfRule>
  </conditionalFormatting>
  <conditionalFormatting sqref="P83">
    <cfRule type="cellIs" dxfId="1851" priority="1852" operator="greaterThan">
      <formula>0</formula>
    </cfRule>
  </conditionalFormatting>
  <conditionalFormatting sqref="Q83">
    <cfRule type="cellIs" dxfId="1850" priority="1851" operator="lessThan">
      <formula>0</formula>
    </cfRule>
  </conditionalFormatting>
  <conditionalFormatting sqref="R83">
    <cfRule type="cellIs" dxfId="1849" priority="1849" operator="lessThan">
      <formula>0.8</formula>
    </cfRule>
    <cfRule type="cellIs" dxfId="1848" priority="1850" operator="greaterThan">
      <formula>1</formula>
    </cfRule>
  </conditionalFormatting>
  <conditionalFormatting sqref="R83">
    <cfRule type="cellIs" dxfId="1847" priority="1847" operator="greaterThan">
      <formula>1</formula>
    </cfRule>
    <cfRule type="cellIs" dxfId="1846" priority="1848" operator="lessThan">
      <formula>0.8</formula>
    </cfRule>
  </conditionalFormatting>
  <conditionalFormatting sqref="P83">
    <cfRule type="cellIs" dxfId="1845" priority="1846" operator="greaterThan">
      <formula>0</formula>
    </cfRule>
  </conditionalFormatting>
  <conditionalFormatting sqref="Q83">
    <cfRule type="cellIs" dxfId="1844" priority="1845" operator="lessThan">
      <formula>0</formula>
    </cfRule>
  </conditionalFormatting>
  <conditionalFormatting sqref="R83">
    <cfRule type="cellIs" dxfId="1843" priority="1843" operator="lessThan">
      <formula>0.8</formula>
    </cfRule>
    <cfRule type="cellIs" dxfId="1842" priority="1844" operator="greaterThan">
      <formula>1</formula>
    </cfRule>
  </conditionalFormatting>
  <conditionalFormatting sqref="R83">
    <cfRule type="cellIs" dxfId="1841" priority="1841" operator="greaterThan">
      <formula>1</formula>
    </cfRule>
    <cfRule type="cellIs" dxfId="1840" priority="1842" operator="lessThan">
      <formula>0.8</formula>
    </cfRule>
  </conditionalFormatting>
  <conditionalFormatting sqref="P83">
    <cfRule type="cellIs" dxfId="1839" priority="1840" operator="greaterThan">
      <formula>0</formula>
    </cfRule>
  </conditionalFormatting>
  <conditionalFormatting sqref="P83">
    <cfRule type="cellIs" dxfId="1838" priority="1834" operator="greaterThan">
      <formula>0</formula>
    </cfRule>
  </conditionalFormatting>
  <conditionalFormatting sqref="Q83">
    <cfRule type="cellIs" dxfId="1837" priority="1839" operator="lessThan">
      <formula>0</formula>
    </cfRule>
  </conditionalFormatting>
  <conditionalFormatting sqref="R83">
    <cfRule type="cellIs" dxfId="1836" priority="1837" operator="lessThan">
      <formula>0.8</formula>
    </cfRule>
    <cfRule type="cellIs" dxfId="1835" priority="1838" operator="greaterThan">
      <formula>1</formula>
    </cfRule>
  </conditionalFormatting>
  <conditionalFormatting sqref="R83">
    <cfRule type="cellIs" dxfId="1834" priority="1835" operator="greaterThan">
      <formula>1</formula>
    </cfRule>
    <cfRule type="cellIs" dxfId="1833" priority="1836" operator="lessThan">
      <formula>0.8</formula>
    </cfRule>
  </conditionalFormatting>
  <conditionalFormatting sqref="P83">
    <cfRule type="cellIs" dxfId="1832" priority="1828" operator="greaterThan">
      <formula>0</formula>
    </cfRule>
  </conditionalFormatting>
  <conditionalFormatting sqref="Q83">
    <cfRule type="cellIs" dxfId="1831" priority="1833" operator="lessThan">
      <formula>0</formula>
    </cfRule>
  </conditionalFormatting>
  <conditionalFormatting sqref="R83">
    <cfRule type="cellIs" dxfId="1830" priority="1831" operator="lessThan">
      <formula>0.8</formula>
    </cfRule>
    <cfRule type="cellIs" dxfId="1829" priority="1832" operator="greaterThan">
      <formula>1</formula>
    </cfRule>
  </conditionalFormatting>
  <conditionalFormatting sqref="R83">
    <cfRule type="cellIs" dxfId="1828" priority="1829" operator="greaterThan">
      <formula>1</formula>
    </cfRule>
    <cfRule type="cellIs" dxfId="1827" priority="1830" operator="lessThan">
      <formula>0.8</formula>
    </cfRule>
  </conditionalFormatting>
  <conditionalFormatting sqref="R83">
    <cfRule type="cellIs" dxfId="1826" priority="1825" operator="lessThan">
      <formula>0.8</formula>
    </cfRule>
    <cfRule type="cellIs" dxfId="1825" priority="1826" operator="greaterThan">
      <formula>1</formula>
    </cfRule>
  </conditionalFormatting>
  <conditionalFormatting sqref="R83">
    <cfRule type="cellIs" dxfId="1824" priority="1823" operator="greaterThan">
      <formula>1</formula>
    </cfRule>
    <cfRule type="cellIs" dxfId="1823" priority="1824" operator="lessThan">
      <formula>0.8</formula>
    </cfRule>
  </conditionalFormatting>
  <conditionalFormatting sqref="P83">
    <cfRule type="cellIs" dxfId="1822" priority="1822" operator="greaterThan">
      <formula>0</formula>
    </cfRule>
  </conditionalFormatting>
  <conditionalFormatting sqref="Q83">
    <cfRule type="cellIs" dxfId="1821" priority="1827" operator="lessThan">
      <formula>0</formula>
    </cfRule>
  </conditionalFormatting>
  <conditionalFormatting sqref="Q83">
    <cfRule type="cellIs" dxfId="1820" priority="1821" operator="lessThan">
      <formula>0</formula>
    </cfRule>
  </conditionalFormatting>
  <conditionalFormatting sqref="R83">
    <cfRule type="cellIs" dxfId="1819" priority="1819" operator="lessThan">
      <formula>0.8</formula>
    </cfRule>
    <cfRule type="cellIs" dxfId="1818" priority="1820" operator="greaterThan">
      <formula>1</formula>
    </cfRule>
  </conditionalFormatting>
  <conditionalFormatting sqref="R83">
    <cfRule type="cellIs" dxfId="1817" priority="1817" operator="greaterThan">
      <formula>1</formula>
    </cfRule>
    <cfRule type="cellIs" dxfId="1816" priority="1818" operator="lessThan">
      <formula>0.8</formula>
    </cfRule>
  </conditionalFormatting>
  <conditionalFormatting sqref="P83">
    <cfRule type="cellIs" dxfId="1815" priority="1816" operator="greaterThan">
      <formula>0</formula>
    </cfRule>
  </conditionalFormatting>
  <conditionalFormatting sqref="P83">
    <cfRule type="cellIs" dxfId="1814" priority="1810" operator="greaterThan">
      <formula>0</formula>
    </cfRule>
  </conditionalFormatting>
  <conditionalFormatting sqref="Q83">
    <cfRule type="cellIs" dxfId="1813" priority="1815" operator="lessThan">
      <formula>0</formula>
    </cfRule>
  </conditionalFormatting>
  <conditionalFormatting sqref="R83">
    <cfRule type="cellIs" dxfId="1812" priority="1813" operator="lessThan">
      <formula>0.8</formula>
    </cfRule>
    <cfRule type="cellIs" dxfId="1811" priority="1814" operator="greaterThan">
      <formula>1</formula>
    </cfRule>
  </conditionalFormatting>
  <conditionalFormatting sqref="R83">
    <cfRule type="cellIs" dxfId="1810" priority="1811" operator="greaterThan">
      <formula>1</formula>
    </cfRule>
    <cfRule type="cellIs" dxfId="1809" priority="1812" operator="lessThan">
      <formula>0.8</formula>
    </cfRule>
  </conditionalFormatting>
  <conditionalFormatting sqref="P83">
    <cfRule type="cellIs" dxfId="1808" priority="1804" operator="greaterThan">
      <formula>0</formula>
    </cfRule>
  </conditionalFormatting>
  <conditionalFormatting sqref="Q83">
    <cfRule type="cellIs" dxfId="1807" priority="1809" operator="lessThan">
      <formula>0</formula>
    </cfRule>
  </conditionalFormatting>
  <conditionalFormatting sqref="R83">
    <cfRule type="cellIs" dxfId="1806" priority="1807" operator="lessThan">
      <formula>0.8</formula>
    </cfRule>
    <cfRule type="cellIs" dxfId="1805" priority="1808" operator="greaterThan">
      <formula>1</formula>
    </cfRule>
  </conditionalFormatting>
  <conditionalFormatting sqref="R83">
    <cfRule type="cellIs" dxfId="1804" priority="1805" operator="greaterThan">
      <formula>1</formula>
    </cfRule>
    <cfRule type="cellIs" dxfId="1803" priority="1806" operator="lessThan">
      <formula>0.8</formula>
    </cfRule>
  </conditionalFormatting>
  <conditionalFormatting sqref="R83">
    <cfRule type="cellIs" dxfId="1802" priority="1801" operator="lessThan">
      <formula>0.8</formula>
    </cfRule>
    <cfRule type="cellIs" dxfId="1801" priority="1802" operator="greaterThan">
      <formula>1</formula>
    </cfRule>
  </conditionalFormatting>
  <conditionalFormatting sqref="R83">
    <cfRule type="cellIs" dxfId="1800" priority="1799" operator="greaterThan">
      <formula>1</formula>
    </cfRule>
    <cfRule type="cellIs" dxfId="1799" priority="1800" operator="lessThan">
      <formula>0.8</formula>
    </cfRule>
  </conditionalFormatting>
  <conditionalFormatting sqref="P83">
    <cfRule type="cellIs" dxfId="1798" priority="1798" operator="greaterThan">
      <formula>0</formula>
    </cfRule>
  </conditionalFormatting>
  <conditionalFormatting sqref="Q83">
    <cfRule type="cellIs" dxfId="1797" priority="1803" operator="lessThan">
      <formula>0</formula>
    </cfRule>
  </conditionalFormatting>
  <conditionalFormatting sqref="P83">
    <cfRule type="cellIs" dxfId="1796" priority="1792" operator="greaterThan">
      <formula>0</formula>
    </cfRule>
  </conditionalFormatting>
  <conditionalFormatting sqref="Q83">
    <cfRule type="cellIs" dxfId="1795" priority="1797" operator="lessThan">
      <formula>0</formula>
    </cfRule>
  </conditionalFormatting>
  <conditionalFormatting sqref="R83">
    <cfRule type="cellIs" dxfId="1794" priority="1795" operator="lessThan">
      <formula>0.8</formula>
    </cfRule>
    <cfRule type="cellIs" dxfId="1793" priority="1796" operator="greaterThan">
      <formula>1</formula>
    </cfRule>
  </conditionalFormatting>
  <conditionalFormatting sqref="R83">
    <cfRule type="cellIs" dxfId="1792" priority="1793" operator="greaterThan">
      <formula>1</formula>
    </cfRule>
    <cfRule type="cellIs" dxfId="1791" priority="1794" operator="lessThan">
      <formula>0.8</formula>
    </cfRule>
  </conditionalFormatting>
  <conditionalFormatting sqref="R83">
    <cfRule type="cellIs" dxfId="1790" priority="1789" operator="lessThan">
      <formula>0.8</formula>
    </cfRule>
    <cfRule type="cellIs" dxfId="1789" priority="1790" operator="greaterThan">
      <formula>1</formula>
    </cfRule>
  </conditionalFormatting>
  <conditionalFormatting sqref="R83">
    <cfRule type="cellIs" dxfId="1788" priority="1787" operator="greaterThan">
      <formula>1</formula>
    </cfRule>
    <cfRule type="cellIs" dxfId="1787" priority="1788" operator="lessThan">
      <formula>0.8</formula>
    </cfRule>
  </conditionalFormatting>
  <conditionalFormatting sqref="P83">
    <cfRule type="cellIs" dxfId="1786" priority="1786" operator="greaterThan">
      <formula>0</formula>
    </cfRule>
  </conditionalFormatting>
  <conditionalFormatting sqref="Q83">
    <cfRule type="cellIs" dxfId="1785" priority="1791" operator="lessThan">
      <formula>0</formula>
    </cfRule>
  </conditionalFormatting>
  <conditionalFormatting sqref="R83">
    <cfRule type="cellIs" dxfId="1784" priority="1783" operator="lessThan">
      <formula>0.8</formula>
    </cfRule>
    <cfRule type="cellIs" dxfId="1783" priority="1784" operator="greaterThan">
      <formula>1</formula>
    </cfRule>
  </conditionalFormatting>
  <conditionalFormatting sqref="R83">
    <cfRule type="cellIs" dxfId="1782" priority="1781" operator="greaterThan">
      <formula>1</formula>
    </cfRule>
    <cfRule type="cellIs" dxfId="1781" priority="1782" operator="lessThan">
      <formula>0.8</formula>
    </cfRule>
  </conditionalFormatting>
  <conditionalFormatting sqref="P83">
    <cfRule type="cellIs" dxfId="1780" priority="1780" operator="greaterThan">
      <formula>0</formula>
    </cfRule>
  </conditionalFormatting>
  <conditionalFormatting sqref="Q83">
    <cfRule type="cellIs" dxfId="1779" priority="1785" operator="lessThan">
      <formula>0</formula>
    </cfRule>
  </conditionalFormatting>
  <conditionalFormatting sqref="Q83">
    <cfRule type="cellIs" dxfId="1778" priority="1779" operator="lessThan">
      <formula>0</formula>
    </cfRule>
  </conditionalFormatting>
  <conditionalFormatting sqref="R83">
    <cfRule type="cellIs" dxfId="1777" priority="1777" operator="lessThan">
      <formula>0.8</formula>
    </cfRule>
    <cfRule type="cellIs" dxfId="1776" priority="1778" operator="greaterThan">
      <formula>1</formula>
    </cfRule>
  </conditionalFormatting>
  <conditionalFormatting sqref="R83">
    <cfRule type="cellIs" dxfId="1775" priority="1775" operator="greaterThan">
      <formula>1</formula>
    </cfRule>
    <cfRule type="cellIs" dxfId="1774" priority="1776" operator="lessThan">
      <formula>0.8</formula>
    </cfRule>
  </conditionalFormatting>
  <conditionalFormatting sqref="P83">
    <cfRule type="cellIs" dxfId="1773" priority="1774" operator="greaterThan">
      <formula>0</formula>
    </cfRule>
  </conditionalFormatting>
  <conditionalFormatting sqref="Q83">
    <cfRule type="cellIs" dxfId="1772" priority="1768" operator="lessThan">
      <formula>0</formula>
    </cfRule>
  </conditionalFormatting>
  <conditionalFormatting sqref="R83">
    <cfRule type="cellIs" dxfId="1771" priority="1772" operator="lessThan">
      <formula>0.8</formula>
    </cfRule>
    <cfRule type="cellIs" dxfId="1770" priority="1773" operator="greaterThan">
      <formula>1</formula>
    </cfRule>
  </conditionalFormatting>
  <conditionalFormatting sqref="R83">
    <cfRule type="cellIs" dxfId="1769" priority="1770" operator="greaterThan">
      <formula>1</formula>
    </cfRule>
    <cfRule type="cellIs" dxfId="1768" priority="1771" operator="lessThan">
      <formula>0.8</formula>
    </cfRule>
  </conditionalFormatting>
  <conditionalFormatting sqref="P83">
    <cfRule type="cellIs" dxfId="1767" priority="1769" operator="greaterThan">
      <formula>0</formula>
    </cfRule>
  </conditionalFormatting>
  <conditionalFormatting sqref="Q83">
    <cfRule type="cellIs" dxfId="1766" priority="1767" operator="lessThan">
      <formula>0</formula>
    </cfRule>
  </conditionalFormatting>
  <conditionalFormatting sqref="R83">
    <cfRule type="cellIs" dxfId="1765" priority="1765" operator="lessThan">
      <formula>0.8</formula>
    </cfRule>
    <cfRule type="cellIs" dxfId="1764" priority="1766" operator="greaterThan">
      <formula>1</formula>
    </cfRule>
  </conditionalFormatting>
  <conditionalFormatting sqref="R83">
    <cfRule type="cellIs" dxfId="1763" priority="1763" operator="greaterThan">
      <formula>1</formula>
    </cfRule>
    <cfRule type="cellIs" dxfId="1762" priority="1764" operator="lessThan">
      <formula>0.8</formula>
    </cfRule>
  </conditionalFormatting>
  <conditionalFormatting sqref="P83">
    <cfRule type="cellIs" dxfId="1761" priority="1762" operator="greaterThan">
      <formula>0</formula>
    </cfRule>
  </conditionalFormatting>
  <conditionalFormatting sqref="Q83">
    <cfRule type="cellIs" dxfId="1760" priority="1761" operator="lessThan">
      <formula>0</formula>
    </cfRule>
  </conditionalFormatting>
  <conditionalFormatting sqref="R83">
    <cfRule type="cellIs" dxfId="1759" priority="1759" operator="lessThan">
      <formula>0.8</formula>
    </cfRule>
    <cfRule type="cellIs" dxfId="1758" priority="1760" operator="greaterThan">
      <formula>1</formula>
    </cfRule>
  </conditionalFormatting>
  <conditionalFormatting sqref="R83">
    <cfRule type="cellIs" dxfId="1757" priority="1757" operator="greaterThan">
      <formula>1</formula>
    </cfRule>
    <cfRule type="cellIs" dxfId="1756" priority="1758" operator="lessThan">
      <formula>0.8</formula>
    </cfRule>
  </conditionalFormatting>
  <conditionalFormatting sqref="P83">
    <cfRule type="cellIs" dxfId="1755" priority="1756" operator="greaterThan">
      <formula>0</formula>
    </cfRule>
  </conditionalFormatting>
  <conditionalFormatting sqref="Q83">
    <cfRule type="cellIs" dxfId="1754" priority="1755" operator="lessThan">
      <formula>0</formula>
    </cfRule>
  </conditionalFormatting>
  <conditionalFormatting sqref="R83">
    <cfRule type="cellIs" dxfId="1753" priority="1753" operator="lessThan">
      <formula>0.8</formula>
    </cfRule>
    <cfRule type="cellIs" dxfId="1752" priority="1754" operator="greaterThan">
      <formula>1</formula>
    </cfRule>
  </conditionalFormatting>
  <conditionalFormatting sqref="R83">
    <cfRule type="cellIs" dxfId="1751" priority="1751" operator="greaterThan">
      <formula>1</formula>
    </cfRule>
    <cfRule type="cellIs" dxfId="1750" priority="1752" operator="lessThan">
      <formula>0.8</formula>
    </cfRule>
  </conditionalFormatting>
  <conditionalFormatting sqref="P83">
    <cfRule type="cellIs" dxfId="1749" priority="1750" operator="greaterThan">
      <formula>0</formula>
    </cfRule>
  </conditionalFormatting>
  <conditionalFormatting sqref="Q83">
    <cfRule type="cellIs" dxfId="1748" priority="1749" operator="lessThan">
      <formula>0</formula>
    </cfRule>
  </conditionalFormatting>
  <conditionalFormatting sqref="R83">
    <cfRule type="cellIs" dxfId="1747" priority="1747" operator="lessThan">
      <formula>0.8</formula>
    </cfRule>
    <cfRule type="cellIs" dxfId="1746" priority="1748" operator="greaterThan">
      <formula>1</formula>
    </cfRule>
  </conditionalFormatting>
  <conditionalFormatting sqref="R83">
    <cfRule type="cellIs" dxfId="1745" priority="1745" operator="greaterThan">
      <formula>1</formula>
    </cfRule>
    <cfRule type="cellIs" dxfId="1744" priority="1746" operator="lessThan">
      <formula>0.8</formula>
    </cfRule>
  </conditionalFormatting>
  <conditionalFormatting sqref="P83">
    <cfRule type="cellIs" dxfId="1743" priority="1744" operator="greaterThan">
      <formula>0</formula>
    </cfRule>
  </conditionalFormatting>
  <conditionalFormatting sqref="Q83">
    <cfRule type="cellIs" dxfId="1742" priority="1743" operator="lessThan">
      <formula>0</formula>
    </cfRule>
  </conditionalFormatting>
  <conditionalFormatting sqref="R83">
    <cfRule type="cellIs" dxfId="1741" priority="1741" operator="lessThan">
      <formula>0.8</formula>
    </cfRule>
    <cfRule type="cellIs" dxfId="1740" priority="1742" operator="greaterThan">
      <formula>1</formula>
    </cfRule>
  </conditionalFormatting>
  <conditionalFormatting sqref="R83">
    <cfRule type="cellIs" dxfId="1739" priority="1739" operator="greaterThan">
      <formula>1</formula>
    </cfRule>
    <cfRule type="cellIs" dxfId="1738" priority="1740" operator="lessThan">
      <formula>0.8</formula>
    </cfRule>
  </conditionalFormatting>
  <conditionalFormatting sqref="P83">
    <cfRule type="cellIs" dxfId="1737" priority="1738" operator="greaterThan">
      <formula>0</formula>
    </cfRule>
  </conditionalFormatting>
  <conditionalFormatting sqref="P83">
    <cfRule type="cellIs" dxfId="1736" priority="1732" operator="greaterThan">
      <formula>0</formula>
    </cfRule>
  </conditionalFormatting>
  <conditionalFormatting sqref="Q83">
    <cfRule type="cellIs" dxfId="1735" priority="1737" operator="lessThan">
      <formula>0</formula>
    </cfRule>
  </conditionalFormatting>
  <conditionalFormatting sqref="R83">
    <cfRule type="cellIs" dxfId="1734" priority="1735" operator="lessThan">
      <formula>0.8</formula>
    </cfRule>
    <cfRule type="cellIs" dxfId="1733" priority="1736" operator="greaterThan">
      <formula>1</formula>
    </cfRule>
  </conditionalFormatting>
  <conditionalFormatting sqref="R83">
    <cfRule type="cellIs" dxfId="1732" priority="1733" operator="greaterThan">
      <formula>1</formula>
    </cfRule>
    <cfRule type="cellIs" dxfId="1731" priority="1734" operator="lessThan">
      <formula>0.8</formula>
    </cfRule>
  </conditionalFormatting>
  <conditionalFormatting sqref="P83">
    <cfRule type="cellIs" dxfId="1730" priority="1726" operator="greaterThan">
      <formula>0</formula>
    </cfRule>
  </conditionalFormatting>
  <conditionalFormatting sqref="Q83">
    <cfRule type="cellIs" dxfId="1729" priority="1731" operator="lessThan">
      <formula>0</formula>
    </cfRule>
  </conditionalFormatting>
  <conditionalFormatting sqref="R83">
    <cfRule type="cellIs" dxfId="1728" priority="1729" operator="lessThan">
      <formula>0.8</formula>
    </cfRule>
    <cfRule type="cellIs" dxfId="1727" priority="1730" operator="greaterThan">
      <formula>1</formula>
    </cfRule>
  </conditionalFormatting>
  <conditionalFormatting sqref="R83">
    <cfRule type="cellIs" dxfId="1726" priority="1727" operator="greaterThan">
      <formula>1</formula>
    </cfRule>
    <cfRule type="cellIs" dxfId="1725" priority="1728" operator="lessThan">
      <formula>0.8</formula>
    </cfRule>
  </conditionalFormatting>
  <conditionalFormatting sqref="R83">
    <cfRule type="cellIs" dxfId="1724" priority="1723" operator="lessThan">
      <formula>0.8</formula>
    </cfRule>
    <cfRule type="cellIs" dxfId="1723" priority="1724" operator="greaterThan">
      <formula>1</formula>
    </cfRule>
  </conditionalFormatting>
  <conditionalFormatting sqref="R83">
    <cfRule type="cellIs" dxfId="1722" priority="1721" operator="greaterThan">
      <formula>1</formula>
    </cfRule>
    <cfRule type="cellIs" dxfId="1721" priority="1722" operator="lessThan">
      <formula>0.8</formula>
    </cfRule>
  </conditionalFormatting>
  <conditionalFormatting sqref="P83">
    <cfRule type="cellIs" dxfId="1720" priority="1720" operator="greaterThan">
      <formula>0</formula>
    </cfRule>
  </conditionalFormatting>
  <conditionalFormatting sqref="Q83">
    <cfRule type="cellIs" dxfId="1719" priority="1725" operator="lessThan">
      <formula>0</formula>
    </cfRule>
  </conditionalFormatting>
  <conditionalFormatting sqref="Q83">
    <cfRule type="cellIs" dxfId="1718" priority="1714" operator="lessThan">
      <formula>0</formula>
    </cfRule>
  </conditionalFormatting>
  <conditionalFormatting sqref="P83">
    <cfRule type="cellIs" dxfId="1717" priority="1715" operator="greaterThan">
      <formula>0</formula>
    </cfRule>
  </conditionalFormatting>
  <conditionalFormatting sqref="R83">
    <cfRule type="cellIs" dxfId="1716" priority="1718" operator="lessThan">
      <formula>0.8</formula>
    </cfRule>
    <cfRule type="cellIs" dxfId="1715" priority="1719" operator="greaterThan">
      <formula>1</formula>
    </cfRule>
  </conditionalFormatting>
  <conditionalFormatting sqref="R83">
    <cfRule type="cellIs" dxfId="1714" priority="1716" operator="greaterThan">
      <formula>1</formula>
    </cfRule>
    <cfRule type="cellIs" dxfId="1713" priority="1717" operator="lessThan">
      <formula>0.8</formula>
    </cfRule>
  </conditionalFormatting>
  <conditionalFormatting sqref="Q83">
    <cfRule type="cellIs" dxfId="1712" priority="1708" operator="lessThan">
      <formula>0</formula>
    </cfRule>
  </conditionalFormatting>
  <conditionalFormatting sqref="R83">
    <cfRule type="cellIs" dxfId="1711" priority="1712" operator="lessThan">
      <formula>0.8</formula>
    </cfRule>
    <cfRule type="cellIs" dxfId="1710" priority="1713" operator="greaterThan">
      <formula>1</formula>
    </cfRule>
  </conditionalFormatting>
  <conditionalFormatting sqref="R83">
    <cfRule type="cellIs" dxfId="1709" priority="1710" operator="greaterThan">
      <formula>1</formula>
    </cfRule>
    <cfRule type="cellIs" dxfId="1708" priority="1711" operator="lessThan">
      <formula>0.8</formula>
    </cfRule>
  </conditionalFormatting>
  <conditionalFormatting sqref="P83">
    <cfRule type="cellIs" dxfId="1707" priority="1709" operator="greaterThan">
      <formula>0</formula>
    </cfRule>
  </conditionalFormatting>
  <conditionalFormatting sqref="Q83">
    <cfRule type="cellIs" dxfId="1706" priority="1707" operator="lessThan">
      <formula>0</formula>
    </cfRule>
  </conditionalFormatting>
  <conditionalFormatting sqref="R83">
    <cfRule type="cellIs" dxfId="1705" priority="1705" operator="lessThan">
      <formula>0.8</formula>
    </cfRule>
    <cfRule type="cellIs" dxfId="1704" priority="1706" operator="greaterThan">
      <formula>1</formula>
    </cfRule>
  </conditionalFormatting>
  <conditionalFormatting sqref="R83">
    <cfRule type="cellIs" dxfId="1703" priority="1703" operator="greaterThan">
      <formula>1</formula>
    </cfRule>
    <cfRule type="cellIs" dxfId="1702" priority="1704" operator="lessThan">
      <formula>0.8</formula>
    </cfRule>
  </conditionalFormatting>
  <conditionalFormatting sqref="P83">
    <cfRule type="cellIs" dxfId="1701" priority="1702" operator="greaterThan">
      <formula>0</formula>
    </cfRule>
  </conditionalFormatting>
  <conditionalFormatting sqref="Q83">
    <cfRule type="cellIs" dxfId="1700" priority="1701" operator="lessThan">
      <formula>0</formula>
    </cfRule>
  </conditionalFormatting>
  <conditionalFormatting sqref="R83">
    <cfRule type="cellIs" dxfId="1699" priority="1699" operator="lessThan">
      <formula>0.8</formula>
    </cfRule>
    <cfRule type="cellIs" dxfId="1698" priority="1700" operator="greaterThan">
      <formula>1</formula>
    </cfRule>
  </conditionalFormatting>
  <conditionalFormatting sqref="R83">
    <cfRule type="cellIs" dxfId="1697" priority="1697" operator="greaterThan">
      <formula>1</formula>
    </cfRule>
    <cfRule type="cellIs" dxfId="1696" priority="1698" operator="lessThan">
      <formula>0.8</formula>
    </cfRule>
  </conditionalFormatting>
  <conditionalFormatting sqref="P83">
    <cfRule type="cellIs" dxfId="1695" priority="1696" operator="greaterThan">
      <formula>0</formula>
    </cfRule>
  </conditionalFormatting>
  <conditionalFormatting sqref="Q83">
    <cfRule type="cellIs" dxfId="1694" priority="1695" operator="lessThan">
      <formula>0</formula>
    </cfRule>
  </conditionalFormatting>
  <conditionalFormatting sqref="R83">
    <cfRule type="cellIs" dxfId="1693" priority="1693" operator="lessThan">
      <formula>0.8</formula>
    </cfRule>
    <cfRule type="cellIs" dxfId="1692" priority="1694" operator="greaterThan">
      <formula>1</formula>
    </cfRule>
  </conditionalFormatting>
  <conditionalFormatting sqref="R83">
    <cfRule type="cellIs" dxfId="1691" priority="1691" operator="greaterThan">
      <formula>1</formula>
    </cfRule>
    <cfRule type="cellIs" dxfId="1690" priority="1692" operator="lessThan">
      <formula>0.8</formula>
    </cfRule>
  </conditionalFormatting>
  <conditionalFormatting sqref="P83">
    <cfRule type="cellIs" dxfId="1689" priority="1690" operator="greaterThan">
      <formula>0</formula>
    </cfRule>
  </conditionalFormatting>
  <conditionalFormatting sqref="Q32:Q39">
    <cfRule type="cellIs" dxfId="1688" priority="1684" operator="lessThan">
      <formula>0</formula>
    </cfRule>
  </conditionalFormatting>
  <conditionalFormatting sqref="P32:P39">
    <cfRule type="cellIs" dxfId="1687" priority="1685" operator="greaterThan">
      <formula>0</formula>
    </cfRule>
  </conditionalFormatting>
  <conditionalFormatting sqref="R32:R39">
    <cfRule type="cellIs" dxfId="1686" priority="1688" operator="lessThan">
      <formula>0.8</formula>
    </cfRule>
    <cfRule type="cellIs" dxfId="1685" priority="1689" operator="greaterThan">
      <formula>1</formula>
    </cfRule>
  </conditionalFormatting>
  <conditionalFormatting sqref="R32:R39">
    <cfRule type="cellIs" dxfId="1684" priority="1686" operator="greaterThan">
      <formula>1</formula>
    </cfRule>
    <cfRule type="cellIs" dxfId="1683" priority="1687" operator="lessThan">
      <formula>0.8</formula>
    </cfRule>
  </conditionalFormatting>
  <conditionalFormatting sqref="Q32:Q39">
    <cfRule type="cellIs" dxfId="1682" priority="1678" operator="lessThan">
      <formula>0</formula>
    </cfRule>
  </conditionalFormatting>
  <conditionalFormatting sqref="R32:R39">
    <cfRule type="cellIs" dxfId="1681" priority="1682" operator="lessThan">
      <formula>0.8</formula>
    </cfRule>
    <cfRule type="cellIs" dxfId="1680" priority="1683" operator="greaterThan">
      <formula>1</formula>
    </cfRule>
  </conditionalFormatting>
  <conditionalFormatting sqref="R32:R39">
    <cfRule type="cellIs" dxfId="1679" priority="1680" operator="greaterThan">
      <formula>1</formula>
    </cfRule>
    <cfRule type="cellIs" dxfId="1678" priority="1681" operator="lessThan">
      <formula>0.8</formula>
    </cfRule>
  </conditionalFormatting>
  <conditionalFormatting sqref="P32:P39">
    <cfRule type="cellIs" dxfId="1677" priority="1679" operator="greaterThan">
      <formula>0</formula>
    </cfRule>
  </conditionalFormatting>
  <conditionalFormatting sqref="Q32:Q39">
    <cfRule type="cellIs" dxfId="1676" priority="1677" operator="lessThan">
      <formula>0</formula>
    </cfRule>
  </conditionalFormatting>
  <conditionalFormatting sqref="R32:R39">
    <cfRule type="cellIs" dxfId="1675" priority="1675" operator="lessThan">
      <formula>0.8</formula>
    </cfRule>
    <cfRule type="cellIs" dxfId="1674" priority="1676" operator="greaterThan">
      <formula>1</formula>
    </cfRule>
  </conditionalFormatting>
  <conditionalFormatting sqref="R32:R39">
    <cfRule type="cellIs" dxfId="1673" priority="1673" operator="greaterThan">
      <formula>1</formula>
    </cfRule>
    <cfRule type="cellIs" dxfId="1672" priority="1674" operator="lessThan">
      <formula>0.8</formula>
    </cfRule>
  </conditionalFormatting>
  <conditionalFormatting sqref="P32:P39">
    <cfRule type="cellIs" dxfId="1671" priority="1672" operator="greaterThan">
      <formula>0</formula>
    </cfRule>
  </conditionalFormatting>
  <conditionalFormatting sqref="Q32:Q39">
    <cfRule type="cellIs" dxfId="1670" priority="1671" operator="lessThan">
      <formula>0</formula>
    </cfRule>
  </conditionalFormatting>
  <conditionalFormatting sqref="R32:R39">
    <cfRule type="cellIs" dxfId="1669" priority="1669" operator="lessThan">
      <formula>0.8</formula>
    </cfRule>
    <cfRule type="cellIs" dxfId="1668" priority="1670" operator="greaterThan">
      <formula>1</formula>
    </cfRule>
  </conditionalFormatting>
  <conditionalFormatting sqref="R32:R39">
    <cfRule type="cellIs" dxfId="1667" priority="1667" operator="greaterThan">
      <formula>1</formula>
    </cfRule>
    <cfRule type="cellIs" dxfId="1666" priority="1668" operator="lessThan">
      <formula>0.8</formula>
    </cfRule>
  </conditionalFormatting>
  <conditionalFormatting sqref="P32:P39">
    <cfRule type="cellIs" dxfId="1665" priority="1666" operator="greaterThan">
      <formula>0</formula>
    </cfRule>
  </conditionalFormatting>
  <conditionalFormatting sqref="Q32:Q39">
    <cfRule type="cellIs" dxfId="1664" priority="1660" operator="lessThan">
      <formula>0</formula>
    </cfRule>
  </conditionalFormatting>
  <conditionalFormatting sqref="R32:R39">
    <cfRule type="cellIs" dxfId="1663" priority="1664" operator="lessThan">
      <formula>0.8</formula>
    </cfRule>
    <cfRule type="cellIs" dxfId="1662" priority="1665" operator="greaterThan">
      <formula>1</formula>
    </cfRule>
  </conditionalFormatting>
  <conditionalFormatting sqref="R32:R39">
    <cfRule type="cellIs" dxfId="1661" priority="1662" operator="greaterThan">
      <formula>1</formula>
    </cfRule>
    <cfRule type="cellIs" dxfId="1660" priority="1663" operator="lessThan">
      <formula>0.8</formula>
    </cfRule>
  </conditionalFormatting>
  <conditionalFormatting sqref="P32:P39">
    <cfRule type="cellIs" dxfId="1659" priority="1661" operator="greaterThan">
      <formula>0</formula>
    </cfRule>
  </conditionalFormatting>
  <conditionalFormatting sqref="Q32:Q39">
    <cfRule type="cellIs" dxfId="1658" priority="1659" operator="lessThan">
      <formula>0</formula>
    </cfRule>
  </conditionalFormatting>
  <conditionalFormatting sqref="R32:R39">
    <cfRule type="cellIs" dxfId="1657" priority="1657" operator="lessThan">
      <formula>0.8</formula>
    </cfRule>
    <cfRule type="cellIs" dxfId="1656" priority="1658" operator="greaterThan">
      <formula>1</formula>
    </cfRule>
  </conditionalFormatting>
  <conditionalFormatting sqref="R32:R39">
    <cfRule type="cellIs" dxfId="1655" priority="1655" operator="greaterThan">
      <formula>1</formula>
    </cfRule>
    <cfRule type="cellIs" dxfId="1654" priority="1656" operator="lessThan">
      <formula>0.8</formula>
    </cfRule>
  </conditionalFormatting>
  <conditionalFormatting sqref="P32:P39">
    <cfRule type="cellIs" dxfId="1653" priority="1654" operator="greaterThan">
      <formula>0</formula>
    </cfRule>
  </conditionalFormatting>
  <conditionalFormatting sqref="Q32:Q39">
    <cfRule type="cellIs" dxfId="1652" priority="1653" operator="lessThan">
      <formula>0</formula>
    </cfRule>
  </conditionalFormatting>
  <conditionalFormatting sqref="R32:R39">
    <cfRule type="cellIs" dxfId="1651" priority="1651" operator="lessThan">
      <formula>0.8</formula>
    </cfRule>
    <cfRule type="cellIs" dxfId="1650" priority="1652" operator="greaterThan">
      <formula>1</formula>
    </cfRule>
  </conditionalFormatting>
  <conditionalFormatting sqref="R32:R39">
    <cfRule type="cellIs" dxfId="1649" priority="1649" operator="greaterThan">
      <formula>1</formula>
    </cfRule>
    <cfRule type="cellIs" dxfId="1648" priority="1650" operator="lessThan">
      <formula>0.8</formula>
    </cfRule>
  </conditionalFormatting>
  <conditionalFormatting sqref="P32:P39">
    <cfRule type="cellIs" dxfId="1647" priority="1648" operator="greaterThan">
      <formula>0</formula>
    </cfRule>
  </conditionalFormatting>
  <conditionalFormatting sqref="Q32:Q39">
    <cfRule type="cellIs" dxfId="1646" priority="1647" operator="lessThan">
      <formula>0</formula>
    </cfRule>
  </conditionalFormatting>
  <conditionalFormatting sqref="R32:R39">
    <cfRule type="cellIs" dxfId="1645" priority="1645" operator="lessThan">
      <formula>0.8</formula>
    </cfRule>
    <cfRule type="cellIs" dxfId="1644" priority="1646" operator="greaterThan">
      <formula>1</formula>
    </cfRule>
  </conditionalFormatting>
  <conditionalFormatting sqref="R32:R39">
    <cfRule type="cellIs" dxfId="1643" priority="1643" operator="greaterThan">
      <formula>1</formula>
    </cfRule>
    <cfRule type="cellIs" dxfId="1642" priority="1644" operator="lessThan">
      <formula>0.8</formula>
    </cfRule>
  </conditionalFormatting>
  <conditionalFormatting sqref="P32:P39">
    <cfRule type="cellIs" dxfId="1641" priority="1642" operator="greaterThan">
      <formula>0</formula>
    </cfRule>
  </conditionalFormatting>
  <conditionalFormatting sqref="Q32:Q39">
    <cfRule type="cellIs" dxfId="1640" priority="1641" operator="lessThan">
      <formula>0</formula>
    </cfRule>
  </conditionalFormatting>
  <conditionalFormatting sqref="R32:R39">
    <cfRule type="cellIs" dxfId="1639" priority="1639" operator="lessThan">
      <formula>0.8</formula>
    </cfRule>
    <cfRule type="cellIs" dxfId="1638" priority="1640" operator="greaterThan">
      <formula>1</formula>
    </cfRule>
  </conditionalFormatting>
  <conditionalFormatting sqref="R32:R39">
    <cfRule type="cellIs" dxfId="1637" priority="1637" operator="greaterThan">
      <formula>1</formula>
    </cfRule>
    <cfRule type="cellIs" dxfId="1636" priority="1638" operator="lessThan">
      <formula>0.8</formula>
    </cfRule>
  </conditionalFormatting>
  <conditionalFormatting sqref="P32:P39">
    <cfRule type="cellIs" dxfId="1635" priority="1636" operator="greaterThan">
      <formula>0</formula>
    </cfRule>
  </conditionalFormatting>
  <conditionalFormatting sqref="Q32:Q39">
    <cfRule type="cellIs" dxfId="1634" priority="1635" operator="lessThan">
      <formula>0</formula>
    </cfRule>
  </conditionalFormatting>
  <conditionalFormatting sqref="R32:R39">
    <cfRule type="cellIs" dxfId="1633" priority="1633" operator="lessThan">
      <formula>0.8</formula>
    </cfRule>
    <cfRule type="cellIs" dxfId="1632" priority="1634" operator="greaterThan">
      <formula>1</formula>
    </cfRule>
  </conditionalFormatting>
  <conditionalFormatting sqref="R32:R39">
    <cfRule type="cellIs" dxfId="1631" priority="1631" operator="greaterThan">
      <formula>1</formula>
    </cfRule>
    <cfRule type="cellIs" dxfId="1630" priority="1632" operator="lessThan">
      <formula>0.8</formula>
    </cfRule>
  </conditionalFormatting>
  <conditionalFormatting sqref="P32:P39">
    <cfRule type="cellIs" dxfId="1629" priority="1630" operator="greaterThan">
      <formula>0</formula>
    </cfRule>
  </conditionalFormatting>
  <conditionalFormatting sqref="P32:P39">
    <cfRule type="cellIs" dxfId="1628" priority="1624" operator="greaterThan">
      <formula>0</formula>
    </cfRule>
  </conditionalFormatting>
  <conditionalFormatting sqref="Q32:Q39">
    <cfRule type="cellIs" dxfId="1627" priority="1629" operator="lessThan">
      <formula>0</formula>
    </cfRule>
  </conditionalFormatting>
  <conditionalFormatting sqref="R32:R39">
    <cfRule type="cellIs" dxfId="1626" priority="1627" operator="lessThan">
      <formula>0.8</formula>
    </cfRule>
    <cfRule type="cellIs" dxfId="1625" priority="1628" operator="greaterThan">
      <formula>1</formula>
    </cfRule>
  </conditionalFormatting>
  <conditionalFormatting sqref="R32:R39">
    <cfRule type="cellIs" dxfId="1624" priority="1625" operator="greaterThan">
      <formula>1</formula>
    </cfRule>
    <cfRule type="cellIs" dxfId="1623" priority="1626" operator="lessThan">
      <formula>0.8</formula>
    </cfRule>
  </conditionalFormatting>
  <conditionalFormatting sqref="P32:P39">
    <cfRule type="cellIs" dxfId="1622" priority="1618" operator="greaterThan">
      <formula>0</formula>
    </cfRule>
  </conditionalFormatting>
  <conditionalFormatting sqref="Q32:Q39">
    <cfRule type="cellIs" dxfId="1621" priority="1623" operator="lessThan">
      <formula>0</formula>
    </cfRule>
  </conditionalFormatting>
  <conditionalFormatting sqref="R32:R39">
    <cfRule type="cellIs" dxfId="1620" priority="1621" operator="lessThan">
      <formula>0.8</formula>
    </cfRule>
    <cfRule type="cellIs" dxfId="1619" priority="1622" operator="greaterThan">
      <formula>1</formula>
    </cfRule>
  </conditionalFormatting>
  <conditionalFormatting sqref="R32:R39">
    <cfRule type="cellIs" dxfId="1618" priority="1619" operator="greaterThan">
      <formula>1</formula>
    </cfRule>
    <cfRule type="cellIs" dxfId="1617" priority="1620" operator="lessThan">
      <formula>0.8</formula>
    </cfRule>
  </conditionalFormatting>
  <conditionalFormatting sqref="R32:R39">
    <cfRule type="cellIs" dxfId="1616" priority="1615" operator="lessThan">
      <formula>0.8</formula>
    </cfRule>
    <cfRule type="cellIs" dxfId="1615" priority="1616" operator="greaterThan">
      <formula>1</formula>
    </cfRule>
  </conditionalFormatting>
  <conditionalFormatting sqref="R32:R39">
    <cfRule type="cellIs" dxfId="1614" priority="1613" operator="greaterThan">
      <formula>1</formula>
    </cfRule>
    <cfRule type="cellIs" dxfId="1613" priority="1614" operator="lessThan">
      <formula>0.8</formula>
    </cfRule>
  </conditionalFormatting>
  <conditionalFormatting sqref="P32:P39">
    <cfRule type="cellIs" dxfId="1612" priority="1612" operator="greaterThan">
      <formula>0</formula>
    </cfRule>
  </conditionalFormatting>
  <conditionalFormatting sqref="Q32:Q39">
    <cfRule type="cellIs" dxfId="1611" priority="1617" operator="lessThan">
      <formula>0</formula>
    </cfRule>
  </conditionalFormatting>
  <conditionalFormatting sqref="Q32:Q39">
    <cfRule type="cellIs" dxfId="1610" priority="1606" operator="lessThan">
      <formula>0</formula>
    </cfRule>
  </conditionalFormatting>
  <conditionalFormatting sqref="P32:P39">
    <cfRule type="cellIs" dxfId="1609" priority="1607" operator="greaterThan">
      <formula>0</formula>
    </cfRule>
  </conditionalFormatting>
  <conditionalFormatting sqref="R32:R39">
    <cfRule type="cellIs" dxfId="1608" priority="1610" operator="lessThan">
      <formula>0.8</formula>
    </cfRule>
    <cfRule type="cellIs" dxfId="1607" priority="1611" operator="greaterThan">
      <formula>1</formula>
    </cfRule>
  </conditionalFormatting>
  <conditionalFormatting sqref="R32:R39">
    <cfRule type="cellIs" dxfId="1606" priority="1608" operator="greaterThan">
      <formula>1</formula>
    </cfRule>
    <cfRule type="cellIs" dxfId="1605" priority="1609" operator="lessThan">
      <formula>0.8</formula>
    </cfRule>
  </conditionalFormatting>
  <conditionalFormatting sqref="Q32:Q39">
    <cfRule type="cellIs" dxfId="1604" priority="1600" operator="lessThan">
      <formula>0</formula>
    </cfRule>
  </conditionalFormatting>
  <conditionalFormatting sqref="R32:R39">
    <cfRule type="cellIs" dxfId="1603" priority="1604" operator="lessThan">
      <formula>0.8</formula>
    </cfRule>
    <cfRule type="cellIs" dxfId="1602" priority="1605" operator="greaterThan">
      <formula>1</formula>
    </cfRule>
  </conditionalFormatting>
  <conditionalFormatting sqref="R32:R39">
    <cfRule type="cellIs" dxfId="1601" priority="1602" operator="greaterThan">
      <formula>1</formula>
    </cfRule>
    <cfRule type="cellIs" dxfId="1600" priority="1603" operator="lessThan">
      <formula>0.8</formula>
    </cfRule>
  </conditionalFormatting>
  <conditionalFormatting sqref="P32:P39">
    <cfRule type="cellIs" dxfId="1599" priority="1601" operator="greaterThan">
      <formula>0</formula>
    </cfRule>
  </conditionalFormatting>
  <conditionalFormatting sqref="Q32:Q39">
    <cfRule type="cellIs" dxfId="1598" priority="1599" operator="lessThan">
      <formula>0</formula>
    </cfRule>
  </conditionalFormatting>
  <conditionalFormatting sqref="R32:R39">
    <cfRule type="cellIs" dxfId="1597" priority="1597" operator="lessThan">
      <formula>0.8</formula>
    </cfRule>
    <cfRule type="cellIs" dxfId="1596" priority="1598" operator="greaterThan">
      <formula>1</formula>
    </cfRule>
  </conditionalFormatting>
  <conditionalFormatting sqref="R32:R39">
    <cfRule type="cellIs" dxfId="1595" priority="1595" operator="greaterThan">
      <formula>1</formula>
    </cfRule>
    <cfRule type="cellIs" dxfId="1594" priority="1596" operator="lessThan">
      <formula>0.8</formula>
    </cfRule>
  </conditionalFormatting>
  <conditionalFormatting sqref="P32:P39">
    <cfRule type="cellIs" dxfId="1593" priority="1594" operator="greaterThan">
      <formula>0</formula>
    </cfRule>
  </conditionalFormatting>
  <conditionalFormatting sqref="Q32:Q39">
    <cfRule type="cellIs" dxfId="1592" priority="1593" operator="lessThan">
      <formula>0</formula>
    </cfRule>
  </conditionalFormatting>
  <conditionalFormatting sqref="R32:R39">
    <cfRule type="cellIs" dxfId="1591" priority="1591" operator="lessThan">
      <formula>0.8</formula>
    </cfRule>
    <cfRule type="cellIs" dxfId="1590" priority="1592" operator="greaterThan">
      <formula>1</formula>
    </cfRule>
  </conditionalFormatting>
  <conditionalFormatting sqref="R32:R39">
    <cfRule type="cellIs" dxfId="1589" priority="1589" operator="greaterThan">
      <formula>1</formula>
    </cfRule>
    <cfRule type="cellIs" dxfId="1588" priority="1590" operator="lessThan">
      <formula>0.8</formula>
    </cfRule>
  </conditionalFormatting>
  <conditionalFormatting sqref="P32:P39">
    <cfRule type="cellIs" dxfId="1587" priority="1588" operator="greaterThan">
      <formula>0</formula>
    </cfRule>
  </conditionalFormatting>
  <conditionalFormatting sqref="Q32:Q39">
    <cfRule type="cellIs" dxfId="1586" priority="1582" operator="lessThan">
      <formula>0</formula>
    </cfRule>
  </conditionalFormatting>
  <conditionalFormatting sqref="P32:P39">
    <cfRule type="cellIs" dxfId="1585" priority="1583" operator="greaterThan">
      <formula>0</formula>
    </cfRule>
  </conditionalFormatting>
  <conditionalFormatting sqref="R32:R39">
    <cfRule type="cellIs" dxfId="1584" priority="1586" operator="lessThan">
      <formula>0.8</formula>
    </cfRule>
    <cfRule type="cellIs" dxfId="1583" priority="1587" operator="greaterThan">
      <formula>1</formula>
    </cfRule>
  </conditionalFormatting>
  <conditionalFormatting sqref="R32:R39">
    <cfRule type="cellIs" dxfId="1582" priority="1584" operator="greaterThan">
      <formula>1</formula>
    </cfRule>
    <cfRule type="cellIs" dxfId="1581" priority="1585" operator="lessThan">
      <formula>0.8</formula>
    </cfRule>
  </conditionalFormatting>
  <conditionalFormatting sqref="Q32:Q39">
    <cfRule type="cellIs" dxfId="1580" priority="1576" operator="lessThan">
      <formula>0</formula>
    </cfRule>
  </conditionalFormatting>
  <conditionalFormatting sqref="R32:R39">
    <cfRule type="cellIs" dxfId="1579" priority="1580" operator="lessThan">
      <formula>0.8</formula>
    </cfRule>
    <cfRule type="cellIs" dxfId="1578" priority="1581" operator="greaterThan">
      <formula>1</formula>
    </cfRule>
  </conditionalFormatting>
  <conditionalFormatting sqref="R32:R39">
    <cfRule type="cellIs" dxfId="1577" priority="1578" operator="greaterThan">
      <formula>1</formula>
    </cfRule>
    <cfRule type="cellIs" dxfId="1576" priority="1579" operator="lessThan">
      <formula>0.8</formula>
    </cfRule>
  </conditionalFormatting>
  <conditionalFormatting sqref="P32:P39">
    <cfRule type="cellIs" dxfId="1575" priority="1577" operator="greaterThan">
      <formula>0</formula>
    </cfRule>
  </conditionalFormatting>
  <conditionalFormatting sqref="Q32:Q39">
    <cfRule type="cellIs" dxfId="1574" priority="1575" operator="lessThan">
      <formula>0</formula>
    </cfRule>
  </conditionalFormatting>
  <conditionalFormatting sqref="R32:R39">
    <cfRule type="cellIs" dxfId="1573" priority="1573" operator="lessThan">
      <formula>0.8</formula>
    </cfRule>
    <cfRule type="cellIs" dxfId="1572" priority="1574" operator="greaterThan">
      <formula>1</formula>
    </cfRule>
  </conditionalFormatting>
  <conditionalFormatting sqref="R32:R39">
    <cfRule type="cellIs" dxfId="1571" priority="1571" operator="greaterThan">
      <formula>1</formula>
    </cfRule>
    <cfRule type="cellIs" dxfId="1570" priority="1572" operator="lessThan">
      <formula>0.8</formula>
    </cfRule>
  </conditionalFormatting>
  <conditionalFormatting sqref="P32:P39">
    <cfRule type="cellIs" dxfId="1569" priority="1570" operator="greaterThan">
      <formula>0</formula>
    </cfRule>
  </conditionalFormatting>
  <conditionalFormatting sqref="Q32:Q39">
    <cfRule type="cellIs" dxfId="1568" priority="1569" operator="lessThan">
      <formula>0</formula>
    </cfRule>
  </conditionalFormatting>
  <conditionalFormatting sqref="R32:R39">
    <cfRule type="cellIs" dxfId="1567" priority="1567" operator="lessThan">
      <formula>0.8</formula>
    </cfRule>
    <cfRule type="cellIs" dxfId="1566" priority="1568" operator="greaterThan">
      <formula>1</formula>
    </cfRule>
  </conditionalFormatting>
  <conditionalFormatting sqref="R32:R39">
    <cfRule type="cellIs" dxfId="1565" priority="1565" operator="greaterThan">
      <formula>1</formula>
    </cfRule>
    <cfRule type="cellIs" dxfId="1564" priority="1566" operator="lessThan">
      <formula>0.8</formula>
    </cfRule>
  </conditionalFormatting>
  <conditionalFormatting sqref="P32:P39">
    <cfRule type="cellIs" dxfId="1563" priority="1564" operator="greaterThan">
      <formula>0</formula>
    </cfRule>
  </conditionalFormatting>
  <conditionalFormatting sqref="Q19:Q25">
    <cfRule type="cellIs" dxfId="1562" priority="1563" operator="lessThan">
      <formula>0</formula>
    </cfRule>
  </conditionalFormatting>
  <conditionalFormatting sqref="R19:R25">
    <cfRule type="cellIs" dxfId="1561" priority="1561" operator="lessThan">
      <formula>0.8</formula>
    </cfRule>
    <cfRule type="cellIs" dxfId="1560" priority="1562" operator="greaterThan">
      <formula>1</formula>
    </cfRule>
  </conditionalFormatting>
  <conditionalFormatting sqref="R19:R25">
    <cfRule type="cellIs" dxfId="1559" priority="1559" operator="greaterThan">
      <formula>1</formula>
    </cfRule>
    <cfRule type="cellIs" dxfId="1558" priority="1560" operator="lessThan">
      <formula>0.8</formula>
    </cfRule>
  </conditionalFormatting>
  <conditionalFormatting sqref="P19:P25">
    <cfRule type="cellIs" dxfId="1557" priority="1558" operator="greaterThan">
      <formula>0</formula>
    </cfRule>
  </conditionalFormatting>
  <conditionalFormatting sqref="R19:R25">
    <cfRule type="cellIs" dxfId="1556" priority="1555" operator="lessThan">
      <formula>0.8</formula>
    </cfRule>
    <cfRule type="cellIs" dxfId="1555" priority="1556" operator="greaterThan">
      <formula>1</formula>
    </cfRule>
  </conditionalFormatting>
  <conditionalFormatting sqref="R19:R25">
    <cfRule type="cellIs" dxfId="1554" priority="1553" operator="greaterThan">
      <formula>1</formula>
    </cfRule>
    <cfRule type="cellIs" dxfId="1553" priority="1554" operator="lessThan">
      <formula>0.8</formula>
    </cfRule>
  </conditionalFormatting>
  <conditionalFormatting sqref="P19:P25">
    <cfRule type="cellIs" dxfId="1552" priority="1552" operator="greaterThan">
      <formula>0</formula>
    </cfRule>
  </conditionalFormatting>
  <conditionalFormatting sqref="Q19:Q25">
    <cfRule type="cellIs" dxfId="1551" priority="1557" operator="lessThan">
      <formula>0</formula>
    </cfRule>
  </conditionalFormatting>
  <conditionalFormatting sqref="R19:R25">
    <cfRule type="cellIs" dxfId="1550" priority="1549" operator="lessThan">
      <formula>0.8</formula>
    </cfRule>
    <cfRule type="cellIs" dxfId="1549" priority="1550" operator="greaterThan">
      <formula>1</formula>
    </cfRule>
  </conditionalFormatting>
  <conditionalFormatting sqref="R19:R25">
    <cfRule type="cellIs" dxfId="1548" priority="1547" operator="greaterThan">
      <formula>1</formula>
    </cfRule>
    <cfRule type="cellIs" dxfId="1547" priority="1548" operator="lessThan">
      <formula>0.8</formula>
    </cfRule>
  </conditionalFormatting>
  <conditionalFormatting sqref="P19:P25">
    <cfRule type="cellIs" dxfId="1546" priority="1546" operator="greaterThan">
      <formula>0</formula>
    </cfRule>
  </conditionalFormatting>
  <conditionalFormatting sqref="Q19:Q25">
    <cfRule type="cellIs" dxfId="1545" priority="1551" operator="lessThan">
      <formula>0</formula>
    </cfRule>
  </conditionalFormatting>
  <conditionalFormatting sqref="Q19:Q25">
    <cfRule type="cellIs" dxfId="1544" priority="1545" operator="lessThan">
      <formula>0</formula>
    </cfRule>
  </conditionalFormatting>
  <conditionalFormatting sqref="R19:R25">
    <cfRule type="cellIs" dxfId="1543" priority="1543" operator="lessThan">
      <formula>0.8</formula>
    </cfRule>
    <cfRule type="cellIs" dxfId="1542" priority="1544" operator="greaterThan">
      <formula>1</formula>
    </cfRule>
  </conditionalFormatting>
  <conditionalFormatting sqref="R19:R25">
    <cfRule type="cellIs" dxfId="1541" priority="1541" operator="greaterThan">
      <formula>1</formula>
    </cfRule>
    <cfRule type="cellIs" dxfId="1540" priority="1542" operator="lessThan">
      <formula>0.8</formula>
    </cfRule>
  </conditionalFormatting>
  <conditionalFormatting sqref="P19:P25">
    <cfRule type="cellIs" dxfId="1539" priority="1540" operator="greaterThan">
      <formula>0</formula>
    </cfRule>
  </conditionalFormatting>
  <conditionalFormatting sqref="Q135:Q136">
    <cfRule type="cellIs" dxfId="1538" priority="1539" operator="lessThan">
      <formula>0</formula>
    </cfRule>
  </conditionalFormatting>
  <conditionalFormatting sqref="R135:R136 R139:R142">
    <cfRule type="cellIs" dxfId="1537" priority="1537" operator="lessThan">
      <formula>0.8</formula>
    </cfRule>
    <cfRule type="cellIs" dxfId="1536" priority="1538" operator="greaterThan">
      <formula>1</formula>
    </cfRule>
  </conditionalFormatting>
  <conditionalFormatting sqref="R135:R136 R139:R142">
    <cfRule type="cellIs" dxfId="1535" priority="1535" operator="greaterThan">
      <formula>1</formula>
    </cfRule>
    <cfRule type="cellIs" dxfId="1534" priority="1536" operator="lessThan">
      <formula>0.8</formula>
    </cfRule>
  </conditionalFormatting>
  <conditionalFormatting sqref="P135:P136 P139 P142">
    <cfRule type="cellIs" dxfId="1533" priority="1534" operator="greaterThan">
      <formula>0</formula>
    </cfRule>
  </conditionalFormatting>
  <conditionalFormatting sqref="P135:P136 P139 P142">
    <cfRule type="cellIs" dxfId="1532" priority="1528" operator="greaterThan">
      <formula>0</formula>
    </cfRule>
  </conditionalFormatting>
  <conditionalFormatting sqref="Q135:Q136">
    <cfRule type="cellIs" dxfId="1531" priority="1533" operator="lessThan">
      <formula>0</formula>
    </cfRule>
  </conditionalFormatting>
  <conditionalFormatting sqref="R135:R136 R139:R142">
    <cfRule type="cellIs" dxfId="1530" priority="1531" operator="lessThan">
      <formula>0.8</formula>
    </cfRule>
    <cfRule type="cellIs" dxfId="1529" priority="1532" operator="greaterThan">
      <formula>1</formula>
    </cfRule>
  </conditionalFormatting>
  <conditionalFormatting sqref="R135:R136 R139:R142">
    <cfRule type="cellIs" dxfId="1528" priority="1529" operator="greaterThan">
      <formula>1</formula>
    </cfRule>
    <cfRule type="cellIs" dxfId="1527" priority="1530" operator="lessThan">
      <formula>0.8</formula>
    </cfRule>
  </conditionalFormatting>
  <conditionalFormatting sqref="P19:P25">
    <cfRule type="cellIs" dxfId="1526" priority="1522" operator="greaterThan">
      <formula>0</formula>
    </cfRule>
  </conditionalFormatting>
  <conditionalFormatting sqref="Q19:Q25">
    <cfRule type="cellIs" dxfId="1525" priority="1527" operator="lessThan">
      <formula>0</formula>
    </cfRule>
  </conditionalFormatting>
  <conditionalFormatting sqref="R19:R25">
    <cfRule type="cellIs" dxfId="1524" priority="1525" operator="lessThan">
      <formula>0.8</formula>
    </cfRule>
    <cfRule type="cellIs" dxfId="1523" priority="1526" operator="greaterThan">
      <formula>1</formula>
    </cfRule>
  </conditionalFormatting>
  <conditionalFormatting sqref="R19:R25">
    <cfRule type="cellIs" dxfId="1522" priority="1523" operator="greaterThan">
      <formula>1</formula>
    </cfRule>
    <cfRule type="cellIs" dxfId="1521" priority="1524" operator="lessThan">
      <formula>0.8</formula>
    </cfRule>
  </conditionalFormatting>
  <conditionalFormatting sqref="Q19:Q25">
    <cfRule type="cellIs" dxfId="1520" priority="1521" operator="lessThan">
      <formula>0</formula>
    </cfRule>
  </conditionalFormatting>
  <conditionalFormatting sqref="R19:R25">
    <cfRule type="cellIs" dxfId="1519" priority="1519" operator="lessThan">
      <formula>0.8</formula>
    </cfRule>
    <cfRule type="cellIs" dxfId="1518" priority="1520" operator="greaterThan">
      <formula>1</formula>
    </cfRule>
  </conditionalFormatting>
  <conditionalFormatting sqref="R19:R25">
    <cfRule type="cellIs" dxfId="1517" priority="1517" operator="greaterThan">
      <formula>1</formula>
    </cfRule>
    <cfRule type="cellIs" dxfId="1516" priority="1518" operator="lessThan">
      <formula>0.8</formula>
    </cfRule>
  </conditionalFormatting>
  <conditionalFormatting sqref="P19:P25">
    <cfRule type="cellIs" dxfId="1515" priority="1516" operator="greaterThan">
      <formula>0</formula>
    </cfRule>
  </conditionalFormatting>
  <conditionalFormatting sqref="Q19:Q25">
    <cfRule type="cellIs" dxfId="1514" priority="1515" operator="lessThan">
      <formula>0</formula>
    </cfRule>
  </conditionalFormatting>
  <conditionalFormatting sqref="R19:R25">
    <cfRule type="cellIs" dxfId="1513" priority="1513" operator="lessThan">
      <formula>0.8</formula>
    </cfRule>
    <cfRule type="cellIs" dxfId="1512" priority="1514" operator="greaterThan">
      <formula>1</formula>
    </cfRule>
  </conditionalFormatting>
  <conditionalFormatting sqref="R19:R25">
    <cfRule type="cellIs" dxfId="1511" priority="1511" operator="greaterThan">
      <formula>1</formula>
    </cfRule>
    <cfRule type="cellIs" dxfId="1510" priority="1512" operator="lessThan">
      <formula>0.8</formula>
    </cfRule>
  </conditionalFormatting>
  <conditionalFormatting sqref="P19:P25">
    <cfRule type="cellIs" dxfId="1509" priority="1510" operator="greaterThan">
      <formula>0</formula>
    </cfRule>
  </conditionalFormatting>
  <conditionalFormatting sqref="Q19:Q25">
    <cfRule type="cellIs" dxfId="1508" priority="1509" operator="lessThan">
      <formula>0</formula>
    </cfRule>
  </conditionalFormatting>
  <conditionalFormatting sqref="R19:R25">
    <cfRule type="cellIs" dxfId="1507" priority="1507" operator="lessThan">
      <formula>0.8</formula>
    </cfRule>
    <cfRule type="cellIs" dxfId="1506" priority="1508" operator="greaterThan">
      <formula>1</formula>
    </cfRule>
  </conditionalFormatting>
  <conditionalFormatting sqref="R19:R25">
    <cfRule type="cellIs" dxfId="1505" priority="1505" operator="greaterThan">
      <formula>1</formula>
    </cfRule>
    <cfRule type="cellIs" dxfId="1504" priority="1506" operator="lessThan">
      <formula>0.8</formula>
    </cfRule>
  </conditionalFormatting>
  <conditionalFormatting sqref="P19:P25">
    <cfRule type="cellIs" dxfId="1503" priority="1504" operator="greaterThan">
      <formula>0</formula>
    </cfRule>
  </conditionalFormatting>
  <conditionalFormatting sqref="R19:R25">
    <cfRule type="cellIs" dxfId="1502" priority="1501" operator="lessThan">
      <formula>0.8</formula>
    </cfRule>
    <cfRule type="cellIs" dxfId="1501" priority="1502" operator="greaterThan">
      <formula>1</formula>
    </cfRule>
  </conditionalFormatting>
  <conditionalFormatting sqref="R19:R25">
    <cfRule type="cellIs" dxfId="1500" priority="1499" operator="greaterThan">
      <formula>1</formula>
    </cfRule>
    <cfRule type="cellIs" dxfId="1499" priority="1500" operator="lessThan">
      <formula>0.8</formula>
    </cfRule>
  </conditionalFormatting>
  <conditionalFormatting sqref="P19:P25">
    <cfRule type="cellIs" dxfId="1498" priority="1498" operator="greaterThan">
      <formula>0</formula>
    </cfRule>
  </conditionalFormatting>
  <conditionalFormatting sqref="Q19:Q25">
    <cfRule type="cellIs" dxfId="1497" priority="1503" operator="lessThan">
      <formula>0</formula>
    </cfRule>
  </conditionalFormatting>
  <conditionalFormatting sqref="Q19:Q25">
    <cfRule type="cellIs" dxfId="1496" priority="1497" operator="lessThan">
      <formula>0</formula>
    </cfRule>
  </conditionalFormatting>
  <conditionalFormatting sqref="R19:R25">
    <cfRule type="cellIs" dxfId="1495" priority="1495" operator="lessThan">
      <formula>0.8</formula>
    </cfRule>
    <cfRule type="cellIs" dxfId="1494" priority="1496" operator="greaterThan">
      <formula>1</formula>
    </cfRule>
  </conditionalFormatting>
  <conditionalFormatting sqref="R19:R25">
    <cfRule type="cellIs" dxfId="1493" priority="1493" operator="greaterThan">
      <formula>1</formula>
    </cfRule>
    <cfRule type="cellIs" dxfId="1492" priority="1494" operator="lessThan">
      <formula>0.8</formula>
    </cfRule>
  </conditionalFormatting>
  <conditionalFormatting sqref="P19:P25">
    <cfRule type="cellIs" dxfId="1491" priority="1492" operator="greaterThan">
      <formula>0</formula>
    </cfRule>
  </conditionalFormatting>
  <conditionalFormatting sqref="P19:P25">
    <cfRule type="cellIs" dxfId="1490" priority="1486" operator="greaterThan">
      <formula>0</formula>
    </cfRule>
  </conditionalFormatting>
  <conditionalFormatting sqref="Q19:Q25">
    <cfRule type="cellIs" dxfId="1489" priority="1491" operator="lessThan">
      <formula>0</formula>
    </cfRule>
  </conditionalFormatting>
  <conditionalFormatting sqref="R19:R25">
    <cfRule type="cellIs" dxfId="1488" priority="1489" operator="lessThan">
      <formula>0.8</formula>
    </cfRule>
    <cfRule type="cellIs" dxfId="1487" priority="1490" operator="greaterThan">
      <formula>1</formula>
    </cfRule>
  </conditionalFormatting>
  <conditionalFormatting sqref="R19:R25">
    <cfRule type="cellIs" dxfId="1486" priority="1487" operator="greaterThan">
      <formula>1</formula>
    </cfRule>
    <cfRule type="cellIs" dxfId="1485" priority="1488" operator="lessThan">
      <formula>0.8</formula>
    </cfRule>
  </conditionalFormatting>
  <conditionalFormatting sqref="P19:P25">
    <cfRule type="cellIs" dxfId="1484" priority="1480" operator="greaterThan">
      <formula>0</formula>
    </cfRule>
  </conditionalFormatting>
  <conditionalFormatting sqref="Q19:Q25">
    <cfRule type="cellIs" dxfId="1483" priority="1485" operator="lessThan">
      <formula>0</formula>
    </cfRule>
  </conditionalFormatting>
  <conditionalFormatting sqref="R19:R25">
    <cfRule type="cellIs" dxfId="1482" priority="1483" operator="lessThan">
      <formula>0.8</formula>
    </cfRule>
    <cfRule type="cellIs" dxfId="1481" priority="1484" operator="greaterThan">
      <formula>1</formula>
    </cfRule>
  </conditionalFormatting>
  <conditionalFormatting sqref="R19:R25">
    <cfRule type="cellIs" dxfId="1480" priority="1481" operator="greaterThan">
      <formula>1</formula>
    </cfRule>
    <cfRule type="cellIs" dxfId="1479" priority="1482" operator="lessThan">
      <formula>0.8</formula>
    </cfRule>
  </conditionalFormatting>
  <conditionalFormatting sqref="Q19:Q25">
    <cfRule type="cellIs" dxfId="1478" priority="1479" operator="lessThan">
      <formula>0</formula>
    </cfRule>
  </conditionalFormatting>
  <conditionalFormatting sqref="R19:R25">
    <cfRule type="cellIs" dxfId="1477" priority="1477" operator="lessThan">
      <formula>0.8</formula>
    </cfRule>
    <cfRule type="cellIs" dxfId="1476" priority="1478" operator="greaterThan">
      <formula>1</formula>
    </cfRule>
  </conditionalFormatting>
  <conditionalFormatting sqref="R19:R25">
    <cfRule type="cellIs" dxfId="1475" priority="1475" operator="greaterThan">
      <formula>1</formula>
    </cfRule>
    <cfRule type="cellIs" dxfId="1474" priority="1476" operator="lessThan">
      <formula>0.8</formula>
    </cfRule>
  </conditionalFormatting>
  <conditionalFormatting sqref="P19:P25">
    <cfRule type="cellIs" dxfId="1473" priority="1474" operator="greaterThan">
      <formula>0</formula>
    </cfRule>
  </conditionalFormatting>
  <conditionalFormatting sqref="Q19:Q25">
    <cfRule type="cellIs" dxfId="1472" priority="1473" operator="lessThan">
      <formula>0</formula>
    </cfRule>
  </conditionalFormatting>
  <conditionalFormatting sqref="R19:R25">
    <cfRule type="cellIs" dxfId="1471" priority="1471" operator="lessThan">
      <formula>0.8</formula>
    </cfRule>
    <cfRule type="cellIs" dxfId="1470" priority="1472" operator="greaterThan">
      <formula>1</formula>
    </cfRule>
  </conditionalFormatting>
  <conditionalFormatting sqref="R19:R25">
    <cfRule type="cellIs" dxfId="1469" priority="1469" operator="greaterThan">
      <formula>1</formula>
    </cfRule>
    <cfRule type="cellIs" dxfId="1468" priority="1470" operator="lessThan">
      <formula>0.8</formula>
    </cfRule>
  </conditionalFormatting>
  <conditionalFormatting sqref="P19:P25">
    <cfRule type="cellIs" dxfId="1467" priority="1468" operator="greaterThan">
      <formula>0</formula>
    </cfRule>
  </conditionalFormatting>
  <conditionalFormatting sqref="P19:P25">
    <cfRule type="cellIs" dxfId="1466" priority="1462" operator="greaterThan">
      <formula>0</formula>
    </cfRule>
  </conditionalFormatting>
  <conditionalFormatting sqref="Q19:Q25">
    <cfRule type="cellIs" dxfId="1465" priority="1467" operator="lessThan">
      <formula>0</formula>
    </cfRule>
  </conditionalFormatting>
  <conditionalFormatting sqref="R19:R25">
    <cfRule type="cellIs" dxfId="1464" priority="1465" operator="lessThan">
      <formula>0.8</formula>
    </cfRule>
    <cfRule type="cellIs" dxfId="1463" priority="1466" operator="greaterThan">
      <formula>1</formula>
    </cfRule>
  </conditionalFormatting>
  <conditionalFormatting sqref="R19:R25">
    <cfRule type="cellIs" dxfId="1462" priority="1463" operator="greaterThan">
      <formula>1</formula>
    </cfRule>
    <cfRule type="cellIs" dxfId="1461" priority="1464" operator="lessThan">
      <formula>0.8</formula>
    </cfRule>
  </conditionalFormatting>
  <conditionalFormatting sqref="Q19:Q25">
    <cfRule type="cellIs" dxfId="1460" priority="1461" operator="lessThan">
      <formula>0</formula>
    </cfRule>
  </conditionalFormatting>
  <conditionalFormatting sqref="R19:R25">
    <cfRule type="cellIs" dxfId="1459" priority="1459" operator="lessThan">
      <formula>0.8</formula>
    </cfRule>
    <cfRule type="cellIs" dxfId="1458" priority="1460" operator="greaterThan">
      <formula>1</formula>
    </cfRule>
  </conditionalFormatting>
  <conditionalFormatting sqref="R19:R25">
    <cfRule type="cellIs" dxfId="1457" priority="1457" operator="greaterThan">
      <formula>1</formula>
    </cfRule>
    <cfRule type="cellIs" dxfId="1456" priority="1458" operator="lessThan">
      <formula>0.8</formula>
    </cfRule>
  </conditionalFormatting>
  <conditionalFormatting sqref="P19:P25">
    <cfRule type="cellIs" dxfId="1455" priority="1456" operator="greaterThan">
      <formula>0</formula>
    </cfRule>
  </conditionalFormatting>
  <conditionalFormatting sqref="Q19:Q25">
    <cfRule type="cellIs" dxfId="1454" priority="1455" operator="lessThan">
      <formula>0</formula>
    </cfRule>
  </conditionalFormatting>
  <conditionalFormatting sqref="R19:R25">
    <cfRule type="cellIs" dxfId="1453" priority="1453" operator="lessThan">
      <formula>0.8</formula>
    </cfRule>
    <cfRule type="cellIs" dxfId="1452" priority="1454" operator="greaterThan">
      <formula>1</formula>
    </cfRule>
  </conditionalFormatting>
  <conditionalFormatting sqref="R19:R25">
    <cfRule type="cellIs" dxfId="1451" priority="1451" operator="greaterThan">
      <formula>1</formula>
    </cfRule>
    <cfRule type="cellIs" dxfId="1450" priority="1452" operator="lessThan">
      <formula>0.8</formula>
    </cfRule>
  </conditionalFormatting>
  <conditionalFormatting sqref="P19:P25">
    <cfRule type="cellIs" dxfId="1449" priority="1450" operator="greaterThan">
      <formula>0</formula>
    </cfRule>
  </conditionalFormatting>
  <conditionalFormatting sqref="Q19:Q25">
    <cfRule type="cellIs" dxfId="1448" priority="1449" operator="lessThan">
      <formula>0</formula>
    </cfRule>
  </conditionalFormatting>
  <conditionalFormatting sqref="R19:R25">
    <cfRule type="cellIs" dxfId="1447" priority="1447" operator="lessThan">
      <formula>0.8</formula>
    </cfRule>
    <cfRule type="cellIs" dxfId="1446" priority="1448" operator="greaterThan">
      <formula>1</formula>
    </cfRule>
  </conditionalFormatting>
  <conditionalFormatting sqref="R19:R25">
    <cfRule type="cellIs" dxfId="1445" priority="1445" operator="greaterThan">
      <formula>1</formula>
    </cfRule>
    <cfRule type="cellIs" dxfId="1444" priority="1446" operator="lessThan">
      <formula>0.8</formula>
    </cfRule>
  </conditionalFormatting>
  <conditionalFormatting sqref="P19:P25">
    <cfRule type="cellIs" dxfId="1443" priority="1444" operator="greaterThan">
      <formula>0</formula>
    </cfRule>
  </conditionalFormatting>
  <conditionalFormatting sqref="R19:R25">
    <cfRule type="cellIs" dxfId="1442" priority="1441" operator="lessThan">
      <formula>0.8</formula>
    </cfRule>
    <cfRule type="cellIs" dxfId="1441" priority="1442" operator="greaterThan">
      <formula>1</formula>
    </cfRule>
  </conditionalFormatting>
  <conditionalFormatting sqref="R19:R25">
    <cfRule type="cellIs" dxfId="1440" priority="1439" operator="greaterThan">
      <formula>1</formula>
    </cfRule>
    <cfRule type="cellIs" dxfId="1439" priority="1440" operator="lessThan">
      <formula>0.8</formula>
    </cfRule>
  </conditionalFormatting>
  <conditionalFormatting sqref="P19:P25">
    <cfRule type="cellIs" dxfId="1438" priority="1438" operator="greaterThan">
      <formula>0</formula>
    </cfRule>
  </conditionalFormatting>
  <conditionalFormatting sqref="Q19:Q25">
    <cfRule type="cellIs" dxfId="1437" priority="1443" operator="lessThan">
      <formula>0</formula>
    </cfRule>
  </conditionalFormatting>
  <conditionalFormatting sqref="Q40">
    <cfRule type="cellIs" dxfId="1436" priority="1437" operator="lessThan">
      <formula>0</formula>
    </cfRule>
  </conditionalFormatting>
  <conditionalFormatting sqref="R40">
    <cfRule type="cellIs" dxfId="1435" priority="1435" operator="lessThan">
      <formula>0.8</formula>
    </cfRule>
    <cfRule type="cellIs" dxfId="1434" priority="1436" operator="greaterThan">
      <formula>1</formula>
    </cfRule>
  </conditionalFormatting>
  <conditionalFormatting sqref="R40">
    <cfRule type="cellIs" dxfId="1433" priority="1433" operator="greaterThan">
      <formula>1</formula>
    </cfRule>
    <cfRule type="cellIs" dxfId="1432" priority="1434" operator="lessThan">
      <formula>0.8</formula>
    </cfRule>
  </conditionalFormatting>
  <conditionalFormatting sqref="P40">
    <cfRule type="cellIs" dxfId="1431" priority="1432" operator="greaterThan">
      <formula>0</formula>
    </cfRule>
  </conditionalFormatting>
  <conditionalFormatting sqref="P40">
    <cfRule type="cellIs" dxfId="1430" priority="1426" operator="greaterThan">
      <formula>0</formula>
    </cfRule>
  </conditionalFormatting>
  <conditionalFormatting sqref="Q40">
    <cfRule type="cellIs" dxfId="1429" priority="1431" operator="lessThan">
      <formula>0</formula>
    </cfRule>
  </conditionalFormatting>
  <conditionalFormatting sqref="R40">
    <cfRule type="cellIs" dxfId="1428" priority="1429" operator="lessThan">
      <formula>0.8</formula>
    </cfRule>
    <cfRule type="cellIs" dxfId="1427" priority="1430" operator="greaterThan">
      <formula>1</formula>
    </cfRule>
  </conditionalFormatting>
  <conditionalFormatting sqref="R40">
    <cfRule type="cellIs" dxfId="1426" priority="1427" operator="greaterThan">
      <formula>1</formula>
    </cfRule>
    <cfRule type="cellIs" dxfId="1425" priority="1428" operator="lessThan">
      <formula>0.8</formula>
    </cfRule>
  </conditionalFormatting>
  <conditionalFormatting sqref="P40">
    <cfRule type="cellIs" dxfId="1424" priority="1420" operator="greaterThan">
      <formula>0</formula>
    </cfRule>
  </conditionalFormatting>
  <conditionalFormatting sqref="Q40">
    <cfRule type="cellIs" dxfId="1423" priority="1425" operator="lessThan">
      <formula>0</formula>
    </cfRule>
  </conditionalFormatting>
  <conditionalFormatting sqref="R40">
    <cfRule type="cellIs" dxfId="1422" priority="1423" operator="lessThan">
      <formula>0.8</formula>
    </cfRule>
    <cfRule type="cellIs" dxfId="1421" priority="1424" operator="greaterThan">
      <formula>1</formula>
    </cfRule>
  </conditionalFormatting>
  <conditionalFormatting sqref="R40">
    <cfRule type="cellIs" dxfId="1420" priority="1421" operator="greaterThan">
      <formula>1</formula>
    </cfRule>
    <cfRule type="cellIs" dxfId="1419" priority="1422" operator="lessThan">
      <formula>0.8</formula>
    </cfRule>
  </conditionalFormatting>
  <conditionalFormatting sqref="Q40">
    <cfRule type="cellIs" dxfId="1418" priority="1419" operator="lessThan">
      <formula>0</formula>
    </cfRule>
  </conditionalFormatting>
  <conditionalFormatting sqref="R40">
    <cfRule type="cellIs" dxfId="1417" priority="1417" operator="lessThan">
      <formula>0.8</formula>
    </cfRule>
    <cfRule type="cellIs" dxfId="1416" priority="1418" operator="greaterThan">
      <formula>1</formula>
    </cfRule>
  </conditionalFormatting>
  <conditionalFormatting sqref="R40">
    <cfRule type="cellIs" dxfId="1415" priority="1415" operator="greaterThan">
      <formula>1</formula>
    </cfRule>
    <cfRule type="cellIs" dxfId="1414" priority="1416" operator="lessThan">
      <formula>0.8</formula>
    </cfRule>
  </conditionalFormatting>
  <conditionalFormatting sqref="P40">
    <cfRule type="cellIs" dxfId="1413" priority="1414" operator="greaterThan">
      <formula>0</formula>
    </cfRule>
  </conditionalFormatting>
  <conditionalFormatting sqref="P40">
    <cfRule type="cellIs" dxfId="1412" priority="1408" operator="greaterThan">
      <formula>0</formula>
    </cfRule>
  </conditionalFormatting>
  <conditionalFormatting sqref="Q40">
    <cfRule type="cellIs" dxfId="1411" priority="1413" operator="lessThan">
      <formula>0</formula>
    </cfRule>
  </conditionalFormatting>
  <conditionalFormatting sqref="R40">
    <cfRule type="cellIs" dxfId="1410" priority="1411" operator="lessThan">
      <formula>0.8</formula>
    </cfRule>
    <cfRule type="cellIs" dxfId="1409" priority="1412" operator="greaterThan">
      <formula>1</formula>
    </cfRule>
  </conditionalFormatting>
  <conditionalFormatting sqref="R40">
    <cfRule type="cellIs" dxfId="1408" priority="1409" operator="greaterThan">
      <formula>1</formula>
    </cfRule>
    <cfRule type="cellIs" dxfId="1407" priority="1410" operator="lessThan">
      <formula>0.8</formula>
    </cfRule>
  </conditionalFormatting>
  <conditionalFormatting sqref="P40">
    <cfRule type="cellIs" dxfId="1406" priority="1402" operator="greaterThan">
      <formula>0</formula>
    </cfRule>
  </conditionalFormatting>
  <conditionalFormatting sqref="Q40">
    <cfRule type="cellIs" dxfId="1405" priority="1407" operator="lessThan">
      <formula>0</formula>
    </cfRule>
  </conditionalFormatting>
  <conditionalFormatting sqref="R40">
    <cfRule type="cellIs" dxfId="1404" priority="1405" operator="lessThan">
      <formula>0.8</formula>
    </cfRule>
    <cfRule type="cellIs" dxfId="1403" priority="1406" operator="greaterThan">
      <formula>1</formula>
    </cfRule>
  </conditionalFormatting>
  <conditionalFormatting sqref="R40">
    <cfRule type="cellIs" dxfId="1402" priority="1403" operator="greaterThan">
      <formula>1</formula>
    </cfRule>
    <cfRule type="cellIs" dxfId="1401" priority="1404" operator="lessThan">
      <formula>0.8</formula>
    </cfRule>
  </conditionalFormatting>
  <conditionalFormatting sqref="P40">
    <cfRule type="cellIs" dxfId="1400" priority="1396" operator="greaterThan">
      <formula>0</formula>
    </cfRule>
  </conditionalFormatting>
  <conditionalFormatting sqref="Q40">
    <cfRule type="cellIs" dxfId="1399" priority="1401" operator="lessThan">
      <formula>0</formula>
    </cfRule>
  </conditionalFormatting>
  <conditionalFormatting sqref="R40">
    <cfRule type="cellIs" dxfId="1398" priority="1399" operator="lessThan">
      <formula>0.8</formula>
    </cfRule>
    <cfRule type="cellIs" dxfId="1397" priority="1400" operator="greaterThan">
      <formula>1</formula>
    </cfRule>
  </conditionalFormatting>
  <conditionalFormatting sqref="R40">
    <cfRule type="cellIs" dxfId="1396" priority="1397" operator="greaterThan">
      <formula>1</formula>
    </cfRule>
    <cfRule type="cellIs" dxfId="1395" priority="1398" operator="lessThan">
      <formula>0.8</formula>
    </cfRule>
  </conditionalFormatting>
  <conditionalFormatting sqref="Q40">
    <cfRule type="cellIs" dxfId="1394" priority="1390" operator="lessThan">
      <formula>0</formula>
    </cfRule>
  </conditionalFormatting>
  <conditionalFormatting sqref="P40">
    <cfRule type="cellIs" dxfId="1393" priority="1391" operator="greaterThan">
      <formula>0</formula>
    </cfRule>
  </conditionalFormatting>
  <conditionalFormatting sqref="R40">
    <cfRule type="cellIs" dxfId="1392" priority="1394" operator="lessThan">
      <formula>0.8</formula>
    </cfRule>
    <cfRule type="cellIs" dxfId="1391" priority="1395" operator="greaterThan">
      <formula>1</formula>
    </cfRule>
  </conditionalFormatting>
  <conditionalFormatting sqref="R40">
    <cfRule type="cellIs" dxfId="1390" priority="1392" operator="greaterThan">
      <formula>1</formula>
    </cfRule>
    <cfRule type="cellIs" dxfId="1389" priority="1393" operator="lessThan">
      <formula>0.8</formula>
    </cfRule>
  </conditionalFormatting>
  <conditionalFormatting sqref="Q40">
    <cfRule type="cellIs" dxfId="1388" priority="1384" operator="lessThan">
      <formula>0</formula>
    </cfRule>
  </conditionalFormatting>
  <conditionalFormatting sqref="R40">
    <cfRule type="cellIs" dxfId="1387" priority="1388" operator="lessThan">
      <formula>0.8</formula>
    </cfRule>
    <cfRule type="cellIs" dxfId="1386" priority="1389" operator="greaterThan">
      <formula>1</formula>
    </cfRule>
  </conditionalFormatting>
  <conditionalFormatting sqref="R40">
    <cfRule type="cellIs" dxfId="1385" priority="1386" operator="greaterThan">
      <formula>1</formula>
    </cfRule>
    <cfRule type="cellIs" dxfId="1384" priority="1387" operator="lessThan">
      <formula>0.8</formula>
    </cfRule>
  </conditionalFormatting>
  <conditionalFormatting sqref="P40">
    <cfRule type="cellIs" dxfId="1383" priority="1385" operator="greaterThan">
      <formula>0</formula>
    </cfRule>
  </conditionalFormatting>
  <conditionalFormatting sqref="Q40">
    <cfRule type="cellIs" dxfId="1382" priority="1383" operator="lessThan">
      <formula>0</formula>
    </cfRule>
  </conditionalFormatting>
  <conditionalFormatting sqref="R40">
    <cfRule type="cellIs" dxfId="1381" priority="1381" operator="lessThan">
      <formula>0.8</formula>
    </cfRule>
    <cfRule type="cellIs" dxfId="1380" priority="1382" operator="greaterThan">
      <formula>1</formula>
    </cfRule>
  </conditionalFormatting>
  <conditionalFormatting sqref="R40">
    <cfRule type="cellIs" dxfId="1379" priority="1379" operator="greaterThan">
      <formula>1</formula>
    </cfRule>
    <cfRule type="cellIs" dxfId="1378" priority="1380" operator="lessThan">
      <formula>0.8</formula>
    </cfRule>
  </conditionalFormatting>
  <conditionalFormatting sqref="P40">
    <cfRule type="cellIs" dxfId="1377" priority="1378" operator="greaterThan">
      <formula>0</formula>
    </cfRule>
  </conditionalFormatting>
  <conditionalFormatting sqref="Q40">
    <cfRule type="cellIs" dxfId="1376" priority="1377" operator="lessThan">
      <formula>0</formula>
    </cfRule>
  </conditionalFormatting>
  <conditionalFormatting sqref="R40">
    <cfRule type="cellIs" dxfId="1375" priority="1375" operator="lessThan">
      <formula>0.8</formula>
    </cfRule>
    <cfRule type="cellIs" dxfId="1374" priority="1376" operator="greaterThan">
      <formula>1</formula>
    </cfRule>
  </conditionalFormatting>
  <conditionalFormatting sqref="R40">
    <cfRule type="cellIs" dxfId="1373" priority="1373" operator="greaterThan">
      <formula>1</formula>
    </cfRule>
    <cfRule type="cellIs" dxfId="1372" priority="1374" operator="lessThan">
      <formula>0.8</formula>
    </cfRule>
  </conditionalFormatting>
  <conditionalFormatting sqref="P40">
    <cfRule type="cellIs" dxfId="1371" priority="1372" operator="greaterThan">
      <formula>0</formula>
    </cfRule>
  </conditionalFormatting>
  <conditionalFormatting sqref="Q32:Q39">
    <cfRule type="cellIs" dxfId="1370" priority="1371" operator="lessThan">
      <formula>0</formula>
    </cfRule>
  </conditionalFormatting>
  <conditionalFormatting sqref="R32:R39">
    <cfRule type="cellIs" dxfId="1369" priority="1369" operator="lessThan">
      <formula>0.8</formula>
    </cfRule>
    <cfRule type="cellIs" dxfId="1368" priority="1370" operator="greaterThan">
      <formula>1</formula>
    </cfRule>
  </conditionalFormatting>
  <conditionalFormatting sqref="R32:R39">
    <cfRule type="cellIs" dxfId="1367" priority="1367" operator="greaterThan">
      <formula>1</formula>
    </cfRule>
    <cfRule type="cellIs" dxfId="1366" priority="1368" operator="lessThan">
      <formula>0.8</formula>
    </cfRule>
  </conditionalFormatting>
  <conditionalFormatting sqref="P32:P39">
    <cfRule type="cellIs" dxfId="1365" priority="1366" operator="greaterThan">
      <formula>0</formula>
    </cfRule>
  </conditionalFormatting>
  <conditionalFormatting sqref="Q32:Q39">
    <cfRule type="cellIs" dxfId="1364" priority="1365" operator="lessThan">
      <formula>0</formula>
    </cfRule>
  </conditionalFormatting>
  <conditionalFormatting sqref="R32:R39">
    <cfRule type="cellIs" dxfId="1363" priority="1363" operator="lessThan">
      <formula>0.8</formula>
    </cfRule>
    <cfRule type="cellIs" dxfId="1362" priority="1364" operator="greaterThan">
      <formula>1</formula>
    </cfRule>
  </conditionalFormatting>
  <conditionalFormatting sqref="R32:R39">
    <cfRule type="cellIs" dxfId="1361" priority="1361" operator="greaterThan">
      <formula>1</formula>
    </cfRule>
    <cfRule type="cellIs" dxfId="1360" priority="1362" operator="lessThan">
      <formula>0.8</formula>
    </cfRule>
  </conditionalFormatting>
  <conditionalFormatting sqref="P32:P39">
    <cfRule type="cellIs" dxfId="1359" priority="1360" operator="greaterThan">
      <formula>0</formula>
    </cfRule>
  </conditionalFormatting>
  <conditionalFormatting sqref="Q32:Q39">
    <cfRule type="cellIs" dxfId="1358" priority="1359" operator="lessThan">
      <formula>0</formula>
    </cfRule>
  </conditionalFormatting>
  <conditionalFormatting sqref="R32:R39">
    <cfRule type="cellIs" dxfId="1357" priority="1357" operator="lessThan">
      <formula>0.8</formula>
    </cfRule>
    <cfRule type="cellIs" dxfId="1356" priority="1358" operator="greaterThan">
      <formula>1</formula>
    </cfRule>
  </conditionalFormatting>
  <conditionalFormatting sqref="R32:R39">
    <cfRule type="cellIs" dxfId="1355" priority="1355" operator="greaterThan">
      <formula>1</formula>
    </cfRule>
    <cfRule type="cellIs" dxfId="1354" priority="1356" operator="lessThan">
      <formula>0.8</formula>
    </cfRule>
  </conditionalFormatting>
  <conditionalFormatting sqref="P32:P39">
    <cfRule type="cellIs" dxfId="1353" priority="1354" operator="greaterThan">
      <formula>0</formula>
    </cfRule>
  </conditionalFormatting>
  <conditionalFormatting sqref="Q32:Q39">
    <cfRule type="cellIs" dxfId="1352" priority="1353" operator="lessThan">
      <formula>0</formula>
    </cfRule>
  </conditionalFormatting>
  <conditionalFormatting sqref="R32:R39">
    <cfRule type="cellIs" dxfId="1351" priority="1351" operator="lessThan">
      <formula>0.8</formula>
    </cfRule>
    <cfRule type="cellIs" dxfId="1350" priority="1352" operator="greaterThan">
      <formula>1</formula>
    </cfRule>
  </conditionalFormatting>
  <conditionalFormatting sqref="R32:R39">
    <cfRule type="cellIs" dxfId="1349" priority="1349" operator="greaterThan">
      <formula>1</formula>
    </cfRule>
    <cfRule type="cellIs" dxfId="1348" priority="1350" operator="lessThan">
      <formula>0.8</formula>
    </cfRule>
  </conditionalFormatting>
  <conditionalFormatting sqref="P32:P39">
    <cfRule type="cellIs" dxfId="1347" priority="1348" operator="greaterThan">
      <formula>0</formula>
    </cfRule>
  </conditionalFormatting>
  <conditionalFormatting sqref="P32:P39">
    <cfRule type="cellIs" dxfId="1346" priority="1342" operator="greaterThan">
      <formula>0</formula>
    </cfRule>
  </conditionalFormatting>
  <conditionalFormatting sqref="Q32:Q39">
    <cfRule type="cellIs" dxfId="1345" priority="1347" operator="lessThan">
      <formula>0</formula>
    </cfRule>
  </conditionalFormatting>
  <conditionalFormatting sqref="R32:R39">
    <cfRule type="cellIs" dxfId="1344" priority="1345" operator="lessThan">
      <formula>0.8</formula>
    </cfRule>
    <cfRule type="cellIs" dxfId="1343" priority="1346" operator="greaterThan">
      <formula>1</formula>
    </cfRule>
  </conditionalFormatting>
  <conditionalFormatting sqref="R32:R39">
    <cfRule type="cellIs" dxfId="1342" priority="1343" operator="greaterThan">
      <formula>1</formula>
    </cfRule>
    <cfRule type="cellIs" dxfId="1341" priority="1344" operator="lessThan">
      <formula>0.8</formula>
    </cfRule>
  </conditionalFormatting>
  <conditionalFormatting sqref="P32:P39">
    <cfRule type="cellIs" dxfId="1340" priority="1336" operator="greaterThan">
      <formula>0</formula>
    </cfRule>
  </conditionalFormatting>
  <conditionalFormatting sqref="Q32:Q39">
    <cfRule type="cellIs" dxfId="1339" priority="1341" operator="lessThan">
      <formula>0</formula>
    </cfRule>
  </conditionalFormatting>
  <conditionalFormatting sqref="R32:R39">
    <cfRule type="cellIs" dxfId="1338" priority="1339" operator="lessThan">
      <formula>0.8</formula>
    </cfRule>
    <cfRule type="cellIs" dxfId="1337" priority="1340" operator="greaterThan">
      <formula>1</formula>
    </cfRule>
  </conditionalFormatting>
  <conditionalFormatting sqref="R32:R39">
    <cfRule type="cellIs" dxfId="1336" priority="1337" operator="greaterThan">
      <formula>1</formula>
    </cfRule>
    <cfRule type="cellIs" dxfId="1335" priority="1338" operator="lessThan">
      <formula>0.8</formula>
    </cfRule>
  </conditionalFormatting>
  <conditionalFormatting sqref="R32:R39">
    <cfRule type="cellIs" dxfId="1334" priority="1333" operator="lessThan">
      <formula>0.8</formula>
    </cfRule>
    <cfRule type="cellIs" dxfId="1333" priority="1334" operator="greaterThan">
      <formula>1</formula>
    </cfRule>
  </conditionalFormatting>
  <conditionalFormatting sqref="R32:R39">
    <cfRule type="cellIs" dxfId="1332" priority="1331" operator="greaterThan">
      <formula>1</formula>
    </cfRule>
    <cfRule type="cellIs" dxfId="1331" priority="1332" operator="lessThan">
      <formula>0.8</formula>
    </cfRule>
  </conditionalFormatting>
  <conditionalFormatting sqref="P32:P39">
    <cfRule type="cellIs" dxfId="1330" priority="1330" operator="greaterThan">
      <formula>0</formula>
    </cfRule>
  </conditionalFormatting>
  <conditionalFormatting sqref="Q32:Q39">
    <cfRule type="cellIs" dxfId="1329" priority="1335" operator="lessThan">
      <formula>0</formula>
    </cfRule>
  </conditionalFormatting>
  <conditionalFormatting sqref="Q32:Q39">
    <cfRule type="cellIs" dxfId="1328" priority="1329" operator="lessThan">
      <formula>0</formula>
    </cfRule>
  </conditionalFormatting>
  <conditionalFormatting sqref="R32:R39">
    <cfRule type="cellIs" dxfId="1327" priority="1327" operator="lessThan">
      <formula>0.8</formula>
    </cfRule>
    <cfRule type="cellIs" dxfId="1326" priority="1328" operator="greaterThan">
      <formula>1</formula>
    </cfRule>
  </conditionalFormatting>
  <conditionalFormatting sqref="R32:R39">
    <cfRule type="cellIs" dxfId="1325" priority="1325" operator="greaterThan">
      <formula>1</formula>
    </cfRule>
    <cfRule type="cellIs" dxfId="1324" priority="1326" operator="lessThan">
      <formula>0.8</formula>
    </cfRule>
  </conditionalFormatting>
  <conditionalFormatting sqref="P32:P39">
    <cfRule type="cellIs" dxfId="1323" priority="1324" operator="greaterThan">
      <formula>0</formula>
    </cfRule>
  </conditionalFormatting>
  <conditionalFormatting sqref="P32:P39">
    <cfRule type="cellIs" dxfId="1322" priority="1318" operator="greaterThan">
      <formula>0</formula>
    </cfRule>
  </conditionalFormatting>
  <conditionalFormatting sqref="Q32:Q39">
    <cfRule type="cellIs" dxfId="1321" priority="1323" operator="lessThan">
      <formula>0</formula>
    </cfRule>
  </conditionalFormatting>
  <conditionalFormatting sqref="R32:R39">
    <cfRule type="cellIs" dxfId="1320" priority="1321" operator="lessThan">
      <formula>0.8</formula>
    </cfRule>
    <cfRule type="cellIs" dxfId="1319" priority="1322" operator="greaterThan">
      <formula>1</formula>
    </cfRule>
  </conditionalFormatting>
  <conditionalFormatting sqref="R32:R39">
    <cfRule type="cellIs" dxfId="1318" priority="1319" operator="greaterThan">
      <formula>1</formula>
    </cfRule>
    <cfRule type="cellIs" dxfId="1317" priority="1320" operator="lessThan">
      <formula>0.8</formula>
    </cfRule>
  </conditionalFormatting>
  <conditionalFormatting sqref="P32:P39">
    <cfRule type="cellIs" dxfId="1316" priority="1312" operator="greaterThan">
      <formula>0</formula>
    </cfRule>
  </conditionalFormatting>
  <conditionalFormatting sqref="Q32:Q39">
    <cfRule type="cellIs" dxfId="1315" priority="1317" operator="lessThan">
      <formula>0</formula>
    </cfRule>
  </conditionalFormatting>
  <conditionalFormatting sqref="R32:R39">
    <cfRule type="cellIs" dxfId="1314" priority="1315" operator="lessThan">
      <formula>0.8</formula>
    </cfRule>
    <cfRule type="cellIs" dxfId="1313" priority="1316" operator="greaterThan">
      <formula>1</formula>
    </cfRule>
  </conditionalFormatting>
  <conditionalFormatting sqref="R32:R39">
    <cfRule type="cellIs" dxfId="1312" priority="1313" operator="greaterThan">
      <formula>1</formula>
    </cfRule>
    <cfRule type="cellIs" dxfId="1311" priority="1314" operator="lessThan">
      <formula>0.8</formula>
    </cfRule>
  </conditionalFormatting>
  <conditionalFormatting sqref="R32:R39">
    <cfRule type="cellIs" dxfId="1310" priority="1309" operator="lessThan">
      <formula>0.8</formula>
    </cfRule>
    <cfRule type="cellIs" dxfId="1309" priority="1310" operator="greaterThan">
      <formula>1</formula>
    </cfRule>
  </conditionalFormatting>
  <conditionalFormatting sqref="R32:R39">
    <cfRule type="cellIs" dxfId="1308" priority="1307" operator="greaterThan">
      <formula>1</formula>
    </cfRule>
    <cfRule type="cellIs" dxfId="1307" priority="1308" operator="lessThan">
      <formula>0.8</formula>
    </cfRule>
  </conditionalFormatting>
  <conditionalFormatting sqref="P32:P39">
    <cfRule type="cellIs" dxfId="1306" priority="1306" operator="greaterThan">
      <formula>0</formula>
    </cfRule>
  </conditionalFormatting>
  <conditionalFormatting sqref="Q32:Q39">
    <cfRule type="cellIs" dxfId="1305" priority="1311" operator="lessThan">
      <formula>0</formula>
    </cfRule>
  </conditionalFormatting>
  <conditionalFormatting sqref="P32:P39">
    <cfRule type="cellIs" dxfId="1304" priority="1300" operator="greaterThan">
      <formula>0</formula>
    </cfRule>
  </conditionalFormatting>
  <conditionalFormatting sqref="Q32:Q39">
    <cfRule type="cellIs" dxfId="1303" priority="1305" operator="lessThan">
      <formula>0</formula>
    </cfRule>
  </conditionalFormatting>
  <conditionalFormatting sqref="R32:R39">
    <cfRule type="cellIs" dxfId="1302" priority="1303" operator="lessThan">
      <formula>0.8</formula>
    </cfRule>
    <cfRule type="cellIs" dxfId="1301" priority="1304" operator="greaterThan">
      <formula>1</formula>
    </cfRule>
  </conditionalFormatting>
  <conditionalFormatting sqref="R32:R39">
    <cfRule type="cellIs" dxfId="1300" priority="1301" operator="greaterThan">
      <formula>1</formula>
    </cfRule>
    <cfRule type="cellIs" dxfId="1299" priority="1302" operator="lessThan">
      <formula>0.8</formula>
    </cfRule>
  </conditionalFormatting>
  <conditionalFormatting sqref="R32:R39">
    <cfRule type="cellIs" dxfId="1298" priority="1297" operator="lessThan">
      <formula>0.8</formula>
    </cfRule>
    <cfRule type="cellIs" dxfId="1297" priority="1298" operator="greaterThan">
      <formula>1</formula>
    </cfRule>
  </conditionalFormatting>
  <conditionalFormatting sqref="R32:R39">
    <cfRule type="cellIs" dxfId="1296" priority="1295" operator="greaterThan">
      <formula>1</formula>
    </cfRule>
    <cfRule type="cellIs" dxfId="1295" priority="1296" operator="lessThan">
      <formula>0.8</formula>
    </cfRule>
  </conditionalFormatting>
  <conditionalFormatting sqref="P32:P39">
    <cfRule type="cellIs" dxfId="1294" priority="1294" operator="greaterThan">
      <formula>0</formula>
    </cfRule>
  </conditionalFormatting>
  <conditionalFormatting sqref="Q32:Q39">
    <cfRule type="cellIs" dxfId="1293" priority="1299" operator="lessThan">
      <formula>0</formula>
    </cfRule>
  </conditionalFormatting>
  <conditionalFormatting sqref="R32:R39">
    <cfRule type="cellIs" dxfId="1292" priority="1291" operator="lessThan">
      <formula>0.8</formula>
    </cfRule>
    <cfRule type="cellIs" dxfId="1291" priority="1292" operator="greaterThan">
      <formula>1</formula>
    </cfRule>
  </conditionalFormatting>
  <conditionalFormatting sqref="R32:R39">
    <cfRule type="cellIs" dxfId="1290" priority="1289" operator="greaterThan">
      <formula>1</formula>
    </cfRule>
    <cfRule type="cellIs" dxfId="1289" priority="1290" operator="lessThan">
      <formula>0.8</formula>
    </cfRule>
  </conditionalFormatting>
  <conditionalFormatting sqref="P32:P39">
    <cfRule type="cellIs" dxfId="1288" priority="1288" operator="greaterThan">
      <formula>0</formula>
    </cfRule>
  </conditionalFormatting>
  <conditionalFormatting sqref="Q32:Q39">
    <cfRule type="cellIs" dxfId="1287" priority="1293" operator="lessThan">
      <formula>0</formula>
    </cfRule>
  </conditionalFormatting>
  <conditionalFormatting sqref="Q32:Q39">
    <cfRule type="cellIs" dxfId="1286" priority="1287" operator="lessThan">
      <formula>0</formula>
    </cfRule>
  </conditionalFormatting>
  <conditionalFormatting sqref="R32:R39">
    <cfRule type="cellIs" dxfId="1285" priority="1285" operator="lessThan">
      <formula>0.8</formula>
    </cfRule>
    <cfRule type="cellIs" dxfId="1284" priority="1286" operator="greaterThan">
      <formula>1</formula>
    </cfRule>
  </conditionalFormatting>
  <conditionalFormatting sqref="R32:R39">
    <cfRule type="cellIs" dxfId="1283" priority="1283" operator="greaterThan">
      <formula>1</formula>
    </cfRule>
    <cfRule type="cellIs" dxfId="1282" priority="1284" operator="lessThan">
      <formula>0.8</formula>
    </cfRule>
  </conditionalFormatting>
  <conditionalFormatting sqref="P32:P39">
    <cfRule type="cellIs" dxfId="1281" priority="1282" operator="greaterThan">
      <formula>0</formula>
    </cfRule>
  </conditionalFormatting>
  <conditionalFormatting sqref="Q32:Q39">
    <cfRule type="cellIs" dxfId="1280" priority="1276" operator="lessThan">
      <formula>0</formula>
    </cfRule>
  </conditionalFormatting>
  <conditionalFormatting sqref="R32:R39">
    <cfRule type="cellIs" dxfId="1279" priority="1280" operator="lessThan">
      <formula>0.8</formula>
    </cfRule>
    <cfRule type="cellIs" dxfId="1278" priority="1281" operator="greaterThan">
      <formula>1</formula>
    </cfRule>
  </conditionalFormatting>
  <conditionalFormatting sqref="R32:R39">
    <cfRule type="cellIs" dxfId="1277" priority="1278" operator="greaterThan">
      <formula>1</formula>
    </cfRule>
    <cfRule type="cellIs" dxfId="1276" priority="1279" operator="lessThan">
      <formula>0.8</formula>
    </cfRule>
  </conditionalFormatting>
  <conditionalFormatting sqref="P32:P39">
    <cfRule type="cellIs" dxfId="1275" priority="1277" operator="greaterThan">
      <formula>0</formula>
    </cfRule>
  </conditionalFormatting>
  <conditionalFormatting sqref="Q32:Q39">
    <cfRule type="cellIs" dxfId="1274" priority="1275" operator="lessThan">
      <formula>0</formula>
    </cfRule>
  </conditionalFormatting>
  <conditionalFormatting sqref="R32:R39">
    <cfRule type="cellIs" dxfId="1273" priority="1273" operator="lessThan">
      <formula>0.8</formula>
    </cfRule>
    <cfRule type="cellIs" dxfId="1272" priority="1274" operator="greaterThan">
      <formula>1</formula>
    </cfRule>
  </conditionalFormatting>
  <conditionalFormatting sqref="R32:R39">
    <cfRule type="cellIs" dxfId="1271" priority="1271" operator="greaterThan">
      <formula>1</formula>
    </cfRule>
    <cfRule type="cellIs" dxfId="1270" priority="1272" operator="lessThan">
      <formula>0.8</formula>
    </cfRule>
  </conditionalFormatting>
  <conditionalFormatting sqref="P32:P39">
    <cfRule type="cellIs" dxfId="1269" priority="1270" operator="greaterThan">
      <formula>0</formula>
    </cfRule>
  </conditionalFormatting>
  <conditionalFormatting sqref="Q32:Q39">
    <cfRule type="cellIs" dxfId="1268" priority="1269" operator="lessThan">
      <formula>0</formula>
    </cfRule>
  </conditionalFormatting>
  <conditionalFormatting sqref="R32:R39">
    <cfRule type="cellIs" dxfId="1267" priority="1267" operator="lessThan">
      <formula>0.8</formula>
    </cfRule>
    <cfRule type="cellIs" dxfId="1266" priority="1268" operator="greaterThan">
      <formula>1</formula>
    </cfRule>
  </conditionalFormatting>
  <conditionalFormatting sqref="R32:R39">
    <cfRule type="cellIs" dxfId="1265" priority="1265" operator="greaterThan">
      <formula>1</formula>
    </cfRule>
    <cfRule type="cellIs" dxfId="1264" priority="1266" operator="lessThan">
      <formula>0.8</formula>
    </cfRule>
  </conditionalFormatting>
  <conditionalFormatting sqref="P32:P39">
    <cfRule type="cellIs" dxfId="1263" priority="1264" operator="greaterThan">
      <formula>0</formula>
    </cfRule>
  </conditionalFormatting>
  <conditionalFormatting sqref="Q32:Q39">
    <cfRule type="cellIs" dxfId="1262" priority="1263" operator="lessThan">
      <formula>0</formula>
    </cfRule>
  </conditionalFormatting>
  <conditionalFormatting sqref="R32:R39">
    <cfRule type="cellIs" dxfId="1261" priority="1261" operator="lessThan">
      <formula>0.8</formula>
    </cfRule>
    <cfRule type="cellIs" dxfId="1260" priority="1262" operator="greaterThan">
      <formula>1</formula>
    </cfRule>
  </conditionalFormatting>
  <conditionalFormatting sqref="R32:R39">
    <cfRule type="cellIs" dxfId="1259" priority="1259" operator="greaterThan">
      <formula>1</formula>
    </cfRule>
    <cfRule type="cellIs" dxfId="1258" priority="1260" operator="lessThan">
      <formula>0.8</formula>
    </cfRule>
  </conditionalFormatting>
  <conditionalFormatting sqref="P32:P39">
    <cfRule type="cellIs" dxfId="1257" priority="1258" operator="greaterThan">
      <formula>0</formula>
    </cfRule>
  </conditionalFormatting>
  <conditionalFormatting sqref="Q32:Q39">
    <cfRule type="cellIs" dxfId="1256" priority="1257" operator="lessThan">
      <formula>0</formula>
    </cfRule>
  </conditionalFormatting>
  <conditionalFormatting sqref="R32:R39">
    <cfRule type="cellIs" dxfId="1255" priority="1255" operator="lessThan">
      <formula>0.8</formula>
    </cfRule>
    <cfRule type="cellIs" dxfId="1254" priority="1256" operator="greaterThan">
      <formula>1</formula>
    </cfRule>
  </conditionalFormatting>
  <conditionalFormatting sqref="R32:R39">
    <cfRule type="cellIs" dxfId="1253" priority="1253" operator="greaterThan">
      <formula>1</formula>
    </cfRule>
    <cfRule type="cellIs" dxfId="1252" priority="1254" operator="lessThan">
      <formula>0.8</formula>
    </cfRule>
  </conditionalFormatting>
  <conditionalFormatting sqref="P32:P39">
    <cfRule type="cellIs" dxfId="1251" priority="1252" operator="greaterThan">
      <formula>0</formula>
    </cfRule>
  </conditionalFormatting>
  <conditionalFormatting sqref="Q32:Q39">
    <cfRule type="cellIs" dxfId="1250" priority="1251" operator="lessThan">
      <formula>0</formula>
    </cfRule>
  </conditionalFormatting>
  <conditionalFormatting sqref="R32:R39">
    <cfRule type="cellIs" dxfId="1249" priority="1249" operator="lessThan">
      <formula>0.8</formula>
    </cfRule>
    <cfRule type="cellIs" dxfId="1248" priority="1250" operator="greaterThan">
      <formula>1</formula>
    </cfRule>
  </conditionalFormatting>
  <conditionalFormatting sqref="R32:R39">
    <cfRule type="cellIs" dxfId="1247" priority="1247" operator="greaterThan">
      <formula>1</formula>
    </cfRule>
    <cfRule type="cellIs" dxfId="1246" priority="1248" operator="lessThan">
      <formula>0.8</formula>
    </cfRule>
  </conditionalFormatting>
  <conditionalFormatting sqref="P32:P39">
    <cfRule type="cellIs" dxfId="1245" priority="1246" operator="greaterThan">
      <formula>0</formula>
    </cfRule>
  </conditionalFormatting>
  <conditionalFormatting sqref="P32:P39">
    <cfRule type="cellIs" dxfId="1244" priority="1240" operator="greaterThan">
      <formula>0</formula>
    </cfRule>
  </conditionalFormatting>
  <conditionalFormatting sqref="Q32:Q39">
    <cfRule type="cellIs" dxfId="1243" priority="1245" operator="lessThan">
      <formula>0</formula>
    </cfRule>
  </conditionalFormatting>
  <conditionalFormatting sqref="R32:R39">
    <cfRule type="cellIs" dxfId="1242" priority="1243" operator="lessThan">
      <formula>0.8</formula>
    </cfRule>
    <cfRule type="cellIs" dxfId="1241" priority="1244" operator="greaterThan">
      <formula>1</formula>
    </cfRule>
  </conditionalFormatting>
  <conditionalFormatting sqref="R32:R39">
    <cfRule type="cellIs" dxfId="1240" priority="1241" operator="greaterThan">
      <formula>1</formula>
    </cfRule>
    <cfRule type="cellIs" dxfId="1239" priority="1242" operator="lessThan">
      <formula>0.8</formula>
    </cfRule>
  </conditionalFormatting>
  <conditionalFormatting sqref="P32:P39">
    <cfRule type="cellIs" dxfId="1238" priority="1234" operator="greaterThan">
      <formula>0</formula>
    </cfRule>
  </conditionalFormatting>
  <conditionalFormatting sqref="Q32:Q39">
    <cfRule type="cellIs" dxfId="1237" priority="1239" operator="lessThan">
      <formula>0</formula>
    </cfRule>
  </conditionalFormatting>
  <conditionalFormatting sqref="R32:R39">
    <cfRule type="cellIs" dxfId="1236" priority="1237" operator="lessThan">
      <formula>0.8</formula>
    </cfRule>
    <cfRule type="cellIs" dxfId="1235" priority="1238" operator="greaterThan">
      <formula>1</formula>
    </cfRule>
  </conditionalFormatting>
  <conditionalFormatting sqref="R32:R39">
    <cfRule type="cellIs" dxfId="1234" priority="1235" operator="greaterThan">
      <formula>1</formula>
    </cfRule>
    <cfRule type="cellIs" dxfId="1233" priority="1236" operator="lessThan">
      <formula>0.8</formula>
    </cfRule>
  </conditionalFormatting>
  <conditionalFormatting sqref="R32:R39">
    <cfRule type="cellIs" dxfId="1232" priority="1231" operator="lessThan">
      <formula>0.8</formula>
    </cfRule>
    <cfRule type="cellIs" dxfId="1231" priority="1232" operator="greaterThan">
      <formula>1</formula>
    </cfRule>
  </conditionalFormatting>
  <conditionalFormatting sqref="R32:R39">
    <cfRule type="cellIs" dxfId="1230" priority="1229" operator="greaterThan">
      <formula>1</formula>
    </cfRule>
    <cfRule type="cellIs" dxfId="1229" priority="1230" operator="lessThan">
      <formula>0.8</formula>
    </cfRule>
  </conditionalFormatting>
  <conditionalFormatting sqref="P32:P39">
    <cfRule type="cellIs" dxfId="1228" priority="1228" operator="greaterThan">
      <formula>0</formula>
    </cfRule>
  </conditionalFormatting>
  <conditionalFormatting sqref="Q32:Q39">
    <cfRule type="cellIs" dxfId="1227" priority="1233" operator="lessThan">
      <formula>0</formula>
    </cfRule>
  </conditionalFormatting>
  <conditionalFormatting sqref="Q32:Q39">
    <cfRule type="cellIs" dxfId="1226" priority="1222" operator="lessThan">
      <formula>0</formula>
    </cfRule>
  </conditionalFormatting>
  <conditionalFormatting sqref="P32:P39">
    <cfRule type="cellIs" dxfId="1225" priority="1223" operator="greaterThan">
      <formula>0</formula>
    </cfRule>
  </conditionalFormatting>
  <conditionalFormatting sqref="R32:R39">
    <cfRule type="cellIs" dxfId="1224" priority="1226" operator="lessThan">
      <formula>0.8</formula>
    </cfRule>
    <cfRule type="cellIs" dxfId="1223" priority="1227" operator="greaterThan">
      <formula>1</formula>
    </cfRule>
  </conditionalFormatting>
  <conditionalFormatting sqref="R32:R39">
    <cfRule type="cellIs" dxfId="1222" priority="1224" operator="greaterThan">
      <formula>1</formula>
    </cfRule>
    <cfRule type="cellIs" dxfId="1221" priority="1225" operator="lessThan">
      <formula>0.8</formula>
    </cfRule>
  </conditionalFormatting>
  <conditionalFormatting sqref="Q32:Q39">
    <cfRule type="cellIs" dxfId="1220" priority="1216" operator="lessThan">
      <formula>0</formula>
    </cfRule>
  </conditionalFormatting>
  <conditionalFormatting sqref="R32:R39">
    <cfRule type="cellIs" dxfId="1219" priority="1220" operator="lessThan">
      <formula>0.8</formula>
    </cfRule>
    <cfRule type="cellIs" dxfId="1218" priority="1221" operator="greaterThan">
      <formula>1</formula>
    </cfRule>
  </conditionalFormatting>
  <conditionalFormatting sqref="R32:R39">
    <cfRule type="cellIs" dxfId="1217" priority="1218" operator="greaterThan">
      <formula>1</formula>
    </cfRule>
    <cfRule type="cellIs" dxfId="1216" priority="1219" operator="lessThan">
      <formula>0.8</formula>
    </cfRule>
  </conditionalFormatting>
  <conditionalFormatting sqref="P32:P39">
    <cfRule type="cellIs" dxfId="1215" priority="1217" operator="greaterThan">
      <formula>0</formula>
    </cfRule>
  </conditionalFormatting>
  <conditionalFormatting sqref="Q32:Q39">
    <cfRule type="cellIs" dxfId="1214" priority="1215" operator="lessThan">
      <formula>0</formula>
    </cfRule>
  </conditionalFormatting>
  <conditionalFormatting sqref="R32:R39">
    <cfRule type="cellIs" dxfId="1213" priority="1213" operator="lessThan">
      <formula>0.8</formula>
    </cfRule>
    <cfRule type="cellIs" dxfId="1212" priority="1214" operator="greaterThan">
      <formula>1</formula>
    </cfRule>
  </conditionalFormatting>
  <conditionalFormatting sqref="R32:R39">
    <cfRule type="cellIs" dxfId="1211" priority="1211" operator="greaterThan">
      <formula>1</formula>
    </cfRule>
    <cfRule type="cellIs" dxfId="1210" priority="1212" operator="lessThan">
      <formula>0.8</formula>
    </cfRule>
  </conditionalFormatting>
  <conditionalFormatting sqref="P32:P39">
    <cfRule type="cellIs" dxfId="1209" priority="1210" operator="greaterThan">
      <formula>0</formula>
    </cfRule>
  </conditionalFormatting>
  <conditionalFormatting sqref="Q32:Q39">
    <cfRule type="cellIs" dxfId="1208" priority="1209" operator="lessThan">
      <formula>0</formula>
    </cfRule>
  </conditionalFormatting>
  <conditionalFormatting sqref="R32:R39">
    <cfRule type="cellIs" dxfId="1207" priority="1207" operator="lessThan">
      <formula>0.8</formula>
    </cfRule>
    <cfRule type="cellIs" dxfId="1206" priority="1208" operator="greaterThan">
      <formula>1</formula>
    </cfRule>
  </conditionalFormatting>
  <conditionalFormatting sqref="R32:R39">
    <cfRule type="cellIs" dxfId="1205" priority="1205" operator="greaterThan">
      <formula>1</formula>
    </cfRule>
    <cfRule type="cellIs" dxfId="1204" priority="1206" operator="lessThan">
      <formula>0.8</formula>
    </cfRule>
  </conditionalFormatting>
  <conditionalFormatting sqref="P32:P39">
    <cfRule type="cellIs" dxfId="1203" priority="1204" operator="greaterThan">
      <formula>0</formula>
    </cfRule>
  </conditionalFormatting>
  <conditionalFormatting sqref="Q32:Q39">
    <cfRule type="cellIs" dxfId="1202" priority="1203" operator="lessThan">
      <formula>0</formula>
    </cfRule>
  </conditionalFormatting>
  <conditionalFormatting sqref="R32:R39">
    <cfRule type="cellIs" dxfId="1201" priority="1201" operator="lessThan">
      <formula>0.8</formula>
    </cfRule>
    <cfRule type="cellIs" dxfId="1200" priority="1202" operator="greaterThan">
      <formula>1</formula>
    </cfRule>
  </conditionalFormatting>
  <conditionalFormatting sqref="R32:R39">
    <cfRule type="cellIs" dxfId="1199" priority="1199" operator="greaterThan">
      <formula>1</formula>
    </cfRule>
    <cfRule type="cellIs" dxfId="1198" priority="1200" operator="lessThan">
      <formula>0.8</formula>
    </cfRule>
  </conditionalFormatting>
  <conditionalFormatting sqref="P32:P39">
    <cfRule type="cellIs" dxfId="1197" priority="1198" operator="greaterThan">
      <formula>0</formula>
    </cfRule>
  </conditionalFormatting>
  <conditionalFormatting sqref="Q32:Q39">
    <cfRule type="cellIs" dxfId="1196" priority="1197" operator="lessThan">
      <formula>0</formula>
    </cfRule>
  </conditionalFormatting>
  <conditionalFormatting sqref="R32:R39">
    <cfRule type="cellIs" dxfId="1195" priority="1195" operator="lessThan">
      <formula>0.8</formula>
    </cfRule>
    <cfRule type="cellIs" dxfId="1194" priority="1196" operator="greaterThan">
      <formula>1</formula>
    </cfRule>
  </conditionalFormatting>
  <conditionalFormatting sqref="R32:R39">
    <cfRule type="cellIs" dxfId="1193" priority="1193" operator="greaterThan">
      <formula>1</formula>
    </cfRule>
    <cfRule type="cellIs" dxfId="1192" priority="1194" operator="lessThan">
      <formula>0.8</formula>
    </cfRule>
  </conditionalFormatting>
  <conditionalFormatting sqref="P32:P39">
    <cfRule type="cellIs" dxfId="1191" priority="1192" operator="greaterThan">
      <formula>0</formula>
    </cfRule>
  </conditionalFormatting>
  <conditionalFormatting sqref="Q96:Q105">
    <cfRule type="cellIs" dxfId="1190" priority="1186" operator="lessThan">
      <formula>0</formula>
    </cfRule>
  </conditionalFormatting>
  <conditionalFormatting sqref="P96:P105">
    <cfRule type="cellIs" dxfId="1189" priority="1187" operator="greaterThan">
      <formula>0</formula>
    </cfRule>
  </conditionalFormatting>
  <conditionalFormatting sqref="R96:R105">
    <cfRule type="cellIs" dxfId="1188" priority="1190" operator="lessThan">
      <formula>0.8</formula>
    </cfRule>
    <cfRule type="cellIs" dxfId="1187" priority="1191" operator="greaterThan">
      <formula>1</formula>
    </cfRule>
  </conditionalFormatting>
  <conditionalFormatting sqref="R96:R105">
    <cfRule type="cellIs" dxfId="1186" priority="1188" operator="greaterThan">
      <formula>1</formula>
    </cfRule>
    <cfRule type="cellIs" dxfId="1185" priority="1189" operator="lessThan">
      <formula>0.8</formula>
    </cfRule>
  </conditionalFormatting>
  <conditionalFormatting sqref="Q96:Q105">
    <cfRule type="cellIs" dxfId="1184" priority="1180" operator="lessThan">
      <formula>0</formula>
    </cfRule>
  </conditionalFormatting>
  <conditionalFormatting sqref="R96:R105">
    <cfRule type="cellIs" dxfId="1183" priority="1184" operator="lessThan">
      <formula>0.8</formula>
    </cfRule>
    <cfRule type="cellIs" dxfId="1182" priority="1185" operator="greaterThan">
      <formula>1</formula>
    </cfRule>
  </conditionalFormatting>
  <conditionalFormatting sqref="R96:R105">
    <cfRule type="cellIs" dxfId="1181" priority="1182" operator="greaterThan">
      <formula>1</formula>
    </cfRule>
    <cfRule type="cellIs" dxfId="1180" priority="1183" operator="lessThan">
      <formula>0.8</formula>
    </cfRule>
  </conditionalFormatting>
  <conditionalFormatting sqref="P96:P105">
    <cfRule type="cellIs" dxfId="1179" priority="1181" operator="greaterThan">
      <formula>0</formula>
    </cfRule>
  </conditionalFormatting>
  <conditionalFormatting sqref="Q96:Q105">
    <cfRule type="cellIs" dxfId="1178" priority="1179" operator="lessThan">
      <formula>0</formula>
    </cfRule>
  </conditionalFormatting>
  <conditionalFormatting sqref="R96:R105">
    <cfRule type="cellIs" dxfId="1177" priority="1177" operator="lessThan">
      <formula>0.8</formula>
    </cfRule>
    <cfRule type="cellIs" dxfId="1176" priority="1178" operator="greaterThan">
      <formula>1</formula>
    </cfRule>
  </conditionalFormatting>
  <conditionalFormatting sqref="R96:R105">
    <cfRule type="cellIs" dxfId="1175" priority="1175" operator="greaterThan">
      <formula>1</formula>
    </cfRule>
    <cfRule type="cellIs" dxfId="1174" priority="1176" operator="lessThan">
      <formula>0.8</formula>
    </cfRule>
  </conditionalFormatting>
  <conditionalFormatting sqref="P96:P105">
    <cfRule type="cellIs" dxfId="1173" priority="1174" operator="greaterThan">
      <formula>0</formula>
    </cfRule>
  </conditionalFormatting>
  <conditionalFormatting sqref="Q96:Q105">
    <cfRule type="cellIs" dxfId="1172" priority="1173" operator="lessThan">
      <formula>0</formula>
    </cfRule>
  </conditionalFormatting>
  <conditionalFormatting sqref="R96:R105">
    <cfRule type="cellIs" dxfId="1171" priority="1171" operator="lessThan">
      <formula>0.8</formula>
    </cfRule>
    <cfRule type="cellIs" dxfId="1170" priority="1172" operator="greaterThan">
      <formula>1</formula>
    </cfRule>
  </conditionalFormatting>
  <conditionalFormatting sqref="R96:R105">
    <cfRule type="cellIs" dxfId="1169" priority="1169" operator="greaterThan">
      <formula>1</formula>
    </cfRule>
    <cfRule type="cellIs" dxfId="1168" priority="1170" operator="lessThan">
      <formula>0.8</formula>
    </cfRule>
  </conditionalFormatting>
  <conditionalFormatting sqref="P96:P105">
    <cfRule type="cellIs" dxfId="1167" priority="1168" operator="greaterThan">
      <formula>0</formula>
    </cfRule>
  </conditionalFormatting>
  <conditionalFormatting sqref="Q96:Q105">
    <cfRule type="cellIs" dxfId="1166" priority="1162" operator="lessThan">
      <formula>0</formula>
    </cfRule>
  </conditionalFormatting>
  <conditionalFormatting sqref="R96:R105">
    <cfRule type="cellIs" dxfId="1165" priority="1166" operator="lessThan">
      <formula>0.8</formula>
    </cfRule>
    <cfRule type="cellIs" dxfId="1164" priority="1167" operator="greaterThan">
      <formula>1</formula>
    </cfRule>
  </conditionalFormatting>
  <conditionalFormatting sqref="R96:R105">
    <cfRule type="cellIs" dxfId="1163" priority="1164" operator="greaterThan">
      <formula>1</formula>
    </cfRule>
    <cfRule type="cellIs" dxfId="1162" priority="1165" operator="lessThan">
      <formula>0.8</formula>
    </cfRule>
  </conditionalFormatting>
  <conditionalFormatting sqref="P96:P105">
    <cfRule type="cellIs" dxfId="1161" priority="1163" operator="greaterThan">
      <formula>0</formula>
    </cfRule>
  </conditionalFormatting>
  <conditionalFormatting sqref="Q96:Q105">
    <cfRule type="cellIs" dxfId="1160" priority="1161" operator="lessThan">
      <formula>0</formula>
    </cfRule>
  </conditionalFormatting>
  <conditionalFormatting sqref="R96:R105">
    <cfRule type="cellIs" dxfId="1159" priority="1159" operator="lessThan">
      <formula>0.8</formula>
    </cfRule>
    <cfRule type="cellIs" dxfId="1158" priority="1160" operator="greaterThan">
      <formula>1</formula>
    </cfRule>
  </conditionalFormatting>
  <conditionalFormatting sqref="R96:R105">
    <cfRule type="cellIs" dxfId="1157" priority="1157" operator="greaterThan">
      <formula>1</formula>
    </cfRule>
    <cfRule type="cellIs" dxfId="1156" priority="1158" operator="lessThan">
      <formula>0.8</formula>
    </cfRule>
  </conditionalFormatting>
  <conditionalFormatting sqref="P96:P105">
    <cfRule type="cellIs" dxfId="1155" priority="1156" operator="greaterThan">
      <formula>0</formula>
    </cfRule>
  </conditionalFormatting>
  <conditionalFormatting sqref="Q96:Q105">
    <cfRule type="cellIs" dxfId="1154" priority="1155" operator="lessThan">
      <formula>0</formula>
    </cfRule>
  </conditionalFormatting>
  <conditionalFormatting sqref="R96:R105">
    <cfRule type="cellIs" dxfId="1153" priority="1153" operator="lessThan">
      <formula>0.8</formula>
    </cfRule>
    <cfRule type="cellIs" dxfId="1152" priority="1154" operator="greaterThan">
      <formula>1</formula>
    </cfRule>
  </conditionalFormatting>
  <conditionalFormatting sqref="R96:R105">
    <cfRule type="cellIs" dxfId="1151" priority="1151" operator="greaterThan">
      <formula>1</formula>
    </cfRule>
    <cfRule type="cellIs" dxfId="1150" priority="1152" operator="lessThan">
      <formula>0.8</formula>
    </cfRule>
  </conditionalFormatting>
  <conditionalFormatting sqref="P96:P105">
    <cfRule type="cellIs" dxfId="1149" priority="1150" operator="greaterThan">
      <formula>0</formula>
    </cfRule>
  </conditionalFormatting>
  <conditionalFormatting sqref="Q96:Q105">
    <cfRule type="cellIs" dxfId="1148" priority="1149" operator="lessThan">
      <formula>0</formula>
    </cfRule>
  </conditionalFormatting>
  <conditionalFormatting sqref="R96:R105">
    <cfRule type="cellIs" dxfId="1147" priority="1147" operator="lessThan">
      <formula>0.8</formula>
    </cfRule>
    <cfRule type="cellIs" dxfId="1146" priority="1148" operator="greaterThan">
      <formula>1</formula>
    </cfRule>
  </conditionalFormatting>
  <conditionalFormatting sqref="R96:R105">
    <cfRule type="cellIs" dxfId="1145" priority="1145" operator="greaterThan">
      <formula>1</formula>
    </cfRule>
    <cfRule type="cellIs" dxfId="1144" priority="1146" operator="lessThan">
      <formula>0.8</formula>
    </cfRule>
  </conditionalFormatting>
  <conditionalFormatting sqref="P96:P105">
    <cfRule type="cellIs" dxfId="1143" priority="1144" operator="greaterThan">
      <formula>0</formula>
    </cfRule>
  </conditionalFormatting>
  <conditionalFormatting sqref="Q96:Q105">
    <cfRule type="cellIs" dxfId="1142" priority="1143" operator="lessThan">
      <formula>0</formula>
    </cfRule>
  </conditionalFormatting>
  <conditionalFormatting sqref="R96:R105">
    <cfRule type="cellIs" dxfId="1141" priority="1141" operator="lessThan">
      <formula>0.8</formula>
    </cfRule>
    <cfRule type="cellIs" dxfId="1140" priority="1142" operator="greaterThan">
      <formula>1</formula>
    </cfRule>
  </conditionalFormatting>
  <conditionalFormatting sqref="R96:R105">
    <cfRule type="cellIs" dxfId="1139" priority="1139" operator="greaterThan">
      <formula>1</formula>
    </cfRule>
    <cfRule type="cellIs" dxfId="1138" priority="1140" operator="lessThan">
      <formula>0.8</formula>
    </cfRule>
  </conditionalFormatting>
  <conditionalFormatting sqref="P96:P105">
    <cfRule type="cellIs" dxfId="1137" priority="1138" operator="greaterThan">
      <formula>0</formula>
    </cfRule>
  </conditionalFormatting>
  <conditionalFormatting sqref="Q96:Q105">
    <cfRule type="cellIs" dxfId="1136" priority="1137" operator="lessThan">
      <formula>0</formula>
    </cfRule>
  </conditionalFormatting>
  <conditionalFormatting sqref="R96:R105">
    <cfRule type="cellIs" dxfId="1135" priority="1135" operator="lessThan">
      <formula>0.8</formula>
    </cfRule>
    <cfRule type="cellIs" dxfId="1134" priority="1136" operator="greaterThan">
      <formula>1</formula>
    </cfRule>
  </conditionalFormatting>
  <conditionalFormatting sqref="R96:R105">
    <cfRule type="cellIs" dxfId="1133" priority="1133" operator="greaterThan">
      <formula>1</formula>
    </cfRule>
    <cfRule type="cellIs" dxfId="1132" priority="1134" operator="lessThan">
      <formula>0.8</formula>
    </cfRule>
  </conditionalFormatting>
  <conditionalFormatting sqref="P96:P105">
    <cfRule type="cellIs" dxfId="1131" priority="1132" operator="greaterThan">
      <formula>0</formula>
    </cfRule>
  </conditionalFormatting>
  <conditionalFormatting sqref="P96:P105">
    <cfRule type="cellIs" dxfId="1130" priority="1126" operator="greaterThan">
      <formula>0</formula>
    </cfRule>
  </conditionalFormatting>
  <conditionalFormatting sqref="Q96:Q105">
    <cfRule type="cellIs" dxfId="1129" priority="1131" operator="lessThan">
      <formula>0</formula>
    </cfRule>
  </conditionalFormatting>
  <conditionalFormatting sqref="R96:R105">
    <cfRule type="cellIs" dxfId="1128" priority="1129" operator="lessThan">
      <formula>0.8</formula>
    </cfRule>
    <cfRule type="cellIs" dxfId="1127" priority="1130" operator="greaterThan">
      <formula>1</formula>
    </cfRule>
  </conditionalFormatting>
  <conditionalFormatting sqref="R96:R105">
    <cfRule type="cellIs" dxfId="1126" priority="1127" operator="greaterThan">
      <formula>1</formula>
    </cfRule>
    <cfRule type="cellIs" dxfId="1125" priority="1128" operator="lessThan">
      <formula>0.8</formula>
    </cfRule>
  </conditionalFormatting>
  <conditionalFormatting sqref="P96:P105">
    <cfRule type="cellIs" dxfId="1124" priority="1120" operator="greaterThan">
      <formula>0</formula>
    </cfRule>
  </conditionalFormatting>
  <conditionalFormatting sqref="Q96:Q105">
    <cfRule type="cellIs" dxfId="1123" priority="1125" operator="lessThan">
      <formula>0</formula>
    </cfRule>
  </conditionalFormatting>
  <conditionalFormatting sqref="R96:R105">
    <cfRule type="cellIs" dxfId="1122" priority="1123" operator="lessThan">
      <formula>0.8</formula>
    </cfRule>
    <cfRule type="cellIs" dxfId="1121" priority="1124" operator="greaterThan">
      <formula>1</formula>
    </cfRule>
  </conditionalFormatting>
  <conditionalFormatting sqref="R96:R105">
    <cfRule type="cellIs" dxfId="1120" priority="1121" operator="greaterThan">
      <formula>1</formula>
    </cfRule>
    <cfRule type="cellIs" dxfId="1119" priority="1122" operator="lessThan">
      <formula>0.8</formula>
    </cfRule>
  </conditionalFormatting>
  <conditionalFormatting sqref="R96:R105">
    <cfRule type="cellIs" dxfId="1118" priority="1117" operator="lessThan">
      <formula>0.8</formula>
    </cfRule>
    <cfRule type="cellIs" dxfId="1117" priority="1118" operator="greaterThan">
      <formula>1</formula>
    </cfRule>
  </conditionalFormatting>
  <conditionalFormatting sqref="R96:R105">
    <cfRule type="cellIs" dxfId="1116" priority="1115" operator="greaterThan">
      <formula>1</formula>
    </cfRule>
    <cfRule type="cellIs" dxfId="1115" priority="1116" operator="lessThan">
      <formula>0.8</formula>
    </cfRule>
  </conditionalFormatting>
  <conditionalFormatting sqref="P96:P105">
    <cfRule type="cellIs" dxfId="1114" priority="1114" operator="greaterThan">
      <formula>0</formula>
    </cfRule>
  </conditionalFormatting>
  <conditionalFormatting sqref="Q96:Q105">
    <cfRule type="cellIs" dxfId="1113" priority="1119" operator="lessThan">
      <formula>0</formula>
    </cfRule>
  </conditionalFormatting>
  <conditionalFormatting sqref="Q96:Q105">
    <cfRule type="cellIs" dxfId="1112" priority="1108" operator="lessThan">
      <formula>0</formula>
    </cfRule>
  </conditionalFormatting>
  <conditionalFormatting sqref="P96:P105">
    <cfRule type="cellIs" dxfId="1111" priority="1109" operator="greaterThan">
      <formula>0</formula>
    </cfRule>
  </conditionalFormatting>
  <conditionalFormatting sqref="R96:R105">
    <cfRule type="cellIs" dxfId="1110" priority="1112" operator="lessThan">
      <formula>0.8</formula>
    </cfRule>
    <cfRule type="cellIs" dxfId="1109" priority="1113" operator="greaterThan">
      <formula>1</formula>
    </cfRule>
  </conditionalFormatting>
  <conditionalFormatting sqref="R96:R105">
    <cfRule type="cellIs" dxfId="1108" priority="1110" operator="greaterThan">
      <formula>1</formula>
    </cfRule>
    <cfRule type="cellIs" dxfId="1107" priority="1111" operator="lessThan">
      <formula>0.8</formula>
    </cfRule>
  </conditionalFormatting>
  <conditionalFormatting sqref="Q96:Q105">
    <cfRule type="cellIs" dxfId="1106" priority="1102" operator="lessThan">
      <formula>0</formula>
    </cfRule>
  </conditionalFormatting>
  <conditionalFormatting sqref="R96:R105">
    <cfRule type="cellIs" dxfId="1105" priority="1106" operator="lessThan">
      <formula>0.8</formula>
    </cfRule>
    <cfRule type="cellIs" dxfId="1104" priority="1107" operator="greaterThan">
      <formula>1</formula>
    </cfRule>
  </conditionalFormatting>
  <conditionalFormatting sqref="R96:R105">
    <cfRule type="cellIs" dxfId="1103" priority="1104" operator="greaterThan">
      <formula>1</formula>
    </cfRule>
    <cfRule type="cellIs" dxfId="1102" priority="1105" operator="lessThan">
      <formula>0.8</formula>
    </cfRule>
  </conditionalFormatting>
  <conditionalFormatting sqref="P96:P105">
    <cfRule type="cellIs" dxfId="1101" priority="1103" operator="greaterThan">
      <formula>0</formula>
    </cfRule>
  </conditionalFormatting>
  <conditionalFormatting sqref="Q96:Q105">
    <cfRule type="cellIs" dxfId="1100" priority="1101" operator="lessThan">
      <formula>0</formula>
    </cfRule>
  </conditionalFormatting>
  <conditionalFormatting sqref="R96:R105">
    <cfRule type="cellIs" dxfId="1099" priority="1099" operator="lessThan">
      <formula>0.8</formula>
    </cfRule>
    <cfRule type="cellIs" dxfId="1098" priority="1100" operator="greaterThan">
      <formula>1</formula>
    </cfRule>
  </conditionalFormatting>
  <conditionalFormatting sqref="R96:R105">
    <cfRule type="cellIs" dxfId="1097" priority="1097" operator="greaterThan">
      <formula>1</formula>
    </cfRule>
    <cfRule type="cellIs" dxfId="1096" priority="1098" operator="lessThan">
      <formula>0.8</formula>
    </cfRule>
  </conditionalFormatting>
  <conditionalFormatting sqref="P96:P105">
    <cfRule type="cellIs" dxfId="1095" priority="1096" operator="greaterThan">
      <formula>0</formula>
    </cfRule>
  </conditionalFormatting>
  <conditionalFormatting sqref="Q96:Q105">
    <cfRule type="cellIs" dxfId="1094" priority="1095" operator="lessThan">
      <formula>0</formula>
    </cfRule>
  </conditionalFormatting>
  <conditionalFormatting sqref="R96:R105">
    <cfRule type="cellIs" dxfId="1093" priority="1093" operator="lessThan">
      <formula>0.8</formula>
    </cfRule>
    <cfRule type="cellIs" dxfId="1092" priority="1094" operator="greaterThan">
      <formula>1</formula>
    </cfRule>
  </conditionalFormatting>
  <conditionalFormatting sqref="R96:R105">
    <cfRule type="cellIs" dxfId="1091" priority="1091" operator="greaterThan">
      <formula>1</formula>
    </cfRule>
    <cfRule type="cellIs" dxfId="1090" priority="1092" operator="lessThan">
      <formula>0.8</formula>
    </cfRule>
  </conditionalFormatting>
  <conditionalFormatting sqref="P96:P105">
    <cfRule type="cellIs" dxfId="1089" priority="1090" operator="greaterThan">
      <formula>0</formula>
    </cfRule>
  </conditionalFormatting>
  <conditionalFormatting sqref="Q96:Q105">
    <cfRule type="cellIs" dxfId="1088" priority="1084" operator="lessThan">
      <formula>0</formula>
    </cfRule>
  </conditionalFormatting>
  <conditionalFormatting sqref="P96:P105">
    <cfRule type="cellIs" dxfId="1087" priority="1085" operator="greaterThan">
      <formula>0</formula>
    </cfRule>
  </conditionalFormatting>
  <conditionalFormatting sqref="R96:R105">
    <cfRule type="cellIs" dxfId="1086" priority="1088" operator="lessThan">
      <formula>0.8</formula>
    </cfRule>
    <cfRule type="cellIs" dxfId="1085" priority="1089" operator="greaterThan">
      <formula>1</formula>
    </cfRule>
  </conditionalFormatting>
  <conditionalFormatting sqref="R96:R105">
    <cfRule type="cellIs" dxfId="1084" priority="1086" operator="greaterThan">
      <formula>1</formula>
    </cfRule>
    <cfRule type="cellIs" dxfId="1083" priority="1087" operator="lessThan">
      <formula>0.8</formula>
    </cfRule>
  </conditionalFormatting>
  <conditionalFormatting sqref="Q96:Q105">
    <cfRule type="cellIs" dxfId="1082" priority="1078" operator="lessThan">
      <formula>0</formula>
    </cfRule>
  </conditionalFormatting>
  <conditionalFormatting sqref="R96:R105">
    <cfRule type="cellIs" dxfId="1081" priority="1082" operator="lessThan">
      <formula>0.8</formula>
    </cfRule>
    <cfRule type="cellIs" dxfId="1080" priority="1083" operator="greaterThan">
      <formula>1</formula>
    </cfRule>
  </conditionalFormatting>
  <conditionalFormatting sqref="R96:R105">
    <cfRule type="cellIs" dxfId="1079" priority="1080" operator="greaterThan">
      <formula>1</formula>
    </cfRule>
    <cfRule type="cellIs" dxfId="1078" priority="1081" operator="lessThan">
      <formula>0.8</formula>
    </cfRule>
  </conditionalFormatting>
  <conditionalFormatting sqref="P96:P105">
    <cfRule type="cellIs" dxfId="1077" priority="1079" operator="greaterThan">
      <formula>0</formula>
    </cfRule>
  </conditionalFormatting>
  <conditionalFormatting sqref="Q96:Q105">
    <cfRule type="cellIs" dxfId="1076" priority="1077" operator="lessThan">
      <formula>0</formula>
    </cfRule>
  </conditionalFormatting>
  <conditionalFormatting sqref="R96:R105">
    <cfRule type="cellIs" dxfId="1075" priority="1075" operator="lessThan">
      <formula>0.8</formula>
    </cfRule>
    <cfRule type="cellIs" dxfId="1074" priority="1076" operator="greaterThan">
      <formula>1</formula>
    </cfRule>
  </conditionalFormatting>
  <conditionalFormatting sqref="R96:R105">
    <cfRule type="cellIs" dxfId="1073" priority="1073" operator="greaterThan">
      <formula>1</formula>
    </cfRule>
    <cfRule type="cellIs" dxfId="1072" priority="1074" operator="lessThan">
      <formula>0.8</formula>
    </cfRule>
  </conditionalFormatting>
  <conditionalFormatting sqref="P96:P105">
    <cfRule type="cellIs" dxfId="1071" priority="1072" operator="greaterThan">
      <formula>0</formula>
    </cfRule>
  </conditionalFormatting>
  <conditionalFormatting sqref="Q96:Q105">
    <cfRule type="cellIs" dxfId="1070" priority="1071" operator="lessThan">
      <formula>0</formula>
    </cfRule>
  </conditionalFormatting>
  <conditionalFormatting sqref="R96:R105">
    <cfRule type="cellIs" dxfId="1069" priority="1069" operator="lessThan">
      <formula>0.8</formula>
    </cfRule>
    <cfRule type="cellIs" dxfId="1068" priority="1070" operator="greaterThan">
      <formula>1</formula>
    </cfRule>
  </conditionalFormatting>
  <conditionalFormatting sqref="R96:R105">
    <cfRule type="cellIs" dxfId="1067" priority="1067" operator="greaterThan">
      <formula>1</formula>
    </cfRule>
    <cfRule type="cellIs" dxfId="1066" priority="1068" operator="lessThan">
      <formula>0.8</formula>
    </cfRule>
  </conditionalFormatting>
  <conditionalFormatting sqref="P96:P105">
    <cfRule type="cellIs" dxfId="1065" priority="1066" operator="greaterThan">
      <formula>0</formula>
    </cfRule>
  </conditionalFormatting>
  <conditionalFormatting sqref="P124 P127 P130">
    <cfRule type="cellIs" dxfId="1064" priority="1060" operator="greaterThan">
      <formula>0</formula>
    </cfRule>
  </conditionalFormatting>
  <conditionalFormatting sqref="Q124 Q127 Q130">
    <cfRule type="cellIs" dxfId="1063" priority="1065" operator="lessThan">
      <formula>0</formula>
    </cfRule>
  </conditionalFormatting>
  <conditionalFormatting sqref="R124 R127 R130">
    <cfRule type="cellIs" dxfId="1062" priority="1063" operator="lessThan">
      <formula>0.8</formula>
    </cfRule>
    <cfRule type="cellIs" dxfId="1061" priority="1064" operator="greaterThan">
      <formula>1</formula>
    </cfRule>
  </conditionalFormatting>
  <conditionalFormatting sqref="R124 R127 R130">
    <cfRule type="cellIs" dxfId="1060" priority="1061" operator="greaterThan">
      <formula>1</formula>
    </cfRule>
    <cfRule type="cellIs" dxfId="1059" priority="1062" operator="lessThan">
      <formula>0.8</formula>
    </cfRule>
  </conditionalFormatting>
  <conditionalFormatting sqref="Q124 Q127 Q130">
    <cfRule type="cellIs" dxfId="1058" priority="1059" operator="lessThan">
      <formula>0</formula>
    </cfRule>
  </conditionalFormatting>
  <conditionalFormatting sqref="R124 R127 R130">
    <cfRule type="cellIs" dxfId="1057" priority="1057" operator="lessThan">
      <formula>0.8</formula>
    </cfRule>
    <cfRule type="cellIs" dxfId="1056" priority="1058" operator="greaterThan">
      <formula>1</formula>
    </cfRule>
  </conditionalFormatting>
  <conditionalFormatting sqref="R124 R127 R130">
    <cfRule type="cellIs" dxfId="1055" priority="1055" operator="greaterThan">
      <formula>1</formula>
    </cfRule>
    <cfRule type="cellIs" dxfId="1054" priority="1056" operator="lessThan">
      <formula>0.8</formula>
    </cfRule>
  </conditionalFormatting>
  <conditionalFormatting sqref="P124 P127 P130">
    <cfRule type="cellIs" dxfId="1053" priority="1054" operator="greaterThan">
      <formula>0</formula>
    </cfRule>
  </conditionalFormatting>
  <conditionalFormatting sqref="Q123 Q125:Q126 Q131 Q128:Q129">
    <cfRule type="cellIs" dxfId="1052" priority="1053" operator="lessThan">
      <formula>0</formula>
    </cfRule>
  </conditionalFormatting>
  <conditionalFormatting sqref="R123 R125:R126 R131 R128:R129">
    <cfRule type="cellIs" dxfId="1051" priority="1051" operator="lessThan">
      <formula>0.8</formula>
    </cfRule>
    <cfRule type="cellIs" dxfId="1050" priority="1052" operator="greaterThan">
      <formula>1</formula>
    </cfRule>
  </conditionalFormatting>
  <conditionalFormatting sqref="R123 R125:R126 R131 R128:R129">
    <cfRule type="cellIs" dxfId="1049" priority="1049" operator="greaterThan">
      <formula>1</formula>
    </cfRule>
    <cfRule type="cellIs" dxfId="1048" priority="1050" operator="lessThan">
      <formula>0.8</formula>
    </cfRule>
  </conditionalFormatting>
  <conditionalFormatting sqref="P123 P125:P126 P131 P128:P129">
    <cfRule type="cellIs" dxfId="1047" priority="1048" operator="greaterThan">
      <formula>0</formula>
    </cfRule>
  </conditionalFormatting>
  <conditionalFormatting sqref="P123 P125:P126 P131 P128:P129">
    <cfRule type="cellIs" dxfId="1046" priority="1042" operator="greaterThan">
      <formula>0</formula>
    </cfRule>
  </conditionalFormatting>
  <conditionalFormatting sqref="Q123 Q125:Q126 Q131 Q128:Q129">
    <cfRule type="cellIs" dxfId="1045" priority="1047" operator="lessThan">
      <formula>0</formula>
    </cfRule>
  </conditionalFormatting>
  <conditionalFormatting sqref="R123 R125:R126 R131 R128:R129">
    <cfRule type="cellIs" dxfId="1044" priority="1045" operator="lessThan">
      <formula>0.8</formula>
    </cfRule>
    <cfRule type="cellIs" dxfId="1043" priority="1046" operator="greaterThan">
      <formula>1</formula>
    </cfRule>
  </conditionalFormatting>
  <conditionalFormatting sqref="R123 R125:R126 R131 R128:R129">
    <cfRule type="cellIs" dxfId="1042" priority="1043" operator="greaterThan">
      <formula>1</formula>
    </cfRule>
    <cfRule type="cellIs" dxfId="1041" priority="1044" operator="lessThan">
      <formula>0.8</formula>
    </cfRule>
  </conditionalFormatting>
  <conditionalFormatting sqref="P122">
    <cfRule type="cellIs" dxfId="1040" priority="1036" operator="greaterThan">
      <formula>0</formula>
    </cfRule>
  </conditionalFormatting>
  <conditionalFormatting sqref="Q122">
    <cfRule type="cellIs" dxfId="1039" priority="1041" operator="lessThan">
      <formula>0</formula>
    </cfRule>
  </conditionalFormatting>
  <conditionalFormatting sqref="R122">
    <cfRule type="cellIs" dxfId="1038" priority="1039" operator="lessThan">
      <formula>0.8</formula>
    </cfRule>
    <cfRule type="cellIs" dxfId="1037" priority="1040" operator="greaterThan">
      <formula>1</formula>
    </cfRule>
  </conditionalFormatting>
  <conditionalFormatting sqref="R122">
    <cfRule type="cellIs" dxfId="1036" priority="1037" operator="greaterThan">
      <formula>1</formula>
    </cfRule>
    <cfRule type="cellIs" dxfId="1035" priority="1038" operator="lessThan">
      <formula>0.8</formula>
    </cfRule>
  </conditionalFormatting>
  <conditionalFormatting sqref="P137 P143 P140">
    <cfRule type="cellIs" dxfId="1034" priority="1035" operator="greaterThan">
      <formula>0</formula>
    </cfRule>
  </conditionalFormatting>
  <conditionalFormatting sqref="Q137:Q143">
    <cfRule type="cellIs" dxfId="1033" priority="1034" operator="lessThan">
      <formula>0</formula>
    </cfRule>
  </conditionalFormatting>
  <conditionalFormatting sqref="R137 R143">
    <cfRule type="cellIs" dxfId="1032" priority="1032" operator="lessThan">
      <formula>0.8</formula>
    </cfRule>
    <cfRule type="cellIs" dxfId="1031" priority="1033" operator="greaterThan">
      <formula>1</formula>
    </cfRule>
  </conditionalFormatting>
  <conditionalFormatting sqref="R137 R143">
    <cfRule type="cellIs" dxfId="1030" priority="1030" operator="greaterThan">
      <formula>1</formula>
    </cfRule>
    <cfRule type="cellIs" dxfId="1029" priority="1031" operator="lessThan">
      <formula>0.8</formula>
    </cfRule>
  </conditionalFormatting>
  <conditionalFormatting sqref="P137 P143 P140">
    <cfRule type="cellIs" dxfId="1028" priority="1029" operator="greaterThan">
      <formula>0</formula>
    </cfRule>
  </conditionalFormatting>
  <conditionalFormatting sqref="Q137:Q143">
    <cfRule type="cellIs" dxfId="1027" priority="1028" operator="lessThan">
      <formula>0</formula>
    </cfRule>
  </conditionalFormatting>
  <conditionalFormatting sqref="R137 R143">
    <cfRule type="cellIs" dxfId="1026" priority="1026" operator="lessThan">
      <formula>0.8</formula>
    </cfRule>
    <cfRule type="cellIs" dxfId="1025" priority="1027" operator="greaterThan">
      <formula>1</formula>
    </cfRule>
  </conditionalFormatting>
  <conditionalFormatting sqref="R137 R143">
    <cfRule type="cellIs" dxfId="1024" priority="1024" operator="greaterThan">
      <formula>1</formula>
    </cfRule>
    <cfRule type="cellIs" dxfId="1023" priority="1025" operator="lessThan">
      <formula>0.8</formula>
    </cfRule>
  </conditionalFormatting>
  <conditionalFormatting sqref="P137 P143 P140">
    <cfRule type="cellIs" dxfId="1022" priority="1023" operator="greaterThan">
      <formula>0</formula>
    </cfRule>
  </conditionalFormatting>
  <conditionalFormatting sqref="P137 P143 P140">
    <cfRule type="cellIs" dxfId="1021" priority="1017" operator="greaterThan">
      <formula>0</formula>
    </cfRule>
  </conditionalFormatting>
  <conditionalFormatting sqref="Q137:Q143">
    <cfRule type="cellIs" dxfId="1020" priority="1022" operator="lessThan">
      <formula>0</formula>
    </cfRule>
  </conditionalFormatting>
  <conditionalFormatting sqref="R137 R143">
    <cfRule type="cellIs" dxfId="1019" priority="1020" operator="lessThan">
      <formula>0.8</formula>
    </cfRule>
    <cfRule type="cellIs" dxfId="1018" priority="1021" operator="greaterThan">
      <formula>1</formula>
    </cfRule>
  </conditionalFormatting>
  <conditionalFormatting sqref="R137 R143">
    <cfRule type="cellIs" dxfId="1017" priority="1018" operator="greaterThan">
      <formula>1</formula>
    </cfRule>
    <cfRule type="cellIs" dxfId="1016" priority="1019" operator="lessThan">
      <formula>0.8</formula>
    </cfRule>
  </conditionalFormatting>
  <conditionalFormatting sqref="Q137:Q143">
    <cfRule type="cellIs" dxfId="1015" priority="1016" operator="lessThan">
      <formula>0</formula>
    </cfRule>
  </conditionalFormatting>
  <conditionalFormatting sqref="R137 R143">
    <cfRule type="cellIs" dxfId="1014" priority="1014" operator="lessThan">
      <formula>0.8</formula>
    </cfRule>
    <cfRule type="cellIs" dxfId="1013" priority="1015" operator="greaterThan">
      <formula>1</formula>
    </cfRule>
  </conditionalFormatting>
  <conditionalFormatting sqref="R137 R143">
    <cfRule type="cellIs" dxfId="1012" priority="1012" operator="greaterThan">
      <formula>1</formula>
    </cfRule>
    <cfRule type="cellIs" dxfId="1011" priority="1013" operator="lessThan">
      <formula>0.8</formula>
    </cfRule>
  </conditionalFormatting>
  <conditionalFormatting sqref="P137 P143 P140">
    <cfRule type="cellIs" dxfId="1010" priority="1011" operator="greaterThan">
      <formula>0</formula>
    </cfRule>
  </conditionalFormatting>
  <conditionalFormatting sqref="Q137:Q143">
    <cfRule type="cellIs" dxfId="1009" priority="1010" operator="lessThan">
      <formula>0</formula>
    </cfRule>
  </conditionalFormatting>
  <conditionalFormatting sqref="R137 R143">
    <cfRule type="cellIs" dxfId="1008" priority="1008" operator="lessThan">
      <formula>0.8</formula>
    </cfRule>
    <cfRule type="cellIs" dxfId="1007" priority="1009" operator="greaterThan">
      <formula>1</formula>
    </cfRule>
  </conditionalFormatting>
  <conditionalFormatting sqref="R137 R143">
    <cfRule type="cellIs" dxfId="1006" priority="1006" operator="greaterThan">
      <formula>1</formula>
    </cfRule>
    <cfRule type="cellIs" dxfId="1005" priority="1007" operator="lessThan">
      <formula>0.8</formula>
    </cfRule>
  </conditionalFormatting>
  <conditionalFormatting sqref="P137 P143 P140">
    <cfRule type="cellIs" dxfId="1004" priority="1005" operator="greaterThan">
      <formula>0</formula>
    </cfRule>
  </conditionalFormatting>
  <conditionalFormatting sqref="P137 P143 P140">
    <cfRule type="cellIs" dxfId="1003" priority="999" operator="greaterThan">
      <formula>0</formula>
    </cfRule>
  </conditionalFormatting>
  <conditionalFormatting sqref="Q137:Q143">
    <cfRule type="cellIs" dxfId="1002" priority="1004" operator="lessThan">
      <formula>0</formula>
    </cfRule>
  </conditionalFormatting>
  <conditionalFormatting sqref="R137 R143">
    <cfRule type="cellIs" dxfId="1001" priority="1002" operator="lessThan">
      <formula>0.8</formula>
    </cfRule>
    <cfRule type="cellIs" dxfId="1000" priority="1003" operator="greaterThan">
      <formula>1</formula>
    </cfRule>
  </conditionalFormatting>
  <conditionalFormatting sqref="R137 R143">
    <cfRule type="cellIs" dxfId="999" priority="1000" operator="greaterThan">
      <formula>1</formula>
    </cfRule>
    <cfRule type="cellIs" dxfId="998" priority="1001" operator="lessThan">
      <formula>0.8</formula>
    </cfRule>
  </conditionalFormatting>
  <conditionalFormatting sqref="Q137:Q143">
    <cfRule type="cellIs" dxfId="997" priority="998" operator="lessThan">
      <formula>0</formula>
    </cfRule>
  </conditionalFormatting>
  <conditionalFormatting sqref="R137 R143">
    <cfRule type="cellIs" dxfId="996" priority="996" operator="lessThan">
      <formula>0.8</formula>
    </cfRule>
    <cfRule type="cellIs" dxfId="995" priority="997" operator="greaterThan">
      <formula>1</formula>
    </cfRule>
  </conditionalFormatting>
  <conditionalFormatting sqref="R137 R143">
    <cfRule type="cellIs" dxfId="994" priority="994" operator="greaterThan">
      <formula>1</formula>
    </cfRule>
    <cfRule type="cellIs" dxfId="993" priority="995" operator="lessThan">
      <formula>0.8</formula>
    </cfRule>
  </conditionalFormatting>
  <conditionalFormatting sqref="P137 P143 P140">
    <cfRule type="cellIs" dxfId="992" priority="993" operator="greaterThan">
      <formula>0</formula>
    </cfRule>
  </conditionalFormatting>
  <conditionalFormatting sqref="Q137:Q143">
    <cfRule type="cellIs" dxfId="991" priority="992" operator="lessThan">
      <formula>0</formula>
    </cfRule>
  </conditionalFormatting>
  <conditionalFormatting sqref="R137 R143">
    <cfRule type="cellIs" dxfId="990" priority="990" operator="lessThan">
      <formula>0.8</formula>
    </cfRule>
    <cfRule type="cellIs" dxfId="989" priority="991" operator="greaterThan">
      <formula>1</formula>
    </cfRule>
  </conditionalFormatting>
  <conditionalFormatting sqref="R137 R143">
    <cfRule type="cellIs" dxfId="988" priority="988" operator="greaterThan">
      <formula>1</formula>
    </cfRule>
    <cfRule type="cellIs" dxfId="987" priority="989" operator="lessThan">
      <formula>0.8</formula>
    </cfRule>
  </conditionalFormatting>
  <conditionalFormatting sqref="P137 P143 P140">
    <cfRule type="cellIs" dxfId="986" priority="987" operator="greaterThan">
      <formula>0</formula>
    </cfRule>
  </conditionalFormatting>
  <conditionalFormatting sqref="P137 P143 P140">
    <cfRule type="cellIs" dxfId="985" priority="981" operator="greaterThan">
      <formula>0</formula>
    </cfRule>
  </conditionalFormatting>
  <conditionalFormatting sqref="Q137:Q143">
    <cfRule type="cellIs" dxfId="984" priority="986" operator="lessThan">
      <formula>0</formula>
    </cfRule>
  </conditionalFormatting>
  <conditionalFormatting sqref="R137 R143">
    <cfRule type="cellIs" dxfId="983" priority="984" operator="lessThan">
      <formula>0.8</formula>
    </cfRule>
    <cfRule type="cellIs" dxfId="982" priority="985" operator="greaterThan">
      <formula>1</formula>
    </cfRule>
  </conditionalFormatting>
  <conditionalFormatting sqref="R137 R143">
    <cfRule type="cellIs" dxfId="981" priority="982" operator="greaterThan">
      <formula>1</formula>
    </cfRule>
    <cfRule type="cellIs" dxfId="980" priority="983" operator="lessThan">
      <formula>0.8</formula>
    </cfRule>
  </conditionalFormatting>
  <conditionalFormatting sqref="Q137:Q143">
    <cfRule type="cellIs" dxfId="979" priority="980" operator="lessThan">
      <formula>0</formula>
    </cfRule>
  </conditionalFormatting>
  <conditionalFormatting sqref="R137 R143">
    <cfRule type="cellIs" dxfId="978" priority="978" operator="lessThan">
      <formula>0.8</formula>
    </cfRule>
    <cfRule type="cellIs" dxfId="977" priority="979" operator="greaterThan">
      <formula>1</formula>
    </cfRule>
  </conditionalFormatting>
  <conditionalFormatting sqref="R137 R143">
    <cfRule type="cellIs" dxfId="976" priority="976" operator="greaterThan">
      <formula>1</formula>
    </cfRule>
    <cfRule type="cellIs" dxfId="975" priority="977" operator="lessThan">
      <formula>0.8</formula>
    </cfRule>
  </conditionalFormatting>
  <conditionalFormatting sqref="P137 P143 P140">
    <cfRule type="cellIs" dxfId="974" priority="975" operator="greaterThan">
      <formula>0</formula>
    </cfRule>
  </conditionalFormatting>
  <conditionalFormatting sqref="P138 P144 P141">
    <cfRule type="cellIs" dxfId="973" priority="969" operator="greaterThan">
      <formula>0</formula>
    </cfRule>
  </conditionalFormatting>
  <conditionalFormatting sqref="Q144">
    <cfRule type="cellIs" dxfId="972" priority="974" operator="lessThan">
      <formula>0</formula>
    </cfRule>
  </conditionalFormatting>
  <conditionalFormatting sqref="R138 R144">
    <cfRule type="cellIs" dxfId="971" priority="972" operator="lessThan">
      <formula>0.8</formula>
    </cfRule>
    <cfRule type="cellIs" dxfId="970" priority="973" operator="greaterThan">
      <formula>1</formula>
    </cfRule>
  </conditionalFormatting>
  <conditionalFormatting sqref="R138 R144">
    <cfRule type="cellIs" dxfId="969" priority="970" operator="greaterThan">
      <formula>1</formula>
    </cfRule>
    <cfRule type="cellIs" dxfId="968" priority="971" operator="lessThan">
      <formula>0.8</formula>
    </cfRule>
  </conditionalFormatting>
  <conditionalFormatting sqref="Q144">
    <cfRule type="cellIs" dxfId="967" priority="968" operator="lessThan">
      <formula>0</formula>
    </cfRule>
  </conditionalFormatting>
  <conditionalFormatting sqref="R138 R144">
    <cfRule type="cellIs" dxfId="966" priority="966" operator="lessThan">
      <formula>0.8</formula>
    </cfRule>
    <cfRule type="cellIs" dxfId="965" priority="967" operator="greaterThan">
      <formula>1</formula>
    </cfRule>
  </conditionalFormatting>
  <conditionalFormatting sqref="R138 R144">
    <cfRule type="cellIs" dxfId="964" priority="964" operator="greaterThan">
      <formula>1</formula>
    </cfRule>
    <cfRule type="cellIs" dxfId="963" priority="965" operator="lessThan">
      <formula>0.8</formula>
    </cfRule>
  </conditionalFormatting>
  <conditionalFormatting sqref="P138 P144 P141">
    <cfRule type="cellIs" dxfId="962" priority="963" operator="greaterThan">
      <formula>0</formula>
    </cfRule>
  </conditionalFormatting>
  <conditionalFormatting sqref="Q144">
    <cfRule type="cellIs" dxfId="961" priority="962" operator="lessThan">
      <formula>0</formula>
    </cfRule>
  </conditionalFormatting>
  <conditionalFormatting sqref="R138 R144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 R144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 P144 P141">
    <cfRule type="cellIs" dxfId="956" priority="957" operator="greaterThan">
      <formula>0</formula>
    </cfRule>
  </conditionalFormatting>
  <conditionalFormatting sqref="Q144">
    <cfRule type="cellIs" dxfId="955" priority="956" operator="lessThan">
      <formula>0</formula>
    </cfRule>
  </conditionalFormatting>
  <conditionalFormatting sqref="R138 R144">
    <cfRule type="cellIs" dxfId="954" priority="954" operator="lessThan">
      <formula>0.8</formula>
    </cfRule>
    <cfRule type="cellIs" dxfId="953" priority="955" operator="greaterThan">
      <formula>1</formula>
    </cfRule>
  </conditionalFormatting>
  <conditionalFormatting sqref="R138 R144">
    <cfRule type="cellIs" dxfId="952" priority="952" operator="greaterThan">
      <formula>1</formula>
    </cfRule>
    <cfRule type="cellIs" dxfId="951" priority="953" operator="lessThan">
      <formula>0.8</formula>
    </cfRule>
  </conditionalFormatting>
  <conditionalFormatting sqref="P138 P144 P141">
    <cfRule type="cellIs" dxfId="950" priority="951" operator="greaterThan">
      <formula>0</formula>
    </cfRule>
  </conditionalFormatting>
  <conditionalFormatting sqref="Q144">
    <cfRule type="cellIs" dxfId="949" priority="950" operator="lessThan">
      <formula>0</formula>
    </cfRule>
  </conditionalFormatting>
  <conditionalFormatting sqref="R138 R144">
    <cfRule type="cellIs" dxfId="948" priority="948" operator="lessThan">
      <formula>0.8</formula>
    </cfRule>
    <cfRule type="cellIs" dxfId="947" priority="949" operator="greaterThan">
      <formula>1</formula>
    </cfRule>
  </conditionalFormatting>
  <conditionalFormatting sqref="R138 R144">
    <cfRule type="cellIs" dxfId="946" priority="946" operator="greaterThan">
      <formula>1</formula>
    </cfRule>
    <cfRule type="cellIs" dxfId="945" priority="947" operator="lessThan">
      <formula>0.8</formula>
    </cfRule>
  </conditionalFormatting>
  <conditionalFormatting sqref="Q144">
    <cfRule type="cellIs" dxfId="944" priority="945" operator="lessThan">
      <formula>0</formula>
    </cfRule>
  </conditionalFormatting>
  <conditionalFormatting sqref="R138 R144">
    <cfRule type="cellIs" dxfId="943" priority="943" operator="lessThan">
      <formula>0.8</formula>
    </cfRule>
    <cfRule type="cellIs" dxfId="942" priority="944" operator="greaterThan">
      <formula>1</formula>
    </cfRule>
  </conditionalFormatting>
  <conditionalFormatting sqref="R138 R144">
    <cfRule type="cellIs" dxfId="941" priority="941" operator="greaterThan">
      <formula>1</formula>
    </cfRule>
    <cfRule type="cellIs" dxfId="940" priority="942" operator="lessThan">
      <formula>0.8</formula>
    </cfRule>
  </conditionalFormatting>
  <conditionalFormatting sqref="P138 P144 P141">
    <cfRule type="cellIs" dxfId="939" priority="940" operator="greaterThan">
      <formula>0</formula>
    </cfRule>
  </conditionalFormatting>
  <conditionalFormatting sqref="P138 P144 P141">
    <cfRule type="cellIs" dxfId="938" priority="934" operator="greaterThan">
      <formula>0</formula>
    </cfRule>
  </conditionalFormatting>
  <conditionalFormatting sqref="Q144">
    <cfRule type="cellIs" dxfId="937" priority="939" operator="lessThan">
      <formula>0</formula>
    </cfRule>
  </conditionalFormatting>
  <conditionalFormatting sqref="R138 R144">
    <cfRule type="cellIs" dxfId="936" priority="937" operator="lessThan">
      <formula>0.8</formula>
    </cfRule>
    <cfRule type="cellIs" dxfId="935" priority="938" operator="greaterThan">
      <formula>1</formula>
    </cfRule>
  </conditionalFormatting>
  <conditionalFormatting sqref="R138 R144">
    <cfRule type="cellIs" dxfId="934" priority="935" operator="greaterThan">
      <formula>1</formula>
    </cfRule>
    <cfRule type="cellIs" dxfId="933" priority="936" operator="lessThan">
      <formula>0.8</formula>
    </cfRule>
  </conditionalFormatting>
  <conditionalFormatting sqref="Q144">
    <cfRule type="cellIs" dxfId="932" priority="933" operator="lessThan">
      <formula>0</formula>
    </cfRule>
  </conditionalFormatting>
  <conditionalFormatting sqref="R138 R144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 R144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 P144 P141">
    <cfRule type="cellIs" dxfId="927" priority="928" operator="greaterThan">
      <formula>0</formula>
    </cfRule>
  </conditionalFormatting>
  <conditionalFormatting sqref="Q148:Q153">
    <cfRule type="cellIs" dxfId="926" priority="927" operator="lessThan">
      <formula>0</formula>
    </cfRule>
  </conditionalFormatting>
  <conditionalFormatting sqref="R148:R153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3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3">
    <cfRule type="cellIs" dxfId="921" priority="922" operator="greaterThan">
      <formula>0</formula>
    </cfRule>
  </conditionalFormatting>
  <conditionalFormatting sqref="P148:P153">
    <cfRule type="cellIs" dxfId="920" priority="916" operator="greaterThan">
      <formula>0</formula>
    </cfRule>
  </conditionalFormatting>
  <conditionalFormatting sqref="Q148:Q153">
    <cfRule type="cellIs" dxfId="919" priority="921" operator="lessThan">
      <formula>0</formula>
    </cfRule>
  </conditionalFormatting>
  <conditionalFormatting sqref="R148:R153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3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3">
    <cfRule type="cellIs" dxfId="914" priority="915" operator="lessThan">
      <formula>0</formula>
    </cfRule>
  </conditionalFormatting>
  <conditionalFormatting sqref="R148:R153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3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3">
    <cfRule type="cellIs" dxfId="909" priority="910" operator="greaterThan">
      <formula>0</formula>
    </cfRule>
  </conditionalFormatting>
  <conditionalFormatting sqref="Q148:Q153">
    <cfRule type="cellIs" dxfId="908" priority="909" operator="lessThan">
      <formula>0</formula>
    </cfRule>
  </conditionalFormatting>
  <conditionalFormatting sqref="R148:R153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3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3">
    <cfRule type="cellIs" dxfId="903" priority="904" operator="greaterThan">
      <formula>0</formula>
    </cfRule>
  </conditionalFormatting>
  <conditionalFormatting sqref="P148:P153">
    <cfRule type="cellIs" dxfId="902" priority="898" operator="greaterThan">
      <formula>0</formula>
    </cfRule>
  </conditionalFormatting>
  <conditionalFormatting sqref="Q148:Q153">
    <cfRule type="cellIs" dxfId="901" priority="903" operator="lessThan">
      <formula>0</formula>
    </cfRule>
  </conditionalFormatting>
  <conditionalFormatting sqref="R148:R153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3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3">
    <cfRule type="cellIs" dxfId="896" priority="897" operator="lessThan">
      <formula>0</formula>
    </cfRule>
  </conditionalFormatting>
  <conditionalFormatting sqref="R148:R153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3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3">
    <cfRule type="cellIs" dxfId="891" priority="892" operator="greaterThan">
      <formula>0</formula>
    </cfRule>
  </conditionalFormatting>
  <conditionalFormatting sqref="Q148:Q153">
    <cfRule type="cellIs" dxfId="890" priority="886" operator="lessThan">
      <formula>0</formula>
    </cfRule>
  </conditionalFormatting>
  <conditionalFormatting sqref="P148:P153">
    <cfRule type="cellIs" dxfId="889" priority="887" operator="greaterThan">
      <formula>0</formula>
    </cfRule>
  </conditionalFormatting>
  <conditionalFormatting sqref="R148:R153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3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3">
    <cfRule type="cellIs" dxfId="884" priority="880" operator="lessThan">
      <formula>0</formula>
    </cfRule>
  </conditionalFormatting>
  <conditionalFormatting sqref="R148:R153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3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3">
    <cfRule type="cellIs" dxfId="879" priority="881" operator="greaterThan">
      <formula>0</formula>
    </cfRule>
  </conditionalFormatting>
  <conditionalFormatting sqref="Q148:Q153">
    <cfRule type="cellIs" dxfId="878" priority="879" operator="lessThan">
      <formula>0</formula>
    </cfRule>
  </conditionalFormatting>
  <conditionalFormatting sqref="R148:R153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3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3">
    <cfRule type="cellIs" dxfId="873" priority="874" operator="greaterThan">
      <formula>0</formula>
    </cfRule>
  </conditionalFormatting>
  <conditionalFormatting sqref="Q148:Q153">
    <cfRule type="cellIs" dxfId="872" priority="873" operator="lessThan">
      <formula>0</formula>
    </cfRule>
  </conditionalFormatting>
  <conditionalFormatting sqref="R148:R153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3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3">
    <cfRule type="cellIs" dxfId="867" priority="868" operator="greaterThan">
      <formula>0</formula>
    </cfRule>
  </conditionalFormatting>
  <conditionalFormatting sqref="Q148:Q153">
    <cfRule type="cellIs" dxfId="866" priority="867" operator="lessThan">
      <formula>0</formula>
    </cfRule>
  </conditionalFormatting>
  <conditionalFormatting sqref="R148:R153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3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3">
    <cfRule type="cellIs" dxfId="861" priority="862" operator="greaterThan">
      <formula>0</formula>
    </cfRule>
  </conditionalFormatting>
  <conditionalFormatting sqref="Q148:Q153">
    <cfRule type="cellIs" dxfId="860" priority="861" operator="lessThan">
      <formula>0</formula>
    </cfRule>
  </conditionalFormatting>
  <conditionalFormatting sqref="R148:R153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3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3">
    <cfRule type="cellIs" dxfId="855" priority="856" operator="greaterThan">
      <formula>0</formula>
    </cfRule>
  </conditionalFormatting>
  <conditionalFormatting sqref="Q148:Q153">
    <cfRule type="cellIs" dxfId="854" priority="855" operator="lessThan">
      <formula>0</formula>
    </cfRule>
  </conditionalFormatting>
  <conditionalFormatting sqref="R148:R153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3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3">
    <cfRule type="cellIs" dxfId="849" priority="850" operator="greaterThan">
      <formula>0</formula>
    </cfRule>
  </conditionalFormatting>
  <conditionalFormatting sqref="Q148:Q153">
    <cfRule type="cellIs" dxfId="848" priority="849" operator="lessThan">
      <formula>0</formula>
    </cfRule>
  </conditionalFormatting>
  <conditionalFormatting sqref="R148:R153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3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3">
    <cfRule type="cellIs" dxfId="843" priority="844" operator="greaterThan">
      <formula>0</formula>
    </cfRule>
  </conditionalFormatting>
  <conditionalFormatting sqref="Q148:Q153">
    <cfRule type="cellIs" dxfId="842" priority="843" operator="lessThan">
      <formula>0</formula>
    </cfRule>
  </conditionalFormatting>
  <conditionalFormatting sqref="R148:R153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3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3">
    <cfRule type="cellIs" dxfId="837" priority="838" operator="greaterThan">
      <formula>0</formula>
    </cfRule>
  </conditionalFormatting>
  <conditionalFormatting sqref="P148:P153">
    <cfRule type="cellIs" dxfId="836" priority="832" operator="greaterThan">
      <formula>0</formula>
    </cfRule>
  </conditionalFormatting>
  <conditionalFormatting sqref="Q148:Q153">
    <cfRule type="cellIs" dxfId="835" priority="837" operator="lessThan">
      <formula>0</formula>
    </cfRule>
  </conditionalFormatting>
  <conditionalFormatting sqref="R148:R153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3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3">
    <cfRule type="cellIs" dxfId="830" priority="826" operator="greaterThan">
      <formula>0</formula>
    </cfRule>
  </conditionalFormatting>
  <conditionalFormatting sqref="Q148:Q153">
    <cfRule type="cellIs" dxfId="829" priority="831" operator="lessThan">
      <formula>0</formula>
    </cfRule>
  </conditionalFormatting>
  <conditionalFormatting sqref="R148:R153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3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3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3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3">
    <cfRule type="cellIs" dxfId="820" priority="820" operator="greaterThan">
      <formula>0</formula>
    </cfRule>
  </conditionalFormatting>
  <conditionalFormatting sqref="Q148:Q153">
    <cfRule type="cellIs" dxfId="819" priority="825" operator="lessThan">
      <formula>0</formula>
    </cfRule>
  </conditionalFormatting>
  <conditionalFormatting sqref="Q148:Q153">
    <cfRule type="cellIs" dxfId="818" priority="819" operator="lessThan">
      <formula>0</formula>
    </cfRule>
  </conditionalFormatting>
  <conditionalFormatting sqref="R148:R153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3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3">
    <cfRule type="cellIs" dxfId="813" priority="814" operator="greaterThan">
      <formula>0</formula>
    </cfRule>
  </conditionalFormatting>
  <conditionalFormatting sqref="P148:P153">
    <cfRule type="cellIs" dxfId="812" priority="808" operator="greaterThan">
      <formula>0</formula>
    </cfRule>
  </conditionalFormatting>
  <conditionalFormatting sqref="Q148:Q153">
    <cfRule type="cellIs" dxfId="811" priority="813" operator="lessThan">
      <formula>0</formula>
    </cfRule>
  </conditionalFormatting>
  <conditionalFormatting sqref="R148:R153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3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3">
    <cfRule type="cellIs" dxfId="806" priority="802" operator="greaterThan">
      <formula>0</formula>
    </cfRule>
  </conditionalFormatting>
  <conditionalFormatting sqref="Q148:Q153">
    <cfRule type="cellIs" dxfId="805" priority="807" operator="lessThan">
      <formula>0</formula>
    </cfRule>
  </conditionalFormatting>
  <conditionalFormatting sqref="R148:R153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3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3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3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3">
    <cfRule type="cellIs" dxfId="796" priority="796" operator="greaterThan">
      <formula>0</formula>
    </cfRule>
  </conditionalFormatting>
  <conditionalFormatting sqref="Q148:Q153">
    <cfRule type="cellIs" dxfId="795" priority="801" operator="lessThan">
      <formula>0</formula>
    </cfRule>
  </conditionalFormatting>
  <conditionalFormatting sqref="P148:P153">
    <cfRule type="cellIs" dxfId="794" priority="790" operator="greaterThan">
      <formula>0</formula>
    </cfRule>
  </conditionalFormatting>
  <conditionalFormatting sqref="Q148:Q153">
    <cfRule type="cellIs" dxfId="793" priority="795" operator="lessThan">
      <formula>0</formula>
    </cfRule>
  </conditionalFormatting>
  <conditionalFormatting sqref="R148:R153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3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3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3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3">
    <cfRule type="cellIs" dxfId="784" priority="784" operator="greaterThan">
      <formula>0</formula>
    </cfRule>
  </conditionalFormatting>
  <conditionalFormatting sqref="Q148:Q153">
    <cfRule type="cellIs" dxfId="783" priority="789" operator="lessThan">
      <formula>0</formula>
    </cfRule>
  </conditionalFormatting>
  <conditionalFormatting sqref="R148:R153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3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3">
    <cfRule type="cellIs" dxfId="778" priority="778" operator="greaterThan">
      <formula>0</formula>
    </cfRule>
  </conditionalFormatting>
  <conditionalFormatting sqref="Q148:Q153">
    <cfRule type="cellIs" dxfId="777" priority="783" operator="lessThan">
      <formula>0</formula>
    </cfRule>
  </conditionalFormatting>
  <conditionalFormatting sqref="Q148:Q153">
    <cfRule type="cellIs" dxfId="776" priority="777" operator="lessThan">
      <formula>0</formula>
    </cfRule>
  </conditionalFormatting>
  <conditionalFormatting sqref="R148:R153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3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3">
    <cfRule type="cellIs" dxfId="771" priority="772" operator="greaterThan">
      <formula>0</formula>
    </cfRule>
  </conditionalFormatting>
  <conditionalFormatting sqref="Q148:Q153">
    <cfRule type="cellIs" dxfId="770" priority="766" operator="lessThan">
      <formula>0</formula>
    </cfRule>
  </conditionalFormatting>
  <conditionalFormatting sqref="R148:R153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3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3">
    <cfRule type="cellIs" dxfId="765" priority="767" operator="greaterThan">
      <formula>0</formula>
    </cfRule>
  </conditionalFormatting>
  <conditionalFormatting sqref="Q148:Q153">
    <cfRule type="cellIs" dxfId="764" priority="765" operator="lessThan">
      <formula>0</formula>
    </cfRule>
  </conditionalFormatting>
  <conditionalFormatting sqref="R148:R153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3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3">
    <cfRule type="cellIs" dxfId="759" priority="760" operator="greaterThan">
      <formula>0</formula>
    </cfRule>
  </conditionalFormatting>
  <conditionalFormatting sqref="Q148:Q153">
    <cfRule type="cellIs" dxfId="758" priority="759" operator="lessThan">
      <formula>0</formula>
    </cfRule>
  </conditionalFormatting>
  <conditionalFormatting sqref="R148:R153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3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3">
    <cfRule type="cellIs" dxfId="753" priority="754" operator="greaterThan">
      <formula>0</formula>
    </cfRule>
  </conditionalFormatting>
  <conditionalFormatting sqref="Q148:Q153">
    <cfRule type="cellIs" dxfId="752" priority="753" operator="lessThan">
      <formula>0</formula>
    </cfRule>
  </conditionalFormatting>
  <conditionalFormatting sqref="R148:R153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3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3">
    <cfRule type="cellIs" dxfId="747" priority="748" operator="greaterThan">
      <formula>0</formula>
    </cfRule>
  </conditionalFormatting>
  <conditionalFormatting sqref="Q148:Q153">
    <cfRule type="cellIs" dxfId="746" priority="747" operator="lessThan">
      <formula>0</formula>
    </cfRule>
  </conditionalFormatting>
  <conditionalFormatting sqref="R148:R153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3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3">
    <cfRule type="cellIs" dxfId="741" priority="742" operator="greaterThan">
      <formula>0</formula>
    </cfRule>
  </conditionalFormatting>
  <conditionalFormatting sqref="Q148:Q153">
    <cfRule type="cellIs" dxfId="740" priority="741" operator="lessThan">
      <formula>0</formula>
    </cfRule>
  </conditionalFormatting>
  <conditionalFormatting sqref="R148:R153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3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3">
    <cfRule type="cellIs" dxfId="735" priority="736" operator="greaterThan">
      <formula>0</formula>
    </cfRule>
  </conditionalFormatting>
  <conditionalFormatting sqref="P148:P153">
    <cfRule type="cellIs" dxfId="734" priority="730" operator="greaterThan">
      <formula>0</formula>
    </cfRule>
  </conditionalFormatting>
  <conditionalFormatting sqref="Q148:Q153">
    <cfRule type="cellIs" dxfId="733" priority="735" operator="lessThan">
      <formula>0</formula>
    </cfRule>
  </conditionalFormatting>
  <conditionalFormatting sqref="R148:R153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3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3">
    <cfRule type="cellIs" dxfId="728" priority="724" operator="greaterThan">
      <formula>0</formula>
    </cfRule>
  </conditionalFormatting>
  <conditionalFormatting sqref="Q148:Q153">
    <cfRule type="cellIs" dxfId="727" priority="729" operator="lessThan">
      <formula>0</formula>
    </cfRule>
  </conditionalFormatting>
  <conditionalFormatting sqref="R148:R153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3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3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3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3">
    <cfRule type="cellIs" dxfId="718" priority="718" operator="greaterThan">
      <formula>0</formula>
    </cfRule>
  </conditionalFormatting>
  <conditionalFormatting sqref="Q148:Q153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6">
    <cfRule type="cellIs" dxfId="74" priority="75" operator="lessThan">
      <formula>0</formula>
    </cfRule>
  </conditionalFormatting>
  <conditionalFormatting sqref="R162:R166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6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6">
    <cfRule type="cellIs" dxfId="69" priority="70" operator="greaterThan">
      <formula>0</formula>
    </cfRule>
  </conditionalFormatting>
  <conditionalFormatting sqref="P167:P168">
    <cfRule type="cellIs" dxfId="68" priority="64" operator="greaterThan">
      <formula>0</formula>
    </cfRule>
  </conditionalFormatting>
  <conditionalFormatting sqref="R167: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7: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7: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6">
    <cfRule type="cellIs" dxfId="56" priority="57" operator="lessThan">
      <formula>0</formula>
    </cfRule>
  </conditionalFormatting>
  <conditionalFormatting sqref="R162:R166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6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6">
    <cfRule type="cellIs" dxfId="51" priority="52" operator="greaterThan">
      <formula>0</formula>
    </cfRule>
  </conditionalFormatting>
  <conditionalFormatting sqref="Q162:Q166">
    <cfRule type="cellIs" dxfId="50" priority="51" operator="lessThan">
      <formula>0</formula>
    </cfRule>
  </conditionalFormatting>
  <conditionalFormatting sqref="R162:R166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6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6">
    <cfRule type="cellIs" dxfId="45" priority="46" operator="greaterThan">
      <formula>0</formula>
    </cfRule>
  </conditionalFormatting>
  <conditionalFormatting sqref="Q167:Q168">
    <cfRule type="cellIs" dxfId="44" priority="45" operator="lessThan">
      <formula>0</formula>
    </cfRule>
  </conditionalFormatting>
  <conditionalFormatting sqref="R167: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7: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7: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6">
    <cfRule type="cellIs" dxfId="32" priority="33" operator="lessThan">
      <formula>0</formula>
    </cfRule>
  </conditionalFormatting>
  <conditionalFormatting sqref="R162:R166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6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6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6">
    <cfRule type="cellIs" dxfId="20" priority="21" operator="lessThan">
      <formula>0</formula>
    </cfRule>
  </conditionalFormatting>
  <conditionalFormatting sqref="R162:R166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6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6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7:P168">
    <cfRule type="cellIs" dxfId="8" priority="4" operator="greaterThan">
      <formula>0</formula>
    </cfRule>
  </conditionalFormatting>
  <conditionalFormatting sqref="R167: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7: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7: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4D2B5E-C762-463A-A15D-C2E75ED77C5A}"/>
</file>

<file path=customXml/itemProps2.xml><?xml version="1.0" encoding="utf-8"?>
<ds:datastoreItem xmlns:ds="http://schemas.openxmlformats.org/officeDocument/2006/customXml" ds:itemID="{9DE6E0BF-4D7E-4691-8704-3ACB0C8D5D80}"/>
</file>

<file path=customXml/itemProps3.xml><?xml version="1.0" encoding="utf-8"?>
<ds:datastoreItem xmlns:ds="http://schemas.openxmlformats.org/officeDocument/2006/customXml" ds:itemID="{94012857-5F03-4828-ABEF-5E57AD65A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0331</vt:lpstr>
      <vt:lpstr>晉欣18度C0331</vt:lpstr>
      <vt:lpstr>晉欣4度C0331</vt:lpstr>
      <vt:lpstr>0401</vt:lpstr>
      <vt:lpstr>晉欣18度C0401</vt:lpstr>
      <vt:lpstr>晉欣4度C0401</vt:lpstr>
      <vt:lpstr>0402</vt:lpstr>
      <vt:lpstr>晉欣18度C0402</vt:lpstr>
      <vt:lpstr>晉欣4度C0402</vt:lpstr>
      <vt:lpstr>0403</vt:lpstr>
      <vt:lpstr>晉欣18度C0403</vt:lpstr>
      <vt:lpstr>晉欣4度C0403</vt:lpstr>
      <vt:lpstr>0404</vt:lpstr>
      <vt:lpstr>晉欣18度C0404</vt:lpstr>
      <vt:lpstr>晉欣4度C0404</vt:lpstr>
      <vt:lpstr>0405</vt:lpstr>
      <vt:lpstr>晉欣18度C0405</vt:lpstr>
      <vt:lpstr>晉欣4度C0405</vt:lpstr>
      <vt:lpstr>0406</vt:lpstr>
      <vt:lpstr>晉欣18度C0406</vt:lpstr>
      <vt:lpstr>晉欣4度C0406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2026-04-07T07:24:25Z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