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" windowWidth="11544" windowHeight="9540" tabRatio="881" activeTab="8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306" l="1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K104" i="306"/>
  <c r="L104" i="306" s="1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L72" i="306"/>
  <c r="K72" i="306"/>
  <c r="H72" i="306"/>
  <c r="P71" i="306"/>
  <c r="K71" i="306" s="1"/>
  <c r="L71" i="306" s="1"/>
  <c r="H71" i="306"/>
  <c r="P70" i="306"/>
  <c r="L70" i="306"/>
  <c r="K70" i="306"/>
  <c r="H70" i="306"/>
  <c r="P69" i="306"/>
  <c r="K69" i="306" s="1"/>
  <c r="L69" i="306" s="1"/>
  <c r="H69" i="306"/>
  <c r="P68" i="306"/>
  <c r="L68" i="306"/>
  <c r="K68" i="306"/>
  <c r="H68" i="306"/>
  <c r="P67" i="306"/>
  <c r="K67" i="306" s="1"/>
  <c r="L67" i="306" s="1"/>
  <c r="H67" i="306"/>
  <c r="P66" i="306"/>
  <c r="L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L56" i="306"/>
  <c r="K56" i="306"/>
  <c r="H56" i="306"/>
  <c r="P55" i="306"/>
  <c r="K55" i="306" s="1"/>
  <c r="L55" i="306" s="1"/>
  <c r="H55" i="306"/>
  <c r="P54" i="306"/>
  <c r="L54" i="306"/>
  <c r="K54" i="306"/>
  <c r="H54" i="306"/>
  <c r="P53" i="306"/>
  <c r="K53" i="306" s="1"/>
  <c r="H53" i="306"/>
  <c r="P52" i="306"/>
  <c r="L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L10" i="306"/>
  <c r="K10" i="306"/>
  <c r="H10" i="306"/>
  <c r="P9" i="306"/>
  <c r="K9" i="306" s="1"/>
  <c r="L9" i="306" s="1"/>
  <c r="H9" i="306"/>
  <c r="P8" i="306"/>
  <c r="L8" i="306"/>
  <c r="K8" i="306"/>
  <c r="H8" i="306"/>
  <c r="P7" i="306"/>
  <c r="K7" i="306" s="1"/>
  <c r="L7" i="306" s="1"/>
  <c r="H7" i="306"/>
  <c r="P6" i="306"/>
  <c r="L6" i="306"/>
  <c r="K6" i="306"/>
  <c r="H6" i="306"/>
  <c r="P5" i="306"/>
  <c r="K5" i="306" s="1"/>
  <c r="H5" i="306"/>
  <c r="G1" i="306" s="1"/>
  <c r="G2" i="306" s="1"/>
  <c r="I2" i="306"/>
  <c r="I1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L104" i="305"/>
  <c r="K104" i="305"/>
  <c r="H104" i="305"/>
  <c r="P103" i="305"/>
  <c r="K103" i="305" s="1"/>
  <c r="L103" i="305" s="1"/>
  <c r="H103" i="305"/>
  <c r="P102" i="305"/>
  <c r="L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L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L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L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L56" i="305"/>
  <c r="K56" i="305"/>
  <c r="H56" i="305"/>
  <c r="P55" i="305"/>
  <c r="K55" i="305" s="1"/>
  <c r="L55" i="305"/>
  <c r="H55" i="305"/>
  <c r="P54" i="305"/>
  <c r="L54" i="305"/>
  <c r="K54" i="305"/>
  <c r="H54" i="305"/>
  <c r="P53" i="305"/>
  <c r="K53" i="305" s="1"/>
  <c r="L53" i="305" s="1"/>
  <c r="H53" i="305"/>
  <c r="P52" i="305"/>
  <c r="K52" i="305"/>
  <c r="L52" i="305" s="1"/>
  <c r="L64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L28" i="305"/>
  <c r="K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K17" i="305"/>
  <c r="L17" i="305" s="1"/>
  <c r="L24" i="305" s="1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K7" i="305"/>
  <c r="L7" i="305" s="1"/>
  <c r="H7" i="305"/>
  <c r="P6" i="305"/>
  <c r="K6" i="305"/>
  <c r="L6" i="305" s="1"/>
  <c r="H6" i="305"/>
  <c r="P5" i="305"/>
  <c r="K5" i="305" s="1"/>
  <c r="H5" i="305"/>
  <c r="I2" i="305"/>
  <c r="I1" i="305"/>
  <c r="E1" i="305"/>
  <c r="G1" i="305" l="1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E2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5" l="1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AG166" i="304"/>
  <c r="W166" i="304"/>
  <c r="N166" i="304"/>
  <c r="AF166" i="304" s="1"/>
  <c r="P166" i="304"/>
  <c r="H166" i="304"/>
  <c r="W165" i="304"/>
  <c r="N165" i="304" s="1"/>
  <c r="P165" i="304"/>
  <c r="H165" i="304"/>
  <c r="AG164" i="304"/>
  <c r="W164" i="304"/>
  <c r="N164" i="304"/>
  <c r="AF164" i="304" s="1"/>
  <c r="P164" i="304"/>
  <c r="H164" i="304"/>
  <c r="W163" i="304"/>
  <c r="N163" i="304" s="1"/>
  <c r="P163" i="304"/>
  <c r="H163" i="304"/>
  <c r="AG162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AG142" i="304"/>
  <c r="W142" i="304"/>
  <c r="P142" i="304"/>
  <c r="N142" i="304"/>
  <c r="AF142" i="304" s="1"/>
  <c r="H142" i="304"/>
  <c r="W141" i="304"/>
  <c r="N141" i="304" s="1"/>
  <c r="P141" i="304"/>
  <c r="H141" i="304"/>
  <c r="AG140" i="304"/>
  <c r="W140" i="304"/>
  <c r="P140" i="304"/>
  <c r="N140" i="304"/>
  <c r="AF140" i="304" s="1"/>
  <c r="H140" i="304"/>
  <c r="W139" i="304"/>
  <c r="N139" i="304" s="1"/>
  <c r="P139" i="304"/>
  <c r="H139" i="304"/>
  <c r="AG138" i="304"/>
  <c r="W138" i="304"/>
  <c r="P138" i="304"/>
  <c r="N138" i="304"/>
  <c r="AF138" i="304" s="1"/>
  <c r="H138" i="304"/>
  <c r="W137" i="304"/>
  <c r="N137" i="304" s="1"/>
  <c r="H137" i="304"/>
  <c r="AG136" i="304"/>
  <c r="W136" i="304"/>
  <c r="P136" i="304"/>
  <c r="N136" i="304"/>
  <c r="AF136" i="304" s="1"/>
  <c r="H136" i="304"/>
  <c r="AF135" i="304"/>
  <c r="W135" i="304"/>
  <c r="P135" i="304"/>
  <c r="N135" i="304"/>
  <c r="N147" i="304" s="1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AF130" i="304"/>
  <c r="W130" i="304"/>
  <c r="P130" i="304"/>
  <c r="N130" i="304"/>
  <c r="O130" i="304" s="1"/>
  <c r="H130" i="304"/>
  <c r="W129" i="304"/>
  <c r="O129" i="304"/>
  <c r="N129" i="304"/>
  <c r="P129" i="304"/>
  <c r="H129" i="304"/>
  <c r="AG128" i="304"/>
  <c r="AF128" i="304"/>
  <c r="W128" i="304"/>
  <c r="P128" i="304"/>
  <c r="N128" i="304"/>
  <c r="O128" i="304" s="1"/>
  <c r="H128" i="304"/>
  <c r="W127" i="304"/>
  <c r="O127" i="304"/>
  <c r="N127" i="304"/>
  <c r="P127" i="304"/>
  <c r="H127" i="304"/>
  <c r="AF126" i="304"/>
  <c r="W126" i="304"/>
  <c r="P126" i="304"/>
  <c r="N126" i="304"/>
  <c r="O126" i="304" s="1"/>
  <c r="H126" i="304"/>
  <c r="AF125" i="304"/>
  <c r="W125" i="304"/>
  <c r="O125" i="304"/>
  <c r="N125" i="304"/>
  <c r="P125" i="304"/>
  <c r="H125" i="304"/>
  <c r="AF124" i="304"/>
  <c r="W124" i="304"/>
  <c r="P124" i="304"/>
  <c r="N124" i="304"/>
  <c r="O124" i="304" s="1"/>
  <c r="H124" i="304"/>
  <c r="AF123" i="304"/>
  <c r="W123" i="304"/>
  <c r="O123" i="304"/>
  <c r="N123" i="304"/>
  <c r="P123" i="304"/>
  <c r="H123" i="304"/>
  <c r="AG122" i="304"/>
  <c r="W122" i="304"/>
  <c r="N122" i="304"/>
  <c r="N134" i="304" s="1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AG115" i="304"/>
  <c r="W115" i="304"/>
  <c r="N115" i="304" s="1"/>
  <c r="P115" i="304"/>
  <c r="H115" i="304"/>
  <c r="W114" i="304"/>
  <c r="N114" i="304" s="1"/>
  <c r="P114" i="304"/>
  <c r="H114" i="304"/>
  <c r="AG113" i="304"/>
  <c r="W113" i="304"/>
  <c r="N113" i="304"/>
  <c r="AF113" i="304" s="1"/>
  <c r="P113" i="304"/>
  <c r="H113" i="304"/>
  <c r="W112" i="304"/>
  <c r="N112" i="304" s="1"/>
  <c r="O112" i="304"/>
  <c r="P112" i="304"/>
  <c r="H112" i="304"/>
  <c r="AG111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O103" i="304"/>
  <c r="P103" i="304"/>
  <c r="H103" i="304"/>
  <c r="W102" i="304"/>
  <c r="N102" i="304"/>
  <c r="AF102" i="304" s="1"/>
  <c r="P102" i="304"/>
  <c r="H102" i="304"/>
  <c r="W101" i="304"/>
  <c r="N101" i="304" s="1"/>
  <c r="AG101" i="304" s="1"/>
  <c r="P101" i="304"/>
  <c r="H101" i="304"/>
  <c r="AG100" i="304"/>
  <c r="W100" i="304"/>
  <c r="O100" i="304"/>
  <c r="N100" i="304"/>
  <c r="AF100" i="304" s="1"/>
  <c r="P100" i="304"/>
  <c r="H100" i="304"/>
  <c r="AG99" i="304"/>
  <c r="W99" i="304"/>
  <c r="N99" i="304" s="1"/>
  <c r="AF99" i="304" s="1"/>
  <c r="P99" i="304"/>
  <c r="H99" i="304"/>
  <c r="W98" i="304"/>
  <c r="N98" i="304"/>
  <c r="AF98" i="304" s="1"/>
  <c r="P98" i="304"/>
  <c r="H98" i="304"/>
  <c r="AG97" i="304"/>
  <c r="AF97" i="304"/>
  <c r="W97" i="304"/>
  <c r="N97" i="304" s="1"/>
  <c r="O97" i="304"/>
  <c r="P97" i="304"/>
  <c r="H97" i="304"/>
  <c r="W96" i="304"/>
  <c r="N96" i="304" s="1"/>
  <c r="O96" i="304"/>
  <c r="H96" i="304"/>
  <c r="AE95" i="304"/>
  <c r="AD95" i="304"/>
  <c r="AA95" i="304"/>
  <c r="Z95" i="304"/>
  <c r="M95" i="304"/>
  <c r="I1" i="304" s="1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AG90" i="304"/>
  <c r="W90" i="304"/>
  <c r="O90" i="304"/>
  <c r="N90" i="304"/>
  <c r="AF90" i="304" s="1"/>
  <c r="P90" i="304"/>
  <c r="H90" i="304"/>
  <c r="W89" i="304"/>
  <c r="N89" i="304" s="1"/>
  <c r="AF89" i="304" s="1"/>
  <c r="AG89" i="304"/>
  <c r="P89" i="304"/>
  <c r="H89" i="304"/>
  <c r="AG88" i="304"/>
  <c r="W88" i="304"/>
  <c r="O88" i="304"/>
  <c r="N88" i="304"/>
  <c r="AF88" i="304" s="1"/>
  <c r="P88" i="304"/>
  <c r="H88" i="304"/>
  <c r="AG87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AF83" i="304"/>
  <c r="W83" i="304"/>
  <c r="O83" i="304"/>
  <c r="R83" i="304" s="1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N75" i="304"/>
  <c r="AG75" i="304" s="1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AF57" i="304"/>
  <c r="W57" i="304"/>
  <c r="O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N50" i="304"/>
  <c r="AG50" i="304" s="1"/>
  <c r="P50" i="304"/>
  <c r="H50" i="304"/>
  <c r="W49" i="304"/>
  <c r="P49" i="304"/>
  <c r="N49" i="304"/>
  <c r="O49" i="304" s="1"/>
  <c r="H49" i="304"/>
  <c r="W48" i="304"/>
  <c r="P48" i="304"/>
  <c r="N48" i="304"/>
  <c r="H48" i="304"/>
  <c r="W47" i="304"/>
  <c r="P47" i="304"/>
  <c r="N47" i="304"/>
  <c r="O47" i="304" s="1"/>
  <c r="H47" i="304"/>
  <c r="W46" i="304"/>
  <c r="P46" i="304"/>
  <c r="N46" i="304"/>
  <c r="H46" i="304"/>
  <c r="W45" i="304"/>
  <c r="P45" i="304"/>
  <c r="N45" i="304"/>
  <c r="O45" i="304" s="1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O37" i="304"/>
  <c r="P37" i="304"/>
  <c r="H37" i="304"/>
  <c r="AG36" i="304"/>
  <c r="W36" i="304"/>
  <c r="N36" i="304"/>
  <c r="AF36" i="304" s="1"/>
  <c r="P36" i="304"/>
  <c r="H36" i="304"/>
  <c r="W35" i="304"/>
  <c r="N35" i="304" s="1"/>
  <c r="P35" i="304"/>
  <c r="O35" i="304"/>
  <c r="H35" i="304"/>
  <c r="W34" i="304"/>
  <c r="N34" i="304"/>
  <c r="P34" i="304"/>
  <c r="H34" i="304"/>
  <c r="AF33" i="304"/>
  <c r="W33" i="304"/>
  <c r="N33" i="304" s="1"/>
  <c r="AG33" i="304" s="1"/>
  <c r="O33" i="304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N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AG18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AG5" i="304"/>
  <c r="W5" i="304"/>
  <c r="N5" i="304"/>
  <c r="P17" i="304"/>
  <c r="H5" i="304"/>
  <c r="AD2" i="304"/>
  <c r="AA2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AG166" i="303"/>
  <c r="W166" i="303"/>
  <c r="Q166" i="303"/>
  <c r="P166" i="303"/>
  <c r="N166" i="303"/>
  <c r="O166" i="303" s="1"/>
  <c r="AF166" i="303"/>
  <c r="H166" i="303"/>
  <c r="W165" i="303"/>
  <c r="N165" i="303" s="1"/>
  <c r="P165" i="303"/>
  <c r="H165" i="303"/>
  <c r="AG164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AG162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N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N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N143" i="303"/>
  <c r="H143" i="303"/>
  <c r="W142" i="303"/>
  <c r="N142" i="303" s="1"/>
  <c r="P142" i="303"/>
  <c r="H142" i="303"/>
  <c r="W141" i="303"/>
  <c r="N141" i="303"/>
  <c r="P141" i="303"/>
  <c r="H141" i="303"/>
  <c r="W140" i="303"/>
  <c r="N140" i="303" s="1"/>
  <c r="P140" i="303"/>
  <c r="H140" i="303"/>
  <c r="W139" i="303"/>
  <c r="P139" i="303"/>
  <c r="N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N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N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AG116" i="303"/>
  <c r="W116" i="303"/>
  <c r="P116" i="303"/>
  <c r="N116" i="303"/>
  <c r="O116" i="303" s="1"/>
  <c r="AF116" i="303"/>
  <c r="H116" i="303"/>
  <c r="W115" i="303"/>
  <c r="N115" i="303" s="1"/>
  <c r="O115" i="303"/>
  <c r="P115" i="303"/>
  <c r="H115" i="303"/>
  <c r="AG114" i="303"/>
  <c r="W114" i="303"/>
  <c r="P114" i="303"/>
  <c r="N114" i="303"/>
  <c r="O114" i="303" s="1"/>
  <c r="R114" i="303" s="1"/>
  <c r="AF114" i="303"/>
  <c r="H114" i="303"/>
  <c r="W113" i="303"/>
  <c r="N113" i="303" s="1"/>
  <c r="O113" i="303"/>
  <c r="P113" i="303"/>
  <c r="H113" i="303"/>
  <c r="AG112" i="303"/>
  <c r="W112" i="303"/>
  <c r="Q112" i="303"/>
  <c r="P112" i="303"/>
  <c r="N112" i="303"/>
  <c r="O112" i="303" s="1"/>
  <c r="AF112" i="303"/>
  <c r="H112" i="303"/>
  <c r="W111" i="303"/>
  <c r="N111" i="303"/>
  <c r="P111" i="303"/>
  <c r="H111" i="303"/>
  <c r="AF110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AF103" i="303"/>
  <c r="W103" i="303"/>
  <c r="N103" i="303" s="1"/>
  <c r="AG103" i="303" s="1"/>
  <c r="O103" i="303"/>
  <c r="P103" i="303"/>
  <c r="H103" i="303"/>
  <c r="AG102" i="303"/>
  <c r="W102" i="303"/>
  <c r="R102" i="303"/>
  <c r="O102" i="303"/>
  <c r="N102" i="303"/>
  <c r="AF102" i="303" s="1"/>
  <c r="Q102" i="303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N90" i="303"/>
  <c r="P90" i="303"/>
  <c r="H90" i="303"/>
  <c r="W89" i="303"/>
  <c r="N89" i="303" s="1"/>
  <c r="P89" i="303"/>
  <c r="H89" i="303"/>
  <c r="W88" i="303"/>
  <c r="N88" i="303"/>
  <c r="P88" i="303"/>
  <c r="H88" i="303"/>
  <c r="W87" i="303"/>
  <c r="N87" i="303" s="1"/>
  <c r="P87" i="303"/>
  <c r="H87" i="303"/>
  <c r="W86" i="303"/>
  <c r="N86" i="303"/>
  <c r="P86" i="303"/>
  <c r="H86" i="303"/>
  <c r="W85" i="303"/>
  <c r="N85" i="303" s="1"/>
  <c r="P85" i="303"/>
  <c r="H85" i="303"/>
  <c r="W84" i="303"/>
  <c r="N84" i="303"/>
  <c r="P84" i="303"/>
  <c r="H84" i="303"/>
  <c r="W83" i="303"/>
  <c r="N83" i="303"/>
  <c r="P83" i="303"/>
  <c r="H83" i="303"/>
  <c r="AF82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O75" i="303"/>
  <c r="H75" i="303"/>
  <c r="AG74" i="303"/>
  <c r="W74" i="303"/>
  <c r="N74" i="303" s="1"/>
  <c r="P74" i="303"/>
  <c r="H74" i="303"/>
  <c r="W73" i="303"/>
  <c r="N73" i="303" s="1"/>
  <c r="O73" i="303"/>
  <c r="H73" i="303"/>
  <c r="AG72" i="303"/>
  <c r="W72" i="303"/>
  <c r="N72" i="303" s="1"/>
  <c r="P72" i="303"/>
  <c r="H72" i="303"/>
  <c r="W71" i="303"/>
  <c r="N71" i="303" s="1"/>
  <c r="O71" i="303"/>
  <c r="H71" i="303"/>
  <c r="W70" i="303"/>
  <c r="O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AG49" i="303"/>
  <c r="W49" i="303"/>
  <c r="Q49" i="303"/>
  <c r="P49" i="303"/>
  <c r="N49" i="303"/>
  <c r="O49" i="303" s="1"/>
  <c r="AF49" i="303"/>
  <c r="H49" i="303"/>
  <c r="W48" i="303"/>
  <c r="N48" i="303" s="1"/>
  <c r="O48" i="303" s="1"/>
  <c r="P48" i="303"/>
  <c r="H48" i="303"/>
  <c r="AG47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AG45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AG31" i="303"/>
  <c r="W31" i="303"/>
  <c r="Q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AG24" i="303"/>
  <c r="AF24" i="303"/>
  <c r="W24" i="303"/>
  <c r="N24" i="303" s="1"/>
  <c r="O24" i="303"/>
  <c r="P24" i="303"/>
  <c r="H24" i="303"/>
  <c r="W23" i="303"/>
  <c r="N23" i="303"/>
  <c r="AF23" i="303" s="1"/>
  <c r="P23" i="303"/>
  <c r="H23" i="303"/>
  <c r="AF22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O19" i="303"/>
  <c r="N19" i="303"/>
  <c r="Q19" i="303"/>
  <c r="P19" i="303"/>
  <c r="H19" i="303"/>
  <c r="W18" i="303"/>
  <c r="N18" i="303" s="1"/>
  <c r="P18" i="303"/>
  <c r="H18" i="303"/>
  <c r="AE17" i="303"/>
  <c r="AD17" i="303"/>
  <c r="AD2" i="303" s="1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AG9" i="303"/>
  <c r="W9" i="303"/>
  <c r="N9" i="303"/>
  <c r="AF9" i="303" s="1"/>
  <c r="P9" i="303"/>
  <c r="H9" i="303"/>
  <c r="W8" i="303"/>
  <c r="N8" i="303" s="1"/>
  <c r="P8" i="303"/>
  <c r="H8" i="303"/>
  <c r="AG7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AE2" i="303"/>
  <c r="AA2" i="303"/>
  <c r="Z2" i="303"/>
  <c r="I2" i="303"/>
  <c r="I1" i="303"/>
  <c r="E1" i="303"/>
  <c r="P95" i="304" l="1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O43" i="303" s="1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160" i="303"/>
  <c r="AH148" i="303" s="1"/>
  <c r="AF160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AG147" i="304"/>
  <c r="AH135" i="304" s="1"/>
  <c r="AF147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O75" i="304"/>
  <c r="AG83" i="304"/>
  <c r="P85" i="304"/>
  <c r="Q90" i="304"/>
  <c r="P96" i="304"/>
  <c r="AF96" i="304"/>
  <c r="O98" i="304"/>
  <c r="O108" i="304" s="1"/>
  <c r="AG98" i="304"/>
  <c r="P108" i="304"/>
  <c r="AG112" i="304"/>
  <c r="AF112" i="304"/>
  <c r="AF117" i="304"/>
  <c r="O117" i="304"/>
  <c r="R130" i="304"/>
  <c r="Q130" i="304"/>
  <c r="O36" i="304"/>
  <c r="AF50" i="304"/>
  <c r="N69" i="304"/>
  <c r="AF71" i="304"/>
  <c r="AF73" i="304"/>
  <c r="AF75" i="304"/>
  <c r="R88" i="304"/>
  <c r="O89" i="304"/>
  <c r="Q96" i="304"/>
  <c r="Q97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O102" i="304"/>
  <c r="AG102" i="304"/>
  <c r="Q103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R129" i="304"/>
  <c r="AF134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AF122" i="304"/>
  <c r="R123" i="304"/>
  <c r="Q125" i="304"/>
  <c r="R127" i="304"/>
  <c r="Q129" i="304"/>
  <c r="O137" i="304"/>
  <c r="AG137" i="304"/>
  <c r="AF137" i="304"/>
  <c r="O148" i="304"/>
  <c r="AG148" i="304"/>
  <c r="N160" i="304"/>
  <c r="AF148" i="304"/>
  <c r="O122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0" i="304"/>
  <c r="O142" i="304"/>
  <c r="P150" i="304"/>
  <c r="AF150" i="304"/>
  <c r="P173" i="304"/>
  <c r="O162" i="304"/>
  <c r="O164" i="304"/>
  <c r="O166" i="304"/>
  <c r="Q108" i="304" l="1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R121" i="304" l="1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L8" i="302" s="1"/>
  <c r="J32" i="302"/>
  <c r="I32" i="302"/>
  <c r="H32" i="302"/>
  <c r="G32" i="302"/>
  <c r="J8" i="302" s="1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H8" i="302" s="1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F8" i="302" l="1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K113" i="300"/>
  <c r="L113" i="300" s="1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K104" i="300"/>
  <c r="L104" i="300" s="1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L72" i="300"/>
  <c r="K72" i="300"/>
  <c r="H72" i="300"/>
  <c r="P71" i="300"/>
  <c r="K71" i="300" s="1"/>
  <c r="L71" i="300" s="1"/>
  <c r="H71" i="300"/>
  <c r="P70" i="300"/>
  <c r="L70" i="300"/>
  <c r="K70" i="300"/>
  <c r="H70" i="300"/>
  <c r="P69" i="300"/>
  <c r="K69" i="300" s="1"/>
  <c r="L69" i="300" s="1"/>
  <c r="H69" i="300"/>
  <c r="P68" i="300"/>
  <c r="L68" i="300"/>
  <c r="K68" i="300"/>
  <c r="H68" i="300"/>
  <c r="P67" i="300"/>
  <c r="K67" i="300" s="1"/>
  <c r="L67" i="300" s="1"/>
  <c r="H67" i="300"/>
  <c r="P66" i="300"/>
  <c r="L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L56" i="300"/>
  <c r="K56" i="300"/>
  <c r="H56" i="300"/>
  <c r="P55" i="300"/>
  <c r="K55" i="300" s="1"/>
  <c r="L55" i="300" s="1"/>
  <c r="H55" i="300"/>
  <c r="P54" i="300"/>
  <c r="L54" i="300"/>
  <c r="K54" i="300"/>
  <c r="H54" i="300"/>
  <c r="P53" i="300"/>
  <c r="K53" i="300" s="1"/>
  <c r="L53" i="300" s="1"/>
  <c r="H53" i="300"/>
  <c r="P52" i="300"/>
  <c r="L52" i="300"/>
  <c r="K52" i="300"/>
  <c r="K64" i="300" s="1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K27" i="300"/>
  <c r="L27" i="300" s="1"/>
  <c r="H27" i="300"/>
  <c r="P26" i="300"/>
  <c r="K26" i="300" s="1"/>
  <c r="L26" i="300" s="1"/>
  <c r="H26" i="300"/>
  <c r="P25" i="300"/>
  <c r="K25" i="300"/>
  <c r="K38" i="300" s="1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I1" i="300"/>
  <c r="E1" i="300"/>
  <c r="K16" i="300" l="1"/>
  <c r="L82" i="300"/>
  <c r="L91" i="300" s="1"/>
  <c r="K91" i="300"/>
  <c r="L64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38" i="300" s="1"/>
  <c r="L5" i="300"/>
  <c r="L16" i="300" s="1"/>
  <c r="E2" i="300" l="1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N150" i="299"/>
  <c r="AG150" i="299" s="1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AG144" i="299"/>
  <c r="W144" i="299"/>
  <c r="P144" i="299"/>
  <c r="N144" i="299"/>
  <c r="AF144" i="299" s="1"/>
  <c r="H144" i="299"/>
  <c r="W143" i="299"/>
  <c r="N143" i="299" s="1"/>
  <c r="P143" i="299"/>
  <c r="H143" i="299"/>
  <c r="AG142" i="299"/>
  <c r="W142" i="299"/>
  <c r="P142" i="299"/>
  <c r="N142" i="299"/>
  <c r="AF142" i="299" s="1"/>
  <c r="H142" i="299"/>
  <c r="W141" i="299"/>
  <c r="N141" i="299" s="1"/>
  <c r="P141" i="299"/>
  <c r="H141" i="299"/>
  <c r="AG140" i="299"/>
  <c r="W140" i="299"/>
  <c r="P140" i="299"/>
  <c r="N140" i="299"/>
  <c r="AF140" i="299" s="1"/>
  <c r="H140" i="299"/>
  <c r="W139" i="299"/>
  <c r="N139" i="299" s="1"/>
  <c r="P139" i="299"/>
  <c r="H139" i="299"/>
  <c r="AG138" i="299"/>
  <c r="W138" i="299"/>
  <c r="P138" i="299"/>
  <c r="N138" i="299"/>
  <c r="AF138" i="299" s="1"/>
  <c r="H138" i="299"/>
  <c r="W137" i="299"/>
  <c r="N137" i="299" s="1"/>
  <c r="P137" i="299"/>
  <c r="H137" i="299"/>
  <c r="AG136" i="299"/>
  <c r="W136" i="299"/>
  <c r="P136" i="299"/>
  <c r="N136" i="299"/>
  <c r="AF136" i="299" s="1"/>
  <c r="H136" i="299"/>
  <c r="AF135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AG128" i="299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O125" i="299"/>
  <c r="N125" i="299"/>
  <c r="AF125" i="299"/>
  <c r="P125" i="299"/>
  <c r="H125" i="299"/>
  <c r="W124" i="299"/>
  <c r="P124" i="299"/>
  <c r="N124" i="299"/>
  <c r="O124" i="299" s="1"/>
  <c r="H124" i="299"/>
  <c r="W123" i="299"/>
  <c r="O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N118" i="299"/>
  <c r="O118" i="299" s="1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AG114" i="299"/>
  <c r="W114" i="299"/>
  <c r="N114" i="299"/>
  <c r="O114" i="299" s="1"/>
  <c r="P114" i="299"/>
  <c r="H114" i="299"/>
  <c r="W113" i="299"/>
  <c r="N113" i="299" s="1"/>
  <c r="P113" i="299"/>
  <c r="H113" i="299"/>
  <c r="AG112" i="299"/>
  <c r="W112" i="299"/>
  <c r="N112" i="299"/>
  <c r="O112" i="299" s="1"/>
  <c r="P112" i="299"/>
  <c r="H112" i="299"/>
  <c r="W111" i="299"/>
  <c r="N111" i="299" s="1"/>
  <c r="P111" i="299"/>
  <c r="H111" i="299"/>
  <c r="AG110" i="299"/>
  <c r="W110" i="299"/>
  <c r="N110" i="299"/>
  <c r="O110" i="299" s="1"/>
  <c r="P110" i="299"/>
  <c r="H110" i="299"/>
  <c r="AF109" i="299"/>
  <c r="W109" i="299"/>
  <c r="N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AF99" i="299"/>
  <c r="W99" i="299"/>
  <c r="N99" i="299" s="1"/>
  <c r="P99" i="299"/>
  <c r="H99" i="299"/>
  <c r="W98" i="299"/>
  <c r="N98" i="299"/>
  <c r="H98" i="299"/>
  <c r="AG97" i="299"/>
  <c r="W97" i="299"/>
  <c r="N97" i="299" s="1"/>
  <c r="O97" i="299" s="1"/>
  <c r="P97" i="299"/>
  <c r="Q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AF89" i="299"/>
  <c r="W89" i="299"/>
  <c r="N89" i="299" s="1"/>
  <c r="O89" i="299" s="1"/>
  <c r="Q89" i="299"/>
  <c r="P89" i="299"/>
  <c r="H89" i="299"/>
  <c r="W88" i="299"/>
  <c r="N88" i="299"/>
  <c r="H88" i="299"/>
  <c r="AG87" i="299"/>
  <c r="W87" i="299"/>
  <c r="N87" i="299" s="1"/>
  <c r="AF87" i="299" s="1"/>
  <c r="H87" i="299"/>
  <c r="W86" i="299"/>
  <c r="N86" i="299"/>
  <c r="AF86" i="299" s="1"/>
  <c r="P86" i="299"/>
  <c r="H86" i="299"/>
  <c r="AF85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P82" i="299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AG60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AF57" i="299"/>
  <c r="W57" i="299"/>
  <c r="O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N48" i="299"/>
  <c r="O48" i="299" s="1"/>
  <c r="H48" i="299"/>
  <c r="W47" i="299"/>
  <c r="P47" i="299"/>
  <c r="N47" i="299"/>
  <c r="H47" i="299"/>
  <c r="W46" i="299"/>
  <c r="P46" i="299"/>
  <c r="N46" i="299"/>
  <c r="O46" i="299" s="1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AG38" i="299"/>
  <c r="W38" i="299"/>
  <c r="N38" i="299" s="1"/>
  <c r="AF38" i="299" s="1"/>
  <c r="P38" i="299"/>
  <c r="H38" i="299"/>
  <c r="AG37" i="299"/>
  <c r="W37" i="299"/>
  <c r="Q37" i="299"/>
  <c r="O37" i="299"/>
  <c r="N37" i="299"/>
  <c r="AF37" i="299" s="1"/>
  <c r="R37" i="299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AG23" i="299"/>
  <c r="W23" i="299"/>
  <c r="P23" i="299"/>
  <c r="N23" i="299"/>
  <c r="AF23" i="299" s="1"/>
  <c r="H23" i="299"/>
  <c r="W22" i="299"/>
  <c r="N22" i="299" s="1"/>
  <c r="P22" i="299"/>
  <c r="H22" i="299"/>
  <c r="AG21" i="299"/>
  <c r="W21" i="299"/>
  <c r="N21" i="299"/>
  <c r="AF21" i="299" s="1"/>
  <c r="P21" i="299"/>
  <c r="H21" i="299"/>
  <c r="W20" i="299"/>
  <c r="N20" i="299" s="1"/>
  <c r="P20" i="299"/>
  <c r="H20" i="299"/>
  <c r="AG19" i="299"/>
  <c r="W19" i="299"/>
  <c r="N19" i="299"/>
  <c r="AF19" i="299" s="1"/>
  <c r="P19" i="299"/>
  <c r="H19" i="299"/>
  <c r="AF18" i="299"/>
  <c r="W18" i="299"/>
  <c r="P18" i="299"/>
  <c r="N18" i="299"/>
  <c r="O18" i="299" s="1"/>
  <c r="H18" i="299"/>
  <c r="AE17" i="299"/>
  <c r="AE2" i="299" s="1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AG12" i="299"/>
  <c r="W12" i="299"/>
  <c r="P12" i="299"/>
  <c r="N12" i="299"/>
  <c r="AF12" i="299" s="1"/>
  <c r="H12" i="299"/>
  <c r="W11" i="299"/>
  <c r="N11" i="299" s="1"/>
  <c r="P11" i="299"/>
  <c r="H11" i="299"/>
  <c r="AG10" i="299"/>
  <c r="W10" i="299"/>
  <c r="P10" i="299"/>
  <c r="N10" i="299"/>
  <c r="AF10" i="299" s="1"/>
  <c r="H10" i="299"/>
  <c r="W9" i="299"/>
  <c r="N9" i="299" s="1"/>
  <c r="P9" i="299"/>
  <c r="H9" i="299"/>
  <c r="AG8" i="299"/>
  <c r="W8" i="299"/>
  <c r="P8" i="299"/>
  <c r="N8" i="299"/>
  <c r="AF8" i="299" s="1"/>
  <c r="H8" i="299"/>
  <c r="W7" i="299"/>
  <c r="N7" i="299" s="1"/>
  <c r="P7" i="299"/>
  <c r="H7" i="299"/>
  <c r="AG6" i="299"/>
  <c r="W6" i="299"/>
  <c r="P6" i="299"/>
  <c r="N6" i="299"/>
  <c r="AF6" i="299" s="1"/>
  <c r="H6" i="299"/>
  <c r="W5" i="299"/>
  <c r="N5" i="299" s="1"/>
  <c r="P5" i="299"/>
  <c r="P17" i="299"/>
  <c r="H5" i="299"/>
  <c r="AD2" i="299"/>
  <c r="AA2" i="299"/>
  <c r="Z2" i="299"/>
  <c r="I2" i="299"/>
  <c r="I1" i="299"/>
  <c r="E1" i="299"/>
  <c r="G1" i="299" l="1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R125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136" i="299" l="1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<sst xmlns="http://schemas.openxmlformats.org/spreadsheetml/2006/main" count="2160" uniqueCount="511">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</sst>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9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 applyAlignment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NumberFormat="1" applyFont="1" applyFill="1" applyBorder="1" applyAlignment="1">
      <alignment horizontal="center" vertical="center" wrapText="1"/>
    </xf>
    <xf numFmtId="0" fontId="4" fillId="8" borderId="18" xfId="1" applyNumberFormat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1" fillId="0" borderId="34" xfId="4" applyFont="1" applyBorder="1" applyAlignment="1">
      <alignment horizontal="center" vertical="center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93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6"/>
      <c r="D3" s="547" t="s">
        <v>212</v>
      </c>
      <c r="E3" s="548"/>
      <c r="F3" s="537" t="s">
        <v>2</v>
      </c>
      <c r="G3" s="496"/>
      <c r="H3" s="549">
        <v>295810.24000000005</v>
      </c>
      <c r="I3" s="550"/>
      <c r="J3" s="537" t="s">
        <v>3</v>
      </c>
      <c r="K3" s="496"/>
      <c r="L3" s="542">
        <v>9821885.7135011554</v>
      </c>
      <c r="M3" s="543"/>
      <c r="N3" s="374"/>
      <c r="O3" s="374"/>
      <c r="P3" s="374"/>
      <c r="Q3" s="374"/>
    </row>
    <row r="4" spans="2:17" ht="24" customHeight="1">
      <c r="B4" s="537" t="s">
        <v>135</v>
      </c>
      <c r="C4" s="496"/>
      <c r="D4" s="529" t="s">
        <v>135</v>
      </c>
      <c r="E4" s="530"/>
      <c r="F4" s="540" t="s">
        <v>136</v>
      </c>
      <c r="G4" s="541"/>
      <c r="H4" s="540" t="s">
        <v>137</v>
      </c>
      <c r="I4" s="541"/>
      <c r="J4" s="540" t="s">
        <v>138</v>
      </c>
      <c r="K4" s="541"/>
      <c r="L4" s="542" t="s">
        <v>139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140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6"/>
      <c r="C6" s="527"/>
      <c r="D6" s="537" t="s">
        <v>10</v>
      </c>
      <c r="E6" s="496"/>
      <c r="F6" s="538">
        <f>AVERAGE(D13:O13,P13:Q13,D30:E30,G30:H30,J30:M30)</f>
        <v>382.16106773564439</v>
      </c>
      <c r="G6" s="539"/>
      <c r="H6" s="517">
        <f>AVERAGE(D13:P13,Q13)</f>
        <v>138.39596358458408</v>
      </c>
      <c r="I6" s="518"/>
      <c r="J6" s="517">
        <f>AVERAGE(D30:E30,G30:H30)</f>
        <v>736.25</v>
      </c>
      <c r="K6" s="518"/>
      <c r="L6" s="519">
        <f>AVERAGE(J30:M30)</f>
        <v>881.25</v>
      </c>
      <c r="M6" s="520"/>
      <c r="N6" s="521">
        <v>0</v>
      </c>
      <c r="O6" s="506">
        <v>0</v>
      </c>
      <c r="P6" s="522">
        <v>15</v>
      </c>
      <c r="Q6" s="506">
        <v>7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AVERAGE(D14:O14,P14:Q14,D31:E31,J31:M31,G31:H31)</f>
        <v>371.66632220384838</v>
      </c>
      <c r="G7" s="510"/>
      <c r="H7" s="511">
        <f>AVERAGE(D14:P14,Q14)</f>
        <v>125.78235821657992</v>
      </c>
      <c r="I7" s="512"/>
      <c r="J7" s="511">
        <f>AVERAGE(D31:E31,G31:H31)</f>
        <v>708.7243344576317</v>
      </c>
      <c r="K7" s="512"/>
      <c r="L7" s="513">
        <f>AVERAGE(J31:M31)</f>
        <v>895.20218390550508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AVERAGE(D15:O15,P15:Q15,D32:E32,G32:H32,J32:M32)</f>
        <v>0.92140775089656934</v>
      </c>
      <c r="G8" s="516"/>
      <c r="H8" s="515">
        <f>AVERAGE(D15:O15,P15:Q15)</f>
        <v>0.90199970847028166</v>
      </c>
      <c r="I8" s="516"/>
      <c r="J8" s="515">
        <f>AVERAGE(D32:E32,G32:H32)</f>
        <v>0.88703415301640287</v>
      </c>
      <c r="K8" s="516"/>
      <c r="L8" s="515">
        <f>AVERAGE(J32:M32)</f>
        <v>1.0237094972687428</v>
      </c>
      <c r="M8" s="516"/>
      <c r="N8" s="521"/>
      <c r="O8" s="506"/>
      <c r="P8" s="522"/>
      <c r="Q8" s="506"/>
    </row>
    <row r="9" spans="2:17" ht="25.5" customHeight="1" thickBot="1"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</row>
    <row r="10" spans="2:17" ht="30" customHeight="1">
      <c r="B10" s="498" t="s">
        <v>145</v>
      </c>
      <c r="C10" s="500"/>
      <c r="D10" s="501" t="s">
        <v>146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147</v>
      </c>
      <c r="C11" s="504"/>
      <c r="D11" s="375">
        <v>1</v>
      </c>
      <c r="E11" s="375">
        <v>2</v>
      </c>
      <c r="F11" s="375">
        <v>3</v>
      </c>
      <c r="G11" s="375">
        <v>4</v>
      </c>
      <c r="H11" s="375">
        <v>5</v>
      </c>
      <c r="I11" s="375">
        <v>6</v>
      </c>
      <c r="J11" s="375">
        <v>7</v>
      </c>
      <c r="K11" s="375">
        <v>8</v>
      </c>
      <c r="L11" s="375">
        <v>9</v>
      </c>
      <c r="M11" s="375">
        <v>10</v>
      </c>
      <c r="N11" s="375">
        <v>11</v>
      </c>
      <c r="O11" s="375">
        <v>12</v>
      </c>
      <c r="P11" s="375">
        <v>13</v>
      </c>
      <c r="Q11" s="376">
        <v>14</v>
      </c>
    </row>
    <row r="12" spans="2:17" ht="33.9" customHeight="1">
      <c r="B12" s="487"/>
      <c r="C12" s="505"/>
      <c r="D12" s="14" t="s">
        <v>148</v>
      </c>
      <c r="E12" s="375" t="s">
        <v>149</v>
      </c>
      <c r="F12" s="375" t="s">
        <v>150</v>
      </c>
      <c r="G12" s="375" t="s">
        <v>151</v>
      </c>
      <c r="H12" s="14" t="s">
        <v>152</v>
      </c>
      <c r="I12" s="375" t="s">
        <v>153</v>
      </c>
      <c r="J12" s="375" t="s">
        <v>154</v>
      </c>
      <c r="K12" s="375" t="s">
        <v>155</v>
      </c>
      <c r="L12" s="375" t="s">
        <v>156</v>
      </c>
      <c r="M12" s="375" t="s">
        <v>157</v>
      </c>
      <c r="N12" s="375" t="s">
        <v>158</v>
      </c>
      <c r="O12" s="375" t="s">
        <v>159</v>
      </c>
      <c r="P12" s="375" t="s">
        <v>160</v>
      </c>
      <c r="Q12" s="376" t="s">
        <v>13</v>
      </c>
    </row>
    <row r="13" spans="2:17" ht="39.9" customHeight="1">
      <c r="B13" s="489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490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491"/>
      <c r="C15" s="375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7">
        <f t="shared" si="0"/>
        <v>0.92979248177677432</v>
      </c>
      <c r="Q15" s="11">
        <f t="shared" si="0"/>
        <v>0.97017003313546168</v>
      </c>
    </row>
    <row r="16" spans="2:17" ht="22.8" customHeight="1">
      <c r="B16" s="492" t="s">
        <v>164</v>
      </c>
      <c r="C16" s="375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8">
        <v>0.17361111111111113</v>
      </c>
    </row>
    <row r="17" spans="2:23" ht="22.8" customHeight="1">
      <c r="B17" s="493"/>
      <c r="C17" s="375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8">
        <v>0.61111111111111105</v>
      </c>
    </row>
    <row r="18" spans="2:23" ht="22.8" customHeight="1">
      <c r="B18" s="494" t="s">
        <v>14</v>
      </c>
      <c r="C18" s="379" t="s">
        <v>166</v>
      </c>
      <c r="D18" s="380" t="s">
        <v>15</v>
      </c>
      <c r="E18" s="380" t="s">
        <v>15</v>
      </c>
      <c r="F18" s="380" t="s">
        <v>15</v>
      </c>
      <c r="G18" s="380" t="s">
        <v>15</v>
      </c>
      <c r="H18" s="380" t="s">
        <v>15</v>
      </c>
      <c r="I18" s="380" t="s">
        <v>15</v>
      </c>
      <c r="J18" s="380" t="s">
        <v>15</v>
      </c>
      <c r="K18" s="380" t="s">
        <v>15</v>
      </c>
      <c r="L18" s="380" t="s">
        <v>15</v>
      </c>
      <c r="M18" s="380" t="s">
        <v>15</v>
      </c>
      <c r="N18" s="380" t="s">
        <v>15</v>
      </c>
      <c r="O18" s="380" t="s">
        <v>15</v>
      </c>
      <c r="P18" s="380" t="s">
        <v>15</v>
      </c>
      <c r="Q18" s="381"/>
    </row>
    <row r="19" spans="2:23" ht="22.8" customHeight="1">
      <c r="B19" s="495"/>
      <c r="C19" s="379" t="s">
        <v>167</v>
      </c>
      <c r="D19" s="380" t="s">
        <v>15</v>
      </c>
      <c r="E19" s="380" t="s">
        <v>15</v>
      </c>
      <c r="F19" s="380" t="s">
        <v>15</v>
      </c>
      <c r="G19" s="380" t="s">
        <v>15</v>
      </c>
      <c r="H19" s="380" t="s">
        <v>15</v>
      </c>
      <c r="I19" s="380" t="s">
        <v>15</v>
      </c>
      <c r="J19" s="380" t="s">
        <v>15</v>
      </c>
      <c r="K19" s="380" t="s">
        <v>15</v>
      </c>
      <c r="L19" s="380" t="s">
        <v>15</v>
      </c>
      <c r="M19" s="380" t="s">
        <v>15</v>
      </c>
      <c r="N19" s="380" t="s">
        <v>15</v>
      </c>
      <c r="O19" s="380" t="s">
        <v>15</v>
      </c>
      <c r="P19" s="380" t="s">
        <v>15</v>
      </c>
      <c r="Q19" s="381"/>
    </row>
    <row r="20" spans="2:23" ht="22.8" customHeight="1">
      <c r="B20" s="494" t="s">
        <v>16</v>
      </c>
      <c r="C20" s="379" t="s">
        <v>166</v>
      </c>
      <c r="D20" s="380">
        <v>2</v>
      </c>
      <c r="E20" s="380">
        <v>1</v>
      </c>
      <c r="F20" s="380">
        <v>1</v>
      </c>
      <c r="G20" s="380">
        <v>1</v>
      </c>
      <c r="H20" s="380">
        <v>1</v>
      </c>
      <c r="I20" s="380">
        <v>1</v>
      </c>
      <c r="J20" s="380">
        <v>2</v>
      </c>
      <c r="K20" s="380">
        <v>1</v>
      </c>
      <c r="L20" s="380">
        <v>2</v>
      </c>
      <c r="M20" s="380" t="s">
        <v>15</v>
      </c>
      <c r="N20" s="380">
        <v>2</v>
      </c>
      <c r="O20" s="380" t="s">
        <v>15</v>
      </c>
      <c r="P20" s="380">
        <v>1</v>
      </c>
      <c r="Q20" s="381"/>
    </row>
    <row r="21" spans="2:23" ht="22.8" customHeight="1">
      <c r="B21" s="495"/>
      <c r="C21" s="379" t="s">
        <v>168</v>
      </c>
      <c r="D21" s="380" t="s">
        <v>15</v>
      </c>
      <c r="E21" s="380">
        <v>1</v>
      </c>
      <c r="F21" s="380">
        <v>1</v>
      </c>
      <c r="G21" s="380">
        <v>1</v>
      </c>
      <c r="H21" s="380" t="s">
        <v>15</v>
      </c>
      <c r="I21" s="380">
        <v>1</v>
      </c>
      <c r="J21" s="380">
        <v>1</v>
      </c>
      <c r="K21" s="380">
        <v>1</v>
      </c>
      <c r="L21" s="380" t="s">
        <v>15</v>
      </c>
      <c r="M21" s="380">
        <v>1</v>
      </c>
      <c r="N21" s="380" t="s">
        <v>15</v>
      </c>
      <c r="O21" s="380" t="s">
        <v>15</v>
      </c>
      <c r="P21" s="380" t="s">
        <v>15</v>
      </c>
      <c r="Q21" s="381"/>
    </row>
    <row r="22" spans="2:23" ht="22.8" customHeight="1">
      <c r="B22" s="475" t="s">
        <v>169</v>
      </c>
      <c r="C22" s="496"/>
      <c r="D22" s="382">
        <v>18.375</v>
      </c>
      <c r="E22" s="382">
        <v>17.428571428571427</v>
      </c>
      <c r="F22" s="382">
        <v>15</v>
      </c>
      <c r="G22" s="382">
        <v>6.7142857142857144</v>
      </c>
      <c r="H22" s="382">
        <v>6.6</v>
      </c>
      <c r="I22" s="382">
        <v>17.166666666666668</v>
      </c>
      <c r="J22" s="382">
        <v>16.666666666666668</v>
      </c>
      <c r="K22" s="382">
        <v>17.399999999999999</v>
      </c>
      <c r="L22" s="382">
        <v>16.100000000000001</v>
      </c>
      <c r="M22" s="382">
        <v>18</v>
      </c>
      <c r="N22" s="382">
        <v>17.600000000000001</v>
      </c>
      <c r="O22" s="382">
        <v>14</v>
      </c>
      <c r="P22" s="382">
        <v>11.333333333333334</v>
      </c>
      <c r="Q22" s="383">
        <v>11.333333333333334</v>
      </c>
    </row>
    <row r="23" spans="2:23" ht="22.8" customHeight="1">
      <c r="B23" s="475" t="s">
        <v>170</v>
      </c>
      <c r="C23" s="49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475" t="s">
        <v>171</v>
      </c>
      <c r="C24" s="49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477" t="s">
        <v>172</v>
      </c>
      <c r="C25" s="49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</row>
    <row r="27" spans="2:23" ht="30" customHeight="1">
      <c r="B27" s="498"/>
      <c r="C27" s="499"/>
      <c r="D27" s="479" t="s">
        <v>173</v>
      </c>
      <c r="E27" s="480"/>
      <c r="F27" s="480"/>
      <c r="G27" s="480"/>
      <c r="H27" s="481"/>
      <c r="I27" s="482" t="s">
        <v>174</v>
      </c>
      <c r="J27" s="483"/>
      <c r="K27" s="483"/>
      <c r="L27" s="483"/>
      <c r="M27" s="484"/>
      <c r="N27" s="374"/>
      <c r="O27" s="374"/>
      <c r="P27" s="374"/>
      <c r="Q27" s="374"/>
    </row>
    <row r="28" spans="2:23" ht="17.25" customHeight="1">
      <c r="B28" s="485" t="s">
        <v>147</v>
      </c>
      <c r="C28" s="486"/>
      <c r="D28" s="384">
        <v>1</v>
      </c>
      <c r="E28" s="410">
        <v>2</v>
      </c>
      <c r="F28" s="375">
        <v>3</v>
      </c>
      <c r="G28" s="375">
        <v>4</v>
      </c>
      <c r="H28" s="376">
        <v>5</v>
      </c>
      <c r="I28" s="384">
        <v>1</v>
      </c>
      <c r="J28" s="375">
        <v>2</v>
      </c>
      <c r="K28" s="375">
        <v>3</v>
      </c>
      <c r="L28" s="375">
        <v>4</v>
      </c>
      <c r="M28" s="376">
        <v>5</v>
      </c>
      <c r="N28" s="374"/>
      <c r="O28" s="374"/>
      <c r="P28" s="374"/>
      <c r="Q28" s="374"/>
    </row>
    <row r="29" spans="2:23" ht="37.5" customHeight="1">
      <c r="B29" s="487"/>
      <c r="C29" s="488"/>
      <c r="D29" s="385" t="s">
        <v>26</v>
      </c>
      <c r="E29" s="386" t="s">
        <v>27</v>
      </c>
      <c r="F29" s="14" t="s">
        <v>28</v>
      </c>
      <c r="G29" s="14" t="s">
        <v>29</v>
      </c>
      <c r="H29" s="387" t="s">
        <v>30</v>
      </c>
      <c r="I29" s="385" t="s">
        <v>31</v>
      </c>
      <c r="J29" s="14" t="s">
        <v>27</v>
      </c>
      <c r="K29" s="14" t="s">
        <v>28</v>
      </c>
      <c r="L29" s="14" t="s">
        <v>29</v>
      </c>
      <c r="M29" s="387" t="s">
        <v>30</v>
      </c>
      <c r="N29" s="374"/>
      <c r="O29" s="374"/>
      <c r="P29" s="374"/>
      <c r="Q29" s="374"/>
    </row>
    <row r="30" spans="2:23" ht="39.9" customHeight="1">
      <c r="B30" s="489" t="s">
        <v>35</v>
      </c>
      <c r="C30" s="388" t="s">
        <v>161</v>
      </c>
      <c r="D30" s="20">
        <v>320</v>
      </c>
      <c r="E30" s="411">
        <v>825</v>
      </c>
      <c r="F30" s="19">
        <v>825</v>
      </c>
      <c r="G30" s="19">
        <v>900</v>
      </c>
      <c r="H30" s="21">
        <v>900</v>
      </c>
      <c r="I30" s="389">
        <v>680</v>
      </c>
      <c r="J30" s="19">
        <v>825</v>
      </c>
      <c r="K30" s="19">
        <v>900</v>
      </c>
      <c r="L30" s="19">
        <v>900</v>
      </c>
      <c r="M30" s="21">
        <v>900</v>
      </c>
      <c r="N30" s="374"/>
      <c r="O30" s="374"/>
      <c r="P30" s="374"/>
      <c r="Q30" s="374"/>
    </row>
    <row r="31" spans="2:23" ht="39.9" customHeight="1">
      <c r="B31" s="490"/>
      <c r="C31" s="388" t="s">
        <v>162</v>
      </c>
      <c r="D31" s="390">
        <v>156.39999999999972</v>
      </c>
      <c r="E31" s="8">
        <v>824.45674331376472</v>
      </c>
      <c r="F31" s="8">
        <v>0</v>
      </c>
      <c r="G31" s="8">
        <v>865.2465738284701</v>
      </c>
      <c r="H31" s="391">
        <v>988.79402068829211</v>
      </c>
      <c r="I31" s="390">
        <v>0</v>
      </c>
      <c r="J31" s="8">
        <v>1149.9999999999948</v>
      </c>
      <c r="K31" s="8">
        <v>652.39682539682644</v>
      </c>
      <c r="L31" s="8">
        <v>905.90238641352732</v>
      </c>
      <c r="M31" s="391">
        <v>872.50952381167178</v>
      </c>
      <c r="N31" s="374"/>
      <c r="O31" s="374"/>
      <c r="P31" s="374"/>
      <c r="Q31" s="374"/>
    </row>
    <row r="32" spans="2:23" ht="39.9" customHeight="1">
      <c r="B32" s="491"/>
      <c r="C32" s="409" t="s">
        <v>163</v>
      </c>
      <c r="D32" s="392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90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4"/>
      <c r="O32" s="374"/>
      <c r="P32" s="374"/>
      <c r="Q32" s="374"/>
    </row>
    <row r="33" spans="2:17" ht="25.8" customHeight="1">
      <c r="B33" s="492" t="s">
        <v>164</v>
      </c>
      <c r="C33" s="409" t="s">
        <v>165</v>
      </c>
      <c r="D33" s="393">
        <v>0.37152777777777773</v>
      </c>
      <c r="E33" s="12">
        <v>0.18055555555555555</v>
      </c>
      <c r="F33" s="12">
        <v>0</v>
      </c>
      <c r="G33" s="12">
        <v>2951.5384615384633</v>
      </c>
      <c r="H33" s="378">
        <v>0.18055555555555555</v>
      </c>
      <c r="I33" s="393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4"/>
      <c r="O33" s="374"/>
      <c r="P33" s="374"/>
      <c r="Q33" s="374"/>
    </row>
    <row r="34" spans="2:17" ht="25.8" customHeight="1">
      <c r="B34" s="493"/>
      <c r="C34" s="409" t="s">
        <v>36</v>
      </c>
      <c r="D34" s="393">
        <v>0.3923611111111111</v>
      </c>
      <c r="E34" s="12">
        <v>0.37152777777777773</v>
      </c>
      <c r="F34" s="12">
        <v>0</v>
      </c>
      <c r="G34" s="12">
        <v>1062.9999999999952</v>
      </c>
      <c r="H34" s="378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4"/>
      <c r="O34" s="374"/>
      <c r="P34" s="374"/>
      <c r="Q34" s="374"/>
    </row>
    <row r="35" spans="2:17" ht="25.8" customHeight="1">
      <c r="B35" s="475" t="s">
        <v>169</v>
      </c>
      <c r="C35" s="476"/>
      <c r="D35" s="394">
        <v>10</v>
      </c>
      <c r="E35" s="395">
        <v>3.5</v>
      </c>
      <c r="F35" s="395">
        <v>0</v>
      </c>
      <c r="G35" s="395">
        <v>3.6666666666666665</v>
      </c>
      <c r="H35" s="396">
        <v>3.25</v>
      </c>
      <c r="I35" s="397">
        <v>0</v>
      </c>
      <c r="J35" s="395">
        <v>3</v>
      </c>
      <c r="K35" s="395">
        <v>3.5</v>
      </c>
      <c r="L35" s="395">
        <v>3.4</v>
      </c>
      <c r="M35" s="383">
        <v>3.4285714285714284</v>
      </c>
      <c r="N35" s="374"/>
      <c r="O35" s="374"/>
      <c r="P35" s="374"/>
      <c r="Q35" s="374"/>
    </row>
    <row r="36" spans="2:17" ht="25.8" customHeight="1">
      <c r="B36" s="475" t="s">
        <v>170</v>
      </c>
      <c r="C36" s="476"/>
      <c r="D36" s="398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9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4"/>
      <c r="O36" s="374"/>
      <c r="P36" s="374"/>
      <c r="Q36" s="374"/>
    </row>
    <row r="37" spans="2:17" ht="25.8" customHeight="1">
      <c r="B37" s="475" t="s">
        <v>171</v>
      </c>
      <c r="C37" s="476"/>
      <c r="D37" s="400"/>
      <c r="E37" s="401"/>
      <c r="F37" s="402"/>
      <c r="G37" s="402"/>
      <c r="H37" s="403"/>
      <c r="I37" s="25"/>
      <c r="J37" s="24"/>
      <c r="K37" s="24"/>
      <c r="L37" s="24"/>
      <c r="M37" s="15"/>
      <c r="N37" s="374"/>
      <c r="O37" s="374"/>
      <c r="P37" s="374"/>
      <c r="Q37" s="374"/>
    </row>
    <row r="38" spans="2:17" ht="25.8" customHeight="1" thickBot="1">
      <c r="B38" s="477" t="s">
        <v>172</v>
      </c>
      <c r="C38" s="478"/>
      <c r="D38" s="26"/>
      <c r="E38" s="404"/>
      <c r="F38" s="17"/>
      <c r="G38" s="16"/>
      <c r="H38" s="18"/>
      <c r="I38" s="26"/>
      <c r="J38" s="16"/>
      <c r="K38" s="16"/>
      <c r="L38" s="16"/>
      <c r="M38" s="18"/>
      <c r="N38" s="374"/>
      <c r="O38" s="374"/>
      <c r="P38" s="374"/>
      <c r="Q38" s="374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9329" priority="4" operator="lessThan">
      <formula>0.8</formula>
    </cfRule>
  </conditionalFormatting>
  <conditionalFormatting sqref="J32:L32">
    <cfRule type="cellIs" dxfId="9328" priority="3" operator="lessThan">
      <formula>0.8</formula>
    </cfRule>
  </conditionalFormatting>
  <conditionalFormatting sqref="M32">
    <cfRule type="cellIs" dxfId="9327" priority="2" operator="lessThan">
      <formula>0.8</formula>
    </cfRule>
  </conditionalFormatting>
  <conditionalFormatting sqref="H32">
    <cfRule type="cellIs" dxfId="9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6" hidden="1" customWidth="1"/>
    <col min="4" max="5" width="18.33203125" style="285" customWidth="1"/>
    <col min="6" max="6" width="9.77734375" style="354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5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599" t="s">
        <v>273</v>
      </c>
      <c r="K1" s="600"/>
      <c r="L1" s="601"/>
      <c r="M1" s="599" t="s">
        <v>216</v>
      </c>
      <c r="N1" s="600"/>
      <c r="O1" s="600"/>
      <c r="P1" s="600"/>
      <c r="Q1" s="600"/>
      <c r="R1" s="601"/>
    </row>
    <row r="2" spans="1:18" ht="26.25" customHeight="1" thickBot="1">
      <c r="A2" s="605" t="s">
        <v>274</v>
      </c>
      <c r="B2" s="606"/>
      <c r="C2" s="286"/>
      <c r="D2" s="416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602"/>
      <c r="K2" s="603"/>
      <c r="L2" s="604"/>
      <c r="M2" s="602"/>
      <c r="N2" s="603"/>
      <c r="O2" s="603"/>
      <c r="P2" s="603"/>
      <c r="Q2" s="603"/>
      <c r="R2" s="604"/>
    </row>
    <row r="3" spans="1:18" ht="23.25" customHeight="1">
      <c r="A3" s="607" t="s">
        <v>224</v>
      </c>
      <c r="B3" s="609" t="s">
        <v>276</v>
      </c>
      <c r="C3" s="418"/>
      <c r="D3" s="610" t="s">
        <v>225</v>
      </c>
      <c r="E3" s="610"/>
      <c r="F3" s="611" t="s">
        <v>43</v>
      </c>
      <c r="G3" s="612" t="s">
        <v>277</v>
      </c>
      <c r="H3" s="613" t="s">
        <v>278</v>
      </c>
      <c r="I3" s="614" t="s">
        <v>226</v>
      </c>
      <c r="J3" s="580" t="s">
        <v>228</v>
      </c>
      <c r="K3" s="592" t="s">
        <v>227</v>
      </c>
      <c r="L3" s="594" t="s">
        <v>223</v>
      </c>
      <c r="M3" s="596" t="s">
        <v>48</v>
      </c>
      <c r="N3" s="596"/>
      <c r="O3" s="580" t="s">
        <v>106</v>
      </c>
      <c r="P3" s="597" t="s">
        <v>231</v>
      </c>
      <c r="Q3" s="580" t="s">
        <v>232</v>
      </c>
      <c r="R3" s="580"/>
    </row>
    <row r="4" spans="1:18" ht="15.75" customHeight="1">
      <c r="A4" s="608"/>
      <c r="B4" s="609"/>
      <c r="C4" s="418"/>
      <c r="D4" s="610"/>
      <c r="E4" s="610"/>
      <c r="F4" s="611"/>
      <c r="G4" s="612"/>
      <c r="H4" s="613"/>
      <c r="I4" s="615"/>
      <c r="J4" s="591"/>
      <c r="K4" s="593"/>
      <c r="L4" s="595"/>
      <c r="M4" s="422" t="s">
        <v>50</v>
      </c>
      <c r="N4" s="422" t="s">
        <v>51</v>
      </c>
      <c r="O4" s="591"/>
      <c r="P4" s="598"/>
      <c r="Q4" s="292" t="s">
        <v>236</v>
      </c>
      <c r="R4" s="292" t="s">
        <v>279</v>
      </c>
    </row>
    <row r="5" spans="1:18">
      <c r="A5" s="581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8">
        <v>1942</v>
      </c>
      <c r="H5" s="296">
        <f>F5*G5</f>
        <v>58192.988267770867</v>
      </c>
      <c r="I5" s="420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3">
        <f t="shared" ref="P5:P10" si="2">(N5-M5)*24*60</f>
        <v>94.999999999999986</v>
      </c>
      <c r="Q5" s="301"/>
      <c r="R5" s="301"/>
    </row>
    <row r="6" spans="1:18">
      <c r="A6" s="581"/>
      <c r="B6" s="293">
        <v>0</v>
      </c>
      <c r="C6" s="293"/>
      <c r="D6" s="294" t="s">
        <v>192</v>
      </c>
      <c r="E6" s="294"/>
      <c r="F6" s="295" t="s">
        <v>133</v>
      </c>
      <c r="G6" s="418">
        <v>2436</v>
      </c>
      <c r="H6" s="296">
        <f t="shared" ref="H6:H15" si="3">F6*G6</f>
        <v>0</v>
      </c>
      <c r="I6" s="420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3">
        <f t="shared" si="2"/>
        <v>89.999999999999957</v>
      </c>
      <c r="Q6" s="292"/>
      <c r="R6" s="292"/>
    </row>
    <row r="7" spans="1:18">
      <c r="A7" s="581"/>
      <c r="B7" s="293">
        <v>0</v>
      </c>
      <c r="C7" s="293"/>
      <c r="D7" s="294" t="s">
        <v>193</v>
      </c>
      <c r="E7" s="294"/>
      <c r="F7" s="295" t="s">
        <v>133</v>
      </c>
      <c r="G7" s="418">
        <v>2256</v>
      </c>
      <c r="H7" s="296">
        <f t="shared" si="3"/>
        <v>0</v>
      </c>
      <c r="I7" s="420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3">
        <f t="shared" si="2"/>
        <v>85.000000000000014</v>
      </c>
      <c r="Q7" s="301"/>
      <c r="R7" s="301"/>
    </row>
    <row r="8" spans="1:18">
      <c r="A8" s="581"/>
      <c r="B8" s="293" t="s">
        <v>134</v>
      </c>
      <c r="C8" s="293"/>
      <c r="D8" s="294" t="s">
        <v>194</v>
      </c>
      <c r="E8" s="294"/>
      <c r="F8" s="295">
        <v>36.450000000000003</v>
      </c>
      <c r="G8" s="418">
        <v>2316</v>
      </c>
      <c r="H8" s="296">
        <f t="shared" si="3"/>
        <v>84418.200000000012</v>
      </c>
      <c r="I8" s="420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3">
        <f t="shared" si="2"/>
        <v>90</v>
      </c>
      <c r="Q8" s="301">
        <v>0.45833333333333331</v>
      </c>
      <c r="R8" s="301">
        <v>0.48958333333333331</v>
      </c>
    </row>
    <row r="9" spans="1:18">
      <c r="A9" s="581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20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3">
        <f t="shared" si="2"/>
        <v>80.000000000000028</v>
      </c>
      <c r="Q9" s="301"/>
      <c r="R9" s="301"/>
    </row>
    <row r="10" spans="1:18">
      <c r="A10" s="581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20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3">
        <f t="shared" si="2"/>
        <v>74.999999999999886</v>
      </c>
      <c r="Q10" s="301"/>
      <c r="R10" s="301"/>
    </row>
    <row r="11" spans="1:18">
      <c r="A11" s="581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20"/>
      <c r="J11" s="297"/>
      <c r="K11" s="298"/>
      <c r="L11" s="299"/>
      <c r="M11" s="300"/>
      <c r="N11" s="300"/>
      <c r="O11" s="292"/>
      <c r="P11" s="413"/>
      <c r="Q11" s="301"/>
      <c r="R11" s="301"/>
    </row>
    <row r="12" spans="1:18">
      <c r="A12" s="582"/>
      <c r="B12" s="293">
        <v>0</v>
      </c>
      <c r="C12" s="419"/>
      <c r="D12" s="294"/>
      <c r="E12" s="294"/>
      <c r="F12" s="295" t="s">
        <v>133</v>
      </c>
      <c r="G12" s="417"/>
      <c r="H12" s="296">
        <f t="shared" si="3"/>
        <v>0</v>
      </c>
      <c r="I12" s="420"/>
      <c r="J12" s="297"/>
      <c r="K12" s="298"/>
      <c r="L12" s="299"/>
      <c r="M12" s="300"/>
      <c r="N12" s="300"/>
      <c r="O12" s="292"/>
      <c r="P12" s="413"/>
      <c r="Q12" s="301"/>
      <c r="R12" s="292"/>
    </row>
    <row r="13" spans="1:18">
      <c r="A13" s="582"/>
      <c r="B13" s="293">
        <v>0</v>
      </c>
      <c r="C13" s="293"/>
      <c r="D13" s="414"/>
      <c r="E13" s="415"/>
      <c r="F13" s="295" t="s">
        <v>133</v>
      </c>
      <c r="G13" s="302"/>
      <c r="H13" s="296">
        <f t="shared" si="3"/>
        <v>0</v>
      </c>
      <c r="I13" s="420"/>
      <c r="J13" s="297"/>
      <c r="K13" s="298"/>
      <c r="L13" s="299"/>
      <c r="M13" s="300"/>
      <c r="N13" s="300"/>
      <c r="O13" s="292"/>
      <c r="P13" s="413"/>
      <c r="Q13" s="292"/>
      <c r="R13" s="292"/>
    </row>
    <row r="14" spans="1:18">
      <c r="A14" s="582"/>
      <c r="B14" s="293">
        <v>0</v>
      </c>
      <c r="C14" s="293"/>
      <c r="D14" s="414"/>
      <c r="E14" s="415"/>
      <c r="F14" s="295" t="s">
        <v>133</v>
      </c>
      <c r="G14" s="302"/>
      <c r="H14" s="296">
        <f t="shared" si="3"/>
        <v>0</v>
      </c>
      <c r="I14" s="420"/>
      <c r="J14" s="297"/>
      <c r="K14" s="298"/>
      <c r="L14" s="299"/>
      <c r="M14" s="300"/>
      <c r="N14" s="300"/>
      <c r="O14" s="292"/>
      <c r="P14" s="413"/>
      <c r="Q14" s="292"/>
      <c r="R14" s="292"/>
    </row>
    <row r="15" spans="1:18">
      <c r="A15" s="582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20"/>
      <c r="J15" s="297"/>
      <c r="K15" s="298"/>
      <c r="L15" s="299"/>
      <c r="M15" s="300"/>
      <c r="N15" s="300"/>
      <c r="O15" s="292"/>
      <c r="P15" s="413"/>
      <c r="Q15" s="292"/>
      <c r="R15" s="292"/>
    </row>
    <row r="16" spans="1:18" ht="15.75" customHeight="1">
      <c r="A16" s="583"/>
      <c r="B16" s="293">
        <v>0</v>
      </c>
      <c r="C16" s="304" t="s">
        <v>282</v>
      </c>
      <c r="D16" s="567" t="s">
        <v>243</v>
      </c>
      <c r="E16" s="567"/>
      <c r="F16" s="305"/>
      <c r="G16" s="306"/>
      <c r="H16" s="307"/>
      <c r="I16" s="308"/>
      <c r="J16" s="309">
        <f>AVERAGE(J5:J15)</f>
        <v>11.333333333333334</v>
      </c>
      <c r="K16" s="309">
        <f>AVERAGE(K5:K15)</f>
        <v>1603.1328173374616</v>
      </c>
      <c r="L16" s="310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584" t="s">
        <v>283</v>
      </c>
      <c r="B17" s="293" t="s">
        <v>134</v>
      </c>
      <c r="C17" s="419"/>
      <c r="D17" s="587" t="s">
        <v>180</v>
      </c>
      <c r="E17" s="588"/>
      <c r="F17" s="295">
        <v>25.64</v>
      </c>
      <c r="G17" s="418">
        <v>782</v>
      </c>
      <c r="H17" s="311">
        <f t="shared" ref="H17:H23" si="4">F17*G17</f>
        <v>20050.48</v>
      </c>
      <c r="I17" s="312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3">
        <f>(N17-M17)*24*60</f>
        <v>30.000000000000053</v>
      </c>
      <c r="Q17" s="292"/>
      <c r="R17" s="292"/>
    </row>
    <row r="18" spans="1:18" ht="15.75" customHeight="1">
      <c r="A18" s="584"/>
      <c r="B18" s="293">
        <v>0</v>
      </c>
      <c r="C18" s="419"/>
      <c r="D18" s="589"/>
      <c r="E18" s="590"/>
      <c r="F18" s="295" t="s">
        <v>133</v>
      </c>
      <c r="G18" s="417"/>
      <c r="H18" s="296">
        <f t="shared" si="4"/>
        <v>0</v>
      </c>
      <c r="I18" s="420"/>
      <c r="J18" s="297"/>
      <c r="K18" s="298"/>
      <c r="L18" s="299"/>
      <c r="M18" s="300"/>
      <c r="N18" s="300"/>
      <c r="O18" s="292"/>
      <c r="P18" s="413"/>
      <c r="Q18" s="301"/>
      <c r="R18" s="301"/>
    </row>
    <row r="19" spans="1:18" ht="15.75" customHeight="1">
      <c r="A19" s="584"/>
      <c r="B19" s="293">
        <v>0</v>
      </c>
      <c r="C19" s="419"/>
      <c r="D19" s="589"/>
      <c r="E19" s="590"/>
      <c r="F19" s="295" t="s">
        <v>133</v>
      </c>
      <c r="G19" s="417"/>
      <c r="H19" s="296">
        <f t="shared" si="4"/>
        <v>0</v>
      </c>
      <c r="I19" s="420"/>
      <c r="J19" s="297"/>
      <c r="K19" s="298"/>
      <c r="L19" s="299"/>
      <c r="M19" s="300"/>
      <c r="N19" s="300"/>
      <c r="O19" s="292"/>
      <c r="P19" s="413"/>
      <c r="Q19" s="301"/>
      <c r="R19" s="301"/>
    </row>
    <row r="20" spans="1:18" ht="15.75" customHeight="1">
      <c r="A20" s="585"/>
      <c r="B20" s="293">
        <v>0</v>
      </c>
      <c r="C20" s="419"/>
      <c r="D20" s="313"/>
      <c r="E20" s="415"/>
      <c r="F20" s="295" t="s">
        <v>133</v>
      </c>
      <c r="G20" s="417"/>
      <c r="H20" s="296">
        <f t="shared" si="4"/>
        <v>0</v>
      </c>
      <c r="I20" s="420"/>
      <c r="J20" s="297"/>
      <c r="K20" s="298"/>
      <c r="L20" s="299"/>
      <c r="M20" s="300"/>
      <c r="N20" s="300"/>
      <c r="O20" s="292"/>
      <c r="P20" s="413"/>
      <c r="Q20" s="292"/>
      <c r="R20" s="292"/>
    </row>
    <row r="21" spans="1:18" ht="15.75" customHeight="1">
      <c r="A21" s="585"/>
      <c r="B21" s="293">
        <v>0</v>
      </c>
      <c r="C21" s="419"/>
      <c r="D21" s="313"/>
      <c r="E21" s="415"/>
      <c r="F21" s="295" t="s">
        <v>133</v>
      </c>
      <c r="G21" s="417"/>
      <c r="H21" s="296">
        <f t="shared" si="4"/>
        <v>0</v>
      </c>
      <c r="I21" s="420"/>
      <c r="J21" s="297"/>
      <c r="K21" s="298"/>
      <c r="L21" s="299"/>
      <c r="M21" s="300"/>
      <c r="N21" s="300"/>
      <c r="O21" s="292"/>
      <c r="P21" s="413"/>
      <c r="Q21" s="292"/>
      <c r="R21" s="292"/>
    </row>
    <row r="22" spans="1:18" ht="15.75" customHeight="1">
      <c r="A22" s="585"/>
      <c r="B22" s="293">
        <v>0</v>
      </c>
      <c r="C22" s="419"/>
      <c r="D22" s="313"/>
      <c r="E22" s="415"/>
      <c r="F22" s="295" t="s">
        <v>133</v>
      </c>
      <c r="G22" s="417"/>
      <c r="H22" s="296">
        <f t="shared" si="4"/>
        <v>0</v>
      </c>
      <c r="I22" s="420"/>
      <c r="J22" s="297"/>
      <c r="K22" s="298"/>
      <c r="L22" s="299"/>
      <c r="M22" s="300"/>
      <c r="N22" s="300"/>
      <c r="O22" s="292"/>
      <c r="P22" s="413"/>
      <c r="Q22" s="292"/>
      <c r="R22" s="292"/>
    </row>
    <row r="23" spans="1:18" ht="15.75" customHeight="1">
      <c r="A23" s="585"/>
      <c r="B23" s="293">
        <v>0</v>
      </c>
      <c r="C23" s="419"/>
      <c r="D23" s="313"/>
      <c r="E23" s="415"/>
      <c r="F23" s="295" t="s">
        <v>133</v>
      </c>
      <c r="G23" s="417"/>
      <c r="H23" s="296">
        <f t="shared" si="4"/>
        <v>0</v>
      </c>
      <c r="I23" s="420"/>
      <c r="J23" s="297"/>
      <c r="K23" s="298"/>
      <c r="L23" s="299"/>
      <c r="M23" s="300"/>
      <c r="N23" s="300"/>
      <c r="O23" s="292"/>
      <c r="P23" s="413"/>
      <c r="Q23" s="292"/>
      <c r="R23" s="292"/>
    </row>
    <row r="24" spans="1:18" ht="17.399999999999999" customHeight="1">
      <c r="A24" s="586"/>
      <c r="B24" s="293">
        <v>0</v>
      </c>
      <c r="C24" s="6" t="s">
        <v>284</v>
      </c>
      <c r="D24" s="567" t="s">
        <v>243</v>
      </c>
      <c r="E24" s="567"/>
      <c r="F24" s="305"/>
      <c r="G24" s="314"/>
      <c r="H24" s="307"/>
      <c r="I24" s="308"/>
      <c r="J24" s="309">
        <f>AVERAGE(J17:J23)</f>
        <v>10</v>
      </c>
      <c r="K24" s="309">
        <f>AVERAGE(K17:K23)</f>
        <v>1563.9999999999973</v>
      </c>
      <c r="L24" s="310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571" t="s">
        <v>285</v>
      </c>
      <c r="B25" s="293" t="s">
        <v>131</v>
      </c>
      <c r="C25" s="315"/>
      <c r="D25" s="317" t="s">
        <v>286</v>
      </c>
      <c r="E25" s="316"/>
      <c r="F25" s="295">
        <v>15.03</v>
      </c>
      <c r="G25" s="418">
        <v>1274</v>
      </c>
      <c r="H25" s="296">
        <f t="shared" ref="H25:H37" si="6">F25*G25</f>
        <v>19148.219999999998</v>
      </c>
      <c r="I25" s="420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3">
        <f t="shared" ref="P25:P28" si="9">(N25-M25)*24*60</f>
        <v>27.999999999999979</v>
      </c>
      <c r="Q25" s="301"/>
      <c r="R25" s="301"/>
    </row>
    <row r="26" spans="1:18">
      <c r="A26" s="571"/>
      <c r="B26" s="293" t="s">
        <v>131</v>
      </c>
      <c r="C26" s="315"/>
      <c r="D26" s="313" t="s">
        <v>107</v>
      </c>
      <c r="E26" s="318"/>
      <c r="F26" s="295">
        <v>18.18</v>
      </c>
      <c r="G26" s="418">
        <v>3334</v>
      </c>
      <c r="H26" s="296">
        <f t="shared" si="6"/>
        <v>60612.12</v>
      </c>
      <c r="I26" s="420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3">
        <f t="shared" si="9"/>
        <v>71.999999999999986</v>
      </c>
      <c r="Q26" s="301"/>
      <c r="R26" s="301"/>
    </row>
    <row r="27" spans="1:18">
      <c r="A27" s="571"/>
      <c r="B27" s="293" t="s">
        <v>131</v>
      </c>
      <c r="C27" s="315"/>
      <c r="D27" s="317" t="s">
        <v>109</v>
      </c>
      <c r="E27" s="318"/>
      <c r="F27" s="295">
        <v>18.53</v>
      </c>
      <c r="G27" s="418">
        <v>1956</v>
      </c>
      <c r="H27" s="296">
        <f t="shared" si="6"/>
        <v>36244.68</v>
      </c>
      <c r="I27" s="420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3">
        <f t="shared" si="9"/>
        <v>41.999999999999929</v>
      </c>
      <c r="Q27" s="301"/>
      <c r="R27" s="301"/>
    </row>
    <row r="28" spans="1:18">
      <c r="A28" s="571"/>
      <c r="B28" s="293" t="s">
        <v>131</v>
      </c>
      <c r="C28" s="419"/>
      <c r="D28" s="313" t="s">
        <v>287</v>
      </c>
      <c r="E28" s="318"/>
      <c r="F28" s="295">
        <v>24.93</v>
      </c>
      <c r="G28" s="418">
        <v>3611</v>
      </c>
      <c r="H28" s="296">
        <f t="shared" si="6"/>
        <v>90022.23</v>
      </c>
      <c r="I28" s="420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3">
        <f t="shared" si="9"/>
        <v>72.999999999999901</v>
      </c>
      <c r="Q28" s="301"/>
      <c r="R28" s="301"/>
    </row>
    <row r="29" spans="1:18">
      <c r="A29" s="571"/>
      <c r="B29" s="293">
        <v>0</v>
      </c>
      <c r="C29" s="418"/>
      <c r="D29" s="317"/>
      <c r="E29" s="318"/>
      <c r="F29" s="295" t="s">
        <v>133</v>
      </c>
      <c r="G29" s="418"/>
      <c r="H29" s="296">
        <f t="shared" si="6"/>
        <v>0</v>
      </c>
      <c r="I29" s="420"/>
      <c r="J29" s="297"/>
      <c r="K29" s="298"/>
      <c r="L29" s="299"/>
      <c r="M29" s="300"/>
      <c r="N29" s="300"/>
      <c r="O29" s="292"/>
      <c r="P29" s="413"/>
      <c r="Q29" s="301"/>
      <c r="R29" s="301"/>
    </row>
    <row r="30" spans="1:18">
      <c r="A30" s="571"/>
      <c r="B30" s="293">
        <v>0</v>
      </c>
      <c r="C30" s="418"/>
      <c r="D30" s="319"/>
      <c r="E30" s="318"/>
      <c r="F30" s="295" t="s">
        <v>133</v>
      </c>
      <c r="G30" s="418"/>
      <c r="H30" s="296">
        <f t="shared" si="6"/>
        <v>0</v>
      </c>
      <c r="I30" s="420"/>
      <c r="J30" s="297"/>
      <c r="K30" s="298"/>
      <c r="L30" s="299"/>
      <c r="M30" s="300"/>
      <c r="N30" s="300"/>
      <c r="O30" s="292"/>
      <c r="P30" s="413"/>
      <c r="Q30" s="301"/>
      <c r="R30" s="301"/>
    </row>
    <row r="31" spans="1:18" ht="15.75" customHeight="1">
      <c r="A31" s="571"/>
      <c r="B31" s="293">
        <v>0</v>
      </c>
      <c r="C31" s="419"/>
      <c r="D31" s="313"/>
      <c r="E31" s="318"/>
      <c r="F31" s="295" t="s">
        <v>133</v>
      </c>
      <c r="G31" s="418"/>
      <c r="H31" s="296">
        <f t="shared" si="6"/>
        <v>0</v>
      </c>
      <c r="I31" s="420"/>
      <c r="J31" s="297"/>
      <c r="K31" s="298"/>
      <c r="L31" s="299"/>
      <c r="M31" s="300"/>
      <c r="N31" s="300"/>
      <c r="O31" s="292"/>
      <c r="P31" s="413"/>
      <c r="Q31" s="301"/>
      <c r="R31" s="301"/>
    </row>
    <row r="32" spans="1:18">
      <c r="A32" s="571"/>
      <c r="B32" s="293">
        <v>0</v>
      </c>
      <c r="C32" s="419"/>
      <c r="D32" s="313"/>
      <c r="E32" s="415"/>
      <c r="F32" s="295" t="s">
        <v>133</v>
      </c>
      <c r="G32" s="418"/>
      <c r="H32" s="296">
        <f t="shared" si="6"/>
        <v>0</v>
      </c>
      <c r="I32" s="420"/>
      <c r="J32" s="297"/>
      <c r="K32" s="298"/>
      <c r="L32" s="299"/>
      <c r="M32" s="300"/>
      <c r="N32" s="300"/>
      <c r="O32" s="292"/>
      <c r="P32" s="413"/>
      <c r="Q32" s="301"/>
      <c r="R32" s="301"/>
    </row>
    <row r="33" spans="1:18">
      <c r="A33" s="571"/>
      <c r="B33" s="293">
        <v>0</v>
      </c>
      <c r="C33" s="418"/>
      <c r="D33" s="317"/>
      <c r="E33" s="318"/>
      <c r="F33" s="295" t="s">
        <v>133</v>
      </c>
      <c r="G33" s="418"/>
      <c r="H33" s="296">
        <f t="shared" si="6"/>
        <v>0</v>
      </c>
      <c r="I33" s="420"/>
      <c r="J33" s="297"/>
      <c r="K33" s="298"/>
      <c r="L33" s="299"/>
      <c r="M33" s="300"/>
      <c r="N33" s="300"/>
      <c r="O33" s="292"/>
      <c r="P33" s="413"/>
      <c r="Q33" s="301"/>
      <c r="R33" s="301"/>
    </row>
    <row r="34" spans="1:18">
      <c r="A34" s="571"/>
      <c r="B34" s="293">
        <v>0</v>
      </c>
      <c r="C34" s="315"/>
      <c r="D34" s="317"/>
      <c r="E34" s="318"/>
      <c r="F34" s="295" t="s">
        <v>133</v>
      </c>
      <c r="G34" s="320"/>
      <c r="H34" s="296">
        <f t="shared" si="6"/>
        <v>0</v>
      </c>
      <c r="I34" s="420"/>
      <c r="J34" s="297"/>
      <c r="K34" s="298"/>
      <c r="L34" s="299"/>
      <c r="M34" s="300"/>
      <c r="N34" s="300"/>
      <c r="O34" s="292"/>
      <c r="P34" s="413"/>
      <c r="Q34" s="301"/>
      <c r="R34" s="301"/>
    </row>
    <row r="35" spans="1:18">
      <c r="A35" s="571"/>
      <c r="B35" s="293">
        <v>0</v>
      </c>
      <c r="C35" s="315"/>
      <c r="D35" s="317"/>
      <c r="E35" s="318"/>
      <c r="F35" s="295" t="s">
        <v>133</v>
      </c>
      <c r="G35" s="320"/>
      <c r="H35" s="296">
        <f t="shared" si="6"/>
        <v>0</v>
      </c>
      <c r="I35" s="420"/>
      <c r="J35" s="297"/>
      <c r="K35" s="298"/>
      <c r="L35" s="299"/>
      <c r="M35" s="300"/>
      <c r="N35" s="300"/>
      <c r="O35" s="292"/>
      <c r="P35" s="413"/>
      <c r="Q35" s="301"/>
      <c r="R35" s="301"/>
    </row>
    <row r="36" spans="1:18">
      <c r="A36" s="571"/>
      <c r="B36" s="293">
        <v>0</v>
      </c>
      <c r="C36" s="315"/>
      <c r="D36" s="317"/>
      <c r="E36" s="317"/>
      <c r="F36" s="295" t="s">
        <v>133</v>
      </c>
      <c r="G36" s="320"/>
      <c r="H36" s="296">
        <f t="shared" si="6"/>
        <v>0</v>
      </c>
      <c r="I36" s="420"/>
      <c r="J36" s="297"/>
      <c r="K36" s="298"/>
      <c r="L36" s="299"/>
      <c r="M36" s="300"/>
      <c r="N36" s="300"/>
      <c r="O36" s="292"/>
      <c r="P36" s="413"/>
      <c r="Q36" s="301"/>
      <c r="R36" s="301"/>
    </row>
    <row r="37" spans="1:18">
      <c r="A37" s="571"/>
      <c r="B37" s="293">
        <v>0</v>
      </c>
      <c r="C37" s="315"/>
      <c r="D37" s="316"/>
      <c r="E37" s="316"/>
      <c r="F37" s="295" t="s">
        <v>133</v>
      </c>
      <c r="G37" s="320"/>
      <c r="H37" s="296">
        <f t="shared" si="6"/>
        <v>0</v>
      </c>
      <c r="I37" s="420"/>
      <c r="J37" s="297"/>
      <c r="K37" s="298"/>
      <c r="L37" s="299"/>
      <c r="M37" s="300"/>
      <c r="N37" s="300"/>
      <c r="O37" s="292"/>
      <c r="P37" s="413"/>
      <c r="Q37" s="301"/>
      <c r="R37" s="301"/>
    </row>
    <row r="38" spans="1:18" ht="17.399999999999999" customHeight="1">
      <c r="A38" s="572"/>
      <c r="B38" s="293">
        <v>0</v>
      </c>
      <c r="C38" s="6" t="s">
        <v>27</v>
      </c>
      <c r="D38" s="562" t="s">
        <v>108</v>
      </c>
      <c r="E38" s="562"/>
      <c r="F38" s="305"/>
      <c r="G38" s="321"/>
      <c r="H38" s="307"/>
      <c r="I38" s="308"/>
      <c r="J38" s="309">
        <f>AVERAGE(J25:J37)</f>
        <v>3.5</v>
      </c>
      <c r="K38" s="309">
        <f>AVERAGE(K25:K37)</f>
        <v>2817.6410632746279</v>
      </c>
      <c r="L38" s="310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573" t="s">
        <v>288</v>
      </c>
      <c r="B39" s="293">
        <v>0</v>
      </c>
      <c r="C39" s="419"/>
      <c r="D39" s="316"/>
      <c r="E39" s="415"/>
      <c r="F39" s="295" t="s">
        <v>133</v>
      </c>
      <c r="G39" s="418"/>
      <c r="H39" s="296">
        <f t="shared" ref="H39:H47" si="10">F39*G39</f>
        <v>0</v>
      </c>
      <c r="I39" s="420"/>
      <c r="J39" s="297"/>
      <c r="K39" s="298"/>
      <c r="L39" s="299"/>
      <c r="M39" s="300"/>
      <c r="N39" s="300"/>
      <c r="O39" s="292"/>
      <c r="P39" s="322"/>
      <c r="Q39" s="301"/>
      <c r="R39" s="301"/>
    </row>
    <row r="40" spans="1:18">
      <c r="A40" s="574"/>
      <c r="B40" s="293">
        <v>0</v>
      </c>
      <c r="C40" s="419"/>
      <c r="D40" s="316"/>
      <c r="E40" s="415"/>
      <c r="F40" s="295" t="s">
        <v>133</v>
      </c>
      <c r="G40" s="418"/>
      <c r="H40" s="296">
        <f t="shared" si="10"/>
        <v>0</v>
      </c>
      <c r="I40" s="420"/>
      <c r="J40" s="297"/>
      <c r="K40" s="298"/>
      <c r="L40" s="299"/>
      <c r="M40" s="300"/>
      <c r="N40" s="300"/>
      <c r="O40" s="292"/>
      <c r="P40" s="322"/>
      <c r="Q40" s="301"/>
      <c r="R40" s="301"/>
    </row>
    <row r="41" spans="1:18">
      <c r="A41" s="574"/>
      <c r="B41" s="293">
        <v>0</v>
      </c>
      <c r="C41" s="419"/>
      <c r="D41" s="316"/>
      <c r="E41" s="415"/>
      <c r="F41" s="295" t="s">
        <v>133</v>
      </c>
      <c r="G41" s="418"/>
      <c r="H41" s="296">
        <f t="shared" si="10"/>
        <v>0</v>
      </c>
      <c r="I41" s="420"/>
      <c r="J41" s="297"/>
      <c r="K41" s="298"/>
      <c r="L41" s="299"/>
      <c r="M41" s="300"/>
      <c r="N41" s="300"/>
      <c r="O41" s="292"/>
      <c r="P41" s="322"/>
      <c r="Q41" s="301"/>
      <c r="R41" s="301"/>
    </row>
    <row r="42" spans="1:18">
      <c r="A42" s="574"/>
      <c r="B42" s="293">
        <v>0</v>
      </c>
      <c r="C42" s="419"/>
      <c r="D42" s="334"/>
      <c r="E42" s="415"/>
      <c r="F42" s="295" t="s">
        <v>133</v>
      </c>
      <c r="G42" s="418"/>
      <c r="H42" s="296">
        <f t="shared" si="10"/>
        <v>0</v>
      </c>
      <c r="I42" s="420"/>
      <c r="J42" s="297"/>
      <c r="K42" s="298"/>
      <c r="L42" s="299"/>
      <c r="M42" s="300"/>
      <c r="N42" s="300"/>
      <c r="O42" s="292"/>
      <c r="P42" s="322"/>
      <c r="Q42" s="301"/>
      <c r="R42" s="301"/>
    </row>
    <row r="43" spans="1:18" ht="15.75" customHeight="1">
      <c r="A43" s="574"/>
      <c r="B43" s="293">
        <v>0</v>
      </c>
      <c r="C43" s="419"/>
      <c r="D43" s="317"/>
      <c r="E43" s="415"/>
      <c r="F43" s="295" t="s">
        <v>133</v>
      </c>
      <c r="G43" s="418"/>
      <c r="H43" s="296">
        <f t="shared" si="10"/>
        <v>0</v>
      </c>
      <c r="I43" s="420"/>
      <c r="J43" s="297"/>
      <c r="K43" s="298"/>
      <c r="L43" s="299"/>
      <c r="M43" s="300"/>
      <c r="N43" s="300"/>
      <c r="O43" s="292"/>
      <c r="P43" s="413"/>
      <c r="Q43" s="301"/>
      <c r="R43" s="301"/>
    </row>
    <row r="44" spans="1:18">
      <c r="A44" s="574"/>
      <c r="B44" s="293">
        <v>0</v>
      </c>
      <c r="C44" s="419"/>
      <c r="D44" s="317"/>
      <c r="E44" s="323"/>
      <c r="F44" s="295" t="s">
        <v>133</v>
      </c>
      <c r="G44" s="324"/>
      <c r="H44" s="325">
        <f t="shared" si="10"/>
        <v>0</v>
      </c>
      <c r="I44" s="421"/>
      <c r="J44" s="297"/>
      <c r="K44" s="298"/>
      <c r="L44" s="299"/>
      <c r="M44" s="300"/>
      <c r="N44" s="300"/>
      <c r="O44" s="292"/>
      <c r="P44" s="413"/>
      <c r="Q44" s="301"/>
      <c r="R44" s="301"/>
    </row>
    <row r="45" spans="1:18">
      <c r="A45" s="574"/>
      <c r="B45" s="293">
        <v>0</v>
      </c>
      <c r="C45" s="419"/>
      <c r="D45" s="317"/>
      <c r="E45" s="318"/>
      <c r="F45" s="295" t="s">
        <v>133</v>
      </c>
      <c r="G45" s="418"/>
      <c r="H45" s="296">
        <f t="shared" si="10"/>
        <v>0</v>
      </c>
      <c r="I45" s="420"/>
      <c r="J45" s="297"/>
      <c r="K45" s="298"/>
      <c r="L45" s="299"/>
      <c r="M45" s="300"/>
      <c r="N45" s="300"/>
      <c r="O45" s="292"/>
      <c r="P45" s="413"/>
      <c r="Q45" s="301"/>
      <c r="R45" s="301"/>
    </row>
    <row r="46" spans="1:18">
      <c r="A46" s="574"/>
      <c r="B46" s="293">
        <v>0</v>
      </c>
      <c r="C46" s="419"/>
      <c r="D46" s="333"/>
      <c r="E46" s="323"/>
      <c r="F46" s="295" t="s">
        <v>133</v>
      </c>
      <c r="G46" s="324"/>
      <c r="H46" s="325">
        <f t="shared" si="10"/>
        <v>0</v>
      </c>
      <c r="I46" s="421"/>
      <c r="J46" s="297"/>
      <c r="K46" s="298"/>
      <c r="L46" s="299"/>
      <c r="M46" s="300"/>
      <c r="N46" s="300"/>
      <c r="O46" s="292"/>
      <c r="P46" s="413"/>
      <c r="Q46" s="301"/>
      <c r="R46" s="301"/>
    </row>
    <row r="47" spans="1:18">
      <c r="A47" s="574"/>
      <c r="B47" s="293">
        <v>0</v>
      </c>
      <c r="C47" s="419"/>
      <c r="D47" s="316"/>
      <c r="E47" s="318"/>
      <c r="F47" s="295" t="s">
        <v>133</v>
      </c>
      <c r="G47" s="418"/>
      <c r="H47" s="296">
        <f t="shared" si="10"/>
        <v>0</v>
      </c>
      <c r="I47" s="420"/>
      <c r="J47" s="297"/>
      <c r="K47" s="298"/>
      <c r="L47" s="299"/>
      <c r="M47" s="300"/>
      <c r="N47" s="300"/>
      <c r="O47" s="292"/>
      <c r="P47" s="413"/>
      <c r="Q47" s="301"/>
      <c r="R47" s="301"/>
    </row>
    <row r="48" spans="1:18">
      <c r="A48" s="575"/>
      <c r="B48" s="293">
        <v>0</v>
      </c>
      <c r="C48" s="418"/>
      <c r="D48" s="333"/>
      <c r="E48" s="372"/>
      <c r="F48" s="295" t="s">
        <v>133</v>
      </c>
      <c r="G48" s="418"/>
      <c r="H48" s="296"/>
      <c r="I48" s="420"/>
      <c r="J48" s="297"/>
      <c r="K48" s="298"/>
      <c r="L48" s="299"/>
      <c r="M48" s="300"/>
      <c r="N48" s="300"/>
      <c r="O48" s="292"/>
      <c r="P48" s="413"/>
      <c r="Q48" s="301"/>
      <c r="R48" s="301"/>
    </row>
    <row r="49" spans="1:18">
      <c r="A49" s="575"/>
      <c r="B49" s="293">
        <v>0</v>
      </c>
      <c r="C49" s="418"/>
      <c r="D49" s="326"/>
      <c r="E49" s="327"/>
      <c r="F49" s="295" t="s">
        <v>133</v>
      </c>
      <c r="G49" s="292"/>
      <c r="H49" s="325">
        <f>F49*G49</f>
        <v>0</v>
      </c>
      <c r="I49" s="413"/>
      <c r="J49" s="297"/>
      <c r="K49" s="298"/>
      <c r="L49" s="299"/>
      <c r="M49" s="300"/>
      <c r="N49" s="300"/>
      <c r="O49" s="292"/>
      <c r="P49" s="413"/>
      <c r="Q49" s="301"/>
      <c r="R49" s="301"/>
    </row>
    <row r="50" spans="1:18">
      <c r="A50" s="575"/>
      <c r="B50" s="293">
        <v>0</v>
      </c>
      <c r="C50" s="418"/>
      <c r="D50" s="326"/>
      <c r="E50" s="327"/>
      <c r="F50" s="295" t="s">
        <v>133</v>
      </c>
      <c r="G50" s="292"/>
      <c r="H50" s="325">
        <f>F50*G50</f>
        <v>0</v>
      </c>
      <c r="I50" s="413"/>
      <c r="J50" s="297"/>
      <c r="K50" s="298"/>
      <c r="L50" s="299"/>
      <c r="M50" s="300"/>
      <c r="N50" s="300"/>
      <c r="O50" s="292"/>
      <c r="P50" s="413"/>
      <c r="Q50" s="301"/>
      <c r="R50" s="301"/>
    </row>
    <row r="51" spans="1:18" ht="15.75" customHeight="1">
      <c r="A51" s="576"/>
      <c r="B51" s="293">
        <v>0</v>
      </c>
      <c r="C51" s="6" t="s">
        <v>28</v>
      </c>
      <c r="D51" s="567" t="s">
        <v>243</v>
      </c>
      <c r="E51" s="567"/>
      <c r="F51" s="305"/>
      <c r="G51" s="310"/>
      <c r="H51" s="328"/>
      <c r="I51" s="329"/>
      <c r="J51" s="309"/>
      <c r="K51" s="309"/>
      <c r="L51" s="310"/>
      <c r="M51" s="330"/>
      <c r="N51" s="300"/>
      <c r="O51" s="298"/>
      <c r="P51" s="298"/>
      <c r="Q51" s="299"/>
      <c r="R51" s="299"/>
    </row>
    <row r="52" spans="1:18" ht="15.6" customHeight="1">
      <c r="A52" s="577" t="s">
        <v>289</v>
      </c>
      <c r="B52" s="293" t="s">
        <v>131</v>
      </c>
      <c r="C52" s="419"/>
      <c r="D52" s="316" t="s">
        <v>114</v>
      </c>
      <c r="E52" s="331"/>
      <c r="F52" s="295">
        <v>18.18</v>
      </c>
      <c r="G52" s="418">
        <v>1063</v>
      </c>
      <c r="H52" s="296">
        <f>F52*G52</f>
        <v>19325.34</v>
      </c>
      <c r="I52" s="420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3">
        <f>(N52-M52)*24*60</f>
        <v>20.000000000000089</v>
      </c>
      <c r="Q52" s="301"/>
      <c r="R52" s="301"/>
    </row>
    <row r="53" spans="1:18" ht="15.6" customHeight="1">
      <c r="A53" s="578"/>
      <c r="B53" s="293" t="s">
        <v>131</v>
      </c>
      <c r="C53" s="419"/>
      <c r="D53" s="316" t="s">
        <v>110</v>
      </c>
      <c r="E53" s="332"/>
      <c r="F53" s="295">
        <v>25.03</v>
      </c>
      <c r="G53" s="302">
        <v>788</v>
      </c>
      <c r="H53" s="296">
        <f t="shared" ref="H53:H116" si="11">F53*G53</f>
        <v>19723.64</v>
      </c>
      <c r="I53" s="420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3">
        <f t="shared" ref="P53:P57" si="14">(N53-M53)*24*60</f>
        <v>15.000000000000027</v>
      </c>
      <c r="Q53" s="301"/>
      <c r="R53" s="301"/>
    </row>
    <row r="54" spans="1:18" ht="15.6" customHeight="1">
      <c r="A54" s="578"/>
      <c r="B54" s="293" t="s">
        <v>131</v>
      </c>
      <c r="C54" s="419"/>
      <c r="D54" s="316" t="s">
        <v>111</v>
      </c>
      <c r="E54" s="415"/>
      <c r="F54" s="295">
        <v>24.82</v>
      </c>
      <c r="G54" s="302">
        <v>1023</v>
      </c>
      <c r="H54" s="296">
        <f t="shared" si="11"/>
        <v>25390.86</v>
      </c>
      <c r="I54" s="420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3">
        <f t="shared" si="14"/>
        <v>19.999999999999929</v>
      </c>
      <c r="Q54" s="301"/>
      <c r="R54" s="301"/>
    </row>
    <row r="55" spans="1:18" ht="15.6" customHeight="1">
      <c r="A55" s="578"/>
      <c r="B55" s="293" t="s">
        <v>131</v>
      </c>
      <c r="C55" s="419"/>
      <c r="D55" s="316" t="s">
        <v>112</v>
      </c>
      <c r="E55" s="318"/>
      <c r="F55" s="295">
        <v>30</v>
      </c>
      <c r="G55" s="302">
        <v>1499</v>
      </c>
      <c r="H55" s="296">
        <f t="shared" si="11"/>
        <v>44970</v>
      </c>
      <c r="I55" s="420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3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578"/>
      <c r="B56" s="293" t="s">
        <v>131</v>
      </c>
      <c r="C56" s="419"/>
      <c r="D56" s="317" t="s">
        <v>290</v>
      </c>
      <c r="E56" s="318"/>
      <c r="F56" s="295">
        <v>23.72</v>
      </c>
      <c r="G56" s="302">
        <v>1279</v>
      </c>
      <c r="H56" s="296">
        <f t="shared" si="11"/>
        <v>30337.879999999997</v>
      </c>
      <c r="I56" s="420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3">
        <f t="shared" si="14"/>
        <v>25.999999999999986</v>
      </c>
      <c r="Q56" s="301"/>
      <c r="R56" s="301"/>
    </row>
    <row r="57" spans="1:18" ht="15.75" customHeight="1">
      <c r="A57" s="578"/>
      <c r="B57" s="293" t="s">
        <v>131</v>
      </c>
      <c r="C57" s="6" t="s">
        <v>31</v>
      </c>
      <c r="D57" s="316" t="s">
        <v>291</v>
      </c>
      <c r="E57" s="318"/>
      <c r="F57" s="295">
        <v>17.07</v>
      </c>
      <c r="G57" s="302">
        <v>2756</v>
      </c>
      <c r="H57" s="296">
        <f t="shared" si="11"/>
        <v>47044.92</v>
      </c>
      <c r="I57" s="420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3">
        <f t="shared" si="14"/>
        <v>52.000000000000057</v>
      </c>
      <c r="Q57" s="301"/>
      <c r="R57" s="301"/>
    </row>
    <row r="58" spans="1:18" ht="15.6" customHeight="1">
      <c r="A58" s="578"/>
      <c r="B58" s="293">
        <v>0</v>
      </c>
      <c r="C58" s="335"/>
      <c r="D58" s="316"/>
      <c r="E58" s="318"/>
      <c r="F58" s="295" t="s">
        <v>133</v>
      </c>
      <c r="G58" s="336"/>
      <c r="H58" s="296">
        <f t="shared" si="11"/>
        <v>0</v>
      </c>
      <c r="I58" s="420"/>
      <c r="J58" s="297"/>
      <c r="K58" s="298"/>
      <c r="L58" s="299"/>
      <c r="M58" s="300"/>
      <c r="N58" s="300"/>
      <c r="O58" s="298"/>
      <c r="P58" s="413"/>
      <c r="Q58" s="301"/>
      <c r="R58" s="301"/>
    </row>
    <row r="59" spans="1:18" ht="15.6" customHeight="1">
      <c r="A59" s="578"/>
      <c r="B59" s="293">
        <v>0</v>
      </c>
      <c r="C59" s="419"/>
      <c r="D59" s="333"/>
      <c r="E59" s="318"/>
      <c r="F59" s="295" t="s">
        <v>133</v>
      </c>
      <c r="G59" s="302"/>
      <c r="H59" s="296">
        <f t="shared" si="11"/>
        <v>0</v>
      </c>
      <c r="I59" s="420"/>
      <c r="J59" s="297"/>
      <c r="K59" s="298"/>
      <c r="L59" s="299"/>
      <c r="M59" s="300"/>
      <c r="N59" s="300"/>
      <c r="O59" s="298"/>
      <c r="P59" s="413"/>
      <c r="Q59" s="301"/>
      <c r="R59" s="301"/>
    </row>
    <row r="60" spans="1:18" ht="15.6" customHeight="1">
      <c r="A60" s="578"/>
      <c r="B60" s="293">
        <v>0</v>
      </c>
      <c r="C60" s="419"/>
      <c r="D60" s="334"/>
      <c r="E60" s="337"/>
      <c r="F60" s="295" t="s">
        <v>133</v>
      </c>
      <c r="G60" s="302"/>
      <c r="H60" s="296">
        <f t="shared" si="11"/>
        <v>0</v>
      </c>
      <c r="I60" s="420"/>
      <c r="J60" s="297"/>
      <c r="K60" s="298"/>
      <c r="L60" s="299"/>
      <c r="M60" s="300"/>
      <c r="N60" s="300"/>
      <c r="O60" s="298"/>
      <c r="P60" s="413"/>
      <c r="Q60" s="301"/>
      <c r="R60" s="301"/>
    </row>
    <row r="61" spans="1:18" ht="15.6" customHeight="1">
      <c r="A61" s="578"/>
      <c r="B61" s="293">
        <v>0</v>
      </c>
      <c r="C61" s="419"/>
      <c r="D61" s="316"/>
      <c r="E61" s="318"/>
      <c r="F61" s="295" t="s">
        <v>133</v>
      </c>
      <c r="G61" s="302"/>
      <c r="H61" s="296">
        <f t="shared" si="11"/>
        <v>0</v>
      </c>
      <c r="I61" s="420"/>
      <c r="J61" s="297"/>
      <c r="K61" s="298"/>
      <c r="L61" s="299"/>
      <c r="M61" s="300"/>
      <c r="N61" s="300"/>
      <c r="O61" s="298"/>
      <c r="P61" s="413"/>
      <c r="Q61" s="301"/>
      <c r="R61" s="301"/>
    </row>
    <row r="62" spans="1:18" ht="15.6" customHeight="1">
      <c r="A62" s="578"/>
      <c r="B62" s="293">
        <v>0</v>
      </c>
      <c r="C62" s="419"/>
      <c r="D62" s="333"/>
      <c r="E62" s="338"/>
      <c r="F62" s="295" t="s">
        <v>133</v>
      </c>
      <c r="G62" s="302"/>
      <c r="H62" s="296">
        <f t="shared" si="11"/>
        <v>0</v>
      </c>
      <c r="I62" s="420"/>
      <c r="J62" s="297"/>
      <c r="K62" s="298"/>
      <c r="L62" s="299"/>
      <c r="M62" s="300"/>
      <c r="N62" s="300"/>
      <c r="O62" s="298"/>
      <c r="P62" s="413"/>
      <c r="Q62" s="301"/>
      <c r="R62" s="301"/>
    </row>
    <row r="63" spans="1:18" ht="15.6" customHeight="1">
      <c r="A63" s="578"/>
      <c r="B63" s="293">
        <v>0</v>
      </c>
      <c r="C63" s="335"/>
      <c r="D63" s="339"/>
      <c r="E63" s="337"/>
      <c r="F63" s="295" t="s">
        <v>133</v>
      </c>
      <c r="G63" s="302"/>
      <c r="H63" s="296">
        <f t="shared" si="11"/>
        <v>0</v>
      </c>
      <c r="I63" s="421"/>
      <c r="J63" s="297"/>
      <c r="K63" s="298"/>
      <c r="L63" s="299"/>
      <c r="M63" s="300"/>
      <c r="N63" s="300"/>
      <c r="O63" s="292"/>
      <c r="P63" s="413"/>
      <c r="Q63" s="301"/>
      <c r="R63" s="301"/>
    </row>
    <row r="64" spans="1:18" ht="15.75" customHeight="1">
      <c r="A64" s="579"/>
      <c r="B64" s="293">
        <v>0</v>
      </c>
      <c r="C64" s="6" t="s">
        <v>292</v>
      </c>
      <c r="D64" s="567" t="s">
        <v>243</v>
      </c>
      <c r="E64" s="567"/>
      <c r="F64" s="305"/>
      <c r="G64" s="310"/>
      <c r="H64" s="328"/>
      <c r="I64" s="329"/>
      <c r="J64" s="309">
        <f>AVERAGE(J52:J63)</f>
        <v>3.6666666666666665</v>
      </c>
      <c r="K64" s="309">
        <f>AVERAGE(K52:K63)</f>
        <v>3107.1529619805478</v>
      </c>
      <c r="L64" s="310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564" t="s">
        <v>293</v>
      </c>
      <c r="B65" s="293" t="s">
        <v>131</v>
      </c>
      <c r="C65" s="419"/>
      <c r="D65" s="317" t="s">
        <v>294</v>
      </c>
      <c r="E65" s="331"/>
      <c r="F65" s="295">
        <v>22.281818181818181</v>
      </c>
      <c r="G65" s="418">
        <v>733</v>
      </c>
      <c r="H65" s="296">
        <f>F65*G65</f>
        <v>16332.572727272727</v>
      </c>
      <c r="I65" s="420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3">
        <f>(N65-M65)*24*60</f>
        <v>13.999999999999989</v>
      </c>
      <c r="Q65" s="301"/>
      <c r="R65" s="301"/>
    </row>
    <row r="66" spans="1:18" ht="15.6" customHeight="1">
      <c r="A66" s="565"/>
      <c r="B66" s="293" t="s">
        <v>131</v>
      </c>
      <c r="C66" s="419"/>
      <c r="D66" s="317" t="s">
        <v>115</v>
      </c>
      <c r="E66" s="332"/>
      <c r="F66" s="295">
        <v>18.18</v>
      </c>
      <c r="G66" s="302">
        <v>1630</v>
      </c>
      <c r="H66" s="296">
        <f t="shared" ref="H66:H74" si="17">F66*G66</f>
        <v>29633.399999999998</v>
      </c>
      <c r="I66" s="420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3">
        <f t="shared" ref="P66:P72" si="18">(N66-M66)*24*60</f>
        <v>30.999999999999972</v>
      </c>
      <c r="Q66" s="301"/>
      <c r="R66" s="301"/>
    </row>
    <row r="67" spans="1:18" ht="15.6" customHeight="1">
      <c r="A67" s="565"/>
      <c r="B67" s="293" t="s">
        <v>131</v>
      </c>
      <c r="C67" s="419"/>
      <c r="D67" s="333" t="s">
        <v>295</v>
      </c>
      <c r="E67" s="318"/>
      <c r="F67" s="295">
        <v>17.890909090909091</v>
      </c>
      <c r="G67" s="302">
        <v>1775</v>
      </c>
      <c r="H67" s="296">
        <f t="shared" si="17"/>
        <v>31756.363636363636</v>
      </c>
      <c r="I67" s="420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3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565"/>
      <c r="B68" s="293" t="s">
        <v>131</v>
      </c>
      <c r="C68" s="419"/>
      <c r="D68" s="333" t="s">
        <v>116</v>
      </c>
      <c r="E68" s="318"/>
      <c r="F68" s="295">
        <v>14.285714285714283</v>
      </c>
      <c r="G68" s="302">
        <v>4935</v>
      </c>
      <c r="H68" s="296">
        <f t="shared" si="17"/>
        <v>70499.999999999985</v>
      </c>
      <c r="I68" s="420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3">
        <f t="shared" si="18"/>
        <v>92.999999999999986</v>
      </c>
      <c r="Q68" s="301"/>
      <c r="R68" s="301"/>
    </row>
    <row r="69" spans="1:18" ht="15.6" customHeight="1">
      <c r="A69" s="565"/>
      <c r="B69" s="293" t="s">
        <v>131</v>
      </c>
      <c r="C69" s="419"/>
      <c r="D69" s="317" t="s">
        <v>296</v>
      </c>
      <c r="E69" s="318"/>
      <c r="F69" s="295">
        <v>16.66</v>
      </c>
      <c r="G69" s="302">
        <v>3208</v>
      </c>
      <c r="H69" s="296">
        <f t="shared" si="17"/>
        <v>53445.279999999999</v>
      </c>
      <c r="I69" s="420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3">
        <f t="shared" si="18"/>
        <v>60.999999999999943</v>
      </c>
      <c r="Q69" s="301"/>
      <c r="R69" s="301"/>
    </row>
    <row r="70" spans="1:18" ht="15.75" customHeight="1">
      <c r="A70" s="565"/>
      <c r="B70" s="293" t="s">
        <v>131</v>
      </c>
      <c r="C70" s="6" t="s">
        <v>31</v>
      </c>
      <c r="D70" s="334" t="s">
        <v>113</v>
      </c>
      <c r="E70" s="318"/>
      <c r="F70" s="295">
        <v>14.03</v>
      </c>
      <c r="G70" s="302">
        <v>3096</v>
      </c>
      <c r="H70" s="296">
        <f t="shared" si="17"/>
        <v>43436.88</v>
      </c>
      <c r="I70" s="420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3">
        <f t="shared" si="18"/>
        <v>58.000000000000036</v>
      </c>
      <c r="Q70" s="301"/>
      <c r="R70" s="301"/>
    </row>
    <row r="71" spans="1:18" ht="15.6" customHeight="1">
      <c r="A71" s="565"/>
      <c r="B71" s="293" t="s">
        <v>131</v>
      </c>
      <c r="C71" s="335"/>
      <c r="D71" s="333" t="s">
        <v>297</v>
      </c>
      <c r="E71" s="318"/>
      <c r="F71" s="295">
        <v>25.2</v>
      </c>
      <c r="G71" s="336">
        <v>1312</v>
      </c>
      <c r="H71" s="296">
        <f t="shared" si="17"/>
        <v>33062.400000000001</v>
      </c>
      <c r="I71" s="420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3">
        <f t="shared" si="18"/>
        <v>24.999999999999911</v>
      </c>
      <c r="Q71" s="301"/>
      <c r="R71" s="301"/>
    </row>
    <row r="72" spans="1:18" ht="15.6" customHeight="1">
      <c r="A72" s="565"/>
      <c r="B72" s="293" t="s">
        <v>131</v>
      </c>
      <c r="C72" s="419"/>
      <c r="D72" s="333" t="s">
        <v>298</v>
      </c>
      <c r="E72" s="318"/>
      <c r="F72" s="295">
        <v>20.72</v>
      </c>
      <c r="G72" s="302">
        <v>3292</v>
      </c>
      <c r="H72" s="296">
        <f t="shared" si="17"/>
        <v>68210.239999999991</v>
      </c>
      <c r="I72" s="420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3">
        <f t="shared" si="18"/>
        <v>61.999999999999943</v>
      </c>
      <c r="Q72" s="301"/>
      <c r="R72" s="301"/>
    </row>
    <row r="73" spans="1:18" ht="15.6" customHeight="1">
      <c r="A73" s="565"/>
      <c r="B73" s="293">
        <v>0</v>
      </c>
      <c r="C73" s="419"/>
      <c r="D73" s="333"/>
      <c r="E73" s="318"/>
      <c r="F73" s="295" t="s">
        <v>133</v>
      </c>
      <c r="G73" s="302"/>
      <c r="H73" s="296">
        <f t="shared" si="17"/>
        <v>0</v>
      </c>
      <c r="I73" s="420"/>
      <c r="J73" s="297"/>
      <c r="K73" s="298"/>
      <c r="L73" s="299"/>
      <c r="M73" s="300"/>
      <c r="N73" s="300"/>
      <c r="O73" s="298"/>
      <c r="P73" s="413"/>
      <c r="Q73" s="301"/>
      <c r="R73" s="301"/>
    </row>
    <row r="74" spans="1:18" ht="15.6" customHeight="1">
      <c r="A74" s="565"/>
      <c r="B74" s="293">
        <v>0</v>
      </c>
      <c r="C74" s="419"/>
      <c r="D74" s="333"/>
      <c r="E74" s="318"/>
      <c r="F74" s="295" t="s">
        <v>133</v>
      </c>
      <c r="G74" s="302"/>
      <c r="H74" s="296">
        <f t="shared" si="17"/>
        <v>0</v>
      </c>
      <c r="I74" s="420"/>
      <c r="J74" s="297"/>
      <c r="K74" s="298"/>
      <c r="L74" s="299"/>
      <c r="M74" s="300"/>
      <c r="N74" s="300"/>
      <c r="O74" s="298"/>
      <c r="P74" s="413"/>
      <c r="Q74" s="301"/>
      <c r="R74" s="301"/>
    </row>
    <row r="75" spans="1:18" ht="15.75" customHeight="1">
      <c r="A75" s="566"/>
      <c r="B75" s="293">
        <v>0</v>
      </c>
      <c r="C75" s="6" t="s">
        <v>299</v>
      </c>
      <c r="D75" s="567" t="s">
        <v>243</v>
      </c>
      <c r="E75" s="567"/>
      <c r="F75" s="305"/>
      <c r="G75" s="310"/>
      <c r="H75" s="328"/>
      <c r="I75" s="329"/>
      <c r="J75" s="309">
        <f>AVERAGE(J65:J74)</f>
        <v>3.25</v>
      </c>
      <c r="K75" s="309">
        <f>AVERAGE(K65:K74)</f>
        <v>3163.1582622990686</v>
      </c>
      <c r="L75" s="310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568" t="s">
        <v>117</v>
      </c>
      <c r="B76" s="293">
        <v>0</v>
      </c>
      <c r="C76" s="304"/>
      <c r="D76" s="569"/>
      <c r="E76" s="570"/>
      <c r="F76" s="295" t="s">
        <v>133</v>
      </c>
      <c r="G76" s="340"/>
      <c r="H76" s="311">
        <f t="shared" si="11"/>
        <v>0</v>
      </c>
      <c r="I76" s="312"/>
      <c r="J76" s="297">
        <v>0</v>
      </c>
      <c r="K76" s="298">
        <v>0</v>
      </c>
      <c r="L76" s="299">
        <v>0</v>
      </c>
      <c r="M76" s="300"/>
      <c r="N76" s="300"/>
      <c r="O76" s="292"/>
      <c r="P76" s="413"/>
      <c r="Q76" s="301"/>
      <c r="R76" s="301"/>
    </row>
    <row r="77" spans="1:18">
      <c r="A77" s="568"/>
      <c r="B77" s="293">
        <v>0</v>
      </c>
      <c r="C77" s="304"/>
      <c r="D77" s="569"/>
      <c r="E77" s="570"/>
      <c r="F77" s="295" t="s">
        <v>133</v>
      </c>
      <c r="G77" s="418"/>
      <c r="H77" s="296">
        <f t="shared" si="11"/>
        <v>0</v>
      </c>
      <c r="I77" s="420"/>
      <c r="J77" s="297"/>
      <c r="K77" s="298"/>
      <c r="L77" s="299"/>
      <c r="M77" s="300"/>
      <c r="N77" s="300"/>
      <c r="O77" s="292"/>
      <c r="P77" s="413"/>
      <c r="Q77" s="292"/>
      <c r="R77" s="292"/>
    </row>
    <row r="78" spans="1:18">
      <c r="A78" s="568"/>
      <c r="B78" s="293">
        <v>0</v>
      </c>
      <c r="C78" s="304"/>
      <c r="D78" s="412"/>
      <c r="E78" s="412"/>
      <c r="F78" s="295" t="s">
        <v>133</v>
      </c>
      <c r="G78" s="320"/>
      <c r="H78" s="296">
        <f t="shared" si="11"/>
        <v>0</v>
      </c>
      <c r="I78" s="420"/>
      <c r="J78" s="297"/>
      <c r="K78" s="298"/>
      <c r="L78" s="299"/>
      <c r="M78" s="300"/>
      <c r="N78" s="300"/>
      <c r="O78" s="292"/>
      <c r="P78" s="413"/>
      <c r="Q78" s="292"/>
      <c r="R78" s="292"/>
    </row>
    <row r="79" spans="1:18">
      <c r="A79" s="568"/>
      <c r="B79" s="293">
        <v>0</v>
      </c>
      <c r="C79" s="304"/>
      <c r="D79" s="412"/>
      <c r="E79" s="412"/>
      <c r="F79" s="295" t="s">
        <v>133</v>
      </c>
      <c r="G79" s="320"/>
      <c r="H79" s="296">
        <f t="shared" si="11"/>
        <v>0</v>
      </c>
      <c r="I79" s="420"/>
      <c r="J79" s="297"/>
      <c r="K79" s="298"/>
      <c r="L79" s="299"/>
      <c r="M79" s="300"/>
      <c r="N79" s="300"/>
      <c r="O79" s="292"/>
      <c r="P79" s="413"/>
      <c r="Q79" s="292"/>
      <c r="R79" s="292"/>
    </row>
    <row r="80" spans="1:18">
      <c r="A80" s="568"/>
      <c r="B80" s="293">
        <v>0</v>
      </c>
      <c r="C80" s="304"/>
      <c r="D80" s="412"/>
      <c r="E80" s="412"/>
      <c r="F80" s="295" t="s">
        <v>133</v>
      </c>
      <c r="G80" s="320"/>
      <c r="H80" s="296">
        <f t="shared" si="11"/>
        <v>0</v>
      </c>
      <c r="I80" s="420"/>
      <c r="J80" s="297"/>
      <c r="K80" s="298"/>
      <c r="L80" s="299"/>
      <c r="M80" s="300"/>
      <c r="N80" s="300"/>
      <c r="O80" s="292"/>
      <c r="P80" s="413"/>
      <c r="Q80" s="292"/>
      <c r="R80" s="292"/>
    </row>
    <row r="81" spans="1:18" ht="15.75" customHeight="1">
      <c r="A81" s="568"/>
      <c r="B81" s="293">
        <v>0</v>
      </c>
      <c r="C81" s="6" t="s">
        <v>31</v>
      </c>
      <c r="D81" s="562" t="s">
        <v>243</v>
      </c>
      <c r="E81" s="562"/>
      <c r="F81" s="305"/>
      <c r="G81" s="341"/>
      <c r="H81" s="307"/>
      <c r="I81" s="308"/>
      <c r="J81" s="309">
        <f>AVERAGE(J76:J80)</f>
        <v>0</v>
      </c>
      <c r="K81" s="309">
        <f>AVERAGE(K76:K80)</f>
        <v>0</v>
      </c>
      <c r="L81" s="310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553" t="s">
        <v>300</v>
      </c>
      <c r="B82" s="293" t="s">
        <v>131</v>
      </c>
      <c r="C82" s="315"/>
      <c r="D82" s="316" t="s">
        <v>301</v>
      </c>
      <c r="E82" s="342"/>
      <c r="F82" s="295">
        <v>17.22</v>
      </c>
      <c r="G82" s="320">
        <v>1150</v>
      </c>
      <c r="H82" s="343">
        <f t="shared" ref="H82:H90" si="19">F82*G82</f>
        <v>19803</v>
      </c>
      <c r="I82" s="420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3">
        <f t="shared" ref="P82" si="22">(N82-M82)*24*60</f>
        <v>20.000000000000089</v>
      </c>
      <c r="Q82" s="301"/>
      <c r="R82" s="301"/>
    </row>
    <row r="83" spans="1:18">
      <c r="A83" s="554"/>
      <c r="B83" s="293">
        <v>0</v>
      </c>
      <c r="C83" s="315"/>
      <c r="D83" s="333"/>
      <c r="E83" s="342"/>
      <c r="F83" s="295" t="s">
        <v>133</v>
      </c>
      <c r="G83" s="320"/>
      <c r="H83" s="343">
        <f t="shared" si="19"/>
        <v>0</v>
      </c>
      <c r="I83" s="420"/>
      <c r="J83" s="297"/>
      <c r="K83" s="298"/>
      <c r="L83" s="299"/>
      <c r="M83" s="300"/>
      <c r="N83" s="300"/>
      <c r="O83" s="298"/>
      <c r="P83" s="413"/>
      <c r="Q83" s="301"/>
      <c r="R83" s="301"/>
    </row>
    <row r="84" spans="1:18">
      <c r="A84" s="554"/>
      <c r="B84" s="293">
        <v>0</v>
      </c>
      <c r="C84" s="315"/>
      <c r="D84" s="316"/>
      <c r="E84" s="342"/>
      <c r="F84" s="295" t="s">
        <v>133</v>
      </c>
      <c r="G84" s="320"/>
      <c r="H84" s="343">
        <f t="shared" si="19"/>
        <v>0</v>
      </c>
      <c r="I84" s="420"/>
      <c r="J84" s="297"/>
      <c r="K84" s="298"/>
      <c r="L84" s="299"/>
      <c r="M84" s="300"/>
      <c r="N84" s="300"/>
      <c r="O84" s="298"/>
      <c r="P84" s="322"/>
      <c r="Q84" s="301"/>
      <c r="R84" s="301"/>
    </row>
    <row r="85" spans="1:18">
      <c r="A85" s="554"/>
      <c r="B85" s="293">
        <v>0</v>
      </c>
      <c r="C85" s="315"/>
      <c r="D85" s="316"/>
      <c r="E85" s="342"/>
      <c r="F85" s="295" t="s">
        <v>133</v>
      </c>
      <c r="G85" s="320"/>
      <c r="H85" s="344">
        <f t="shared" si="19"/>
        <v>0</v>
      </c>
      <c r="I85" s="420"/>
      <c r="J85" s="297"/>
      <c r="K85" s="298"/>
      <c r="L85" s="299"/>
      <c r="M85" s="300"/>
      <c r="N85" s="300"/>
      <c r="O85" s="298"/>
      <c r="P85" s="322"/>
      <c r="Q85" s="292"/>
      <c r="R85" s="292"/>
    </row>
    <row r="86" spans="1:18">
      <c r="A86" s="554"/>
      <c r="B86" s="293">
        <v>0</v>
      </c>
      <c r="C86" s="315"/>
      <c r="D86" s="316"/>
      <c r="E86" s="342"/>
      <c r="F86" s="295" t="s">
        <v>133</v>
      </c>
      <c r="G86" s="418"/>
      <c r="H86" s="344">
        <f t="shared" si="19"/>
        <v>0</v>
      </c>
      <c r="I86" s="420"/>
      <c r="J86" s="297"/>
      <c r="K86" s="298"/>
      <c r="L86" s="299"/>
      <c r="M86" s="300"/>
      <c r="N86" s="345"/>
      <c r="O86" s="292"/>
      <c r="P86" s="322"/>
      <c r="Q86" s="292"/>
      <c r="R86" s="292"/>
    </row>
    <row r="87" spans="1:18">
      <c r="A87" s="554"/>
      <c r="B87" s="293"/>
      <c r="C87" s="315"/>
      <c r="D87" s="316"/>
      <c r="E87" s="342"/>
      <c r="F87" s="295" t="s">
        <v>133</v>
      </c>
      <c r="G87" s="418"/>
      <c r="H87" s="344">
        <f t="shared" si="19"/>
        <v>0</v>
      </c>
      <c r="I87" s="420"/>
      <c r="J87" s="297"/>
      <c r="K87" s="298"/>
      <c r="L87" s="299"/>
      <c r="M87" s="300"/>
      <c r="N87" s="345"/>
      <c r="O87" s="292"/>
      <c r="P87" s="322"/>
      <c r="Q87" s="292"/>
      <c r="R87" s="292"/>
    </row>
    <row r="88" spans="1:18">
      <c r="A88" s="554"/>
      <c r="B88" s="293">
        <v>0</v>
      </c>
      <c r="C88" s="315"/>
      <c r="D88" s="316"/>
      <c r="E88" s="342"/>
      <c r="F88" s="295" t="s">
        <v>133</v>
      </c>
      <c r="G88" s="418"/>
      <c r="H88" s="344">
        <f t="shared" si="19"/>
        <v>0</v>
      </c>
      <c r="I88" s="420"/>
      <c r="J88" s="297"/>
      <c r="K88" s="298"/>
      <c r="L88" s="299"/>
      <c r="M88" s="300"/>
      <c r="N88" s="345"/>
      <c r="O88" s="292"/>
      <c r="P88" s="322"/>
      <c r="Q88" s="292"/>
      <c r="R88" s="292"/>
    </row>
    <row r="89" spans="1:18">
      <c r="A89" s="554"/>
      <c r="B89" s="293">
        <v>0</v>
      </c>
      <c r="C89" s="315"/>
      <c r="D89" s="316"/>
      <c r="E89" s="342"/>
      <c r="F89" s="295" t="s">
        <v>133</v>
      </c>
      <c r="G89" s="418"/>
      <c r="H89" s="344">
        <f t="shared" si="19"/>
        <v>0</v>
      </c>
      <c r="I89" s="420"/>
      <c r="J89" s="297"/>
      <c r="K89" s="298"/>
      <c r="L89" s="299"/>
      <c r="M89" s="300"/>
      <c r="N89" s="345"/>
      <c r="O89" s="292"/>
      <c r="P89" s="322"/>
      <c r="Q89" s="292"/>
      <c r="R89" s="292"/>
    </row>
    <row r="90" spans="1:18">
      <c r="A90" s="554"/>
      <c r="B90" s="293">
        <v>0</v>
      </c>
      <c r="C90" s="315"/>
      <c r="D90" s="316"/>
      <c r="E90" s="342"/>
      <c r="F90" s="295" t="s">
        <v>133</v>
      </c>
      <c r="G90" s="418"/>
      <c r="H90" s="344">
        <f t="shared" si="19"/>
        <v>0</v>
      </c>
      <c r="I90" s="420"/>
      <c r="J90" s="297"/>
      <c r="K90" s="298"/>
      <c r="L90" s="299"/>
      <c r="M90" s="300"/>
      <c r="N90" s="345"/>
      <c r="O90" s="292"/>
      <c r="P90" s="322"/>
      <c r="Q90" s="292"/>
      <c r="R90" s="292"/>
    </row>
    <row r="91" spans="1:18" ht="17.399999999999999" customHeight="1">
      <c r="A91" s="554"/>
      <c r="B91" s="293">
        <v>0</v>
      </c>
      <c r="C91" s="6" t="s">
        <v>285</v>
      </c>
      <c r="D91" s="555" t="s">
        <v>243</v>
      </c>
      <c r="E91" s="555"/>
      <c r="F91" s="305"/>
      <c r="G91" s="346"/>
      <c r="H91" s="347"/>
      <c r="I91" s="308"/>
      <c r="J91" s="309">
        <f>AVERAGE(J82:J90)</f>
        <v>3</v>
      </c>
      <c r="K91" s="309">
        <f>AVERAGE(K82:K90)</f>
        <v>3449.9999999999845</v>
      </c>
      <c r="L91" s="310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556" t="s">
        <v>302</v>
      </c>
      <c r="B92" s="293" t="s">
        <v>131</v>
      </c>
      <c r="C92" s="304"/>
      <c r="D92" s="348" t="s">
        <v>303</v>
      </c>
      <c r="E92" s="342"/>
      <c r="F92" s="295">
        <v>24.54</v>
      </c>
      <c r="G92" s="418">
        <v>1661</v>
      </c>
      <c r="H92" s="296">
        <f t="shared" ref="H92:H99" si="23">F92*G92</f>
        <v>40760.939999999995</v>
      </c>
      <c r="I92" s="420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3">
        <f>(N92-M92)*24*60</f>
        <v>45</v>
      </c>
      <c r="Q92" s="301"/>
      <c r="R92" s="301"/>
    </row>
    <row r="93" spans="1:18">
      <c r="A93" s="557"/>
      <c r="B93" s="293" t="s">
        <v>131</v>
      </c>
      <c r="C93" s="304"/>
      <c r="D93" s="316" t="s">
        <v>304</v>
      </c>
      <c r="E93" s="337"/>
      <c r="F93" s="295">
        <v>23.27</v>
      </c>
      <c r="G93" s="302">
        <v>1322</v>
      </c>
      <c r="H93" s="296">
        <f t="shared" si="23"/>
        <v>30762.94</v>
      </c>
      <c r="I93" s="420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3">
        <f>(N93-M93)*24*60</f>
        <v>34.999999999999872</v>
      </c>
      <c r="Q93" s="301"/>
      <c r="R93" s="301"/>
    </row>
    <row r="94" spans="1:18">
      <c r="A94" s="557"/>
      <c r="B94" s="293">
        <v>0</v>
      </c>
      <c r="C94" s="304"/>
      <c r="D94" s="316"/>
      <c r="E94" s="337"/>
      <c r="F94" s="295" t="s">
        <v>133</v>
      </c>
      <c r="G94" s="302"/>
      <c r="H94" s="296">
        <f t="shared" si="23"/>
        <v>0</v>
      </c>
      <c r="I94" s="420"/>
      <c r="J94" s="297"/>
      <c r="K94" s="298"/>
      <c r="L94" s="299"/>
      <c r="M94" s="300"/>
      <c r="N94" s="300"/>
      <c r="O94" s="292"/>
      <c r="P94" s="413"/>
      <c r="Q94" s="301"/>
      <c r="R94" s="301"/>
    </row>
    <row r="95" spans="1:18">
      <c r="A95" s="558"/>
      <c r="B95" s="293">
        <v>0</v>
      </c>
      <c r="C95" s="304"/>
      <c r="D95" s="316"/>
      <c r="E95" s="337"/>
      <c r="F95" s="295" t="s">
        <v>133</v>
      </c>
      <c r="G95" s="302"/>
      <c r="H95" s="296">
        <f t="shared" si="23"/>
        <v>0</v>
      </c>
      <c r="I95" s="420"/>
      <c r="J95" s="297"/>
      <c r="K95" s="298"/>
      <c r="L95" s="299"/>
      <c r="M95" s="300"/>
      <c r="N95" s="300"/>
      <c r="O95" s="292"/>
      <c r="P95" s="413"/>
      <c r="Q95" s="301"/>
      <c r="R95" s="301"/>
    </row>
    <row r="96" spans="1:18">
      <c r="A96" s="558"/>
      <c r="B96" s="293">
        <v>0</v>
      </c>
      <c r="C96" s="304"/>
      <c r="D96" s="316"/>
      <c r="E96" s="337"/>
      <c r="F96" s="295" t="s">
        <v>133</v>
      </c>
      <c r="G96" s="302"/>
      <c r="H96" s="296">
        <f t="shared" si="23"/>
        <v>0</v>
      </c>
      <c r="I96" s="420"/>
      <c r="J96" s="297"/>
      <c r="K96" s="298"/>
      <c r="L96" s="299"/>
      <c r="M96" s="300"/>
      <c r="N96" s="300"/>
      <c r="O96" s="292"/>
      <c r="P96" s="413"/>
      <c r="Q96" s="301"/>
      <c r="R96" s="301"/>
    </row>
    <row r="97" spans="1:18">
      <c r="A97" s="558"/>
      <c r="B97" s="293">
        <v>0</v>
      </c>
      <c r="C97" s="304"/>
      <c r="D97" s="316"/>
      <c r="E97" s="337"/>
      <c r="F97" s="295" t="s">
        <v>133</v>
      </c>
      <c r="G97" s="302"/>
      <c r="H97" s="296">
        <f t="shared" si="23"/>
        <v>0</v>
      </c>
      <c r="I97" s="420"/>
      <c r="J97" s="297"/>
      <c r="K97" s="298"/>
      <c r="L97" s="299"/>
      <c r="M97" s="300"/>
      <c r="N97" s="300"/>
      <c r="O97" s="292"/>
      <c r="P97" s="413"/>
      <c r="Q97" s="301"/>
      <c r="R97" s="301"/>
    </row>
    <row r="98" spans="1:18">
      <c r="A98" s="558"/>
      <c r="B98" s="293">
        <v>0</v>
      </c>
      <c r="C98" s="304"/>
      <c r="D98" s="316"/>
      <c r="E98" s="337"/>
      <c r="F98" s="295" t="s">
        <v>133</v>
      </c>
      <c r="G98" s="302"/>
      <c r="H98" s="296">
        <f t="shared" si="23"/>
        <v>0</v>
      </c>
      <c r="I98" s="420"/>
      <c r="J98" s="297"/>
      <c r="K98" s="298"/>
      <c r="L98" s="299"/>
      <c r="M98" s="300"/>
      <c r="N98" s="300"/>
      <c r="O98" s="292"/>
      <c r="P98" s="413"/>
      <c r="Q98" s="301"/>
      <c r="R98" s="301"/>
    </row>
    <row r="99" spans="1:18">
      <c r="A99" s="558"/>
      <c r="B99" s="293">
        <v>0</v>
      </c>
      <c r="C99" s="304"/>
      <c r="D99" s="316"/>
      <c r="E99" s="337"/>
      <c r="F99" s="295" t="s">
        <v>133</v>
      </c>
      <c r="G99" s="302"/>
      <c r="H99" s="296">
        <f t="shared" si="23"/>
        <v>0</v>
      </c>
      <c r="I99" s="420"/>
      <c r="J99" s="297"/>
      <c r="K99" s="298"/>
      <c r="L99" s="299"/>
      <c r="M99" s="300"/>
      <c r="N99" s="300"/>
      <c r="O99" s="292"/>
      <c r="P99" s="413"/>
      <c r="Q99" s="301"/>
      <c r="R99" s="301"/>
    </row>
    <row r="100" spans="1:18" ht="15.75" customHeight="1">
      <c r="A100" s="558"/>
      <c r="B100" s="293">
        <v>0</v>
      </c>
      <c r="C100" s="6" t="s">
        <v>305</v>
      </c>
      <c r="D100" s="559" t="s">
        <v>243</v>
      </c>
      <c r="E100" s="560"/>
      <c r="F100" s="305"/>
      <c r="G100" s="306"/>
      <c r="H100" s="349"/>
      <c r="I100" s="308"/>
      <c r="J100" s="309">
        <f>AVERAGE(J92:J99)</f>
        <v>3.5</v>
      </c>
      <c r="K100" s="309">
        <f>AVERAGE(K92:K99)</f>
        <v>2240.4761904761945</v>
      </c>
      <c r="L100" s="310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561" t="s">
        <v>306</v>
      </c>
      <c r="B101" s="293" t="s">
        <v>131</v>
      </c>
      <c r="C101" s="6"/>
      <c r="D101" s="337" t="s">
        <v>122</v>
      </c>
      <c r="E101" s="350"/>
      <c r="F101" s="295">
        <v>25.03</v>
      </c>
      <c r="G101" s="418">
        <v>1283</v>
      </c>
      <c r="H101" s="296">
        <f t="shared" ref="H101:H110" si="26">F101*G101</f>
        <v>32113.49</v>
      </c>
      <c r="I101" s="420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561"/>
      <c r="B102" s="293" t="s">
        <v>131</v>
      </c>
      <c r="C102" s="6"/>
      <c r="D102" s="316" t="s">
        <v>123</v>
      </c>
      <c r="E102" s="350"/>
      <c r="F102" s="295">
        <v>24.82</v>
      </c>
      <c r="G102" s="418">
        <v>1969</v>
      </c>
      <c r="H102" s="296">
        <f t="shared" si="26"/>
        <v>48870.58</v>
      </c>
      <c r="I102" s="420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561"/>
      <c r="B103" s="293" t="s">
        <v>131</v>
      </c>
      <c r="C103" s="6"/>
      <c r="D103" s="316" t="s">
        <v>307</v>
      </c>
      <c r="E103" s="316"/>
      <c r="F103" s="295">
        <v>30</v>
      </c>
      <c r="G103" s="418">
        <v>2195</v>
      </c>
      <c r="H103" s="296">
        <f t="shared" si="26"/>
        <v>65850</v>
      </c>
      <c r="I103" s="420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561"/>
      <c r="B104" s="293" t="s">
        <v>131</v>
      </c>
      <c r="C104" s="6"/>
      <c r="D104" s="333" t="s">
        <v>124</v>
      </c>
      <c r="E104" s="337"/>
      <c r="F104" s="295">
        <v>28.57</v>
      </c>
      <c r="G104" s="418">
        <v>3394</v>
      </c>
      <c r="H104" s="296">
        <f t="shared" si="26"/>
        <v>96966.58</v>
      </c>
      <c r="I104" s="420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561"/>
      <c r="B105" s="293" t="s">
        <v>131</v>
      </c>
      <c r="C105" s="6"/>
      <c r="D105" s="316" t="s">
        <v>125</v>
      </c>
      <c r="E105" s="333"/>
      <c r="F105" s="295">
        <v>14.285714285714283</v>
      </c>
      <c r="G105" s="418">
        <v>9514</v>
      </c>
      <c r="H105" s="296">
        <f t="shared" si="26"/>
        <v>135914.28571428568</v>
      </c>
      <c r="I105" s="420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561"/>
      <c r="B106" s="293">
        <v>0</v>
      </c>
      <c r="C106" s="6"/>
      <c r="D106" s="316"/>
      <c r="E106" s="350"/>
      <c r="F106" s="295" t="s">
        <v>133</v>
      </c>
      <c r="G106" s="302"/>
      <c r="H106" s="296">
        <f t="shared" si="26"/>
        <v>0</v>
      </c>
      <c r="I106" s="42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561"/>
      <c r="B107" s="293">
        <v>0</v>
      </c>
      <c r="C107" s="6"/>
      <c r="D107" s="316"/>
      <c r="E107" s="333"/>
      <c r="F107" s="295" t="s">
        <v>133</v>
      </c>
      <c r="G107" s="418"/>
      <c r="H107" s="296">
        <f t="shared" si="26"/>
        <v>0</v>
      </c>
      <c r="I107" s="42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561"/>
      <c r="B108" s="293">
        <v>0</v>
      </c>
      <c r="C108" s="6"/>
      <c r="D108" s="316"/>
      <c r="E108" s="333"/>
      <c r="F108" s="295" t="s">
        <v>133</v>
      </c>
      <c r="G108" s="418"/>
      <c r="H108" s="296">
        <f t="shared" si="26"/>
        <v>0</v>
      </c>
      <c r="I108" s="42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561"/>
      <c r="B109" s="293">
        <v>0</v>
      </c>
      <c r="C109" s="304"/>
      <c r="D109" s="316"/>
      <c r="E109" s="333"/>
      <c r="F109" s="295" t="s">
        <v>133</v>
      </c>
      <c r="G109" s="418"/>
      <c r="H109" s="296">
        <f t="shared" si="26"/>
        <v>0</v>
      </c>
      <c r="I109" s="42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561"/>
      <c r="B110" s="293">
        <v>0</v>
      </c>
      <c r="C110" s="304"/>
      <c r="D110" s="316"/>
      <c r="E110" s="333"/>
      <c r="F110" s="295" t="s">
        <v>133</v>
      </c>
      <c r="G110" s="418"/>
      <c r="H110" s="296">
        <f t="shared" si="26"/>
        <v>0</v>
      </c>
      <c r="I110" s="42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561"/>
      <c r="B111" s="293">
        <v>0</v>
      </c>
      <c r="C111" s="6" t="s">
        <v>292</v>
      </c>
      <c r="D111" s="562" t="s">
        <v>243</v>
      </c>
      <c r="E111" s="563"/>
      <c r="F111" s="351"/>
      <c r="G111" s="352"/>
      <c r="H111" s="307"/>
      <c r="I111" s="308"/>
      <c r="J111" s="309">
        <f>AVERAGE(J101:J110)</f>
        <v>3.4</v>
      </c>
      <c r="K111" s="309">
        <f>AVERAGE(K101:K110)</f>
        <v>3019.3421592405812</v>
      </c>
      <c r="L111" s="310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551" t="s">
        <v>308</v>
      </c>
      <c r="B112" s="293" t="s">
        <v>131</v>
      </c>
      <c r="C112" s="6"/>
      <c r="D112" s="333" t="s">
        <v>119</v>
      </c>
      <c r="E112" s="353"/>
      <c r="F112" s="295">
        <v>16.7</v>
      </c>
      <c r="G112" s="418">
        <v>1666</v>
      </c>
      <c r="H112" s="343">
        <f t="shared" si="11"/>
        <v>27822.199999999997</v>
      </c>
      <c r="I112" s="420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3">
        <f t="shared" ref="P112:P118" si="32">(N112-M112)*24*60</f>
        <v>35.000000000000036</v>
      </c>
      <c r="Q112" s="292"/>
      <c r="R112" s="292"/>
    </row>
    <row r="113" spans="1:18">
      <c r="A113" s="551"/>
      <c r="B113" s="293" t="s">
        <v>131</v>
      </c>
      <c r="C113" s="315"/>
      <c r="D113" s="412" t="s">
        <v>126</v>
      </c>
      <c r="E113" s="412"/>
      <c r="F113" s="295">
        <v>18.18</v>
      </c>
      <c r="G113" s="418">
        <v>1096</v>
      </c>
      <c r="H113" s="343">
        <f t="shared" si="11"/>
        <v>19925.28</v>
      </c>
      <c r="I113" s="420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3">
        <f t="shared" si="32"/>
        <v>25.000000000000071</v>
      </c>
      <c r="Q113" s="301"/>
      <c r="R113" s="301"/>
    </row>
    <row r="114" spans="1:18">
      <c r="A114" s="551"/>
      <c r="B114" s="293" t="s">
        <v>131</v>
      </c>
      <c r="C114" s="315"/>
      <c r="D114" s="412" t="s">
        <v>309</v>
      </c>
      <c r="E114" s="316"/>
      <c r="F114" s="295">
        <v>18.18</v>
      </c>
      <c r="G114" s="418">
        <v>1230</v>
      </c>
      <c r="H114" s="343">
        <f t="shared" si="11"/>
        <v>22361.4</v>
      </c>
      <c r="I114" s="420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3">
        <f t="shared" si="32"/>
        <v>25.000000000000071</v>
      </c>
      <c r="Q114" s="301"/>
      <c r="R114" s="301"/>
    </row>
    <row r="115" spans="1:18">
      <c r="A115" s="551"/>
      <c r="B115" s="293" t="s">
        <v>131</v>
      </c>
      <c r="C115" s="315"/>
      <c r="D115" s="316" t="s">
        <v>118</v>
      </c>
      <c r="E115" s="337"/>
      <c r="F115" s="295">
        <v>16.66</v>
      </c>
      <c r="G115" s="418">
        <v>6365</v>
      </c>
      <c r="H115" s="343">
        <f t="shared" si="11"/>
        <v>106040.9</v>
      </c>
      <c r="I115" s="420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3">
        <f t="shared" si="32"/>
        <v>125.00000000000003</v>
      </c>
      <c r="Q115" s="301"/>
      <c r="R115" s="301"/>
    </row>
    <row r="116" spans="1:18">
      <c r="A116" s="551"/>
      <c r="B116" s="293" t="s">
        <v>131</v>
      </c>
      <c r="C116" s="315"/>
      <c r="D116" s="316" t="s">
        <v>120</v>
      </c>
      <c r="E116" s="333"/>
      <c r="F116" s="295">
        <v>22.281818181818181</v>
      </c>
      <c r="G116" s="418">
        <v>1170</v>
      </c>
      <c r="H116" s="343">
        <f t="shared" si="11"/>
        <v>26069.727272727272</v>
      </c>
      <c r="I116" s="420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5">
        <v>0.94097222222222221</v>
      </c>
      <c r="O116" s="292">
        <v>20</v>
      </c>
      <c r="P116" s="413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551"/>
      <c r="B117" s="293" t="s">
        <v>131</v>
      </c>
      <c r="C117" s="315"/>
      <c r="D117" s="316" t="s">
        <v>121</v>
      </c>
      <c r="E117" s="332"/>
      <c r="F117" s="295">
        <v>17.890909090909091</v>
      </c>
      <c r="G117" s="418">
        <v>4134</v>
      </c>
      <c r="H117" s="343">
        <f t="shared" ref="H117:H123" si="33">F117*G117</f>
        <v>73961.018181818174</v>
      </c>
      <c r="I117" s="420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3">
        <f t="shared" si="32"/>
        <v>79.999999998835847</v>
      </c>
      <c r="Q117" s="301"/>
      <c r="R117" s="301"/>
    </row>
    <row r="118" spans="1:18">
      <c r="A118" s="551"/>
      <c r="B118" s="293" t="s">
        <v>131</v>
      </c>
      <c r="C118" s="315"/>
      <c r="D118" s="316" t="s">
        <v>310</v>
      </c>
      <c r="E118" s="332"/>
      <c r="F118" s="295">
        <v>14.03</v>
      </c>
      <c r="G118" s="418">
        <v>6849</v>
      </c>
      <c r="H118" s="343">
        <f t="shared" si="33"/>
        <v>96091.47</v>
      </c>
      <c r="I118" s="420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3">
        <f t="shared" si="32"/>
        <v>135.00000000000003</v>
      </c>
      <c r="Q118" s="301"/>
      <c r="R118" s="301"/>
    </row>
    <row r="119" spans="1:18">
      <c r="A119" s="551"/>
      <c r="B119" s="293">
        <v>0</v>
      </c>
      <c r="C119" s="315"/>
      <c r="D119" s="333"/>
      <c r="E119" s="332"/>
      <c r="F119" s="295" t="s">
        <v>133</v>
      </c>
      <c r="G119" s="418"/>
      <c r="H119" s="343">
        <f t="shared" si="33"/>
        <v>0</v>
      </c>
      <c r="I119" s="420"/>
      <c r="J119" s="297"/>
      <c r="K119" s="298"/>
      <c r="L119" s="299"/>
      <c r="M119" s="300"/>
      <c r="N119" s="300"/>
      <c r="O119" s="292"/>
      <c r="P119" s="413"/>
      <c r="Q119" s="301"/>
      <c r="R119" s="301"/>
    </row>
    <row r="120" spans="1:18">
      <c r="A120" s="551"/>
      <c r="B120" s="293">
        <v>0</v>
      </c>
      <c r="C120" s="315"/>
      <c r="D120" s="333"/>
      <c r="E120" s="332"/>
      <c r="F120" s="295" t="s">
        <v>133</v>
      </c>
      <c r="G120" s="418"/>
      <c r="H120" s="343">
        <f t="shared" si="33"/>
        <v>0</v>
      </c>
      <c r="I120" s="420"/>
      <c r="J120" s="297"/>
      <c r="K120" s="298"/>
      <c r="L120" s="299"/>
      <c r="M120" s="300"/>
      <c r="N120" s="300"/>
      <c r="O120" s="292"/>
      <c r="P120" s="413"/>
      <c r="Q120" s="301"/>
      <c r="R120" s="301"/>
    </row>
    <row r="121" spans="1:18">
      <c r="A121" s="551"/>
      <c r="B121" s="293">
        <v>0</v>
      </c>
      <c r="C121" s="315"/>
      <c r="D121" s="333"/>
      <c r="E121" s="332"/>
      <c r="F121" s="295" t="s">
        <v>133</v>
      </c>
      <c r="G121" s="418"/>
      <c r="H121" s="343">
        <f t="shared" si="33"/>
        <v>0</v>
      </c>
      <c r="I121" s="420"/>
      <c r="J121" s="297"/>
      <c r="K121" s="298"/>
      <c r="L121" s="299"/>
      <c r="M121" s="300"/>
      <c r="N121" s="300"/>
      <c r="O121" s="292"/>
      <c r="P121" s="413"/>
      <c r="Q121" s="301"/>
      <c r="R121" s="301"/>
    </row>
    <row r="122" spans="1:18" ht="15.6" customHeight="1">
      <c r="A122" s="551"/>
      <c r="B122" s="293">
        <v>0</v>
      </c>
      <c r="C122" s="315"/>
      <c r="D122" s="333"/>
      <c r="E122" s="332"/>
      <c r="F122" s="295" t="s">
        <v>133</v>
      </c>
      <c r="G122" s="418"/>
      <c r="H122" s="343">
        <f t="shared" si="33"/>
        <v>0</v>
      </c>
      <c r="I122" s="420"/>
      <c r="J122" s="297"/>
      <c r="K122" s="298"/>
      <c r="L122" s="299"/>
      <c r="M122" s="300"/>
      <c r="N122" s="300"/>
      <c r="O122" s="292"/>
      <c r="P122" s="413"/>
      <c r="Q122" s="301"/>
      <c r="R122" s="301"/>
    </row>
    <row r="123" spans="1:18">
      <c r="A123" s="551"/>
      <c r="B123" s="293">
        <v>0</v>
      </c>
      <c r="C123" s="315"/>
      <c r="D123" s="333"/>
      <c r="E123" s="332"/>
      <c r="F123" s="295" t="s">
        <v>133</v>
      </c>
      <c r="G123" s="418"/>
      <c r="H123" s="343">
        <f t="shared" si="33"/>
        <v>0</v>
      </c>
      <c r="I123" s="420"/>
      <c r="J123" s="297"/>
      <c r="K123" s="298"/>
      <c r="L123" s="299"/>
      <c r="M123" s="300"/>
      <c r="N123" s="300"/>
      <c r="O123" s="292"/>
      <c r="P123" s="413"/>
      <c r="Q123" s="301"/>
      <c r="R123" s="301"/>
    </row>
    <row r="124" spans="1:18" ht="17.399999999999999" customHeight="1">
      <c r="A124" s="551"/>
      <c r="B124" s="304">
        <v>0</v>
      </c>
      <c r="C124" s="6" t="s">
        <v>299</v>
      </c>
      <c r="D124" s="552" t="s">
        <v>243</v>
      </c>
      <c r="E124" s="552"/>
      <c r="F124" s="305"/>
      <c r="G124" s="346"/>
      <c r="H124" s="347"/>
      <c r="I124" s="308"/>
      <c r="J124" s="309">
        <f>AVERAGE(J112:J123)</f>
        <v>3.4285714285714284</v>
      </c>
      <c r="K124" s="309">
        <f>AVERAGE(K112:K123)</f>
        <v>2920.8714285778728</v>
      </c>
      <c r="L124" s="310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5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41" t="s">
        <v>214</v>
      </c>
      <c r="E1" s="29">
        <f>SUM(G5:G173)</f>
        <v>197824.24000000005</v>
      </c>
      <c r="F1" s="425" t="s">
        <v>3</v>
      </c>
      <c r="G1" s="30">
        <f>SUM(H5:H173)</f>
        <v>7937401.4877009168</v>
      </c>
      <c r="H1" s="440" t="s">
        <v>37</v>
      </c>
      <c r="I1" s="31">
        <f>M17+M30+M43+M56+M69+M82+M95+M108+M121+M134+M147+M160+M173</f>
        <v>192.38452380952381</v>
      </c>
      <c r="J1" s="684" t="s">
        <v>38</v>
      </c>
      <c r="K1" s="684"/>
      <c r="L1" s="684"/>
      <c r="M1" s="684" t="s">
        <v>39</v>
      </c>
      <c r="N1" s="684"/>
      <c r="O1" s="684"/>
      <c r="P1" s="684" t="s">
        <v>215</v>
      </c>
      <c r="Q1" s="684"/>
      <c r="R1" s="684"/>
      <c r="S1" s="684"/>
      <c r="T1" s="684" t="s">
        <v>216</v>
      </c>
      <c r="U1" s="684"/>
      <c r="V1" s="684"/>
      <c r="W1" s="684"/>
      <c r="X1" s="684"/>
      <c r="Y1" s="684"/>
      <c r="Z1" s="32" t="s">
        <v>217</v>
      </c>
      <c r="AA1" s="32" t="s">
        <v>218</v>
      </c>
      <c r="AB1" s="685" t="s">
        <v>219</v>
      </c>
      <c r="AC1" s="686"/>
      <c r="AD1" s="32" t="s">
        <v>217</v>
      </c>
      <c r="AE1" s="32" t="s">
        <v>220</v>
      </c>
      <c r="AF1" s="684" t="s">
        <v>221</v>
      </c>
      <c r="AG1" s="689"/>
      <c r="AH1" s="689"/>
    </row>
    <row r="2" spans="1:34" ht="26.25" customHeight="1">
      <c r="A2" s="683" t="s">
        <v>222</v>
      </c>
      <c r="B2" s="683"/>
      <c r="C2" s="441"/>
      <c r="D2" s="441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40" t="s">
        <v>41</v>
      </c>
      <c r="I2" s="440">
        <f>COUNT(I5:I173)</f>
        <v>21</v>
      </c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684"/>
      <c r="X2" s="684"/>
      <c r="Y2" s="68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87"/>
      <c r="AC2" s="688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689"/>
      <c r="AG2" s="689"/>
      <c r="AH2" s="689"/>
    </row>
    <row r="3" spans="1:34" ht="30.6" customHeight="1">
      <c r="A3" s="616" t="s">
        <v>224</v>
      </c>
      <c r="B3" s="616" t="s">
        <v>42</v>
      </c>
      <c r="C3" s="681"/>
      <c r="D3" s="616" t="s">
        <v>225</v>
      </c>
      <c r="E3" s="616"/>
      <c r="F3" s="681" t="s">
        <v>43</v>
      </c>
      <c r="G3" s="675" t="s">
        <v>44</v>
      </c>
      <c r="H3" s="681" t="s">
        <v>45</v>
      </c>
      <c r="I3" s="677" t="s">
        <v>226</v>
      </c>
      <c r="J3" s="680" t="s">
        <v>46</v>
      </c>
      <c r="K3" s="670" t="s">
        <v>47</v>
      </c>
      <c r="L3" s="651" t="s">
        <v>35</v>
      </c>
      <c r="M3" s="675" t="s">
        <v>46</v>
      </c>
      <c r="N3" s="670" t="s">
        <v>227</v>
      </c>
      <c r="O3" s="651" t="s">
        <v>223</v>
      </c>
      <c r="P3" s="680" t="s">
        <v>228</v>
      </c>
      <c r="Q3" s="651" t="s">
        <v>223</v>
      </c>
      <c r="R3" s="671" t="s">
        <v>229</v>
      </c>
      <c r="S3" s="647" t="s">
        <v>230</v>
      </c>
      <c r="T3" s="675" t="s">
        <v>48</v>
      </c>
      <c r="U3" s="675"/>
      <c r="V3" s="676" t="s">
        <v>49</v>
      </c>
      <c r="W3" s="677" t="s">
        <v>231</v>
      </c>
      <c r="X3" s="675" t="s">
        <v>232</v>
      </c>
      <c r="Y3" s="675"/>
      <c r="Z3" s="678" t="s">
        <v>233</v>
      </c>
      <c r="AA3" s="679"/>
      <c r="AB3" s="666" t="s">
        <v>234</v>
      </c>
      <c r="AC3" s="667"/>
      <c r="AD3" s="668" t="s">
        <v>235</v>
      </c>
      <c r="AE3" s="669"/>
      <c r="AF3" s="670" t="s">
        <v>227</v>
      </c>
      <c r="AG3" s="671" t="s">
        <v>229</v>
      </c>
      <c r="AH3" s="647" t="s">
        <v>230</v>
      </c>
    </row>
    <row r="4" spans="1:34" ht="30.6" customHeight="1">
      <c r="A4" s="681"/>
      <c r="B4" s="616"/>
      <c r="C4" s="682"/>
      <c r="D4" s="616"/>
      <c r="E4" s="616"/>
      <c r="F4" s="682"/>
      <c r="G4" s="675"/>
      <c r="H4" s="682"/>
      <c r="I4" s="677"/>
      <c r="J4" s="680"/>
      <c r="K4" s="670"/>
      <c r="L4" s="651"/>
      <c r="M4" s="675"/>
      <c r="N4" s="670"/>
      <c r="O4" s="651"/>
      <c r="P4" s="680"/>
      <c r="Q4" s="651"/>
      <c r="R4" s="671"/>
      <c r="S4" s="647"/>
      <c r="T4" s="435" t="s">
        <v>50</v>
      </c>
      <c r="U4" s="435" t="s">
        <v>51</v>
      </c>
      <c r="V4" s="675"/>
      <c r="W4" s="677"/>
      <c r="X4" s="425" t="s">
        <v>236</v>
      </c>
      <c r="Y4" s="425" t="s">
        <v>36</v>
      </c>
      <c r="Z4" s="435" t="s">
        <v>237</v>
      </c>
      <c r="AA4" s="435" t="s">
        <v>238</v>
      </c>
      <c r="AB4" s="667"/>
      <c r="AC4" s="667"/>
      <c r="AD4" s="435" t="s">
        <v>239</v>
      </c>
      <c r="AE4" s="39" t="s">
        <v>240</v>
      </c>
      <c r="AF4" s="670"/>
      <c r="AG4" s="671"/>
      <c r="AH4" s="647"/>
    </row>
    <row r="5" spans="1:34" ht="18.75" customHeight="1">
      <c r="A5" s="672" t="s">
        <v>241</v>
      </c>
      <c r="B5" s="40" t="s">
        <v>127</v>
      </c>
      <c r="C5" s="41"/>
      <c r="D5" s="42" t="s">
        <v>52</v>
      </c>
      <c r="E5" s="43"/>
      <c r="F5" s="357">
        <v>37.83</v>
      </c>
      <c r="G5" s="44">
        <v>6748</v>
      </c>
      <c r="H5" s="45">
        <f t="shared" ref="H5:H16" si="0">F5*G5</f>
        <v>255276.84</v>
      </c>
      <c r="I5" s="436"/>
      <c r="J5" s="46">
        <v>20</v>
      </c>
      <c r="K5" s="44">
        <v>2400</v>
      </c>
      <c r="L5" s="47">
        <v>120</v>
      </c>
      <c r="M5" s="437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7">
        <f t="shared" ref="R5:R12" si="5">O5/L5</f>
        <v>0.98654970760233907</v>
      </c>
      <c r="S5" s="635">
        <f>R17</f>
        <v>0.91938229743106736</v>
      </c>
      <c r="T5" s="89">
        <v>0.25</v>
      </c>
      <c r="U5" s="89">
        <v>0.36875000000000002</v>
      </c>
      <c r="V5" s="425">
        <v>5</v>
      </c>
      <c r="W5" s="436">
        <f>(U5-T5)*24*60</f>
        <v>171.00000000000003</v>
      </c>
      <c r="X5" s="425"/>
      <c r="Y5" s="425"/>
      <c r="Z5" s="51"/>
      <c r="AA5" s="51"/>
      <c r="AB5" s="616"/>
      <c r="AC5" s="616"/>
      <c r="AD5" s="52"/>
      <c r="AE5" s="52"/>
      <c r="AF5" s="48">
        <f t="shared" ref="AF5:AF70" si="6">N5-K5</f>
        <v>-32.280701754386428</v>
      </c>
      <c r="AG5" s="427">
        <f t="shared" ref="AG5:AG70" si="7">N5/K5</f>
        <v>0.98654970760233895</v>
      </c>
      <c r="AH5" s="635">
        <f>AG17</f>
        <v>0.92782760789136298</v>
      </c>
    </row>
    <row r="6" spans="1:34" ht="19.2" customHeight="1">
      <c r="A6" s="673"/>
      <c r="B6" s="40" t="s">
        <v>127</v>
      </c>
      <c r="C6" s="41"/>
      <c r="D6" s="42" t="s">
        <v>188</v>
      </c>
      <c r="E6" s="43"/>
      <c r="F6" s="357">
        <v>38.99</v>
      </c>
      <c r="G6" s="44">
        <v>1672</v>
      </c>
      <c r="H6" s="45">
        <f t="shared" si="0"/>
        <v>65191.280000000006</v>
      </c>
      <c r="I6" s="436"/>
      <c r="J6" s="46">
        <v>17</v>
      </c>
      <c r="K6" s="44">
        <v>2700</v>
      </c>
      <c r="L6" s="47">
        <v>158.8235294117647</v>
      </c>
      <c r="M6" s="437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7">
        <f t="shared" si="5"/>
        <v>0.90623306233062306</v>
      </c>
      <c r="S6" s="635"/>
      <c r="T6" s="89">
        <v>0.38472222222222224</v>
      </c>
      <c r="U6" s="89">
        <v>0.41319444444444448</v>
      </c>
      <c r="V6" s="425">
        <v>23</v>
      </c>
      <c r="W6" s="436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616"/>
      <c r="AC6" s="616"/>
      <c r="AD6" s="423"/>
      <c r="AE6" s="423"/>
      <c r="AF6" s="48">
        <f t="shared" si="6"/>
        <v>-253.17073170731783</v>
      </c>
      <c r="AG6" s="427">
        <f t="shared" si="7"/>
        <v>0.90623306233062306</v>
      </c>
      <c r="AH6" s="635"/>
    </row>
    <row r="7" spans="1:34" ht="19.2" customHeight="1">
      <c r="A7" s="673"/>
      <c r="B7" s="40" t="s">
        <v>127</v>
      </c>
      <c r="C7" s="41"/>
      <c r="D7" s="42" t="s">
        <v>184</v>
      </c>
      <c r="E7" s="43"/>
      <c r="F7" s="357">
        <v>28.86</v>
      </c>
      <c r="G7" s="44">
        <v>1907</v>
      </c>
      <c r="H7" s="45">
        <f t="shared" si="0"/>
        <v>55036.02</v>
      </c>
      <c r="I7" s="436"/>
      <c r="J7" s="46">
        <v>17</v>
      </c>
      <c r="K7" s="44">
        <v>2700</v>
      </c>
      <c r="L7" s="47">
        <v>158.8235294117647</v>
      </c>
      <c r="M7" s="437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7">
        <f t="shared" si="5"/>
        <v>0.88287037037037075</v>
      </c>
      <c r="S7" s="635"/>
      <c r="T7" s="89">
        <v>0.41805555555555557</v>
      </c>
      <c r="U7" s="89">
        <v>0.4513888888888889</v>
      </c>
      <c r="V7" s="425">
        <v>7</v>
      </c>
      <c r="W7" s="436">
        <f t="shared" si="8"/>
        <v>47.999999999999986</v>
      </c>
      <c r="X7" s="53"/>
      <c r="Y7" s="53"/>
      <c r="Z7" s="54"/>
      <c r="AA7" s="54"/>
      <c r="AB7" s="616"/>
      <c r="AC7" s="616"/>
      <c r="AD7" s="423"/>
      <c r="AE7" s="423"/>
      <c r="AF7" s="48">
        <f t="shared" si="6"/>
        <v>-316.24999999999909</v>
      </c>
      <c r="AG7" s="427">
        <f t="shared" si="7"/>
        <v>0.88287037037037075</v>
      </c>
      <c r="AH7" s="635"/>
    </row>
    <row r="8" spans="1:34" ht="19.2" customHeight="1">
      <c r="A8" s="673"/>
      <c r="B8" s="40" t="s">
        <v>127</v>
      </c>
      <c r="C8" s="41"/>
      <c r="D8" s="42" t="s">
        <v>53</v>
      </c>
      <c r="E8" s="43"/>
      <c r="F8" s="357">
        <v>31.11</v>
      </c>
      <c r="G8" s="44">
        <v>3589</v>
      </c>
      <c r="H8" s="45">
        <f t="shared" si="0"/>
        <v>111653.79</v>
      </c>
      <c r="I8" s="436"/>
      <c r="J8" s="46">
        <v>18</v>
      </c>
      <c r="K8" s="44">
        <v>2700</v>
      </c>
      <c r="L8" s="47">
        <v>150</v>
      </c>
      <c r="M8" s="437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7">
        <f t="shared" si="5"/>
        <v>0.89949874686716857</v>
      </c>
      <c r="S8" s="635"/>
      <c r="T8" s="89">
        <v>0.49166666666666664</v>
      </c>
      <c r="U8" s="89">
        <v>0.54999999999999993</v>
      </c>
      <c r="V8" s="425">
        <v>5</v>
      </c>
      <c r="W8" s="436">
        <f t="shared" si="8"/>
        <v>83.999999999999943</v>
      </c>
      <c r="X8" s="53"/>
      <c r="Y8" s="53"/>
      <c r="Z8" s="54"/>
      <c r="AA8" s="54"/>
      <c r="AB8" s="616"/>
      <c r="AC8" s="616"/>
      <c r="AD8" s="423">
        <v>1</v>
      </c>
      <c r="AE8" s="423"/>
      <c r="AF8" s="48">
        <f t="shared" si="6"/>
        <v>-136.42857142856974</v>
      </c>
      <c r="AG8" s="427">
        <f t="shared" si="7"/>
        <v>0.94947089947090013</v>
      </c>
      <c r="AH8" s="635"/>
    </row>
    <row r="9" spans="1:34" ht="19.2" customHeight="1">
      <c r="A9" s="673"/>
      <c r="B9" s="40" t="s">
        <v>127</v>
      </c>
      <c r="C9" s="55"/>
      <c r="D9" s="42" t="s">
        <v>209</v>
      </c>
      <c r="E9" s="56"/>
      <c r="F9" s="357">
        <v>35.89</v>
      </c>
      <c r="G9" s="57">
        <v>2854</v>
      </c>
      <c r="H9" s="45">
        <f t="shared" si="0"/>
        <v>102430.06</v>
      </c>
      <c r="I9" s="423"/>
      <c r="J9" s="46">
        <v>17</v>
      </c>
      <c r="K9" s="44">
        <v>2700</v>
      </c>
      <c r="L9" s="47">
        <v>158.8235294117647</v>
      </c>
      <c r="M9" s="437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7">
        <f t="shared" si="5"/>
        <v>0.9060317460317453</v>
      </c>
      <c r="S9" s="635"/>
      <c r="T9" s="89">
        <v>0.55486111111111103</v>
      </c>
      <c r="U9" s="89">
        <v>0.60347222222222219</v>
      </c>
      <c r="V9" s="425">
        <v>7</v>
      </c>
      <c r="W9" s="436">
        <f t="shared" si="8"/>
        <v>70.000000000000071</v>
      </c>
      <c r="X9" s="53"/>
      <c r="Y9" s="53"/>
      <c r="Z9" s="54"/>
      <c r="AA9" s="54"/>
      <c r="AB9" s="616"/>
      <c r="AC9" s="616"/>
      <c r="AD9" s="423"/>
      <c r="AE9" s="423"/>
      <c r="AF9" s="48">
        <f t="shared" si="6"/>
        <v>-253.71428571428805</v>
      </c>
      <c r="AG9" s="427">
        <f t="shared" si="7"/>
        <v>0.90603174603174519</v>
      </c>
      <c r="AH9" s="635"/>
    </row>
    <row r="10" spans="1:34" ht="19.2" customHeight="1">
      <c r="A10" s="674"/>
      <c r="B10" s="40" t="s">
        <v>127</v>
      </c>
      <c r="C10" s="41"/>
      <c r="D10" s="42" t="s">
        <v>205</v>
      </c>
      <c r="E10" s="43"/>
      <c r="F10" s="357">
        <v>46.93</v>
      </c>
      <c r="G10" s="44">
        <v>1991</v>
      </c>
      <c r="H10" s="45">
        <f t="shared" si="0"/>
        <v>93437.63</v>
      </c>
      <c r="I10" s="436"/>
      <c r="J10" s="46">
        <v>18</v>
      </c>
      <c r="K10" s="44">
        <v>2400</v>
      </c>
      <c r="L10" s="47">
        <v>133.33333333333334</v>
      </c>
      <c r="M10" s="437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7">
        <f t="shared" si="5"/>
        <v>0.90500000000000047</v>
      </c>
      <c r="S10" s="638"/>
      <c r="T10" s="89">
        <v>0.61874999999999991</v>
      </c>
      <c r="U10" s="89">
        <v>0.65694444444444433</v>
      </c>
      <c r="V10" s="425">
        <v>22</v>
      </c>
      <c r="W10" s="436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616"/>
      <c r="AC10" s="616"/>
      <c r="AD10" s="423"/>
      <c r="AE10" s="423"/>
      <c r="AF10" s="48">
        <f t="shared" si="6"/>
        <v>-227.99999999999864</v>
      </c>
      <c r="AG10" s="427">
        <f t="shared" si="7"/>
        <v>0.90500000000000058</v>
      </c>
      <c r="AH10" s="638"/>
    </row>
    <row r="11" spans="1:34" ht="19.2" customHeight="1">
      <c r="A11" s="674"/>
      <c r="B11" s="40" t="s">
        <v>127</v>
      </c>
      <c r="C11" s="41"/>
      <c r="D11" s="42" t="s">
        <v>52</v>
      </c>
      <c r="E11" s="43"/>
      <c r="F11" s="357">
        <v>37.83</v>
      </c>
      <c r="G11" s="44">
        <v>2892</v>
      </c>
      <c r="H11" s="45">
        <f t="shared" si="0"/>
        <v>109404.36</v>
      </c>
      <c r="I11" s="436"/>
      <c r="J11" s="46">
        <v>20</v>
      </c>
      <c r="K11" s="44">
        <v>2400</v>
      </c>
      <c r="L11" s="47">
        <v>120</v>
      </c>
      <c r="M11" s="437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7">
        <f t="shared" si="5"/>
        <v>0.97702702702702626</v>
      </c>
      <c r="S11" s="638"/>
      <c r="T11" s="89">
        <v>0.66180555555555542</v>
      </c>
      <c r="U11" s="89">
        <v>0.71319444444444435</v>
      </c>
      <c r="V11" s="425">
        <v>7</v>
      </c>
      <c r="W11" s="436">
        <f t="shared" si="8"/>
        <v>74.000000000000057</v>
      </c>
      <c r="X11" s="53"/>
      <c r="Y11" s="53"/>
      <c r="Z11" s="54"/>
      <c r="AA11" s="54"/>
      <c r="AB11" s="616"/>
      <c r="AC11" s="616"/>
      <c r="AD11" s="423"/>
      <c r="AE11" s="423"/>
      <c r="AF11" s="48">
        <f t="shared" si="6"/>
        <v>-55.135135135136807</v>
      </c>
      <c r="AG11" s="427">
        <f t="shared" si="7"/>
        <v>0.97702702702702637</v>
      </c>
      <c r="AH11" s="638"/>
    </row>
    <row r="12" spans="1:34" ht="19.2" customHeight="1">
      <c r="A12" s="674"/>
      <c r="B12" s="40" t="s">
        <v>127</v>
      </c>
      <c r="C12" s="41"/>
      <c r="D12" s="59" t="s">
        <v>55</v>
      </c>
      <c r="E12" s="43"/>
      <c r="F12" s="357">
        <v>37.799999999999997</v>
      </c>
      <c r="G12" s="44">
        <v>2274.2600000000002</v>
      </c>
      <c r="H12" s="45">
        <f t="shared" si="0"/>
        <v>85967.028000000006</v>
      </c>
      <c r="I12" s="436">
        <v>1</v>
      </c>
      <c r="J12" s="46">
        <v>19</v>
      </c>
      <c r="K12" s="44">
        <v>2700</v>
      </c>
      <c r="L12" s="47">
        <v>142.10526315789474</v>
      </c>
      <c r="M12" s="437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7">
        <f t="shared" si="5"/>
        <v>0.91889292929292987</v>
      </c>
      <c r="S12" s="638"/>
      <c r="T12" s="89">
        <v>0.71805555555555545</v>
      </c>
      <c r="U12" s="89">
        <v>0.75624999999999987</v>
      </c>
      <c r="V12" s="425">
        <v>7</v>
      </c>
      <c r="W12" s="436">
        <f t="shared" si="8"/>
        <v>54.999999999999964</v>
      </c>
      <c r="X12" s="53"/>
      <c r="Y12" s="53"/>
      <c r="Z12" s="54"/>
      <c r="AA12" s="54"/>
      <c r="AB12" s="616"/>
      <c r="AC12" s="616"/>
      <c r="AD12" s="423">
        <v>1</v>
      </c>
      <c r="AE12" s="423"/>
      <c r="AF12" s="48">
        <f t="shared" si="6"/>
        <v>-218.9890909090891</v>
      </c>
      <c r="AG12" s="427">
        <f t="shared" si="7"/>
        <v>0.91889292929292998</v>
      </c>
      <c r="AH12" s="638"/>
    </row>
    <row r="13" spans="1:34" ht="19.2" customHeight="1">
      <c r="A13" s="674"/>
      <c r="B13" s="40">
        <v>0</v>
      </c>
      <c r="C13" s="58"/>
      <c r="D13" s="59"/>
      <c r="E13" s="60"/>
      <c r="F13" s="357" t="s">
        <v>133</v>
      </c>
      <c r="G13" s="61"/>
      <c r="H13" s="45">
        <f t="shared" si="0"/>
        <v>0</v>
      </c>
      <c r="I13" s="438"/>
      <c r="J13" s="46"/>
      <c r="K13" s="44"/>
      <c r="L13" s="47"/>
      <c r="M13" s="62"/>
      <c r="N13" s="44"/>
      <c r="O13" s="47"/>
      <c r="P13" s="48"/>
      <c r="Q13" s="49"/>
      <c r="R13" s="427"/>
      <c r="S13" s="638"/>
      <c r="T13" s="89"/>
      <c r="U13" s="89"/>
      <c r="V13" s="438"/>
      <c r="W13" s="436">
        <f t="shared" si="8"/>
        <v>0</v>
      </c>
      <c r="X13" s="64"/>
      <c r="Y13" s="64"/>
      <c r="Z13" s="54"/>
      <c r="AA13" s="54"/>
      <c r="AB13" s="616"/>
      <c r="AC13" s="616"/>
      <c r="AD13" s="423"/>
      <c r="AE13" s="423"/>
      <c r="AF13" s="48">
        <f t="shared" si="6"/>
        <v>0</v>
      </c>
      <c r="AG13" s="427" t="e">
        <f t="shared" si="7"/>
        <v>#DIV/0!</v>
      </c>
      <c r="AH13" s="638"/>
    </row>
    <row r="14" spans="1:34" ht="19.2" customHeight="1">
      <c r="A14" s="674"/>
      <c r="B14" s="40">
        <v>0</v>
      </c>
      <c r="C14" s="66"/>
      <c r="D14" s="42"/>
      <c r="E14" s="43"/>
      <c r="F14" s="357" t="s">
        <v>133</v>
      </c>
      <c r="G14" s="61"/>
      <c r="H14" s="45">
        <f t="shared" si="0"/>
        <v>0</v>
      </c>
      <c r="I14" s="438"/>
      <c r="J14" s="46"/>
      <c r="K14" s="44"/>
      <c r="L14" s="47"/>
      <c r="M14" s="62"/>
      <c r="N14" s="44"/>
      <c r="O14" s="47"/>
      <c r="P14" s="48"/>
      <c r="Q14" s="49"/>
      <c r="R14" s="427"/>
      <c r="S14" s="638"/>
      <c r="T14" s="89"/>
      <c r="U14" s="89"/>
      <c r="V14" s="438"/>
      <c r="W14" s="436">
        <f t="shared" si="8"/>
        <v>0</v>
      </c>
      <c r="X14" s="64"/>
      <c r="Y14" s="64"/>
      <c r="Z14" s="54"/>
      <c r="AA14" s="54"/>
      <c r="AB14" s="616"/>
      <c r="AC14" s="616"/>
      <c r="AD14" s="423"/>
      <c r="AE14" s="423"/>
      <c r="AF14" s="65"/>
      <c r="AG14" s="427" t="e">
        <f t="shared" si="7"/>
        <v>#DIV/0!</v>
      </c>
      <c r="AH14" s="638"/>
    </row>
    <row r="15" spans="1:34" ht="19.2" customHeight="1">
      <c r="A15" s="674"/>
      <c r="B15" s="67">
        <v>0</v>
      </c>
      <c r="C15" s="58"/>
      <c r="D15" s="59"/>
      <c r="E15" s="60"/>
      <c r="F15" s="357" t="s">
        <v>133</v>
      </c>
      <c r="G15" s="61"/>
      <c r="H15" s="45">
        <f t="shared" si="0"/>
        <v>0</v>
      </c>
      <c r="I15" s="438"/>
      <c r="J15" s="46"/>
      <c r="K15" s="44"/>
      <c r="L15" s="47"/>
      <c r="M15" s="62"/>
      <c r="N15" s="68"/>
      <c r="O15" s="47"/>
      <c r="P15" s="48"/>
      <c r="Q15" s="49"/>
      <c r="R15" s="427"/>
      <c r="S15" s="638"/>
      <c r="T15" s="89"/>
      <c r="U15" s="89"/>
      <c r="V15" s="438"/>
      <c r="W15" s="436">
        <f t="shared" si="8"/>
        <v>0</v>
      </c>
      <c r="X15" s="64"/>
      <c r="Y15" s="64"/>
      <c r="Z15" s="54"/>
      <c r="AA15" s="54"/>
      <c r="AB15" s="616"/>
      <c r="AC15" s="616"/>
      <c r="AD15" s="423"/>
      <c r="AE15" s="423"/>
      <c r="AF15" s="65"/>
      <c r="AG15" s="427" t="e">
        <f t="shared" si="7"/>
        <v>#DIV/0!</v>
      </c>
      <c r="AH15" s="638"/>
    </row>
    <row r="16" spans="1:34" ht="19.2" customHeight="1">
      <c r="A16" s="674"/>
      <c r="B16" s="67">
        <v>0</v>
      </c>
      <c r="C16" s="58"/>
      <c r="D16" s="59"/>
      <c r="E16" s="60"/>
      <c r="F16" s="357" t="s">
        <v>133</v>
      </c>
      <c r="G16" s="61"/>
      <c r="H16" s="45">
        <f t="shared" si="0"/>
        <v>0</v>
      </c>
      <c r="I16" s="438"/>
      <c r="J16" s="46"/>
      <c r="K16" s="44"/>
      <c r="L16" s="47"/>
      <c r="M16" s="62"/>
      <c r="N16" s="68"/>
      <c r="O16" s="47"/>
      <c r="P16" s="48"/>
      <c r="Q16" s="49"/>
      <c r="R16" s="427"/>
      <c r="S16" s="638"/>
      <c r="T16" s="89"/>
      <c r="U16" s="89"/>
      <c r="V16" s="438"/>
      <c r="W16" s="436">
        <f t="shared" si="8"/>
        <v>0</v>
      </c>
      <c r="X16" s="64"/>
      <c r="Y16" s="64"/>
      <c r="Z16" s="54"/>
      <c r="AA16" s="54"/>
      <c r="AB16" s="616"/>
      <c r="AC16" s="616"/>
      <c r="AD16" s="423"/>
      <c r="AE16" s="423"/>
      <c r="AF16" s="65"/>
      <c r="AG16" s="427" t="e">
        <f t="shared" si="7"/>
        <v>#DIV/0!</v>
      </c>
      <c r="AH16" s="638"/>
    </row>
    <row r="17" spans="1:34" ht="19.2" customHeight="1">
      <c r="A17" s="674"/>
      <c r="B17" s="69">
        <v>0</v>
      </c>
      <c r="C17" s="69" t="s">
        <v>242</v>
      </c>
      <c r="D17" s="622" t="s">
        <v>243</v>
      </c>
      <c r="E17" s="622"/>
      <c r="F17" s="358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638"/>
      <c r="T17" s="89"/>
      <c r="U17" s="89"/>
      <c r="V17" s="4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16"/>
      <c r="AC17" s="616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8">
        <f t="shared" si="7"/>
        <v>0.92782760789136298</v>
      </c>
      <c r="AH17" s="638"/>
    </row>
    <row r="18" spans="1:34" ht="19.2" customHeight="1">
      <c r="A18" s="619" t="s">
        <v>244</v>
      </c>
      <c r="B18" s="80" t="s">
        <v>127</v>
      </c>
      <c r="C18" s="81"/>
      <c r="D18" s="82" t="s">
        <v>60</v>
      </c>
      <c r="E18" s="83"/>
      <c r="F18" s="359">
        <v>36.86</v>
      </c>
      <c r="G18" s="57">
        <v>3849.9500000000003</v>
      </c>
      <c r="H18" s="84">
        <f t="shared" ref="H18:H29" si="12">F18*G18</f>
        <v>141909.15700000001</v>
      </c>
      <c r="I18" s="42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4">
        <f t="shared" ref="R18:R24" si="15">O18/L18</f>
        <v>0.91473305380852576</v>
      </c>
      <c r="S18" s="620">
        <f>R30</f>
        <v>0.89383486866219208</v>
      </c>
      <c r="T18" s="89">
        <v>0.16666666666666666</v>
      </c>
      <c r="U18" s="89">
        <v>0.24027777777777776</v>
      </c>
      <c r="V18" s="423">
        <v>5</v>
      </c>
      <c r="W18" s="90">
        <f>(U18-T18)*24*60</f>
        <v>105.99999999999999</v>
      </c>
      <c r="X18" s="86"/>
      <c r="Y18" s="86"/>
      <c r="Z18" s="54"/>
      <c r="AA18" s="54"/>
      <c r="AB18" s="616"/>
      <c r="AC18" s="616"/>
      <c r="AD18" s="423"/>
      <c r="AE18" s="423"/>
      <c r="AF18" s="91">
        <f t="shared" si="6"/>
        <v>-70.783018867924056</v>
      </c>
      <c r="AG18" s="92">
        <f t="shared" si="7"/>
        <v>0.96854088050314491</v>
      </c>
      <c r="AH18" s="662">
        <f>AG30</f>
        <v>0.92418128988150794</v>
      </c>
    </row>
    <row r="19" spans="1:34" ht="19.2" customHeight="1">
      <c r="A19" s="619"/>
      <c r="B19" s="433" t="s">
        <v>129</v>
      </c>
      <c r="C19" s="432"/>
      <c r="D19" s="82" t="s">
        <v>62</v>
      </c>
      <c r="E19" s="83"/>
      <c r="F19" s="357">
        <v>38.39</v>
      </c>
      <c r="G19" s="57">
        <v>1673.75</v>
      </c>
      <c r="H19" s="84">
        <f t="shared" si="12"/>
        <v>64255.262500000004</v>
      </c>
      <c r="I19" s="42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4">
        <f t="shared" si="15"/>
        <v>0.82533746995130586</v>
      </c>
      <c r="S19" s="620"/>
      <c r="T19" s="89">
        <v>0.25624999999999998</v>
      </c>
      <c r="U19" s="89">
        <v>0.30486111111111108</v>
      </c>
      <c r="V19" s="423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616"/>
      <c r="AC19" s="616"/>
      <c r="AD19" s="423"/>
      <c r="AE19" s="423"/>
      <c r="AF19" s="48">
        <f t="shared" si="6"/>
        <v>-201.35714285714243</v>
      </c>
      <c r="AG19" s="427">
        <f t="shared" si="7"/>
        <v>0.87692106182326257</v>
      </c>
      <c r="AH19" s="663"/>
    </row>
    <row r="20" spans="1:34" ht="19.2" customHeight="1">
      <c r="A20" s="619"/>
      <c r="B20" s="433" t="s">
        <v>129</v>
      </c>
      <c r="C20" s="55"/>
      <c r="D20" s="42" t="s">
        <v>186</v>
      </c>
      <c r="E20" s="83"/>
      <c r="F20" s="357">
        <v>56.43</v>
      </c>
      <c r="G20" s="57">
        <v>1506.05</v>
      </c>
      <c r="H20" s="84">
        <f t="shared" si="12"/>
        <v>84986.401499999993</v>
      </c>
      <c r="I20" s="423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4">
        <f t="shared" si="15"/>
        <v>0.87228235294117618</v>
      </c>
      <c r="S20" s="620"/>
      <c r="T20" s="89">
        <v>0.30972222222222218</v>
      </c>
      <c r="U20" s="89">
        <v>0.35486111111111107</v>
      </c>
      <c r="V20" s="423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616"/>
      <c r="AC20" s="616"/>
      <c r="AD20" s="423">
        <v>1</v>
      </c>
      <c r="AE20" s="423"/>
      <c r="AF20" s="91">
        <f t="shared" si="6"/>
        <v>-109.80000000000041</v>
      </c>
      <c r="AG20" s="92">
        <f t="shared" si="7"/>
        <v>0.92679999999999974</v>
      </c>
      <c r="AH20" s="663"/>
    </row>
    <row r="21" spans="1:34" ht="19.2" customHeight="1">
      <c r="A21" s="619"/>
      <c r="B21" s="433" t="s">
        <v>130</v>
      </c>
      <c r="C21" s="97"/>
      <c r="D21" s="98" t="s">
        <v>61</v>
      </c>
      <c r="E21" s="43"/>
      <c r="F21" s="357">
        <v>43.14</v>
      </c>
      <c r="G21" s="44">
        <v>1362.4</v>
      </c>
      <c r="H21" s="84">
        <f t="shared" si="12"/>
        <v>58773.936000000002</v>
      </c>
      <c r="I21" s="425"/>
      <c r="J21" s="93">
        <v>16</v>
      </c>
      <c r="K21" s="44">
        <v>1440</v>
      </c>
      <c r="L21" s="47">
        <v>90</v>
      </c>
      <c r="M21" s="437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4">
        <f t="shared" si="15"/>
        <v>0.97873563218390747</v>
      </c>
      <c r="S21" s="620"/>
      <c r="T21" s="89">
        <v>0.35972222222222217</v>
      </c>
      <c r="U21" s="89">
        <v>0.39999999999999997</v>
      </c>
      <c r="V21" s="423">
        <v>7</v>
      </c>
      <c r="W21" s="90">
        <f t="shared" si="16"/>
        <v>58.000000000000036</v>
      </c>
      <c r="X21" s="96"/>
      <c r="Y21" s="96"/>
      <c r="Z21" s="54"/>
      <c r="AA21" s="54"/>
      <c r="AB21" s="616"/>
      <c r="AC21" s="616"/>
      <c r="AD21" s="423"/>
      <c r="AE21" s="423"/>
      <c r="AF21" s="48">
        <f t="shared" si="6"/>
        <v>-30.620689655173237</v>
      </c>
      <c r="AG21" s="427">
        <f t="shared" si="7"/>
        <v>0.97873563218390747</v>
      </c>
      <c r="AH21" s="664"/>
    </row>
    <row r="22" spans="1:34" ht="19.2" customHeight="1">
      <c r="A22" s="619"/>
      <c r="B22" s="433" t="s">
        <v>129</v>
      </c>
      <c r="C22" s="97"/>
      <c r="D22" s="42" t="s">
        <v>210</v>
      </c>
      <c r="E22" s="43"/>
      <c r="F22" s="357">
        <v>44.3</v>
      </c>
      <c r="G22" s="44">
        <v>2802.8</v>
      </c>
      <c r="H22" s="84">
        <f t="shared" si="12"/>
        <v>124164.04</v>
      </c>
      <c r="I22" s="425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4">
        <f t="shared" si="15"/>
        <v>0.86379979864806589</v>
      </c>
      <c r="S22" s="620"/>
      <c r="T22" s="89">
        <v>0.41527777777777775</v>
      </c>
      <c r="U22" s="89">
        <v>0.49791666666666662</v>
      </c>
      <c r="V22" s="423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616"/>
      <c r="AC22" s="616"/>
      <c r="AD22" s="423"/>
      <c r="AE22" s="423"/>
      <c r="AF22" s="91">
        <f t="shared" si="6"/>
        <v>-222.82352941176418</v>
      </c>
      <c r="AG22" s="92">
        <f t="shared" si="7"/>
        <v>0.86379979864806589</v>
      </c>
      <c r="AH22" s="664"/>
    </row>
    <row r="23" spans="1:34" ht="19.2" customHeight="1">
      <c r="A23" s="619"/>
      <c r="B23" s="433" t="s">
        <v>127</v>
      </c>
      <c r="C23" s="97"/>
      <c r="D23" s="42" t="s">
        <v>55</v>
      </c>
      <c r="E23" s="43"/>
      <c r="F23" s="357">
        <v>37.799999999999997</v>
      </c>
      <c r="G23" s="44">
        <v>4414.74</v>
      </c>
      <c r="H23" s="84">
        <f t="shared" si="12"/>
        <v>166877.17199999999</v>
      </c>
      <c r="I23" s="425">
        <v>1</v>
      </c>
      <c r="J23" s="93">
        <v>19</v>
      </c>
      <c r="K23" s="44">
        <v>2700</v>
      </c>
      <c r="L23" s="47">
        <v>142.10526315789474</v>
      </c>
      <c r="M23" s="437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4">
        <f t="shared" si="15"/>
        <v>0.88383183183183112</v>
      </c>
      <c r="S23" s="620"/>
      <c r="T23" s="89">
        <v>0.53819444444444442</v>
      </c>
      <c r="U23" s="89">
        <v>0.61527777777777781</v>
      </c>
      <c r="V23" s="423">
        <v>5</v>
      </c>
      <c r="W23" s="90">
        <f t="shared" si="16"/>
        <v>111.00000000000009</v>
      </c>
      <c r="X23" s="96"/>
      <c r="Y23" s="96"/>
      <c r="Z23" s="54"/>
      <c r="AA23" s="54"/>
      <c r="AB23" s="616"/>
      <c r="AC23" s="616"/>
      <c r="AD23" s="423"/>
      <c r="AE23" s="423">
        <v>1</v>
      </c>
      <c r="AF23" s="48">
        <f t="shared" si="6"/>
        <v>-313.6540540540559</v>
      </c>
      <c r="AG23" s="427">
        <f t="shared" si="7"/>
        <v>0.88383183183183112</v>
      </c>
      <c r="AH23" s="664"/>
    </row>
    <row r="24" spans="1:34" ht="19.2" customHeight="1">
      <c r="A24" s="619"/>
      <c r="B24" s="433" t="s">
        <v>127</v>
      </c>
      <c r="C24" s="81"/>
      <c r="D24" s="82" t="s">
        <v>60</v>
      </c>
      <c r="E24" s="83"/>
      <c r="F24" s="357">
        <v>36.86</v>
      </c>
      <c r="G24" s="57">
        <v>2073.0499999999997</v>
      </c>
      <c r="H24" s="84">
        <f t="shared" si="12"/>
        <v>76412.622999999992</v>
      </c>
      <c r="I24" s="425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4">
        <f t="shared" si="15"/>
        <v>0.91596751137102084</v>
      </c>
      <c r="S24" s="620"/>
      <c r="T24" s="89">
        <v>0.63055555555555554</v>
      </c>
      <c r="U24" s="89">
        <v>0.67013888888888884</v>
      </c>
      <c r="V24" s="423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616"/>
      <c r="AC24" s="616"/>
      <c r="AD24" s="423"/>
      <c r="AE24" s="423"/>
      <c r="AF24" s="91">
        <f t="shared" si="6"/>
        <v>-67.842105263156554</v>
      </c>
      <c r="AG24" s="92">
        <f t="shared" si="7"/>
        <v>0.96984795321637485</v>
      </c>
      <c r="AH24" s="664"/>
    </row>
    <row r="25" spans="1:34" ht="19.2" customHeight="1">
      <c r="A25" s="619"/>
      <c r="B25" s="433">
        <v>0</v>
      </c>
      <c r="C25" s="81"/>
      <c r="D25" s="82"/>
      <c r="E25" s="83"/>
      <c r="F25" s="357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4"/>
      <c r="S25" s="620"/>
      <c r="T25" s="89"/>
      <c r="U25" s="89"/>
      <c r="V25" s="423"/>
      <c r="W25" s="90">
        <f t="shared" si="16"/>
        <v>0</v>
      </c>
      <c r="X25" s="423"/>
      <c r="Y25" s="423"/>
      <c r="Z25" s="54"/>
      <c r="AA25" s="54"/>
      <c r="AB25" s="616"/>
      <c r="AC25" s="616"/>
      <c r="AD25" s="423"/>
      <c r="AE25" s="423"/>
      <c r="AF25" s="48">
        <f t="shared" si="6"/>
        <v>0</v>
      </c>
      <c r="AG25" s="427" t="e">
        <f t="shared" si="7"/>
        <v>#DIV/0!</v>
      </c>
      <c r="AH25" s="664"/>
    </row>
    <row r="26" spans="1:34" ht="19.2" customHeight="1">
      <c r="A26" s="619"/>
      <c r="B26" s="433">
        <v>0</v>
      </c>
      <c r="C26" s="81"/>
      <c r="D26" s="82"/>
      <c r="E26" s="83"/>
      <c r="F26" s="357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4"/>
      <c r="S26" s="620"/>
      <c r="T26" s="89"/>
      <c r="U26" s="89"/>
      <c r="V26" s="423"/>
      <c r="W26" s="90">
        <f t="shared" si="16"/>
        <v>0</v>
      </c>
      <c r="X26" s="423"/>
      <c r="Y26" s="423"/>
      <c r="Z26" s="54"/>
      <c r="AA26" s="54"/>
      <c r="AB26" s="616"/>
      <c r="AC26" s="616"/>
      <c r="AD26" s="423"/>
      <c r="AE26" s="423"/>
      <c r="AF26" s="91">
        <f t="shared" si="6"/>
        <v>0</v>
      </c>
      <c r="AG26" s="92" t="e">
        <f t="shared" si="7"/>
        <v>#DIV/0!</v>
      </c>
      <c r="AH26" s="664"/>
    </row>
    <row r="27" spans="1:34" ht="19.2" customHeight="1">
      <c r="A27" s="619"/>
      <c r="B27" s="80">
        <v>0</v>
      </c>
      <c r="C27" s="81"/>
      <c r="D27" s="82"/>
      <c r="E27" s="83"/>
      <c r="F27" s="360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4"/>
      <c r="S27" s="620"/>
      <c r="T27" s="89"/>
      <c r="U27" s="89"/>
      <c r="V27" s="423"/>
      <c r="W27" s="90">
        <f t="shared" si="16"/>
        <v>0</v>
      </c>
      <c r="X27" s="423"/>
      <c r="Y27" s="423"/>
      <c r="Z27" s="54"/>
      <c r="AA27" s="54"/>
      <c r="AB27" s="616"/>
      <c r="AC27" s="616"/>
      <c r="AD27" s="423"/>
      <c r="AE27" s="423"/>
      <c r="AF27" s="48">
        <f t="shared" si="6"/>
        <v>0</v>
      </c>
      <c r="AG27" s="427" t="e">
        <f t="shared" si="7"/>
        <v>#DIV/0!</v>
      </c>
      <c r="AH27" s="664"/>
    </row>
    <row r="28" spans="1:34" ht="19.2" customHeight="1">
      <c r="A28" s="619"/>
      <c r="B28" s="80">
        <v>0</v>
      </c>
      <c r="C28" s="81"/>
      <c r="D28" s="82"/>
      <c r="E28" s="83"/>
      <c r="F28" s="360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4"/>
      <c r="S28" s="620"/>
      <c r="T28" s="89"/>
      <c r="U28" s="89"/>
      <c r="V28" s="423"/>
      <c r="W28" s="90">
        <f t="shared" si="16"/>
        <v>0</v>
      </c>
      <c r="X28" s="423"/>
      <c r="Y28" s="423"/>
      <c r="Z28" s="54"/>
      <c r="AA28" s="54"/>
      <c r="AB28" s="616"/>
      <c r="AC28" s="616"/>
      <c r="AD28" s="423"/>
      <c r="AE28" s="423"/>
      <c r="AF28" s="91">
        <f t="shared" si="6"/>
        <v>0</v>
      </c>
      <c r="AG28" s="92" t="e">
        <f t="shared" si="7"/>
        <v>#DIV/0!</v>
      </c>
      <c r="AH28" s="664"/>
    </row>
    <row r="29" spans="1:34" ht="19.2" customHeight="1">
      <c r="A29" s="619"/>
      <c r="B29" s="80">
        <v>0</v>
      </c>
      <c r="C29" s="81"/>
      <c r="D29" s="82"/>
      <c r="E29" s="83"/>
      <c r="F29" s="360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4"/>
      <c r="S29" s="620"/>
      <c r="T29" s="89"/>
      <c r="U29" s="89"/>
      <c r="V29" s="423"/>
      <c r="W29" s="90">
        <f t="shared" si="16"/>
        <v>0</v>
      </c>
      <c r="X29" s="423"/>
      <c r="Y29" s="423"/>
      <c r="Z29" s="54"/>
      <c r="AA29" s="54"/>
      <c r="AB29" s="616"/>
      <c r="AC29" s="616"/>
      <c r="AD29" s="423"/>
      <c r="AE29" s="423"/>
      <c r="AF29" s="48">
        <f t="shared" si="6"/>
        <v>0</v>
      </c>
      <c r="AG29" s="427"/>
      <c r="AH29" s="664"/>
    </row>
    <row r="30" spans="1:34" ht="19.2" customHeight="1">
      <c r="A30" s="619"/>
      <c r="B30" s="99">
        <v>0</v>
      </c>
      <c r="C30" s="100" t="s">
        <v>245</v>
      </c>
      <c r="D30" s="661" t="s">
        <v>243</v>
      </c>
      <c r="E30" s="661"/>
      <c r="F30" s="361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62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16"/>
      <c r="AC30" s="616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665"/>
    </row>
    <row r="31" spans="1:34" ht="19.2" customHeight="1">
      <c r="A31" s="659" t="s">
        <v>246</v>
      </c>
      <c r="B31" s="110" t="s">
        <v>130</v>
      </c>
      <c r="C31" s="66"/>
      <c r="D31" s="42" t="s">
        <v>201</v>
      </c>
      <c r="E31" s="111"/>
      <c r="F31" s="362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6">
        <f t="shared" si="20"/>
        <v>0.71918873239436631</v>
      </c>
      <c r="S31" s="660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616"/>
      <c r="AC31" s="616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637">
        <f>AG43</f>
        <v>0.84749639515560637</v>
      </c>
    </row>
    <row r="32" spans="1:34" ht="19.2" customHeight="1">
      <c r="A32" s="650"/>
      <c r="B32" s="121" t="s">
        <v>131</v>
      </c>
      <c r="C32" s="122"/>
      <c r="D32" s="42" t="s">
        <v>63</v>
      </c>
      <c r="E32" s="43"/>
      <c r="F32" s="357">
        <v>35.33</v>
      </c>
      <c r="G32" s="134">
        <v>2555</v>
      </c>
      <c r="H32" s="84">
        <f t="shared" si="22"/>
        <v>90268.15</v>
      </c>
      <c r="I32" s="43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7">
        <f t="shared" si="20"/>
        <v>0.89357535061028937</v>
      </c>
      <c r="S32" s="620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616"/>
      <c r="AC32" s="616"/>
      <c r="AD32" s="423"/>
      <c r="AE32" s="423"/>
      <c r="AF32" s="48">
        <f t="shared" si="6"/>
        <v>-225.40740740740694</v>
      </c>
      <c r="AG32" s="427">
        <f t="shared" si="7"/>
        <v>0.89357535061028948</v>
      </c>
      <c r="AH32" s="635"/>
    </row>
    <row r="33" spans="1:34" ht="19.2" customHeight="1">
      <c r="A33" s="650"/>
      <c r="B33" s="121" t="s">
        <v>131</v>
      </c>
      <c r="C33" s="423"/>
      <c r="D33" s="42" t="s">
        <v>94</v>
      </c>
      <c r="E33" s="83"/>
      <c r="F33" s="357">
        <v>34.229999999999997</v>
      </c>
      <c r="G33" s="134">
        <v>2095</v>
      </c>
      <c r="H33" s="84">
        <f t="shared" si="22"/>
        <v>71711.849999999991</v>
      </c>
      <c r="I33" s="423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7">
        <f t="shared" si="20"/>
        <v>0.87277120479920067</v>
      </c>
      <c r="S33" s="620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616"/>
      <c r="AC33" s="616"/>
      <c r="AD33" s="423"/>
      <c r="AE33" s="423"/>
      <c r="AF33" s="48">
        <f t="shared" si="6"/>
        <v>-269.47058823529301</v>
      </c>
      <c r="AG33" s="125">
        <f t="shared" si="7"/>
        <v>0.87277120479920067</v>
      </c>
      <c r="AH33" s="635"/>
    </row>
    <row r="34" spans="1:34" ht="19.2" customHeight="1">
      <c r="A34" s="650"/>
      <c r="B34" s="121" t="s">
        <v>132</v>
      </c>
      <c r="C34" s="126"/>
      <c r="D34" s="147" t="s">
        <v>144</v>
      </c>
      <c r="E34" s="83"/>
      <c r="F34" s="357">
        <v>54.09</v>
      </c>
      <c r="G34" s="137">
        <v>773.5</v>
      </c>
      <c r="H34" s="84">
        <f t="shared" si="22"/>
        <v>41838.615000000005</v>
      </c>
      <c r="I34" s="423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7">
        <f t="shared" si="20"/>
        <v>0.83621621621621556</v>
      </c>
      <c r="S34" s="620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616"/>
      <c r="AC34" s="616"/>
      <c r="AD34" s="423">
        <v>1</v>
      </c>
      <c r="AE34" s="423">
        <v>1</v>
      </c>
      <c r="AF34" s="48">
        <f t="shared" si="6"/>
        <v>-245.67567567567676</v>
      </c>
      <c r="AG34" s="125">
        <f t="shared" si="7"/>
        <v>0.83621621621621545</v>
      </c>
      <c r="AH34" s="635"/>
    </row>
    <row r="35" spans="1:34" ht="19.2" customHeight="1">
      <c r="A35" s="650"/>
      <c r="B35" s="121" t="s">
        <v>129</v>
      </c>
      <c r="C35" s="41"/>
      <c r="D35" s="150" t="s">
        <v>189</v>
      </c>
      <c r="E35" s="43"/>
      <c r="F35" s="357">
        <v>56.43</v>
      </c>
      <c r="G35" s="137">
        <v>1495.3200000000002</v>
      </c>
      <c r="H35" s="84">
        <f t="shared" si="22"/>
        <v>84380.907600000006</v>
      </c>
      <c r="I35" s="425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7">
        <f t="shared" si="20"/>
        <v>0.79479111300095695</v>
      </c>
      <c r="S35" s="620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616"/>
      <c r="AC35" s="616"/>
      <c r="AD35" s="423"/>
      <c r="AE35" s="423"/>
      <c r="AF35" s="116">
        <f t="shared" si="6"/>
        <v>-335.72173913043457</v>
      </c>
      <c r="AG35" s="120">
        <f t="shared" si="7"/>
        <v>0.79479111300095684</v>
      </c>
      <c r="AH35" s="638"/>
    </row>
    <row r="36" spans="1:34" ht="19.2" customHeight="1">
      <c r="A36" s="650"/>
      <c r="B36" s="121" t="s">
        <v>129</v>
      </c>
      <c r="C36" s="128"/>
      <c r="D36" s="150" t="s">
        <v>179</v>
      </c>
      <c r="E36" s="83"/>
      <c r="F36" s="357">
        <v>49.91</v>
      </c>
      <c r="G36" s="134">
        <v>3081.65</v>
      </c>
      <c r="H36" s="84">
        <f t="shared" si="22"/>
        <v>153805.15150000001</v>
      </c>
      <c r="I36" s="423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7">
        <f t="shared" si="20"/>
        <v>0.88047142857142868</v>
      </c>
      <c r="S36" s="620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616"/>
      <c r="AC36" s="616"/>
      <c r="AD36" s="423"/>
      <c r="AE36" s="423"/>
      <c r="AF36" s="48">
        <f t="shared" si="6"/>
        <v>-179.29285714285697</v>
      </c>
      <c r="AG36" s="427">
        <f t="shared" si="7"/>
        <v>0.88047142857142868</v>
      </c>
      <c r="AH36" s="638"/>
    </row>
    <row r="37" spans="1:34" ht="19.2" customHeight="1">
      <c r="A37" s="650"/>
      <c r="B37" s="121" t="s">
        <v>127</v>
      </c>
      <c r="C37" s="128"/>
      <c r="D37" s="150" t="s">
        <v>54</v>
      </c>
      <c r="E37" s="83"/>
      <c r="F37" s="357">
        <v>38.479999999999997</v>
      </c>
      <c r="G37" s="134">
        <v>4065</v>
      </c>
      <c r="H37" s="84">
        <f t="shared" si="22"/>
        <v>156421.19999999998</v>
      </c>
      <c r="I37" s="423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7">
        <f t="shared" si="20"/>
        <v>0.83900928792569707</v>
      </c>
      <c r="S37" s="620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616"/>
      <c r="AC37" s="616"/>
      <c r="AD37" s="423"/>
      <c r="AE37" s="423"/>
      <c r="AF37" s="48">
        <f t="shared" si="6"/>
        <v>-308.8235294117635</v>
      </c>
      <c r="AG37" s="125">
        <f t="shared" si="7"/>
        <v>0.88562091503268014</v>
      </c>
      <c r="AH37" s="638"/>
    </row>
    <row r="38" spans="1:34" ht="19.2" customHeight="1">
      <c r="A38" s="650"/>
      <c r="B38" s="121" t="s">
        <v>129</v>
      </c>
      <c r="C38" s="128"/>
      <c r="D38" s="150" t="s">
        <v>179</v>
      </c>
      <c r="E38" s="83"/>
      <c r="F38" s="357">
        <v>49.91</v>
      </c>
      <c r="G38" s="134">
        <v>1659.35</v>
      </c>
      <c r="H38" s="84">
        <f t="shared" si="22"/>
        <v>82818.15849999999</v>
      </c>
      <c r="I38" s="423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7">
        <f t="shared" si="20"/>
        <v>0.88498666666666592</v>
      </c>
      <c r="S38" s="620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616"/>
      <c r="AC38" s="616"/>
      <c r="AD38" s="423"/>
      <c r="AE38" s="423"/>
      <c r="AF38" s="48">
        <f t="shared" si="6"/>
        <v>-172.52000000000112</v>
      </c>
      <c r="AG38" s="125">
        <f t="shared" si="7"/>
        <v>0.88498666666666592</v>
      </c>
      <c r="AH38" s="638"/>
    </row>
    <row r="39" spans="1:34" ht="19.2" customHeight="1">
      <c r="A39" s="650"/>
      <c r="B39" s="121">
        <v>0</v>
      </c>
      <c r="C39" s="126"/>
      <c r="D39" s="42"/>
      <c r="E39" s="43"/>
      <c r="F39" s="357" t="s">
        <v>133</v>
      </c>
      <c r="G39" s="57"/>
      <c r="H39" s="84">
        <f t="shared" si="22"/>
        <v>0</v>
      </c>
      <c r="I39" s="423"/>
      <c r="J39" s="46"/>
      <c r="K39" s="44"/>
      <c r="L39" s="47"/>
      <c r="M39" s="434"/>
      <c r="N39" s="44"/>
      <c r="O39" s="47"/>
      <c r="P39" s="116"/>
      <c r="Q39" s="49"/>
      <c r="R39" s="427"/>
      <c r="S39" s="620"/>
      <c r="T39" s="89"/>
      <c r="U39" s="89"/>
      <c r="V39" s="423"/>
      <c r="W39" s="90">
        <f t="shared" si="25"/>
        <v>0</v>
      </c>
      <c r="X39" s="123"/>
      <c r="Y39" s="123"/>
      <c r="Z39" s="124"/>
      <c r="AA39" s="124"/>
      <c r="AB39" s="616"/>
      <c r="AC39" s="616"/>
      <c r="AD39" s="423"/>
      <c r="AE39" s="423"/>
      <c r="AF39" s="116">
        <f t="shared" si="6"/>
        <v>0</v>
      </c>
      <c r="AG39" s="120" t="e">
        <f t="shared" si="7"/>
        <v>#DIV/0!</v>
      </c>
      <c r="AH39" s="638"/>
    </row>
    <row r="40" spans="1:34" ht="19.2" customHeight="1">
      <c r="A40" s="650"/>
      <c r="B40" s="130">
        <v>0</v>
      </c>
      <c r="C40" s="97"/>
      <c r="D40" s="42"/>
      <c r="E40" s="43"/>
      <c r="F40" s="357" t="s">
        <v>133</v>
      </c>
      <c r="G40" s="44"/>
      <c r="H40" s="84">
        <f t="shared" si="22"/>
        <v>0</v>
      </c>
      <c r="I40" s="425"/>
      <c r="J40" s="46"/>
      <c r="K40" s="44"/>
      <c r="L40" s="47"/>
      <c r="M40" s="437"/>
      <c r="N40" s="44"/>
      <c r="O40" s="47"/>
      <c r="P40" s="116"/>
      <c r="Q40" s="49"/>
      <c r="R40" s="427"/>
      <c r="S40" s="620"/>
      <c r="T40" s="89"/>
      <c r="U40" s="89"/>
      <c r="V40" s="423"/>
      <c r="W40" s="90">
        <f t="shared" si="25"/>
        <v>0</v>
      </c>
      <c r="X40" s="123"/>
      <c r="Y40" s="123"/>
      <c r="Z40" s="124"/>
      <c r="AA40" s="124"/>
      <c r="AB40" s="616"/>
      <c r="AC40" s="616"/>
      <c r="AD40" s="423"/>
      <c r="AE40" s="423"/>
      <c r="AF40" s="48">
        <f t="shared" si="6"/>
        <v>0</v>
      </c>
      <c r="AG40" s="427" t="e">
        <f t="shared" si="7"/>
        <v>#DIV/0!</v>
      </c>
      <c r="AH40" s="638"/>
    </row>
    <row r="41" spans="1:34" ht="19.2" customHeight="1">
      <c r="A41" s="650"/>
      <c r="B41" s="423">
        <v>0</v>
      </c>
      <c r="C41" s="55"/>
      <c r="D41" s="82"/>
      <c r="E41" s="83"/>
      <c r="F41" s="357" t="s">
        <v>133</v>
      </c>
      <c r="G41" s="57"/>
      <c r="H41" s="84"/>
      <c r="I41" s="423"/>
      <c r="J41" s="87"/>
      <c r="K41" s="57"/>
      <c r="L41" s="86"/>
      <c r="M41" s="434"/>
      <c r="N41" s="57"/>
      <c r="O41" s="86"/>
      <c r="P41" s="54"/>
      <c r="Q41" s="88"/>
      <c r="R41" s="424"/>
      <c r="S41" s="620"/>
      <c r="T41" s="89"/>
      <c r="U41" s="89"/>
      <c r="V41" s="423"/>
      <c r="W41" s="90">
        <f t="shared" si="25"/>
        <v>0</v>
      </c>
      <c r="X41" s="123"/>
      <c r="Y41" s="123"/>
      <c r="Z41" s="124"/>
      <c r="AA41" s="124"/>
      <c r="AB41" s="616"/>
      <c r="AC41" s="616"/>
      <c r="AD41" s="423"/>
      <c r="AE41" s="423"/>
      <c r="AF41" s="48"/>
      <c r="AG41" s="129"/>
      <c r="AH41" s="638"/>
    </row>
    <row r="42" spans="1:34" ht="19.2" customHeight="1">
      <c r="A42" s="650"/>
      <c r="B42" s="423">
        <v>0</v>
      </c>
      <c r="C42" s="55"/>
      <c r="D42" s="82"/>
      <c r="E42" s="83"/>
      <c r="F42" s="363" t="s">
        <v>133</v>
      </c>
      <c r="G42" s="57"/>
      <c r="H42" s="84">
        <f>F42*G42</f>
        <v>0</v>
      </c>
      <c r="I42" s="423"/>
      <c r="J42" s="87"/>
      <c r="K42" s="57"/>
      <c r="L42" s="86"/>
      <c r="M42" s="434"/>
      <c r="N42" s="57"/>
      <c r="O42" s="86"/>
      <c r="P42" s="54"/>
      <c r="Q42" s="88"/>
      <c r="R42" s="424"/>
      <c r="S42" s="620"/>
      <c r="T42" s="89"/>
      <c r="U42" s="89"/>
      <c r="V42" s="423"/>
      <c r="W42" s="90">
        <f t="shared" si="25"/>
        <v>0</v>
      </c>
      <c r="X42" s="123"/>
      <c r="Y42" s="123"/>
      <c r="Z42" s="124"/>
      <c r="AA42" s="124"/>
      <c r="AB42" s="616"/>
      <c r="AC42" s="616"/>
      <c r="AD42" s="423"/>
      <c r="AE42" s="423"/>
      <c r="AF42" s="48"/>
      <c r="AG42" s="129"/>
      <c r="AH42" s="638"/>
    </row>
    <row r="43" spans="1:34" ht="19.2" customHeight="1">
      <c r="A43" s="650"/>
      <c r="B43" s="121">
        <v>0</v>
      </c>
      <c r="C43" s="100" t="s">
        <v>247</v>
      </c>
      <c r="D43" s="617" t="s">
        <v>243</v>
      </c>
      <c r="E43" s="617"/>
      <c r="F43" s="361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620"/>
      <c r="T43" s="89"/>
      <c r="U43" s="89"/>
      <c r="V43" s="423"/>
      <c r="W43" s="423"/>
      <c r="X43" s="123"/>
      <c r="Y43" s="123"/>
      <c r="Z43" s="132">
        <f>SUM(Z31:Z42)</f>
        <v>0</v>
      </c>
      <c r="AA43" s="132">
        <f>SUM(AA31:AA42)</f>
        <v>0</v>
      </c>
      <c r="AB43" s="616"/>
      <c r="AC43" s="616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8">
        <f t="shared" si="7"/>
        <v>0.84749639515560637</v>
      </c>
      <c r="AH43" s="638"/>
    </row>
    <row r="44" spans="1:34" s="145" customFormat="1" ht="19.2" customHeight="1">
      <c r="A44" s="655" t="s">
        <v>248</v>
      </c>
      <c r="B44" s="97" t="s">
        <v>130</v>
      </c>
      <c r="C44" s="133"/>
      <c r="D44" s="164" t="s">
        <v>200</v>
      </c>
      <c r="E44" s="43"/>
      <c r="F44" s="364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635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616"/>
      <c r="AC44" s="616"/>
      <c r="AD44" s="423"/>
      <c r="AE44" s="423"/>
      <c r="AF44" s="144">
        <f t="shared" si="28"/>
        <v>-435.5</v>
      </c>
      <c r="AG44" s="431">
        <f t="shared" si="7"/>
        <v>0.78225</v>
      </c>
      <c r="AH44" s="658">
        <f>AG56</f>
        <v>0.98129188180471216</v>
      </c>
    </row>
    <row r="45" spans="1:34" s="145" customFormat="1" ht="19.2" customHeight="1">
      <c r="A45" s="656"/>
      <c r="B45" s="97" t="s">
        <v>131</v>
      </c>
      <c r="C45" s="133"/>
      <c r="D45" s="42" t="s">
        <v>76</v>
      </c>
      <c r="E45" s="43"/>
      <c r="F45" s="364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635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616"/>
      <c r="AC45" s="616"/>
      <c r="AD45" s="423"/>
      <c r="AE45" s="423"/>
      <c r="AF45" s="144">
        <f t="shared" si="28"/>
        <v>187.35294117647027</v>
      </c>
      <c r="AG45" s="431">
        <f t="shared" si="7"/>
        <v>1.0936764705882351</v>
      </c>
      <c r="AH45" s="658"/>
    </row>
    <row r="46" spans="1:34" s="145" customFormat="1" ht="19.2" customHeight="1">
      <c r="A46" s="656"/>
      <c r="B46" s="97" t="s">
        <v>131</v>
      </c>
      <c r="C46" s="133"/>
      <c r="D46" s="42" t="s">
        <v>77</v>
      </c>
      <c r="E46" s="43"/>
      <c r="F46" s="364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635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616"/>
      <c r="AC46" s="616"/>
      <c r="AD46" s="423"/>
      <c r="AE46" s="423"/>
      <c r="AF46" s="144">
        <f t="shared" si="28"/>
        <v>166.3636363636374</v>
      </c>
      <c r="AG46" s="431">
        <f t="shared" si="7"/>
        <v>1.0831818181818187</v>
      </c>
      <c r="AH46" s="658"/>
    </row>
    <row r="47" spans="1:34" s="145" customFormat="1" ht="19.2" customHeight="1">
      <c r="A47" s="656"/>
      <c r="B47" s="97" t="s">
        <v>130</v>
      </c>
      <c r="C47" s="133"/>
      <c r="D47" s="42" t="s">
        <v>67</v>
      </c>
      <c r="E47" s="148"/>
      <c r="F47" s="364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635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616"/>
      <c r="AC47" s="616"/>
      <c r="AD47" s="423"/>
      <c r="AE47" s="423">
        <v>1</v>
      </c>
      <c r="AF47" s="144">
        <f t="shared" si="28"/>
        <v>-40.263157894736196</v>
      </c>
      <c r="AG47" s="431">
        <f t="shared" si="7"/>
        <v>0.97315789473684255</v>
      </c>
      <c r="AH47" s="658"/>
    </row>
    <row r="48" spans="1:34" s="145" customFormat="1" ht="19.2" customHeight="1">
      <c r="A48" s="656"/>
      <c r="B48" s="97" t="s">
        <v>130</v>
      </c>
      <c r="C48" s="133"/>
      <c r="D48" s="42" t="s">
        <v>178</v>
      </c>
      <c r="E48" s="148"/>
      <c r="F48" s="364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635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616"/>
      <c r="AC48" s="616"/>
      <c r="AD48" s="423"/>
      <c r="AE48" s="423"/>
      <c r="AF48" s="144">
        <f t="shared" si="28"/>
        <v>-27.999999999999545</v>
      </c>
      <c r="AG48" s="431">
        <f t="shared" si="7"/>
        <v>0.98133333333333361</v>
      </c>
      <c r="AH48" s="658"/>
    </row>
    <row r="49" spans="1:34" s="145" customFormat="1" ht="19.2" customHeight="1">
      <c r="A49" s="656"/>
      <c r="B49" s="97" t="s">
        <v>132</v>
      </c>
      <c r="C49" s="133"/>
      <c r="D49" s="42" t="s">
        <v>66</v>
      </c>
      <c r="E49" s="148"/>
      <c r="F49" s="364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635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616"/>
      <c r="AC49" s="616"/>
      <c r="AD49" s="423"/>
      <c r="AE49" s="423"/>
      <c r="AF49" s="144">
        <f t="shared" si="28"/>
        <v>-41.2999999999995</v>
      </c>
      <c r="AG49" s="431">
        <f t="shared" si="7"/>
        <v>0.97246666666666703</v>
      </c>
      <c r="AH49" s="658"/>
    </row>
    <row r="50" spans="1:34" s="145" customFormat="1" ht="19.2" customHeight="1">
      <c r="A50" s="656"/>
      <c r="B50" s="97" t="s">
        <v>132</v>
      </c>
      <c r="C50" s="133"/>
      <c r="D50" s="42" t="s">
        <v>66</v>
      </c>
      <c r="E50" s="148"/>
      <c r="F50" s="364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635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616"/>
      <c r="AC50" s="616"/>
      <c r="AD50" s="423">
        <v>1</v>
      </c>
      <c r="AE50" s="423"/>
      <c r="AF50" s="144">
        <f t="shared" si="28"/>
        <v>-33.150837988827107</v>
      </c>
      <c r="AG50" s="431">
        <f t="shared" si="7"/>
        <v>0.97789944134078188</v>
      </c>
      <c r="AH50" s="658"/>
    </row>
    <row r="51" spans="1:34" s="145" customFormat="1" ht="19.2" customHeight="1">
      <c r="A51" s="656"/>
      <c r="B51" s="97">
        <v>0</v>
      </c>
      <c r="C51" s="133"/>
      <c r="D51" s="150"/>
      <c r="E51" s="148"/>
      <c r="F51" s="364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35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616"/>
      <c r="AC51" s="616"/>
      <c r="AD51" s="423"/>
      <c r="AE51" s="423"/>
      <c r="AF51" s="144">
        <f t="shared" si="28"/>
        <v>0</v>
      </c>
      <c r="AG51" s="431" t="e">
        <f t="shared" si="7"/>
        <v>#DIV/0!</v>
      </c>
      <c r="AH51" s="658"/>
    </row>
    <row r="52" spans="1:34" s="145" customFormat="1" ht="19.2" customHeight="1">
      <c r="A52" s="656"/>
      <c r="B52" s="97">
        <v>0</v>
      </c>
      <c r="C52" s="133"/>
      <c r="D52" s="150"/>
      <c r="E52" s="148"/>
      <c r="F52" s="364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35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16"/>
      <c r="AC52" s="616"/>
      <c r="AD52" s="423"/>
      <c r="AE52" s="423"/>
      <c r="AF52" s="144">
        <f t="shared" si="28"/>
        <v>0</v>
      </c>
      <c r="AG52" s="431" t="e">
        <f t="shared" si="7"/>
        <v>#DIV/0!</v>
      </c>
      <c r="AH52" s="658"/>
    </row>
    <row r="53" spans="1:34" s="145" customFormat="1" ht="19.2" customHeight="1">
      <c r="A53" s="656"/>
      <c r="B53" s="97">
        <v>0</v>
      </c>
      <c r="C53" s="133"/>
      <c r="D53" s="150"/>
      <c r="E53" s="148"/>
      <c r="F53" s="364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4"/>
      <c r="S53" s="635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16"/>
      <c r="AC53" s="616"/>
      <c r="AD53" s="423"/>
      <c r="AE53" s="423"/>
      <c r="AF53" s="144">
        <f t="shared" si="28"/>
        <v>0</v>
      </c>
      <c r="AG53" s="431" t="e">
        <f t="shared" si="7"/>
        <v>#DIV/0!</v>
      </c>
      <c r="AH53" s="658"/>
    </row>
    <row r="54" spans="1:34" s="145" customFormat="1" ht="19.2" customHeight="1">
      <c r="A54" s="656"/>
      <c r="B54" s="156">
        <v>0</v>
      </c>
      <c r="C54" s="133"/>
      <c r="D54" s="150"/>
      <c r="E54" s="148"/>
      <c r="F54" s="365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4"/>
      <c r="S54" s="635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16"/>
      <c r="AC54" s="616"/>
      <c r="AD54" s="423"/>
      <c r="AE54" s="423"/>
      <c r="AF54" s="144">
        <f t="shared" si="28"/>
        <v>0</v>
      </c>
      <c r="AG54" s="431" t="e">
        <f t="shared" si="7"/>
        <v>#DIV/0!</v>
      </c>
      <c r="AH54" s="658"/>
    </row>
    <row r="55" spans="1:34" s="145" customFormat="1" ht="19.2" customHeight="1">
      <c r="A55" s="656"/>
      <c r="B55" s="156">
        <v>0</v>
      </c>
      <c r="C55" s="133"/>
      <c r="D55" s="150"/>
      <c r="E55" s="148"/>
      <c r="F55" s="365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4"/>
      <c r="S55" s="635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16"/>
      <c r="AC55" s="616"/>
      <c r="AD55" s="423"/>
      <c r="AE55" s="423"/>
      <c r="AF55" s="144"/>
      <c r="AG55" s="431"/>
      <c r="AH55" s="658"/>
    </row>
    <row r="56" spans="1:34" ht="19.2" customHeight="1">
      <c r="A56" s="657"/>
      <c r="B56" s="157">
        <v>0</v>
      </c>
      <c r="C56" s="268" t="s">
        <v>249</v>
      </c>
      <c r="D56" s="654" t="s">
        <v>243</v>
      </c>
      <c r="E56" s="617"/>
      <c r="F56" s="361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635"/>
      <c r="T56" s="160"/>
      <c r="U56" s="160"/>
      <c r="V56" s="43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16"/>
      <c r="AC56" s="616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4">
        <f>N56/K56</f>
        <v>0.98129188180471216</v>
      </c>
      <c r="AH56" s="658"/>
    </row>
    <row r="57" spans="1:34" ht="19.2" customHeight="1">
      <c r="A57" s="649" t="s">
        <v>250</v>
      </c>
      <c r="B57" s="121" t="s">
        <v>130</v>
      </c>
      <c r="C57" s="121"/>
      <c r="D57" s="42" t="s">
        <v>68</v>
      </c>
      <c r="E57" s="43"/>
      <c r="F57" s="357">
        <v>28.26</v>
      </c>
      <c r="G57" s="57">
        <v>1304</v>
      </c>
      <c r="H57" s="84">
        <f t="shared" ref="H57:H66" si="37">F57*G57</f>
        <v>36851.040000000001</v>
      </c>
      <c r="I57" s="423"/>
      <c r="J57" s="87">
        <v>7</v>
      </c>
      <c r="K57" s="57">
        <v>1500</v>
      </c>
      <c r="L57" s="86">
        <v>214.28571428571428</v>
      </c>
      <c r="M57" s="434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7">
        <f t="shared" si="36"/>
        <v>0.96592592592592585</v>
      </c>
      <c r="S57" s="635">
        <f>R69</f>
        <v>0.96598554428063288</v>
      </c>
      <c r="T57" s="50">
        <v>0.16666666666666666</v>
      </c>
      <c r="U57" s="50">
        <v>0.20416666666666666</v>
      </c>
      <c r="V57" s="425">
        <v>5</v>
      </c>
      <c r="W57" s="436">
        <f>(U57-T57)*24*60</f>
        <v>54.000000000000007</v>
      </c>
      <c r="X57" s="53"/>
      <c r="Y57" s="53"/>
      <c r="Z57" s="54"/>
      <c r="AA57" s="54"/>
      <c r="AB57" s="616"/>
      <c r="AC57" s="616"/>
      <c r="AD57" s="423"/>
      <c r="AE57" s="423"/>
      <c r="AF57" s="48">
        <f t="shared" si="6"/>
        <v>-51.111111111111313</v>
      </c>
      <c r="AG57" s="426">
        <f t="shared" si="7"/>
        <v>0.96592592592592574</v>
      </c>
      <c r="AH57" s="637">
        <f>AG69</f>
        <v>0.96597998992273371</v>
      </c>
    </row>
    <row r="58" spans="1:34" ht="19.2" customHeight="1">
      <c r="A58" s="650"/>
      <c r="B58" s="121" t="s">
        <v>130</v>
      </c>
      <c r="C58" s="423"/>
      <c r="D58" s="42" t="s">
        <v>69</v>
      </c>
      <c r="E58" s="43"/>
      <c r="F58" s="357">
        <v>27.88</v>
      </c>
      <c r="G58" s="44">
        <v>3579</v>
      </c>
      <c r="H58" s="45">
        <f t="shared" si="37"/>
        <v>99782.51999999999</v>
      </c>
      <c r="I58" s="425"/>
      <c r="J58" s="46">
        <v>7</v>
      </c>
      <c r="K58" s="44">
        <v>1500</v>
      </c>
      <c r="L58" s="86">
        <v>214.28571428571428</v>
      </c>
      <c r="M58" s="437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7">
        <f t="shared" si="36"/>
        <v>0.9672972972972973</v>
      </c>
      <c r="S58" s="635"/>
      <c r="T58" s="50">
        <v>0.21111111111111111</v>
      </c>
      <c r="U58" s="50">
        <v>0.31388888888888888</v>
      </c>
      <c r="V58" s="425">
        <v>10</v>
      </c>
      <c r="W58" s="436">
        <f>(U58-T58)*24*60</f>
        <v>148</v>
      </c>
      <c r="X58" s="53"/>
      <c r="Y58" s="53"/>
      <c r="Z58" s="54"/>
      <c r="AA58" s="54"/>
      <c r="AB58" s="652"/>
      <c r="AC58" s="653"/>
      <c r="AD58" s="423"/>
      <c r="AE58" s="423"/>
      <c r="AF58" s="48">
        <f t="shared" si="6"/>
        <v>-49.054054054054177</v>
      </c>
      <c r="AG58" s="427">
        <f t="shared" si="7"/>
        <v>0.96729729729729719</v>
      </c>
      <c r="AH58" s="635"/>
    </row>
    <row r="59" spans="1:34" ht="19.2" customHeight="1">
      <c r="A59" s="650"/>
      <c r="B59" s="121" t="s">
        <v>130</v>
      </c>
      <c r="C59" s="423"/>
      <c r="D59" s="42" t="s">
        <v>70</v>
      </c>
      <c r="E59" s="43"/>
      <c r="F59" s="357">
        <v>28</v>
      </c>
      <c r="G59" s="44">
        <v>3400</v>
      </c>
      <c r="H59" s="45">
        <f t="shared" si="37"/>
        <v>95200</v>
      </c>
      <c r="I59" s="425"/>
      <c r="J59" s="46">
        <v>7</v>
      </c>
      <c r="K59" s="44">
        <v>1500</v>
      </c>
      <c r="L59" s="86">
        <v>214.28571428571428</v>
      </c>
      <c r="M59" s="437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7">
        <f t="shared" si="36"/>
        <v>0.96453900709219886</v>
      </c>
      <c r="S59" s="635"/>
      <c r="T59" s="50">
        <v>0.3208333333333333</v>
      </c>
      <c r="U59" s="50">
        <v>0.41874999999999996</v>
      </c>
      <c r="V59" s="142">
        <v>10</v>
      </c>
      <c r="W59" s="436">
        <f t="shared" ref="W59:W69" si="42">(U59-T59)*24*60</f>
        <v>140.99999999999997</v>
      </c>
      <c r="X59" s="53"/>
      <c r="Y59" s="53"/>
      <c r="Z59" s="54"/>
      <c r="AA59" s="54"/>
      <c r="AB59" s="616"/>
      <c r="AC59" s="616"/>
      <c r="AD59" s="423"/>
      <c r="AE59" s="423"/>
      <c r="AF59" s="48">
        <f t="shared" si="6"/>
        <v>-53.19148936170177</v>
      </c>
      <c r="AG59" s="427">
        <f t="shared" si="7"/>
        <v>0.96453900709219886</v>
      </c>
      <c r="AH59" s="635"/>
    </row>
    <row r="60" spans="1:34" ht="19.2" customHeight="1">
      <c r="A60" s="650"/>
      <c r="B60" s="121" t="s">
        <v>132</v>
      </c>
      <c r="C60" s="423"/>
      <c r="D60" s="42" t="s">
        <v>66</v>
      </c>
      <c r="E60" s="43"/>
      <c r="F60" s="357">
        <v>10.09</v>
      </c>
      <c r="G60" s="44">
        <v>3209.14</v>
      </c>
      <c r="H60" s="45">
        <f t="shared" si="37"/>
        <v>32380.222599999997</v>
      </c>
      <c r="I60" s="42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7">
        <f t="shared" si="36"/>
        <v>0.97246666666666703</v>
      </c>
      <c r="S60" s="635"/>
      <c r="T60" s="50">
        <v>0.43611111111111106</v>
      </c>
      <c r="U60" s="50">
        <v>0.52777777777777768</v>
      </c>
      <c r="V60" s="142">
        <v>25</v>
      </c>
      <c r="W60" s="436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616"/>
      <c r="AC60" s="616"/>
      <c r="AD60" s="423">
        <v>1</v>
      </c>
      <c r="AE60" s="423"/>
      <c r="AF60" s="48">
        <f t="shared" si="6"/>
        <v>-41.2999999999995</v>
      </c>
      <c r="AG60" s="426">
        <f t="shared" si="7"/>
        <v>0.97246666666666703</v>
      </c>
      <c r="AH60" s="635"/>
    </row>
    <row r="61" spans="1:34" ht="19.2" customHeight="1">
      <c r="A61" s="650"/>
      <c r="B61" s="121" t="s">
        <v>132</v>
      </c>
      <c r="C61" s="423"/>
      <c r="D61" s="42" t="s">
        <v>66</v>
      </c>
      <c r="E61" s="43"/>
      <c r="F61" s="357">
        <v>10.09</v>
      </c>
      <c r="G61" s="44">
        <v>3646.75</v>
      </c>
      <c r="H61" s="45">
        <f t="shared" si="37"/>
        <v>36795.707499999997</v>
      </c>
      <c r="I61" s="42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7">
        <f t="shared" si="36"/>
        <v>0.95967105263157926</v>
      </c>
      <c r="S61" s="635"/>
      <c r="T61" s="50">
        <v>0.56805555555555542</v>
      </c>
      <c r="U61" s="50">
        <v>0.67361111111111094</v>
      </c>
      <c r="V61" s="142">
        <v>5</v>
      </c>
      <c r="W61" s="436">
        <f t="shared" si="42"/>
        <v>151.99999999999994</v>
      </c>
      <c r="X61" s="53"/>
      <c r="Y61" s="53"/>
      <c r="Z61" s="54"/>
      <c r="AA61" s="54"/>
      <c r="AB61" s="616"/>
      <c r="AC61" s="616"/>
      <c r="AD61" s="423"/>
      <c r="AE61" s="423"/>
      <c r="AF61" s="48">
        <f t="shared" si="6"/>
        <v>-60.493421052630993</v>
      </c>
      <c r="AG61" s="427">
        <f t="shared" si="7"/>
        <v>0.95967105263157937</v>
      </c>
      <c r="AH61" s="635"/>
    </row>
    <row r="62" spans="1:34" ht="19.2" customHeight="1">
      <c r="A62" s="650"/>
      <c r="B62" s="121">
        <v>0</v>
      </c>
      <c r="C62" s="423"/>
      <c r="D62" s="42"/>
      <c r="E62" s="43"/>
      <c r="F62" s="357" t="s">
        <v>133</v>
      </c>
      <c r="G62" s="134"/>
      <c r="H62" s="45">
        <f t="shared" si="37"/>
        <v>0</v>
      </c>
      <c r="I62" s="425"/>
      <c r="J62" s="46"/>
      <c r="K62" s="44"/>
      <c r="L62" s="86"/>
      <c r="M62" s="62"/>
      <c r="N62" s="44"/>
      <c r="O62" s="47"/>
      <c r="P62" s="165"/>
      <c r="Q62" s="49"/>
      <c r="R62" s="427"/>
      <c r="S62" s="635"/>
      <c r="T62" s="166"/>
      <c r="U62" s="166"/>
      <c r="V62" s="142"/>
      <c r="W62" s="436">
        <f t="shared" si="42"/>
        <v>0</v>
      </c>
      <c r="X62" s="53"/>
      <c r="Y62" s="53"/>
      <c r="Z62" s="54"/>
      <c r="AA62" s="54"/>
      <c r="AB62" s="616"/>
      <c r="AC62" s="616"/>
      <c r="AD62" s="423"/>
      <c r="AE62" s="423"/>
      <c r="AF62" s="48">
        <f t="shared" si="6"/>
        <v>0</v>
      </c>
      <c r="AG62" s="427" t="e">
        <f t="shared" si="7"/>
        <v>#DIV/0!</v>
      </c>
      <c r="AH62" s="635"/>
    </row>
    <row r="63" spans="1:34" ht="19.2" customHeight="1">
      <c r="A63" s="650"/>
      <c r="B63" s="121">
        <v>0</v>
      </c>
      <c r="C63" s="423"/>
      <c r="D63" s="42"/>
      <c r="E63" s="43"/>
      <c r="F63" s="357" t="s">
        <v>133</v>
      </c>
      <c r="G63" s="134"/>
      <c r="H63" s="45">
        <f t="shared" si="37"/>
        <v>0</v>
      </c>
      <c r="I63" s="425"/>
      <c r="J63" s="46"/>
      <c r="K63" s="44"/>
      <c r="L63" s="86"/>
      <c r="M63" s="62"/>
      <c r="N63" s="44"/>
      <c r="O63" s="47"/>
      <c r="P63" s="165"/>
      <c r="Q63" s="49"/>
      <c r="R63" s="427"/>
      <c r="S63" s="635"/>
      <c r="T63" s="166"/>
      <c r="U63" s="166"/>
      <c r="V63" s="142"/>
      <c r="W63" s="436">
        <f t="shared" si="42"/>
        <v>0</v>
      </c>
      <c r="X63" s="53"/>
      <c r="Y63" s="53"/>
      <c r="Z63" s="54"/>
      <c r="AA63" s="54"/>
      <c r="AB63" s="616"/>
      <c r="AC63" s="616"/>
      <c r="AD63" s="423"/>
      <c r="AE63" s="423"/>
      <c r="AF63" s="48">
        <f t="shared" si="6"/>
        <v>0</v>
      </c>
      <c r="AG63" s="426" t="e">
        <f t="shared" si="7"/>
        <v>#DIV/0!</v>
      </c>
      <c r="AH63" s="635"/>
    </row>
    <row r="64" spans="1:34" ht="19.2" customHeight="1">
      <c r="A64" s="651"/>
      <c r="B64" s="163">
        <v>0</v>
      </c>
      <c r="C64" s="408"/>
      <c r="D64" s="42"/>
      <c r="E64" s="43"/>
      <c r="F64" s="357" t="s">
        <v>133</v>
      </c>
      <c r="G64" s="134"/>
      <c r="H64" s="45">
        <f t="shared" si="37"/>
        <v>0</v>
      </c>
      <c r="I64" s="425"/>
      <c r="J64" s="167"/>
      <c r="K64" s="61"/>
      <c r="L64" s="86"/>
      <c r="M64" s="62"/>
      <c r="N64" s="44"/>
      <c r="O64" s="47"/>
      <c r="P64" s="165"/>
      <c r="Q64" s="49"/>
      <c r="R64" s="427"/>
      <c r="S64" s="635"/>
      <c r="T64" s="166"/>
      <c r="U64" s="166"/>
      <c r="V64" s="142"/>
      <c r="W64" s="436">
        <f t="shared" si="42"/>
        <v>0</v>
      </c>
      <c r="X64" s="425"/>
      <c r="Y64" s="425"/>
      <c r="Z64" s="54"/>
      <c r="AA64" s="54"/>
      <c r="AB64" s="616"/>
      <c r="AC64" s="616"/>
      <c r="AD64" s="423"/>
      <c r="AE64" s="423"/>
      <c r="AF64" s="48">
        <f t="shared" si="6"/>
        <v>0</v>
      </c>
      <c r="AG64" s="427" t="e">
        <f t="shared" si="7"/>
        <v>#DIV/0!</v>
      </c>
      <c r="AH64" s="635"/>
    </row>
    <row r="65" spans="1:34" ht="19.2" customHeight="1">
      <c r="A65" s="651"/>
      <c r="B65" s="97">
        <v>0</v>
      </c>
      <c r="C65" s="432"/>
      <c r="D65" s="42"/>
      <c r="E65" s="43"/>
      <c r="F65" s="357" t="s">
        <v>133</v>
      </c>
      <c r="G65" s="134"/>
      <c r="H65" s="45">
        <f t="shared" si="37"/>
        <v>0</v>
      </c>
      <c r="I65" s="425"/>
      <c r="J65" s="167"/>
      <c r="K65" s="61"/>
      <c r="L65" s="86"/>
      <c r="M65" s="62"/>
      <c r="N65" s="61"/>
      <c r="O65" s="77"/>
      <c r="P65" s="48"/>
      <c r="Q65" s="49"/>
      <c r="R65" s="427"/>
      <c r="S65" s="635"/>
      <c r="T65" s="166"/>
      <c r="U65" s="166"/>
      <c r="V65" s="142"/>
      <c r="W65" s="436">
        <f t="shared" si="42"/>
        <v>0</v>
      </c>
      <c r="X65" s="425"/>
      <c r="Y65" s="425"/>
      <c r="Z65" s="54"/>
      <c r="AA65" s="54"/>
      <c r="AB65" s="616"/>
      <c r="AC65" s="616"/>
      <c r="AD65" s="423"/>
      <c r="AE65" s="423"/>
      <c r="AF65" s="48">
        <f t="shared" si="6"/>
        <v>0</v>
      </c>
      <c r="AG65" s="427" t="e">
        <f t="shared" si="7"/>
        <v>#DIV/0!</v>
      </c>
      <c r="AH65" s="635"/>
    </row>
    <row r="66" spans="1:34" ht="19.2" customHeight="1">
      <c r="A66" s="651"/>
      <c r="B66" s="97">
        <v>0</v>
      </c>
      <c r="C66" s="432"/>
      <c r="D66" s="42"/>
      <c r="E66" s="43"/>
      <c r="F66" s="357" t="s">
        <v>133</v>
      </c>
      <c r="G66" s="134"/>
      <c r="H66" s="45">
        <f t="shared" si="37"/>
        <v>0</v>
      </c>
      <c r="I66" s="425"/>
      <c r="J66" s="167"/>
      <c r="K66" s="61"/>
      <c r="L66" s="86"/>
      <c r="M66" s="62"/>
      <c r="N66" s="61"/>
      <c r="O66" s="77"/>
      <c r="P66" s="48"/>
      <c r="Q66" s="49"/>
      <c r="R66" s="427"/>
      <c r="S66" s="635"/>
      <c r="T66" s="166"/>
      <c r="U66" s="166"/>
      <c r="V66" s="142"/>
      <c r="W66" s="436">
        <f t="shared" si="42"/>
        <v>0</v>
      </c>
      <c r="X66" s="425"/>
      <c r="Y66" s="425"/>
      <c r="Z66" s="54"/>
      <c r="AA66" s="54"/>
      <c r="AB66" s="616"/>
      <c r="AC66" s="616"/>
      <c r="AD66" s="423"/>
      <c r="AE66" s="423"/>
      <c r="AF66" s="48">
        <f t="shared" si="6"/>
        <v>0</v>
      </c>
      <c r="AG66" s="426" t="e">
        <f t="shared" si="7"/>
        <v>#DIV/0!</v>
      </c>
      <c r="AH66" s="635"/>
    </row>
    <row r="67" spans="1:34" ht="19.2" customHeight="1">
      <c r="A67" s="651"/>
      <c r="B67" s="97">
        <v>0</v>
      </c>
      <c r="C67" s="432"/>
      <c r="D67" s="42"/>
      <c r="E67" s="43"/>
      <c r="F67" s="357" t="s">
        <v>133</v>
      </c>
      <c r="G67" s="134"/>
      <c r="H67" s="45">
        <f>F67*G67</f>
        <v>0</v>
      </c>
      <c r="I67" s="425"/>
      <c r="J67" s="167"/>
      <c r="K67" s="61"/>
      <c r="L67" s="86"/>
      <c r="M67" s="62"/>
      <c r="N67" s="61"/>
      <c r="O67" s="77"/>
      <c r="P67" s="48"/>
      <c r="Q67" s="49"/>
      <c r="R67" s="427"/>
      <c r="S67" s="635"/>
      <c r="T67" s="166"/>
      <c r="U67" s="166"/>
      <c r="V67" s="142"/>
      <c r="W67" s="436">
        <f t="shared" si="42"/>
        <v>0</v>
      </c>
      <c r="X67" s="425"/>
      <c r="Y67" s="425"/>
      <c r="Z67" s="54"/>
      <c r="AA67" s="54"/>
      <c r="AB67" s="616"/>
      <c r="AC67" s="616"/>
      <c r="AD67" s="423"/>
      <c r="AE67" s="423"/>
      <c r="AF67" s="48">
        <f t="shared" si="6"/>
        <v>0</v>
      </c>
      <c r="AG67" s="427" t="e">
        <f t="shared" si="7"/>
        <v>#DIV/0!</v>
      </c>
      <c r="AH67" s="635"/>
    </row>
    <row r="68" spans="1:34" ht="19.2" customHeight="1">
      <c r="A68" s="651"/>
      <c r="B68" s="425">
        <v>0</v>
      </c>
      <c r="C68" s="432"/>
      <c r="D68" s="42"/>
      <c r="E68" s="43"/>
      <c r="F68" s="364" t="s">
        <v>133</v>
      </c>
      <c r="G68" s="134"/>
      <c r="H68" s="45">
        <f>F68*G68</f>
        <v>0</v>
      </c>
      <c r="I68" s="425"/>
      <c r="J68" s="167"/>
      <c r="K68" s="61"/>
      <c r="L68" s="86"/>
      <c r="M68" s="62"/>
      <c r="N68" s="61"/>
      <c r="O68" s="77"/>
      <c r="P68" s="48"/>
      <c r="Q68" s="49"/>
      <c r="R68" s="427"/>
      <c r="S68" s="635"/>
      <c r="T68" s="166"/>
      <c r="U68" s="166"/>
      <c r="V68" s="142"/>
      <c r="W68" s="436">
        <f t="shared" si="42"/>
        <v>0</v>
      </c>
      <c r="X68" s="425"/>
      <c r="Y68" s="425"/>
      <c r="Z68" s="54"/>
      <c r="AA68" s="54"/>
      <c r="AB68" s="616"/>
      <c r="AC68" s="616"/>
      <c r="AD68" s="423"/>
      <c r="AE68" s="423"/>
      <c r="AF68" s="48"/>
      <c r="AG68" s="427"/>
      <c r="AH68" s="635"/>
    </row>
    <row r="69" spans="1:34" ht="19.2" customHeight="1">
      <c r="A69" s="651"/>
      <c r="B69" s="168">
        <v>0</v>
      </c>
      <c r="C69" s="6" t="s">
        <v>251</v>
      </c>
      <c r="D69" s="617" t="s">
        <v>243</v>
      </c>
      <c r="E69" s="617"/>
      <c r="F69" s="366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635"/>
      <c r="T69" s="141"/>
      <c r="U69" s="141"/>
      <c r="V69" s="44"/>
      <c r="W69" s="4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16"/>
      <c r="AC69" s="616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7">
        <f t="shared" si="7"/>
        <v>0.96597998992273371</v>
      </c>
      <c r="AH69" s="635"/>
    </row>
    <row r="70" spans="1:34" ht="19.2" customHeight="1">
      <c r="A70" s="647" t="s">
        <v>252</v>
      </c>
      <c r="B70" s="425" t="s">
        <v>129</v>
      </c>
      <c r="C70" s="97"/>
      <c r="D70" s="42" t="s">
        <v>197</v>
      </c>
      <c r="E70" s="43"/>
      <c r="F70" s="357">
        <v>62.13</v>
      </c>
      <c r="G70" s="57">
        <v>1562.3999999999999</v>
      </c>
      <c r="H70" s="45">
        <f>F70*G70</f>
        <v>97071.911999999997</v>
      </c>
      <c r="I70" s="425"/>
      <c r="J70" s="46">
        <v>14</v>
      </c>
      <c r="K70" s="44">
        <v>1500</v>
      </c>
      <c r="L70" s="47">
        <v>107.14285714285714</v>
      </c>
      <c r="M70" s="437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7">
        <f t="shared" si="44"/>
        <v>0.99199999999999966</v>
      </c>
      <c r="S70" s="635">
        <f>R82</f>
        <v>0.9532115656284651</v>
      </c>
      <c r="T70" s="50">
        <v>0.25</v>
      </c>
      <c r="U70" s="50">
        <v>0.29375000000000001</v>
      </c>
      <c r="V70" s="425">
        <v>5</v>
      </c>
      <c r="W70" s="436">
        <f>(U70-T70)*24*60</f>
        <v>63.000000000000014</v>
      </c>
      <c r="X70" s="425"/>
      <c r="Y70" s="425"/>
      <c r="Z70" s="54"/>
      <c r="AA70" s="54"/>
      <c r="AB70" s="616"/>
      <c r="AC70" s="616"/>
      <c r="AD70" s="423"/>
      <c r="AE70" s="423"/>
      <c r="AF70" s="48">
        <f t="shared" si="6"/>
        <v>-12.000000000000455</v>
      </c>
      <c r="AG70" s="427">
        <f t="shared" si="7"/>
        <v>0.99199999999999966</v>
      </c>
      <c r="AH70" s="635">
        <f>AG82</f>
        <v>0.95144667018536533</v>
      </c>
    </row>
    <row r="71" spans="1:34" ht="19.2" customHeight="1">
      <c r="A71" s="647"/>
      <c r="B71" s="425" t="s">
        <v>128</v>
      </c>
      <c r="C71" s="41"/>
      <c r="D71" s="173" t="s">
        <v>71</v>
      </c>
      <c r="E71" s="43"/>
      <c r="F71" s="357">
        <v>47.65</v>
      </c>
      <c r="G71" s="44">
        <v>1729</v>
      </c>
      <c r="H71" s="45">
        <f>F71*G71</f>
        <v>82386.849999999991</v>
      </c>
      <c r="I71" s="425"/>
      <c r="J71" s="46">
        <v>18</v>
      </c>
      <c r="K71" s="174">
        <v>1440</v>
      </c>
      <c r="L71" s="47">
        <v>80</v>
      </c>
      <c r="M71" s="434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7">
        <f t="shared" si="44"/>
        <v>0.94791666666666696</v>
      </c>
      <c r="S71" s="635"/>
      <c r="T71" s="50">
        <v>0.2986111111111111</v>
      </c>
      <c r="U71" s="50">
        <v>0.35138888888888886</v>
      </c>
      <c r="V71" s="425">
        <v>7</v>
      </c>
      <c r="W71" s="436">
        <f t="shared" ref="W71:W81" si="49">(U71-T71)*24*60</f>
        <v>75.999999999999972</v>
      </c>
      <c r="X71" s="53"/>
      <c r="Y71" s="53"/>
      <c r="Z71" s="54"/>
      <c r="AA71" s="54"/>
      <c r="AB71" s="616"/>
      <c r="AC71" s="616"/>
      <c r="AD71" s="423"/>
      <c r="AE71" s="423"/>
      <c r="AF71" s="48">
        <f>N71-K71</f>
        <v>-74.999999999999545</v>
      </c>
      <c r="AG71" s="427">
        <f>N71/K71</f>
        <v>0.94791666666666696</v>
      </c>
      <c r="AH71" s="635"/>
    </row>
    <row r="72" spans="1:34" ht="19.2" customHeight="1">
      <c r="A72" s="647"/>
      <c r="B72" s="425" t="s">
        <v>128</v>
      </c>
      <c r="C72" s="66"/>
      <c r="D72" s="173" t="s">
        <v>72</v>
      </c>
      <c r="E72" s="43"/>
      <c r="F72" s="357">
        <v>53.36</v>
      </c>
      <c r="G72" s="44">
        <v>3625.4400000000005</v>
      </c>
      <c r="H72" s="45">
        <f t="shared" ref="H72:H80" si="50">F72*G72</f>
        <v>193453.47840000002</v>
      </c>
      <c r="I72" s="425"/>
      <c r="J72" s="87">
        <v>19</v>
      </c>
      <c r="K72" s="57">
        <v>1440</v>
      </c>
      <c r="L72" s="86">
        <v>75.78947368421052</v>
      </c>
      <c r="M72" s="437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7">
        <f t="shared" si="44"/>
        <v>0.93826086956521759</v>
      </c>
      <c r="S72" s="635"/>
      <c r="T72" s="50">
        <v>0.36736111111111108</v>
      </c>
      <c r="U72" s="50">
        <v>0.47916666666666663</v>
      </c>
      <c r="V72" s="425">
        <v>23</v>
      </c>
      <c r="W72" s="436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616"/>
      <c r="AC72" s="616"/>
      <c r="AD72" s="423"/>
      <c r="AE72" s="423">
        <v>1</v>
      </c>
      <c r="AF72" s="48">
        <f>N72-K72</f>
        <v>-88.904347826086678</v>
      </c>
      <c r="AG72" s="427">
        <f>N72/K72</f>
        <v>0.93826086956521759</v>
      </c>
      <c r="AH72" s="635"/>
    </row>
    <row r="73" spans="1:34" ht="19.2" customHeight="1">
      <c r="A73" s="647"/>
      <c r="B73" s="425" t="s">
        <v>128</v>
      </c>
      <c r="C73" s="175"/>
      <c r="D73" s="176" t="s">
        <v>73</v>
      </c>
      <c r="E73" s="177"/>
      <c r="F73" s="357">
        <v>53.76</v>
      </c>
      <c r="G73" s="44">
        <v>2787</v>
      </c>
      <c r="H73" s="45">
        <f t="shared" si="50"/>
        <v>149829.12</v>
      </c>
      <c r="I73" s="423"/>
      <c r="J73" s="178">
        <v>16</v>
      </c>
      <c r="K73" s="179">
        <v>1440</v>
      </c>
      <c r="L73" s="86">
        <v>90</v>
      </c>
      <c r="M73" s="434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7">
        <f t="shared" si="44"/>
        <v>0.93649193548387066</v>
      </c>
      <c r="S73" s="635"/>
      <c r="T73" s="50">
        <v>0.51944444444444438</v>
      </c>
      <c r="U73" s="50">
        <v>0.60555555555555551</v>
      </c>
      <c r="V73" s="425">
        <v>5</v>
      </c>
      <c r="W73" s="436">
        <f t="shared" si="49"/>
        <v>124.00000000000004</v>
      </c>
      <c r="X73" s="180"/>
      <c r="Y73" s="180"/>
      <c r="Z73" s="124"/>
      <c r="AA73" s="124"/>
      <c r="AB73" s="616"/>
      <c r="AC73" s="616"/>
      <c r="AD73" s="423"/>
      <c r="AE73" s="423"/>
      <c r="AF73" s="48">
        <f>N73-K73</f>
        <v>-91.451612903226305</v>
      </c>
      <c r="AG73" s="427">
        <f>N73/K73</f>
        <v>0.93649193548387066</v>
      </c>
      <c r="AH73" s="635"/>
    </row>
    <row r="74" spans="1:34" ht="19.2" customHeight="1">
      <c r="A74" s="647"/>
      <c r="B74" s="425" t="s">
        <v>128</v>
      </c>
      <c r="C74" s="175"/>
      <c r="D74" s="176" t="s">
        <v>74</v>
      </c>
      <c r="E74" s="177"/>
      <c r="F74" s="357">
        <v>47.51</v>
      </c>
      <c r="G74" s="44">
        <v>2258</v>
      </c>
      <c r="H74" s="45">
        <f t="shared" si="50"/>
        <v>107277.58</v>
      </c>
      <c r="I74" s="425"/>
      <c r="J74" s="46">
        <v>17</v>
      </c>
      <c r="K74" s="174">
        <v>1440</v>
      </c>
      <c r="L74" s="47">
        <v>84.705882352941174</v>
      </c>
      <c r="M74" s="437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7">
        <f t="shared" si="44"/>
        <v>0.95033670033670059</v>
      </c>
      <c r="S74" s="635"/>
      <c r="T74" s="50">
        <v>0.61041666666666661</v>
      </c>
      <c r="U74" s="50">
        <v>0.67916666666666659</v>
      </c>
      <c r="V74" s="425">
        <v>7</v>
      </c>
      <c r="W74" s="436">
        <f t="shared" si="49"/>
        <v>98.999999999999972</v>
      </c>
      <c r="X74" s="180"/>
      <c r="Y74" s="180"/>
      <c r="Z74" s="124"/>
      <c r="AA74" s="124"/>
      <c r="AB74" s="616"/>
      <c r="AC74" s="616"/>
      <c r="AD74" s="423">
        <v>1</v>
      </c>
      <c r="AE74" s="423"/>
      <c r="AF74" s="48">
        <f t="shared" ref="AF74:AF80" si="51">N74-K74</f>
        <v>-71.515151515151274</v>
      </c>
      <c r="AG74" s="427">
        <f t="shared" ref="AG74:AG80" si="52">N74/K74</f>
        <v>0.95033670033670048</v>
      </c>
      <c r="AH74" s="635"/>
    </row>
    <row r="75" spans="1:34" ht="19.2" customHeight="1">
      <c r="A75" s="647"/>
      <c r="B75" s="425" t="s">
        <v>128</v>
      </c>
      <c r="C75" s="66"/>
      <c r="D75" s="173" t="s">
        <v>72</v>
      </c>
      <c r="E75" s="43"/>
      <c r="F75" s="357">
        <v>53.36</v>
      </c>
      <c r="G75" s="57">
        <v>2848.56</v>
      </c>
      <c r="H75" s="45">
        <f t="shared" si="50"/>
        <v>151999.16159999999</v>
      </c>
      <c r="I75" s="425">
        <v>1</v>
      </c>
      <c r="J75" s="87">
        <v>19</v>
      </c>
      <c r="K75" s="57">
        <v>1440</v>
      </c>
      <c r="L75" s="86">
        <v>75.78947368421052</v>
      </c>
      <c r="M75" s="437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7">
        <f t="shared" si="44"/>
        <v>0.94198412698412692</v>
      </c>
      <c r="S75" s="635"/>
      <c r="T75" s="50">
        <v>0.69444444444444431</v>
      </c>
      <c r="U75" s="50">
        <v>0.78194444444444433</v>
      </c>
      <c r="V75" s="425">
        <v>22</v>
      </c>
      <c r="W75" s="436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616"/>
      <c r="AC75" s="616"/>
      <c r="AD75" s="423"/>
      <c r="AE75" s="423"/>
      <c r="AF75" s="48">
        <f t="shared" si="51"/>
        <v>-83.542857142857429</v>
      </c>
      <c r="AG75" s="427">
        <f t="shared" si="52"/>
        <v>0.94198412698412681</v>
      </c>
      <c r="AH75" s="635"/>
    </row>
    <row r="76" spans="1:34" ht="19.2" customHeight="1">
      <c r="A76" s="647"/>
      <c r="B76" s="425">
        <v>0</v>
      </c>
      <c r="C76" s="175"/>
      <c r="D76" s="176"/>
      <c r="E76" s="177"/>
      <c r="F76" s="357" t="s">
        <v>133</v>
      </c>
      <c r="G76" s="174"/>
      <c r="H76" s="45">
        <f t="shared" si="50"/>
        <v>0</v>
      </c>
      <c r="I76" s="425"/>
      <c r="J76" s="178"/>
      <c r="K76" s="179"/>
      <c r="L76" s="86"/>
      <c r="M76" s="434"/>
      <c r="N76" s="44"/>
      <c r="O76" s="47"/>
      <c r="P76" s="48"/>
      <c r="Q76" s="49"/>
      <c r="R76" s="427"/>
      <c r="S76" s="635"/>
      <c r="T76" s="50"/>
      <c r="U76" s="50"/>
      <c r="V76" s="425" t="s">
        <v>15</v>
      </c>
      <c r="W76" s="436">
        <f t="shared" si="49"/>
        <v>0</v>
      </c>
      <c r="X76" s="180"/>
      <c r="Y76" s="180"/>
      <c r="Z76" s="124"/>
      <c r="AA76" s="124"/>
      <c r="AB76" s="616"/>
      <c r="AC76" s="616"/>
      <c r="AD76" s="423"/>
      <c r="AE76" s="423"/>
      <c r="AF76" s="48">
        <f t="shared" si="51"/>
        <v>0</v>
      </c>
      <c r="AG76" s="427" t="e">
        <f t="shared" si="52"/>
        <v>#DIV/0!</v>
      </c>
      <c r="AH76" s="635"/>
    </row>
    <row r="77" spans="1:34" ht="19.2" customHeight="1">
      <c r="A77" s="647"/>
      <c r="B77" s="425">
        <v>0</v>
      </c>
      <c r="C77" s="432"/>
      <c r="D77" s="42"/>
      <c r="E77" s="43"/>
      <c r="F77" s="357" t="s">
        <v>133</v>
      </c>
      <c r="G77" s="174"/>
      <c r="H77" s="45">
        <f t="shared" si="50"/>
        <v>0</v>
      </c>
      <c r="I77" s="423"/>
      <c r="J77" s="46"/>
      <c r="K77" s="174"/>
      <c r="L77" s="47"/>
      <c r="M77" s="434"/>
      <c r="N77" s="44"/>
      <c r="O77" s="47"/>
      <c r="P77" s="48"/>
      <c r="Q77" s="49"/>
      <c r="R77" s="427"/>
      <c r="S77" s="635"/>
      <c r="T77" s="50"/>
      <c r="U77" s="50"/>
      <c r="V77" s="425"/>
      <c r="W77" s="436">
        <f t="shared" si="49"/>
        <v>0</v>
      </c>
      <c r="X77" s="180"/>
      <c r="Y77" s="180"/>
      <c r="Z77" s="124"/>
      <c r="AA77" s="124"/>
      <c r="AB77" s="616"/>
      <c r="AC77" s="616"/>
      <c r="AD77" s="423"/>
      <c r="AE77" s="423"/>
      <c r="AF77" s="48">
        <f t="shared" si="51"/>
        <v>0</v>
      </c>
      <c r="AG77" s="427" t="e">
        <f t="shared" si="52"/>
        <v>#DIV/0!</v>
      </c>
      <c r="AH77" s="635"/>
    </row>
    <row r="78" spans="1:34" ht="19.2" customHeight="1">
      <c r="A78" s="647"/>
      <c r="B78" s="425">
        <v>0</v>
      </c>
      <c r="C78" s="432"/>
      <c r="D78" s="42"/>
      <c r="E78" s="43"/>
      <c r="F78" s="357" t="s">
        <v>133</v>
      </c>
      <c r="G78" s="57"/>
      <c r="H78" s="45">
        <f t="shared" si="50"/>
        <v>0</v>
      </c>
      <c r="I78" s="423"/>
      <c r="J78" s="87"/>
      <c r="K78" s="57"/>
      <c r="L78" s="86"/>
      <c r="M78" s="434"/>
      <c r="N78" s="44"/>
      <c r="O78" s="47"/>
      <c r="P78" s="48"/>
      <c r="Q78" s="49"/>
      <c r="R78" s="427"/>
      <c r="S78" s="635"/>
      <c r="T78" s="50"/>
      <c r="U78" s="50"/>
      <c r="V78" s="425"/>
      <c r="W78" s="436">
        <f t="shared" si="49"/>
        <v>0</v>
      </c>
      <c r="X78" s="180"/>
      <c r="Y78" s="180"/>
      <c r="Z78" s="124"/>
      <c r="AA78" s="124"/>
      <c r="AB78" s="616"/>
      <c r="AC78" s="616"/>
      <c r="AD78" s="423"/>
      <c r="AE78" s="423"/>
      <c r="AF78" s="48">
        <f t="shared" si="51"/>
        <v>0</v>
      </c>
      <c r="AG78" s="427" t="e">
        <f t="shared" si="52"/>
        <v>#DIV/0!</v>
      </c>
      <c r="AH78" s="635"/>
    </row>
    <row r="79" spans="1:34" ht="19.2" customHeight="1">
      <c r="A79" s="647"/>
      <c r="B79" s="425">
        <v>0</v>
      </c>
      <c r="C79" s="175"/>
      <c r="D79" s="176"/>
      <c r="E79" s="177"/>
      <c r="F79" s="357" t="s">
        <v>133</v>
      </c>
      <c r="G79" s="57"/>
      <c r="H79" s="45">
        <f t="shared" si="50"/>
        <v>0</v>
      </c>
      <c r="I79" s="423"/>
      <c r="J79" s="87"/>
      <c r="K79" s="57"/>
      <c r="L79" s="86"/>
      <c r="M79" s="434"/>
      <c r="N79" s="57"/>
      <c r="O79" s="181"/>
      <c r="P79" s="108"/>
      <c r="Q79" s="182"/>
      <c r="R79" s="109"/>
      <c r="S79" s="635"/>
      <c r="T79" s="50"/>
      <c r="U79" s="50"/>
      <c r="V79" s="425"/>
      <c r="W79" s="436">
        <f t="shared" si="49"/>
        <v>0</v>
      </c>
      <c r="X79" s="180"/>
      <c r="Y79" s="180"/>
      <c r="Z79" s="124"/>
      <c r="AA79" s="124"/>
      <c r="AB79" s="616"/>
      <c r="AC79" s="616"/>
      <c r="AD79" s="423"/>
      <c r="AE79" s="423"/>
      <c r="AF79" s="48">
        <f t="shared" si="51"/>
        <v>0</v>
      </c>
      <c r="AG79" s="427" t="e">
        <f t="shared" si="52"/>
        <v>#DIV/0!</v>
      </c>
      <c r="AH79" s="635"/>
    </row>
    <row r="80" spans="1:34" ht="19.2" customHeight="1">
      <c r="A80" s="647"/>
      <c r="B80" s="425">
        <v>0</v>
      </c>
      <c r="C80" s="432"/>
      <c r="D80" s="42"/>
      <c r="E80" s="43"/>
      <c r="F80" s="357"/>
      <c r="G80" s="57"/>
      <c r="H80" s="45">
        <f t="shared" si="50"/>
        <v>0</v>
      </c>
      <c r="I80" s="423"/>
      <c r="J80" s="87"/>
      <c r="K80" s="57"/>
      <c r="L80" s="86"/>
      <c r="M80" s="434"/>
      <c r="N80" s="57"/>
      <c r="O80" s="183"/>
      <c r="P80" s="54"/>
      <c r="Q80" s="88"/>
      <c r="R80" s="429"/>
      <c r="S80" s="635"/>
      <c r="T80" s="50"/>
      <c r="U80" s="50"/>
      <c r="V80" s="425"/>
      <c r="W80" s="436">
        <f t="shared" si="49"/>
        <v>0</v>
      </c>
      <c r="X80" s="180"/>
      <c r="Y80" s="180"/>
      <c r="Z80" s="124"/>
      <c r="AA80" s="124"/>
      <c r="AB80" s="616"/>
      <c r="AC80" s="616"/>
      <c r="AD80" s="423"/>
      <c r="AE80" s="423"/>
      <c r="AF80" s="48">
        <f t="shared" si="51"/>
        <v>0</v>
      </c>
      <c r="AG80" s="427" t="e">
        <f t="shared" si="52"/>
        <v>#DIV/0!</v>
      </c>
      <c r="AH80" s="635"/>
    </row>
    <row r="81" spans="1:34" ht="19.2" customHeight="1">
      <c r="A81" s="647"/>
      <c r="B81" s="425">
        <v>0</v>
      </c>
      <c r="C81" s="432"/>
      <c r="D81" s="42"/>
      <c r="E81" s="43"/>
      <c r="F81" s="364"/>
      <c r="G81" s="57"/>
      <c r="H81" s="84"/>
      <c r="I81" s="423"/>
      <c r="J81" s="87"/>
      <c r="K81" s="57"/>
      <c r="L81" s="86"/>
      <c r="M81" s="434"/>
      <c r="N81" s="57"/>
      <c r="O81" s="183"/>
      <c r="P81" s="54"/>
      <c r="Q81" s="88"/>
      <c r="R81" s="429"/>
      <c r="S81" s="635"/>
      <c r="T81" s="50"/>
      <c r="U81" s="50"/>
      <c r="V81" s="425"/>
      <c r="W81" s="436">
        <f t="shared" si="49"/>
        <v>0</v>
      </c>
      <c r="X81" s="180"/>
      <c r="Y81" s="180"/>
      <c r="Z81" s="124"/>
      <c r="AA81" s="124"/>
      <c r="AB81" s="616"/>
      <c r="AC81" s="616"/>
      <c r="AD81" s="423"/>
      <c r="AE81" s="423"/>
      <c r="AF81" s="48"/>
      <c r="AG81" s="125"/>
      <c r="AH81" s="635"/>
    </row>
    <row r="82" spans="1:34" ht="19.2" customHeight="1">
      <c r="A82" s="648"/>
      <c r="B82" s="168">
        <v>0</v>
      </c>
      <c r="C82" s="100" t="s">
        <v>253</v>
      </c>
      <c r="D82" s="617" t="s">
        <v>243</v>
      </c>
      <c r="E82" s="617"/>
      <c r="F82" s="367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635"/>
      <c r="T82" s="50"/>
      <c r="U82" s="50"/>
      <c r="V82" s="425"/>
      <c r="W82" s="44"/>
      <c r="X82" s="47"/>
      <c r="Y82" s="47"/>
      <c r="Z82" s="106">
        <f>SUM(Z70:Z81)</f>
        <v>0</v>
      </c>
      <c r="AA82" s="106">
        <f>SUM(AA70:AA81)</f>
        <v>0</v>
      </c>
      <c r="AB82" s="616"/>
      <c r="AC82" s="616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7">
        <f>N82/K82</f>
        <v>0.95144667018536533</v>
      </c>
      <c r="AH82" s="635"/>
    </row>
    <row r="83" spans="1:34" ht="19.2" customHeight="1">
      <c r="A83" s="645" t="s">
        <v>254</v>
      </c>
      <c r="B83" s="110" t="s">
        <v>129</v>
      </c>
      <c r="C83" s="66"/>
      <c r="D83" s="373" t="s">
        <v>206</v>
      </c>
      <c r="E83" s="43"/>
      <c r="F83" s="364">
        <v>50.67</v>
      </c>
      <c r="G83" s="57">
        <v>2286</v>
      </c>
      <c r="H83" s="84">
        <f t="shared" ref="H83:H94" si="54">F83*G83</f>
        <v>115831.62000000001</v>
      </c>
      <c r="I83" s="423"/>
      <c r="J83" s="87">
        <v>18</v>
      </c>
      <c r="K83" s="57">
        <v>1500</v>
      </c>
      <c r="L83" s="86">
        <v>83.333333333333329</v>
      </c>
      <c r="M83" s="434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635">
        <f>R95</f>
        <v>0.86637827929685562</v>
      </c>
      <c r="T83" s="50">
        <v>0.33333333333333331</v>
      </c>
      <c r="U83" s="50">
        <v>0.40347222222222223</v>
      </c>
      <c r="V83" s="425">
        <v>5</v>
      </c>
      <c r="W83" s="436">
        <f t="shared" ref="W83:W93" si="60">(U83-T83)*24*60</f>
        <v>101.00000000000004</v>
      </c>
      <c r="X83" s="53"/>
      <c r="Y83" s="53"/>
      <c r="Z83" s="54"/>
      <c r="AA83" s="54"/>
      <c r="AB83" s="616"/>
      <c r="AC83" s="616"/>
      <c r="AD83" s="423"/>
      <c r="AE83" s="423"/>
      <c r="AF83" s="48">
        <f t="shared" ref="AF83:AF173" si="61">N83-K83</f>
        <v>-141.98019801980263</v>
      </c>
      <c r="AG83" s="427">
        <f t="shared" ref="AG83:AG173" si="62">N83/K83</f>
        <v>0.90534653465346493</v>
      </c>
      <c r="AH83" s="635">
        <f>AG95</f>
        <v>0.86341496754458413</v>
      </c>
    </row>
    <row r="84" spans="1:34" ht="19.2" customHeight="1">
      <c r="A84" s="646"/>
      <c r="B84" s="110" t="s">
        <v>128</v>
      </c>
      <c r="C84" s="432"/>
      <c r="D84" s="186" t="s">
        <v>185</v>
      </c>
      <c r="E84" s="43"/>
      <c r="F84" s="364">
        <v>61.02</v>
      </c>
      <c r="G84" s="44">
        <v>1859.8999999999999</v>
      </c>
      <c r="H84" s="84">
        <f t="shared" si="54"/>
        <v>113491.098</v>
      </c>
      <c r="I84" s="425"/>
      <c r="J84" s="87">
        <v>17</v>
      </c>
      <c r="K84" s="57">
        <v>1440</v>
      </c>
      <c r="L84" s="86">
        <v>84.705882352941174</v>
      </c>
      <c r="M84" s="434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635"/>
      <c r="T84" s="50">
        <v>0.41944444444444445</v>
      </c>
      <c r="U84" s="50">
        <v>0.47638888888888892</v>
      </c>
      <c r="V84" s="425">
        <v>23</v>
      </c>
      <c r="W84" s="436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616"/>
      <c r="AC84" s="616"/>
      <c r="AD84" s="423"/>
      <c r="AE84" s="423"/>
      <c r="AF84" s="48">
        <f t="shared" si="61"/>
        <v>-79.097560975610349</v>
      </c>
      <c r="AG84" s="427">
        <f t="shared" si="62"/>
        <v>0.94507113821138167</v>
      </c>
      <c r="AH84" s="635"/>
    </row>
    <row r="85" spans="1:34" ht="19.2" customHeight="1">
      <c r="A85" s="646"/>
      <c r="B85" s="110" t="s">
        <v>130</v>
      </c>
      <c r="C85" s="122"/>
      <c r="D85" s="186" t="s">
        <v>143</v>
      </c>
      <c r="E85" s="43"/>
      <c r="F85" s="364">
        <v>36.92</v>
      </c>
      <c r="G85" s="44">
        <v>1375.4</v>
      </c>
      <c r="H85" s="84">
        <f t="shared" si="54"/>
        <v>50779.768000000004</v>
      </c>
      <c r="I85" s="425"/>
      <c r="J85" s="87">
        <v>12</v>
      </c>
      <c r="K85" s="57">
        <v>2000</v>
      </c>
      <c r="L85" s="86">
        <v>166.66666666666666</v>
      </c>
      <c r="M85" s="434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635"/>
      <c r="T85" s="50">
        <v>0.48125000000000001</v>
      </c>
      <c r="U85" s="50">
        <v>0.52013888888888893</v>
      </c>
      <c r="V85" s="425">
        <v>7</v>
      </c>
      <c r="W85" s="436">
        <f t="shared" si="60"/>
        <v>56.000000000000043</v>
      </c>
      <c r="X85" s="53"/>
      <c r="Y85" s="53"/>
      <c r="Z85" s="54"/>
      <c r="AA85" s="54"/>
      <c r="AB85" s="616"/>
      <c r="AC85" s="616"/>
      <c r="AD85" s="423"/>
      <c r="AE85" s="423"/>
      <c r="AF85" s="48">
        <f t="shared" si="61"/>
        <v>-526.3571428571438</v>
      </c>
      <c r="AG85" s="427">
        <f t="shared" si="62"/>
        <v>0.73682142857142807</v>
      </c>
      <c r="AH85" s="635"/>
    </row>
    <row r="86" spans="1:34" ht="19.2" customHeight="1">
      <c r="A86" s="646"/>
      <c r="B86" s="110" t="s">
        <v>132</v>
      </c>
      <c r="C86" s="97"/>
      <c r="D86" s="186" t="s">
        <v>190</v>
      </c>
      <c r="E86" s="43"/>
      <c r="F86" s="364">
        <v>54.09</v>
      </c>
      <c r="G86" s="44">
        <v>1154</v>
      </c>
      <c r="H86" s="84">
        <f t="shared" si="54"/>
        <v>62419.86</v>
      </c>
      <c r="I86" s="425"/>
      <c r="J86" s="87">
        <v>20</v>
      </c>
      <c r="K86" s="57">
        <v>1300</v>
      </c>
      <c r="L86" s="86">
        <v>65</v>
      </c>
      <c r="M86" s="434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635"/>
      <c r="T86" s="50">
        <v>0.56041666666666667</v>
      </c>
      <c r="U86" s="50">
        <v>0.60486111111111107</v>
      </c>
      <c r="V86" s="425">
        <v>5</v>
      </c>
      <c r="W86" s="436">
        <f t="shared" si="60"/>
        <v>63.999999999999929</v>
      </c>
      <c r="X86" s="53"/>
      <c r="Y86" s="53"/>
      <c r="Z86" s="54"/>
      <c r="AA86" s="54"/>
      <c r="AB86" s="616"/>
      <c r="AC86" s="616"/>
      <c r="AD86" s="423"/>
      <c r="AE86" s="423"/>
      <c r="AF86" s="48">
        <f t="shared" si="61"/>
        <v>-218.12499999999864</v>
      </c>
      <c r="AG86" s="427">
        <f t="shared" si="62"/>
        <v>0.8322115384615395</v>
      </c>
      <c r="AH86" s="635"/>
    </row>
    <row r="87" spans="1:34" ht="19.2" customHeight="1">
      <c r="A87" s="646"/>
      <c r="B87" s="110" t="s">
        <v>128</v>
      </c>
      <c r="C87" s="97"/>
      <c r="D87" s="186" t="s">
        <v>203</v>
      </c>
      <c r="E87" s="43"/>
      <c r="F87" s="364">
        <v>61.09</v>
      </c>
      <c r="G87" s="44">
        <v>2232</v>
      </c>
      <c r="H87" s="84">
        <f t="shared" si="54"/>
        <v>136352.88</v>
      </c>
      <c r="I87" s="425"/>
      <c r="J87" s="87">
        <v>17</v>
      </c>
      <c r="K87" s="57">
        <v>1440</v>
      </c>
      <c r="L87" s="86">
        <v>84.705882352941174</v>
      </c>
      <c r="M87" s="434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635"/>
      <c r="T87" s="50">
        <v>0.60972222222222217</v>
      </c>
      <c r="U87" s="50">
        <v>0.6826388888888888</v>
      </c>
      <c r="V87" s="425">
        <v>7</v>
      </c>
      <c r="W87" s="436">
        <f t="shared" si="60"/>
        <v>104.99999999999994</v>
      </c>
      <c r="X87" s="53"/>
      <c r="Y87" s="53"/>
      <c r="Z87" s="54"/>
      <c r="AA87" s="54"/>
      <c r="AB87" s="616"/>
      <c r="AC87" s="616"/>
      <c r="AD87" s="423">
        <v>1</v>
      </c>
      <c r="AE87" s="423"/>
      <c r="AF87" s="48">
        <f t="shared" si="61"/>
        <v>-164.57142857142799</v>
      </c>
      <c r="AG87" s="427">
        <f t="shared" si="62"/>
        <v>0.88571428571428612</v>
      </c>
      <c r="AH87" s="635"/>
    </row>
    <row r="88" spans="1:34" ht="19.2" customHeight="1">
      <c r="A88" s="646"/>
      <c r="B88" s="110" t="s">
        <v>129</v>
      </c>
      <c r="C88" s="432"/>
      <c r="D88" s="186" t="s">
        <v>206</v>
      </c>
      <c r="E88" s="43"/>
      <c r="F88" s="364">
        <v>50.67</v>
      </c>
      <c r="G88" s="57">
        <v>889.00000000000011</v>
      </c>
      <c r="H88" s="84">
        <f t="shared" si="54"/>
        <v>45045.630000000005</v>
      </c>
      <c r="I88" s="425">
        <v>1</v>
      </c>
      <c r="J88" s="87">
        <v>18</v>
      </c>
      <c r="K88" s="57">
        <v>1500</v>
      </c>
      <c r="L88" s="86">
        <v>83.333333333333329</v>
      </c>
      <c r="M88" s="434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635"/>
      <c r="T88" s="50">
        <v>0.69861111111111107</v>
      </c>
      <c r="U88" s="50">
        <v>0.72569444444444442</v>
      </c>
      <c r="V88" s="425">
        <v>23</v>
      </c>
      <c r="W88" s="436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616"/>
      <c r="AC88" s="616"/>
      <c r="AD88" s="423"/>
      <c r="AE88" s="423"/>
      <c r="AF88" s="48">
        <f t="shared" si="61"/>
        <v>-132.30769230769283</v>
      </c>
      <c r="AG88" s="427">
        <f t="shared" si="62"/>
        <v>0.9117948717948714</v>
      </c>
      <c r="AH88" s="635"/>
    </row>
    <row r="89" spans="1:34" ht="19.2" customHeight="1">
      <c r="A89" s="646"/>
      <c r="B89" s="110" t="s">
        <v>128</v>
      </c>
      <c r="C89" s="432"/>
      <c r="D89" s="42" t="s">
        <v>185</v>
      </c>
      <c r="E89" s="43"/>
      <c r="F89" s="364">
        <v>61.02</v>
      </c>
      <c r="G89" s="114">
        <v>797.1</v>
      </c>
      <c r="H89" s="84">
        <f t="shared" si="54"/>
        <v>48639.042000000001</v>
      </c>
      <c r="I89" s="425">
        <v>1</v>
      </c>
      <c r="J89" s="87">
        <v>17</v>
      </c>
      <c r="K89" s="57">
        <v>1440</v>
      </c>
      <c r="L89" s="86">
        <v>84.705882352941174</v>
      </c>
      <c r="M89" s="434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635"/>
      <c r="T89" s="50">
        <v>0.73055555555555551</v>
      </c>
      <c r="U89" s="50">
        <v>0.75555555555555554</v>
      </c>
      <c r="V89" s="425">
        <v>7</v>
      </c>
      <c r="W89" s="436">
        <f t="shared" si="60"/>
        <v>36.000000000000028</v>
      </c>
      <c r="X89" s="53"/>
      <c r="Y89" s="53"/>
      <c r="Z89" s="54"/>
      <c r="AA89" s="54"/>
      <c r="AB89" s="616"/>
      <c r="AC89" s="616"/>
      <c r="AD89" s="423"/>
      <c r="AE89" s="423"/>
      <c r="AF89" s="48">
        <f t="shared" si="61"/>
        <v>-111.50000000000091</v>
      </c>
      <c r="AG89" s="427">
        <f t="shared" si="62"/>
        <v>0.92256944444444378</v>
      </c>
      <c r="AH89" s="635"/>
    </row>
    <row r="90" spans="1:34" ht="19.2" customHeight="1">
      <c r="A90" s="646"/>
      <c r="B90" s="110" t="s">
        <v>129</v>
      </c>
      <c r="C90" s="432"/>
      <c r="D90" s="42" t="s">
        <v>62</v>
      </c>
      <c r="E90" s="43"/>
      <c r="F90" s="364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4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635"/>
      <c r="T90" s="50">
        <v>0.76041666666666663</v>
      </c>
      <c r="U90" s="50">
        <v>0.78749999999999998</v>
      </c>
      <c r="V90" s="425">
        <v>7</v>
      </c>
      <c r="W90" s="436">
        <f t="shared" si="60"/>
        <v>39.000000000000021</v>
      </c>
      <c r="X90" s="188"/>
      <c r="Y90" s="188"/>
      <c r="Z90" s="54"/>
      <c r="AA90" s="54"/>
      <c r="AB90" s="616"/>
      <c r="AC90" s="616"/>
      <c r="AD90" s="423"/>
      <c r="AE90" s="423"/>
      <c r="AF90" s="48">
        <f t="shared" si="61"/>
        <v>-249.46153846153948</v>
      </c>
      <c r="AG90" s="427">
        <f t="shared" si="62"/>
        <v>0.8475173970283989</v>
      </c>
      <c r="AH90" s="635"/>
    </row>
    <row r="91" spans="1:34" ht="19.2" customHeight="1">
      <c r="A91" s="646"/>
      <c r="B91" s="110" t="s">
        <v>129</v>
      </c>
      <c r="C91" s="432"/>
      <c r="D91" s="42" t="s">
        <v>189</v>
      </c>
      <c r="E91" s="43"/>
      <c r="F91" s="364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4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638"/>
      <c r="T91" s="50">
        <v>0.79305555555555551</v>
      </c>
      <c r="U91" s="50">
        <v>0.81458333333333333</v>
      </c>
      <c r="V91" s="425">
        <v>8</v>
      </c>
      <c r="W91" s="436">
        <f t="shared" si="60"/>
        <v>31.00000000000005</v>
      </c>
      <c r="X91" s="115"/>
      <c r="Y91" s="115"/>
      <c r="Z91" s="54"/>
      <c r="AA91" s="54"/>
      <c r="AB91" s="616"/>
      <c r="AC91" s="616"/>
      <c r="AD91" s="423">
        <v>1</v>
      </c>
      <c r="AE91" s="423">
        <v>1</v>
      </c>
      <c r="AF91" s="48">
        <f t="shared" si="61"/>
        <v>-274.03870967742159</v>
      </c>
      <c r="AG91" s="427">
        <f t="shared" si="62"/>
        <v>0.83249467623629492</v>
      </c>
      <c r="AH91" s="638"/>
    </row>
    <row r="92" spans="1:34" ht="19.2" customHeight="1">
      <c r="A92" s="646"/>
      <c r="B92" s="110">
        <v>0</v>
      </c>
      <c r="C92" s="432"/>
      <c r="D92" s="42"/>
      <c r="E92" s="43"/>
      <c r="F92" s="364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0"/>
      <c r="S92" s="638"/>
      <c r="T92" s="50"/>
      <c r="U92" s="50"/>
      <c r="V92" s="425"/>
      <c r="W92" s="436">
        <f t="shared" si="60"/>
        <v>0</v>
      </c>
      <c r="X92" s="180"/>
      <c r="Y92" s="180"/>
      <c r="Z92" s="124"/>
      <c r="AA92" s="124"/>
      <c r="AB92" s="616"/>
      <c r="AC92" s="616"/>
      <c r="AD92" s="423"/>
      <c r="AE92" s="423"/>
      <c r="AF92" s="48">
        <f t="shared" si="61"/>
        <v>0</v>
      </c>
      <c r="AG92" s="427" t="e">
        <f t="shared" si="62"/>
        <v>#DIV/0!</v>
      </c>
      <c r="AH92" s="638"/>
    </row>
    <row r="93" spans="1:34" ht="19.2" customHeight="1">
      <c r="A93" s="646"/>
      <c r="B93" s="438">
        <v>0</v>
      </c>
      <c r="C93" s="195"/>
      <c r="D93" s="59"/>
      <c r="E93" s="60"/>
      <c r="F93" s="364" t="s">
        <v>133</v>
      </c>
      <c r="G93" s="44"/>
      <c r="H93" s="84">
        <f t="shared" si="54"/>
        <v>0</v>
      </c>
      <c r="I93" s="196"/>
      <c r="J93" s="87"/>
      <c r="K93" s="57"/>
      <c r="L93" s="192"/>
      <c r="M93" s="434"/>
      <c r="N93" s="57"/>
      <c r="O93" s="86"/>
      <c r="P93" s="54"/>
      <c r="Q93" s="88"/>
      <c r="R93" s="424"/>
      <c r="S93" s="644"/>
      <c r="T93" s="63"/>
      <c r="U93" s="63"/>
      <c r="V93" s="438"/>
      <c r="W93" s="436">
        <f t="shared" si="60"/>
        <v>0</v>
      </c>
      <c r="X93" s="197"/>
      <c r="Y93" s="197"/>
      <c r="Z93" s="124"/>
      <c r="AA93" s="124"/>
      <c r="AB93" s="616"/>
      <c r="AC93" s="616"/>
      <c r="AD93" s="423"/>
      <c r="AE93" s="423"/>
      <c r="AF93" s="48">
        <f t="shared" si="61"/>
        <v>0</v>
      </c>
      <c r="AG93" s="427" t="e">
        <f t="shared" si="62"/>
        <v>#DIV/0!</v>
      </c>
      <c r="AH93" s="638"/>
    </row>
    <row r="94" spans="1:34" ht="19.2" customHeight="1">
      <c r="A94" s="646"/>
      <c r="B94" s="438">
        <v>0</v>
      </c>
      <c r="C94" s="195"/>
      <c r="D94" s="42"/>
      <c r="E94" s="43"/>
      <c r="F94" s="364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4"/>
      <c r="S94" s="644"/>
      <c r="T94" s="63"/>
      <c r="U94" s="63"/>
      <c r="V94" s="438"/>
      <c r="W94" s="436">
        <f>(U94-T94)*24*60</f>
        <v>0</v>
      </c>
      <c r="X94" s="197"/>
      <c r="Y94" s="197"/>
      <c r="Z94" s="124"/>
      <c r="AA94" s="124"/>
      <c r="AB94" s="616"/>
      <c r="AC94" s="616"/>
      <c r="AD94" s="423"/>
      <c r="AE94" s="423"/>
      <c r="AF94" s="48">
        <f t="shared" si="61"/>
        <v>0</v>
      </c>
      <c r="AG94" s="427" t="e">
        <f t="shared" si="62"/>
        <v>#DIV/0!</v>
      </c>
      <c r="AH94" s="638"/>
    </row>
    <row r="95" spans="1:34" ht="19.2" customHeight="1">
      <c r="A95" s="646"/>
      <c r="B95" s="200">
        <v>0</v>
      </c>
      <c r="C95" s="100" t="s">
        <v>255</v>
      </c>
      <c r="D95" s="617" t="s">
        <v>243</v>
      </c>
      <c r="E95" s="617"/>
      <c r="F95" s="358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63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16"/>
      <c r="AC95" s="616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8">
        <f t="shared" si="62"/>
        <v>0.86341496754458413</v>
      </c>
      <c r="AH95" s="638"/>
    </row>
    <row r="96" spans="1:34" ht="19.2" customHeight="1">
      <c r="A96" s="643" t="s">
        <v>256</v>
      </c>
      <c r="B96" s="425" t="s">
        <v>130</v>
      </c>
      <c r="C96" s="97"/>
      <c r="D96" s="42" t="s">
        <v>211</v>
      </c>
      <c r="E96" s="43"/>
      <c r="F96" s="357">
        <v>29.46</v>
      </c>
      <c r="G96" s="44">
        <v>1540</v>
      </c>
      <c r="H96" s="45">
        <f t="shared" ref="H96:H105" si="65">F96*G96</f>
        <v>45368.4</v>
      </c>
      <c r="I96" s="425">
        <v>1</v>
      </c>
      <c r="J96" s="46">
        <v>16</v>
      </c>
      <c r="K96" s="44">
        <v>1440</v>
      </c>
      <c r="L96" s="47">
        <v>90</v>
      </c>
      <c r="M96" s="437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7">
        <f t="shared" ref="R96:R105" si="69">O96/L96</f>
        <v>0.77309236947791138</v>
      </c>
      <c r="S96" s="635">
        <f>R108</f>
        <v>0.86665378528991965</v>
      </c>
      <c r="T96" s="89">
        <v>0.33333333333333331</v>
      </c>
      <c r="U96" s="89">
        <v>0.39097222222222222</v>
      </c>
      <c r="V96" s="423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616"/>
      <c r="AC96" s="616"/>
      <c r="AD96" s="423"/>
      <c r="AE96" s="423"/>
      <c r="AF96" s="54">
        <f t="shared" si="61"/>
        <v>-326.74698795180757</v>
      </c>
      <c r="AG96" s="424">
        <f t="shared" si="62"/>
        <v>0.77309236947791138</v>
      </c>
      <c r="AH96" s="620">
        <f>AG108</f>
        <v>0.84463782921218233</v>
      </c>
    </row>
    <row r="97" spans="1:34" s="215" customFormat="1" ht="19.2" customHeight="1">
      <c r="A97" s="643"/>
      <c r="B97" s="425" t="s">
        <v>130</v>
      </c>
      <c r="C97" s="207"/>
      <c r="D97" s="208" t="s">
        <v>65</v>
      </c>
      <c r="E97" s="56"/>
      <c r="F97" s="368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7">
        <f t="shared" si="69"/>
        <v>0.94322222222222252</v>
      </c>
      <c r="S97" s="635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616"/>
      <c r="AC97" s="616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620"/>
    </row>
    <row r="98" spans="1:34" s="218" customFormat="1" ht="19.2" customHeight="1">
      <c r="A98" s="643"/>
      <c r="B98" s="425" t="s">
        <v>128</v>
      </c>
      <c r="C98" s="55"/>
      <c r="D98" s="42" t="s">
        <v>177</v>
      </c>
      <c r="E98" s="83"/>
      <c r="F98" s="368">
        <v>77.349999999999994</v>
      </c>
      <c r="G98" s="57">
        <v>464</v>
      </c>
      <c r="H98" s="210">
        <f t="shared" si="65"/>
        <v>35890.399999999994</v>
      </c>
      <c r="I98" s="42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7">
        <f t="shared" si="69"/>
        <v>0.81629629629629408</v>
      </c>
      <c r="S98" s="635"/>
      <c r="T98" s="89">
        <v>0.53055555555555556</v>
      </c>
      <c r="U98" s="89">
        <v>0.54791666666666672</v>
      </c>
      <c r="V98" s="423">
        <v>5</v>
      </c>
      <c r="W98" s="90">
        <f t="shared" si="70"/>
        <v>25.000000000000071</v>
      </c>
      <c r="X98" s="216"/>
      <c r="Y98" s="216"/>
      <c r="Z98" s="217"/>
      <c r="AA98" s="217"/>
      <c r="AB98" s="616"/>
      <c r="AC98" s="616"/>
      <c r="AD98" s="423">
        <v>1</v>
      </c>
      <c r="AE98" s="423"/>
      <c r="AF98" s="54">
        <f t="shared" si="61"/>
        <v>-326.40000000000305</v>
      </c>
      <c r="AG98" s="424">
        <f t="shared" si="62"/>
        <v>0.77333333333333121</v>
      </c>
      <c r="AH98" s="620"/>
    </row>
    <row r="99" spans="1:34" ht="19.2" customHeight="1">
      <c r="A99" s="643"/>
      <c r="B99" s="425" t="s">
        <v>128</v>
      </c>
      <c r="C99" s="81"/>
      <c r="D99" s="82" t="s">
        <v>57</v>
      </c>
      <c r="E99" s="83"/>
      <c r="F99" s="368">
        <v>71.55</v>
      </c>
      <c r="G99" s="57">
        <v>919</v>
      </c>
      <c r="H99" s="210">
        <f t="shared" si="65"/>
        <v>65754.45</v>
      </c>
      <c r="I99" s="423"/>
      <c r="J99" s="46">
        <v>18</v>
      </c>
      <c r="K99" s="44">
        <v>1385</v>
      </c>
      <c r="L99" s="47">
        <v>76.944444444444443</v>
      </c>
      <c r="M99" s="437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7">
        <f t="shared" si="69"/>
        <v>0.88471720818291222</v>
      </c>
      <c r="S99" s="635"/>
      <c r="T99" s="89">
        <v>0.55277777777777781</v>
      </c>
      <c r="U99" s="89">
        <v>0.58402777777777781</v>
      </c>
      <c r="V99" s="423">
        <v>7</v>
      </c>
      <c r="W99" s="90">
        <f t="shared" si="70"/>
        <v>45</v>
      </c>
      <c r="X99" s="180"/>
      <c r="Y99" s="180"/>
      <c r="Z99" s="124"/>
      <c r="AA99" s="124"/>
      <c r="AB99" s="616"/>
      <c r="AC99" s="616"/>
      <c r="AD99" s="423"/>
      <c r="AE99" s="423"/>
      <c r="AF99" s="213">
        <f t="shared" si="61"/>
        <v>-159.66666666666674</v>
      </c>
      <c r="AG99" s="214">
        <f t="shared" si="62"/>
        <v>0.88471720818291211</v>
      </c>
      <c r="AH99" s="620"/>
    </row>
    <row r="100" spans="1:34" s="218" customFormat="1" ht="19.2" customHeight="1">
      <c r="A100" s="643"/>
      <c r="B100" s="425" t="s">
        <v>128</v>
      </c>
      <c r="C100" s="55"/>
      <c r="D100" s="42" t="s">
        <v>56</v>
      </c>
      <c r="E100" s="83"/>
      <c r="F100" s="368">
        <v>59.34</v>
      </c>
      <c r="G100" s="57">
        <v>742</v>
      </c>
      <c r="H100" s="210">
        <f t="shared" si="65"/>
        <v>44030.280000000006</v>
      </c>
      <c r="I100" s="42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7">
        <f t="shared" si="69"/>
        <v>0.88333333333333242</v>
      </c>
      <c r="S100" s="635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616"/>
      <c r="AC100" s="616"/>
      <c r="AD100" s="423"/>
      <c r="AE100" s="423"/>
      <c r="AF100" s="54">
        <f t="shared" si="61"/>
        <v>-168.00000000000136</v>
      </c>
      <c r="AG100" s="424">
        <f t="shared" si="62"/>
        <v>0.88333333333333242</v>
      </c>
      <c r="AH100" s="620"/>
    </row>
    <row r="101" spans="1:34" s="218" customFormat="1" ht="19.2" customHeight="1">
      <c r="A101" s="643"/>
      <c r="B101" s="425" t="s">
        <v>132</v>
      </c>
      <c r="C101" s="55"/>
      <c r="D101" s="82" t="s">
        <v>80</v>
      </c>
      <c r="E101" s="83"/>
      <c r="F101" s="368">
        <v>51.75</v>
      </c>
      <c r="G101" s="57">
        <v>949</v>
      </c>
      <c r="H101" s="210">
        <f t="shared" si="65"/>
        <v>49110.75</v>
      </c>
      <c r="I101" s="423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7">
        <f t="shared" si="69"/>
        <v>0.8435555555555555</v>
      </c>
      <c r="S101" s="635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616"/>
      <c r="AC101" s="616"/>
      <c r="AD101" s="423"/>
      <c r="AE101" s="423"/>
      <c r="AF101" s="213">
        <f t="shared" si="61"/>
        <v>-234.66666666666674</v>
      </c>
      <c r="AG101" s="214">
        <f t="shared" si="62"/>
        <v>0.8435555555555555</v>
      </c>
      <c r="AH101" s="620"/>
    </row>
    <row r="102" spans="1:34" s="218" customFormat="1" ht="19.2" customHeight="1">
      <c r="A102" s="643"/>
      <c r="B102" s="425" t="s">
        <v>128</v>
      </c>
      <c r="C102" s="175"/>
      <c r="D102" s="176" t="s">
        <v>58</v>
      </c>
      <c r="E102" s="177"/>
      <c r="F102" s="368">
        <v>77.34</v>
      </c>
      <c r="G102" s="57">
        <v>1071</v>
      </c>
      <c r="H102" s="210">
        <f t="shared" si="65"/>
        <v>82831.14</v>
      </c>
      <c r="I102" s="425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7">
        <f t="shared" si="69"/>
        <v>0.89250000000000029</v>
      </c>
      <c r="S102" s="635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616"/>
      <c r="AC102" s="616"/>
      <c r="AD102" s="423"/>
      <c r="AE102" s="423"/>
      <c r="AF102" s="54">
        <f t="shared" si="61"/>
        <v>-154.79999999999973</v>
      </c>
      <c r="AG102" s="424">
        <f t="shared" si="62"/>
        <v>0.89250000000000018</v>
      </c>
      <c r="AH102" s="620"/>
    </row>
    <row r="103" spans="1:34" s="218" customFormat="1" ht="19.2" customHeight="1">
      <c r="A103" s="643"/>
      <c r="B103" s="425" t="s">
        <v>130</v>
      </c>
      <c r="C103" s="221"/>
      <c r="D103" s="82" t="s">
        <v>65</v>
      </c>
      <c r="E103" s="83"/>
      <c r="F103" s="368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7">
        <f t="shared" si="69"/>
        <v>0.95229166666666765</v>
      </c>
      <c r="S103" s="635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616"/>
      <c r="AC103" s="616"/>
      <c r="AD103" s="423"/>
      <c r="AE103" s="423">
        <v>1</v>
      </c>
      <c r="AF103" s="54">
        <f t="shared" si="61"/>
        <v>-214.40624999999864</v>
      </c>
      <c r="AG103" s="424">
        <f t="shared" si="62"/>
        <v>0.85706250000000095</v>
      </c>
      <c r="AH103" s="620"/>
    </row>
    <row r="104" spans="1:34" s="218" customFormat="1" ht="19.2" customHeight="1">
      <c r="A104" s="643"/>
      <c r="B104" s="425" t="s">
        <v>130</v>
      </c>
      <c r="C104" s="223"/>
      <c r="D104" s="82" t="s">
        <v>211</v>
      </c>
      <c r="E104" s="83"/>
      <c r="F104" s="368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7">
        <f t="shared" si="69"/>
        <v>0.76388888888888828</v>
      </c>
      <c r="S104" s="638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616"/>
      <c r="AC104" s="616"/>
      <c r="AD104" s="423"/>
      <c r="AE104" s="423"/>
      <c r="AF104" s="213">
        <f t="shared" si="61"/>
        <v>-340.00000000000091</v>
      </c>
      <c r="AG104" s="214">
        <f t="shared" si="62"/>
        <v>0.76388888888888828</v>
      </c>
      <c r="AH104" s="620"/>
    </row>
    <row r="105" spans="1:34" s="218" customFormat="1" ht="19.2" customHeight="1">
      <c r="A105" s="643"/>
      <c r="B105" s="425" t="s">
        <v>129</v>
      </c>
      <c r="C105" s="223"/>
      <c r="D105" s="82" t="s">
        <v>197</v>
      </c>
      <c r="E105" s="83"/>
      <c r="F105" s="368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7">
        <f t="shared" si="69"/>
        <v>0.92358620689654991</v>
      </c>
      <c r="S105" s="638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616"/>
      <c r="AC105" s="616"/>
      <c r="AD105" s="423"/>
      <c r="AE105" s="423"/>
      <c r="AF105" s="54">
        <f t="shared" si="61"/>
        <v>-114.62068965517506</v>
      </c>
      <c r="AG105" s="424">
        <f t="shared" si="62"/>
        <v>0.92358620689654991</v>
      </c>
      <c r="AH105" s="620"/>
    </row>
    <row r="106" spans="1:34" s="218" customFormat="1" ht="19.2" customHeight="1">
      <c r="A106" s="643"/>
      <c r="B106" s="221">
        <v>0</v>
      </c>
      <c r="C106" s="223"/>
      <c r="D106" s="82"/>
      <c r="E106" s="83"/>
      <c r="F106" s="357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4"/>
      <c r="S106" s="644"/>
      <c r="T106" s="211"/>
      <c r="U106" s="211"/>
      <c r="V106" s="212"/>
      <c r="W106" s="90"/>
      <c r="X106" s="220"/>
      <c r="Y106" s="220"/>
      <c r="Z106" s="217"/>
      <c r="AA106" s="217"/>
      <c r="AB106" s="616"/>
      <c r="AC106" s="616"/>
      <c r="AD106" s="423"/>
      <c r="AE106" s="423"/>
      <c r="AF106" s="54">
        <f t="shared" si="61"/>
        <v>0</v>
      </c>
      <c r="AG106" s="424" t="e">
        <f t="shared" si="62"/>
        <v>#DIV/0!</v>
      </c>
      <c r="AH106" s="620"/>
    </row>
    <row r="107" spans="1:34" s="218" customFormat="1" ht="19.2" customHeight="1">
      <c r="A107" s="643"/>
      <c r="B107" s="221">
        <v>0</v>
      </c>
      <c r="C107" s="223"/>
      <c r="D107" s="82"/>
      <c r="E107" s="83"/>
      <c r="F107" s="357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4"/>
      <c r="S107" s="64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16"/>
      <c r="AC107" s="616"/>
      <c r="AD107" s="423"/>
      <c r="AE107" s="423"/>
      <c r="AF107" s="217"/>
      <c r="AG107" s="424"/>
      <c r="AH107" s="620"/>
    </row>
    <row r="108" spans="1:34" ht="19.2" customHeight="1">
      <c r="A108" s="643"/>
      <c r="B108" s="110">
        <v>0</v>
      </c>
      <c r="C108" s="100" t="s">
        <v>257</v>
      </c>
      <c r="D108" s="617" t="s">
        <v>243</v>
      </c>
      <c r="E108" s="617"/>
      <c r="F108" s="369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63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16"/>
      <c r="AC108" s="616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4">
        <f t="shared" si="62"/>
        <v>0.84463782921218233</v>
      </c>
      <c r="AH108" s="620"/>
    </row>
    <row r="109" spans="1:34" ht="19.2" customHeight="1">
      <c r="A109" s="639" t="s">
        <v>258</v>
      </c>
      <c r="B109" s="425" t="s">
        <v>132</v>
      </c>
      <c r="C109" s="432"/>
      <c r="D109" s="405" t="s">
        <v>79</v>
      </c>
      <c r="E109" s="43"/>
      <c r="F109" s="357">
        <v>56.43</v>
      </c>
      <c r="G109" s="44">
        <v>1005</v>
      </c>
      <c r="H109" s="45">
        <f t="shared" ref="H109:H119" si="75">F109*G109</f>
        <v>56712.15</v>
      </c>
      <c r="I109" s="425"/>
      <c r="J109" s="46">
        <v>18</v>
      </c>
      <c r="K109" s="44">
        <v>1500</v>
      </c>
      <c r="L109" s="47">
        <v>83.333333333333329</v>
      </c>
      <c r="M109" s="437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7">
        <f t="shared" si="74"/>
        <v>0.85531914893617023</v>
      </c>
      <c r="S109" s="642">
        <f>R121</f>
        <v>0.88861796715893093</v>
      </c>
      <c r="T109" s="226">
        <v>0.5</v>
      </c>
      <c r="U109" s="226">
        <v>0.53263888888888888</v>
      </c>
      <c r="V109" s="227">
        <v>5</v>
      </c>
      <c r="W109" s="436">
        <f t="shared" si="70"/>
        <v>46.999999999999993</v>
      </c>
      <c r="X109" s="53"/>
      <c r="Y109" s="53"/>
      <c r="Z109" s="54"/>
      <c r="AA109" s="54"/>
      <c r="AB109" s="616"/>
      <c r="AC109" s="616"/>
      <c r="AD109" s="423"/>
      <c r="AE109" s="423"/>
      <c r="AF109" s="48">
        <f t="shared" si="61"/>
        <v>-217.02127659574467</v>
      </c>
      <c r="AG109" s="125">
        <f t="shared" si="62"/>
        <v>0.85531914893617023</v>
      </c>
      <c r="AH109" s="620">
        <f>AG121</f>
        <v>0.88331837910373168</v>
      </c>
    </row>
    <row r="110" spans="1:34" ht="19.2" customHeight="1">
      <c r="A110" s="640"/>
      <c r="B110" s="425" t="s">
        <v>128</v>
      </c>
      <c r="C110" s="175"/>
      <c r="D110" s="42" t="s">
        <v>59</v>
      </c>
      <c r="E110" s="177"/>
      <c r="F110" s="357">
        <v>59.54</v>
      </c>
      <c r="G110" s="174">
        <v>1538</v>
      </c>
      <c r="H110" s="45">
        <f t="shared" si="75"/>
        <v>91572.52</v>
      </c>
      <c r="I110" s="425"/>
      <c r="J110" s="46">
        <v>18</v>
      </c>
      <c r="K110" s="44">
        <v>1385</v>
      </c>
      <c r="L110" s="47">
        <v>76.944444444444443</v>
      </c>
      <c r="M110" s="437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7">
        <f t="shared" si="74"/>
        <v>0.92539109506618444</v>
      </c>
      <c r="S110" s="631"/>
      <c r="T110" s="226">
        <v>0.53749999999999998</v>
      </c>
      <c r="U110" s="226">
        <v>0.58750000000000002</v>
      </c>
      <c r="V110" s="227">
        <v>7</v>
      </c>
      <c r="W110" s="436">
        <f t="shared" si="70"/>
        <v>72.000000000000057</v>
      </c>
      <c r="X110" s="188"/>
      <c r="Y110" s="188"/>
      <c r="Z110" s="54"/>
      <c r="AA110" s="54"/>
      <c r="AB110" s="616"/>
      <c r="AC110" s="616"/>
      <c r="AD110" s="423"/>
      <c r="AE110" s="423"/>
      <c r="AF110" s="48">
        <f t="shared" si="61"/>
        <v>-103.33333333333439</v>
      </c>
      <c r="AG110" s="125">
        <f t="shared" si="62"/>
        <v>0.92539109506618455</v>
      </c>
      <c r="AH110" s="620"/>
    </row>
    <row r="111" spans="1:34" ht="19.2" customHeight="1">
      <c r="A111" s="640"/>
      <c r="B111" s="425" t="s">
        <v>132</v>
      </c>
      <c r="C111" s="175"/>
      <c r="D111" s="176" t="s">
        <v>175</v>
      </c>
      <c r="E111" s="177"/>
      <c r="F111" s="357">
        <v>50.67</v>
      </c>
      <c r="G111" s="57">
        <v>1716</v>
      </c>
      <c r="H111" s="45">
        <f t="shared" si="75"/>
        <v>86949.72</v>
      </c>
      <c r="I111" s="423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7">
        <f t="shared" si="74"/>
        <v>0.91519999999999924</v>
      </c>
      <c r="S111" s="631"/>
      <c r="T111" s="226">
        <v>0.60347222222222219</v>
      </c>
      <c r="U111" s="226">
        <v>0.65555555555555556</v>
      </c>
      <c r="V111" s="227">
        <v>23</v>
      </c>
      <c r="W111" s="436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616"/>
      <c r="AC111" s="616"/>
      <c r="AD111" s="423">
        <v>1</v>
      </c>
      <c r="AE111" s="423"/>
      <c r="AF111" s="48">
        <f t="shared" si="61"/>
        <v>-127.20000000000118</v>
      </c>
      <c r="AG111" s="125">
        <f t="shared" si="62"/>
        <v>0.91519999999999924</v>
      </c>
      <c r="AH111" s="620"/>
    </row>
    <row r="112" spans="1:34" ht="19.2" customHeight="1">
      <c r="A112" s="640"/>
      <c r="B112" s="425" t="s">
        <v>132</v>
      </c>
      <c r="C112" s="175"/>
      <c r="D112" s="176" t="s">
        <v>202</v>
      </c>
      <c r="E112" s="83"/>
      <c r="F112" s="357">
        <v>53.27</v>
      </c>
      <c r="G112" s="57">
        <v>1703</v>
      </c>
      <c r="H112" s="45">
        <f t="shared" si="75"/>
        <v>90718.810000000012</v>
      </c>
      <c r="I112" s="423"/>
      <c r="J112" s="46">
        <v>16</v>
      </c>
      <c r="K112" s="44">
        <v>1500</v>
      </c>
      <c r="L112" s="47">
        <v>93.75</v>
      </c>
      <c r="M112" s="437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7">
        <f t="shared" si="74"/>
        <v>0.8514999999999997</v>
      </c>
      <c r="S112" s="631"/>
      <c r="T112" s="226">
        <v>0.66041666666666665</v>
      </c>
      <c r="U112" s="226">
        <v>0.71597222222222223</v>
      </c>
      <c r="V112" s="227">
        <v>7</v>
      </c>
      <c r="W112" s="436">
        <f t="shared" si="70"/>
        <v>80.000000000000028</v>
      </c>
      <c r="X112" s="216"/>
      <c r="Y112" s="216"/>
      <c r="Z112" s="54"/>
      <c r="AA112" s="54"/>
      <c r="AB112" s="616"/>
      <c r="AC112" s="616"/>
      <c r="AD112" s="423">
        <v>1</v>
      </c>
      <c r="AE112" s="423"/>
      <c r="AF112" s="48">
        <f t="shared" si="61"/>
        <v>-222.75000000000045</v>
      </c>
      <c r="AG112" s="125">
        <f t="shared" si="62"/>
        <v>0.8514999999999997</v>
      </c>
      <c r="AH112" s="620"/>
    </row>
    <row r="113" spans="1:34" s="218" customFormat="1" ht="19.2" customHeight="1">
      <c r="A113" s="640"/>
      <c r="B113" s="425" t="s">
        <v>131</v>
      </c>
      <c r="C113" s="175"/>
      <c r="D113" s="176" t="s">
        <v>191</v>
      </c>
      <c r="E113" s="83"/>
      <c r="F113" s="357">
        <v>28.57</v>
      </c>
      <c r="G113" s="57">
        <v>1740</v>
      </c>
      <c r="H113" s="45">
        <f t="shared" si="75"/>
        <v>49711.8</v>
      </c>
      <c r="I113" s="423"/>
      <c r="J113" s="46">
        <v>12</v>
      </c>
      <c r="K113" s="44">
        <v>1500</v>
      </c>
      <c r="L113" s="47">
        <v>125</v>
      </c>
      <c r="M113" s="434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7">
        <f t="shared" si="74"/>
        <v>0.9666666666666659</v>
      </c>
      <c r="S113" s="631"/>
      <c r="T113" s="226">
        <v>0.75624999999999998</v>
      </c>
      <c r="U113" s="226">
        <v>0.80625000000000002</v>
      </c>
      <c r="V113" s="227">
        <v>5</v>
      </c>
      <c r="W113" s="436">
        <f t="shared" si="70"/>
        <v>72.000000000000057</v>
      </c>
      <c r="X113" s="216"/>
      <c r="Y113" s="216"/>
      <c r="Z113" s="217"/>
      <c r="AA113" s="217"/>
      <c r="AB113" s="616"/>
      <c r="AC113" s="616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620"/>
    </row>
    <row r="114" spans="1:34" s="218" customFormat="1" ht="19.2" customHeight="1">
      <c r="A114" s="640"/>
      <c r="B114" s="425" t="s">
        <v>131</v>
      </c>
      <c r="C114" s="175"/>
      <c r="D114" s="176" t="s">
        <v>176</v>
      </c>
      <c r="E114" s="43"/>
      <c r="F114" s="357">
        <v>20.420000000000002</v>
      </c>
      <c r="G114" s="44">
        <v>605</v>
      </c>
      <c r="H114" s="45">
        <f t="shared" si="75"/>
        <v>12354.1</v>
      </c>
      <c r="I114" s="423"/>
      <c r="J114" s="46">
        <v>12</v>
      </c>
      <c r="K114" s="44">
        <v>1500</v>
      </c>
      <c r="L114" s="47">
        <v>125</v>
      </c>
      <c r="M114" s="434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7">
        <f t="shared" si="74"/>
        <v>0.89629629629629426</v>
      </c>
      <c r="S114" s="631"/>
      <c r="T114" s="226">
        <v>0.81111111111111112</v>
      </c>
      <c r="U114" s="226">
        <v>0.82986111111111116</v>
      </c>
      <c r="V114" s="227">
        <v>7</v>
      </c>
      <c r="W114" s="436">
        <f t="shared" si="70"/>
        <v>27.000000000000064</v>
      </c>
      <c r="X114" s="216"/>
      <c r="Y114" s="216"/>
      <c r="Z114" s="217"/>
      <c r="AA114" s="217"/>
      <c r="AB114" s="616"/>
      <c r="AC114" s="616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620"/>
    </row>
    <row r="115" spans="1:34" s="218" customFormat="1" ht="19.2" customHeight="1">
      <c r="A115" s="640"/>
      <c r="B115" s="425" t="s">
        <v>130</v>
      </c>
      <c r="C115" s="175"/>
      <c r="D115" s="82" t="s">
        <v>207</v>
      </c>
      <c r="E115" s="83"/>
      <c r="F115" s="357">
        <v>55.51</v>
      </c>
      <c r="G115" s="229">
        <v>312</v>
      </c>
      <c r="H115" s="45">
        <f t="shared" si="75"/>
        <v>17319.12</v>
      </c>
      <c r="I115" s="423"/>
      <c r="J115" s="46">
        <v>12</v>
      </c>
      <c r="K115" s="44">
        <v>1500</v>
      </c>
      <c r="L115" s="47">
        <v>125</v>
      </c>
      <c r="M115" s="434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7">
        <f t="shared" si="74"/>
        <v>0.89142857142857468</v>
      </c>
      <c r="S115" s="631"/>
      <c r="T115" s="226">
        <v>0.83472222222222225</v>
      </c>
      <c r="U115" s="226">
        <v>0.84444444444444444</v>
      </c>
      <c r="V115" s="227">
        <v>7</v>
      </c>
      <c r="W115" s="436">
        <f t="shared" si="70"/>
        <v>13.99999999999995</v>
      </c>
      <c r="X115" s="216"/>
      <c r="Y115" s="216"/>
      <c r="Z115" s="217"/>
      <c r="AA115" s="217"/>
      <c r="AB115" s="616"/>
      <c r="AC115" s="616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620"/>
    </row>
    <row r="116" spans="1:34" s="218" customFormat="1" ht="19.2" customHeight="1">
      <c r="A116" s="640"/>
      <c r="B116" s="425" t="s">
        <v>132</v>
      </c>
      <c r="C116" s="55"/>
      <c r="D116" s="82" t="s">
        <v>142</v>
      </c>
      <c r="E116" s="83"/>
      <c r="F116" s="357">
        <v>44.98</v>
      </c>
      <c r="G116" s="229">
        <v>1188</v>
      </c>
      <c r="H116" s="45">
        <f t="shared" si="75"/>
        <v>53436.24</v>
      </c>
      <c r="I116" s="423"/>
      <c r="J116" s="46">
        <v>19</v>
      </c>
      <c r="K116" s="44">
        <v>1500</v>
      </c>
      <c r="L116" s="47">
        <v>78.94736842105263</v>
      </c>
      <c r="M116" s="434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7">
        <f t="shared" si="74"/>
        <v>0.81931034482758691</v>
      </c>
      <c r="S116" s="631"/>
      <c r="T116" s="226">
        <v>0.85972222222222217</v>
      </c>
      <c r="U116" s="226">
        <v>0.89999999999999991</v>
      </c>
      <c r="V116" s="227">
        <v>22</v>
      </c>
      <c r="W116" s="436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616"/>
      <c r="AC116" s="616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620"/>
    </row>
    <row r="117" spans="1:34" s="218" customFormat="1" ht="19.2" customHeight="1">
      <c r="A117" s="640"/>
      <c r="B117" s="425" t="s">
        <v>132</v>
      </c>
      <c r="C117" s="55"/>
      <c r="D117" s="82" t="s">
        <v>75</v>
      </c>
      <c r="E117" s="83"/>
      <c r="F117" s="357">
        <v>53.68</v>
      </c>
      <c r="G117" s="229">
        <v>997</v>
      </c>
      <c r="H117" s="45">
        <f t="shared" si="75"/>
        <v>53518.96</v>
      </c>
      <c r="I117" s="423"/>
      <c r="J117" s="46">
        <v>20</v>
      </c>
      <c r="K117" s="44">
        <v>1500</v>
      </c>
      <c r="L117" s="47">
        <v>75</v>
      </c>
      <c r="M117" s="434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7">
        <f t="shared" si="74"/>
        <v>0.81387755102040837</v>
      </c>
      <c r="S117" s="631"/>
      <c r="T117" s="226">
        <v>0.90486111111111101</v>
      </c>
      <c r="U117" s="226">
        <v>0.93888888888888877</v>
      </c>
      <c r="V117" s="227">
        <v>7</v>
      </c>
      <c r="W117" s="436">
        <f t="shared" si="70"/>
        <v>48.999999999999986</v>
      </c>
      <c r="X117" s="216"/>
      <c r="Y117" s="216"/>
      <c r="Z117" s="217"/>
      <c r="AA117" s="217"/>
      <c r="AB117" s="616"/>
      <c r="AC117" s="616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620"/>
    </row>
    <row r="118" spans="1:34" s="218" customFormat="1" ht="19.2" customHeight="1">
      <c r="A118" s="640"/>
      <c r="B118" s="425" t="s">
        <v>132</v>
      </c>
      <c r="C118" s="163"/>
      <c r="D118" s="176" t="s">
        <v>81</v>
      </c>
      <c r="E118" s="43"/>
      <c r="F118" s="357">
        <v>55.56</v>
      </c>
      <c r="G118" s="44">
        <v>996</v>
      </c>
      <c r="H118" s="45">
        <f t="shared" si="75"/>
        <v>55337.760000000002</v>
      </c>
      <c r="I118" s="423"/>
      <c r="J118" s="46">
        <v>16</v>
      </c>
      <c r="K118" s="44">
        <v>1440</v>
      </c>
      <c r="L118" s="47">
        <v>90</v>
      </c>
      <c r="M118" s="434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7">
        <f t="shared" si="74"/>
        <v>0.90217391304347816</v>
      </c>
      <c r="S118" s="631"/>
      <c r="T118" s="226">
        <v>0.94374999999999987</v>
      </c>
      <c r="U118" s="226">
        <v>0.97569444444444431</v>
      </c>
      <c r="V118" s="227">
        <v>7</v>
      </c>
      <c r="W118" s="436">
        <f t="shared" si="70"/>
        <v>46</v>
      </c>
      <c r="X118" s="216"/>
      <c r="Y118" s="216"/>
      <c r="Z118" s="217"/>
      <c r="AA118" s="217"/>
      <c r="AB118" s="616"/>
      <c r="AC118" s="616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620"/>
    </row>
    <row r="119" spans="1:34" s="218" customFormat="1" ht="19.2" customHeight="1">
      <c r="A119" s="640"/>
      <c r="B119" s="425">
        <v>0</v>
      </c>
      <c r="C119" s="223"/>
      <c r="D119" s="82"/>
      <c r="E119" s="83"/>
      <c r="F119" s="357" t="s">
        <v>133</v>
      </c>
      <c r="G119" s="229"/>
      <c r="H119" s="45">
        <f t="shared" si="75"/>
        <v>0</v>
      </c>
      <c r="I119" s="423"/>
      <c r="J119" s="178"/>
      <c r="K119" s="231"/>
      <c r="L119" s="47"/>
      <c r="M119" s="434"/>
      <c r="N119" s="179"/>
      <c r="O119" s="224"/>
      <c r="P119" s="165"/>
      <c r="Q119" s="49"/>
      <c r="R119" s="427"/>
      <c r="S119" s="631"/>
      <c r="T119" s="226"/>
      <c r="U119" s="226"/>
      <c r="V119" s="227"/>
      <c r="W119" s="436">
        <f t="shared" si="70"/>
        <v>0</v>
      </c>
      <c r="X119" s="216"/>
      <c r="Y119" s="216"/>
      <c r="Z119" s="217"/>
      <c r="AA119" s="217"/>
      <c r="AB119" s="616"/>
      <c r="AC119" s="616"/>
      <c r="AD119" s="221"/>
      <c r="AE119" s="221"/>
      <c r="AF119" s="48">
        <f t="shared" si="61"/>
        <v>0</v>
      </c>
      <c r="AG119" s="125" t="e">
        <f t="shared" si="62"/>
        <v>#DIV/0!</v>
      </c>
      <c r="AH119" s="620"/>
    </row>
    <row r="120" spans="1:34" s="218" customFormat="1" ht="19.2" customHeight="1">
      <c r="A120" s="640"/>
      <c r="B120" s="425">
        <v>0</v>
      </c>
      <c r="C120" s="223"/>
      <c r="D120" s="82"/>
      <c r="E120" s="83"/>
      <c r="F120" s="364" t="s">
        <v>133</v>
      </c>
      <c r="G120" s="229"/>
      <c r="H120" s="230">
        <f>F120*G120</f>
        <v>0</v>
      </c>
      <c r="I120" s="423"/>
      <c r="J120" s="178"/>
      <c r="K120" s="231"/>
      <c r="L120" s="47"/>
      <c r="M120" s="434"/>
      <c r="N120" s="179"/>
      <c r="O120" s="224"/>
      <c r="P120" s="165"/>
      <c r="Q120" s="49"/>
      <c r="R120" s="427"/>
      <c r="S120" s="631"/>
      <c r="T120" s="226"/>
      <c r="U120" s="226"/>
      <c r="V120" s="227"/>
      <c r="W120" s="436">
        <f t="shared" si="70"/>
        <v>0</v>
      </c>
      <c r="X120" s="216"/>
      <c r="Y120" s="216"/>
      <c r="Z120" s="217"/>
      <c r="AA120" s="217"/>
      <c r="AB120" s="616"/>
      <c r="AC120" s="616"/>
      <c r="AD120" s="221"/>
      <c r="AE120" s="221"/>
      <c r="AF120" s="48">
        <f t="shared" si="61"/>
        <v>0</v>
      </c>
      <c r="AG120" s="125" t="e">
        <f t="shared" si="62"/>
        <v>#DIV/0!</v>
      </c>
      <c r="AH120" s="620"/>
    </row>
    <row r="121" spans="1:34" ht="19.2" customHeight="1">
      <c r="A121" s="641"/>
      <c r="B121" s="121">
        <v>0</v>
      </c>
      <c r="C121" s="100" t="s">
        <v>259</v>
      </c>
      <c r="D121" s="232" t="s">
        <v>243</v>
      </c>
      <c r="E121" s="233"/>
      <c r="F121" s="366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637"/>
      <c r="T121" s="50"/>
      <c r="U121" s="50"/>
      <c r="V121" s="44"/>
      <c r="W121" s="4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16"/>
      <c r="AC121" s="616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620"/>
    </row>
    <row r="122" spans="1:34" ht="19.2" customHeight="1">
      <c r="A122" s="634" t="s">
        <v>260</v>
      </c>
      <c r="B122" s="130" t="s">
        <v>129</v>
      </c>
      <c r="C122" s="163"/>
      <c r="D122" s="176" t="s">
        <v>210</v>
      </c>
      <c r="E122" s="43"/>
      <c r="F122" s="357">
        <v>44.3</v>
      </c>
      <c r="G122" s="44">
        <v>1509.1999999999998</v>
      </c>
      <c r="H122" s="45">
        <f t="shared" ref="H122:H132" si="82">F122*G122</f>
        <v>66857.559999999983</v>
      </c>
      <c r="I122" s="425">
        <v>1</v>
      </c>
      <c r="J122" s="46">
        <v>17</v>
      </c>
      <c r="K122" s="44">
        <v>1636</v>
      </c>
      <c r="L122" s="47">
        <v>96.235294117647058</v>
      </c>
      <c r="M122" s="437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635">
        <f>R134</f>
        <v>0.93296594026666235</v>
      </c>
      <c r="T122" s="50">
        <v>0.5</v>
      </c>
      <c r="U122" s="50">
        <v>0.54374999999999996</v>
      </c>
      <c r="V122" s="227">
        <v>5</v>
      </c>
      <c r="W122" s="436">
        <f t="shared" si="70"/>
        <v>62.999999999999936</v>
      </c>
      <c r="X122" s="53"/>
      <c r="Y122" s="53"/>
      <c r="Z122" s="54"/>
      <c r="AA122" s="54"/>
      <c r="AB122" s="616"/>
      <c r="AC122" s="616"/>
      <c r="AD122" s="423"/>
      <c r="AE122" s="423"/>
      <c r="AF122" s="48">
        <f t="shared" si="61"/>
        <v>-198.66666666666538</v>
      </c>
      <c r="AG122" s="427">
        <f t="shared" si="62"/>
        <v>0.87856560717196497</v>
      </c>
      <c r="AH122" s="637">
        <f>AG134</f>
        <v>0.91697719351154827</v>
      </c>
    </row>
    <row r="123" spans="1:34" ht="19.2" customHeight="1">
      <c r="A123" s="634"/>
      <c r="B123" s="130" t="s">
        <v>128</v>
      </c>
      <c r="C123" s="97"/>
      <c r="D123" s="42" t="s">
        <v>83</v>
      </c>
      <c r="E123" s="177"/>
      <c r="F123" s="357">
        <v>58.67</v>
      </c>
      <c r="G123" s="44">
        <v>1897</v>
      </c>
      <c r="H123" s="45">
        <f t="shared" si="82"/>
        <v>111296.99</v>
      </c>
      <c r="I123" s="423"/>
      <c r="J123" s="46">
        <v>19</v>
      </c>
      <c r="K123" s="44">
        <v>1440</v>
      </c>
      <c r="L123" s="47">
        <v>75.78947368421052</v>
      </c>
      <c r="M123" s="434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4">
        <f t="shared" si="81"/>
        <v>0.94097222222222199</v>
      </c>
      <c r="S123" s="635"/>
      <c r="T123" s="50">
        <v>0.54861111111111105</v>
      </c>
      <c r="U123" s="50">
        <v>0.6069444444444444</v>
      </c>
      <c r="V123" s="227">
        <v>7</v>
      </c>
      <c r="W123" s="436">
        <f t="shared" si="70"/>
        <v>84.000000000000028</v>
      </c>
      <c r="X123" s="53"/>
      <c r="Y123" s="53"/>
      <c r="Z123" s="54"/>
      <c r="AA123" s="54"/>
      <c r="AB123" s="616"/>
      <c r="AC123" s="616"/>
      <c r="AD123" s="423"/>
      <c r="AE123" s="423"/>
      <c r="AF123" s="48">
        <f t="shared" si="61"/>
        <v>-85.000000000000455</v>
      </c>
      <c r="AG123" s="427">
        <f t="shared" si="62"/>
        <v>0.94097222222222188</v>
      </c>
      <c r="AH123" s="635"/>
    </row>
    <row r="124" spans="1:34" ht="19.2" customHeight="1">
      <c r="A124" s="634"/>
      <c r="B124" s="130" t="s">
        <v>128</v>
      </c>
      <c r="C124" s="175"/>
      <c r="D124" s="176" t="s">
        <v>82</v>
      </c>
      <c r="E124" s="177"/>
      <c r="F124" s="357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7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636"/>
      <c r="T124" s="50">
        <v>0.62291666666666656</v>
      </c>
      <c r="U124" s="50">
        <v>0.70277777777777772</v>
      </c>
      <c r="V124" s="227">
        <v>23</v>
      </c>
      <c r="W124" s="436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616"/>
      <c r="AC124" s="616"/>
      <c r="AD124" s="423"/>
      <c r="AE124" s="423"/>
      <c r="AF124" s="108">
        <f t="shared" si="61"/>
        <v>-84.826086956522431</v>
      </c>
      <c r="AG124" s="109">
        <f t="shared" si="62"/>
        <v>0.93875372782922573</v>
      </c>
      <c r="AH124" s="635"/>
    </row>
    <row r="125" spans="1:34" ht="19.2" customHeight="1">
      <c r="A125" s="634"/>
      <c r="B125" s="130" t="s">
        <v>132</v>
      </c>
      <c r="C125" s="97"/>
      <c r="D125" s="42" t="s">
        <v>84</v>
      </c>
      <c r="E125" s="43"/>
      <c r="F125" s="357">
        <v>56.79</v>
      </c>
      <c r="G125" s="44">
        <v>1448</v>
      </c>
      <c r="H125" s="45">
        <f t="shared" si="82"/>
        <v>82231.92</v>
      </c>
      <c r="I125" s="425"/>
      <c r="J125" s="46">
        <v>18</v>
      </c>
      <c r="K125" s="44">
        <v>1636</v>
      </c>
      <c r="L125" s="47">
        <v>90.888888888888886</v>
      </c>
      <c r="M125" s="437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636"/>
      <c r="T125" s="50">
        <v>0.74305555555555547</v>
      </c>
      <c r="U125" s="50">
        <v>0.7847222222222221</v>
      </c>
      <c r="V125" s="227">
        <v>5</v>
      </c>
      <c r="W125" s="436">
        <f t="shared" si="70"/>
        <v>59.999999999999943</v>
      </c>
      <c r="X125" s="64"/>
      <c r="Y125" s="64"/>
      <c r="Z125" s="54"/>
      <c r="AA125" s="54"/>
      <c r="AB125" s="616"/>
      <c r="AC125" s="616"/>
      <c r="AD125" s="423"/>
      <c r="AE125" s="423"/>
      <c r="AF125" s="48">
        <f t="shared" si="61"/>
        <v>-187.99999999999864</v>
      </c>
      <c r="AG125" s="427">
        <f t="shared" si="62"/>
        <v>0.885085574572128</v>
      </c>
      <c r="AH125" s="638"/>
    </row>
    <row r="126" spans="1:34" ht="19.2" customHeight="1">
      <c r="A126" s="634"/>
      <c r="B126" s="130" t="s">
        <v>132</v>
      </c>
      <c r="C126" s="423"/>
      <c r="D126" s="406" t="s">
        <v>85</v>
      </c>
      <c r="E126" s="177"/>
      <c r="F126" s="357">
        <v>56.87</v>
      </c>
      <c r="G126" s="57">
        <v>1193</v>
      </c>
      <c r="H126" s="45">
        <f t="shared" si="82"/>
        <v>67845.91</v>
      </c>
      <c r="I126" s="423"/>
      <c r="J126" s="46">
        <v>18</v>
      </c>
      <c r="K126" s="44">
        <v>1636</v>
      </c>
      <c r="L126" s="47">
        <v>90.888888888888886</v>
      </c>
      <c r="M126" s="434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4">
        <f t="shared" si="81"/>
        <v>0.89291951499426203</v>
      </c>
      <c r="S126" s="636"/>
      <c r="T126" s="50">
        <v>0.78958333333333319</v>
      </c>
      <c r="U126" s="50">
        <v>0.82361111111111096</v>
      </c>
      <c r="V126" s="227">
        <v>7</v>
      </c>
      <c r="W126" s="436">
        <f t="shared" si="70"/>
        <v>48.999999999999986</v>
      </c>
      <c r="X126" s="64"/>
      <c r="Y126" s="64"/>
      <c r="Z126" s="54"/>
      <c r="AA126" s="54"/>
      <c r="AB126" s="616"/>
      <c r="AC126" s="616"/>
      <c r="AD126" s="423"/>
      <c r="AE126" s="423">
        <v>1</v>
      </c>
      <c r="AF126" s="108">
        <f t="shared" si="61"/>
        <v>-175.18367346938749</v>
      </c>
      <c r="AG126" s="109">
        <f t="shared" si="62"/>
        <v>0.89291951499426192</v>
      </c>
      <c r="AH126" s="638"/>
    </row>
    <row r="127" spans="1:34" ht="19.2" customHeight="1">
      <c r="A127" s="634"/>
      <c r="B127" s="130" t="s">
        <v>132</v>
      </c>
      <c r="C127" s="223"/>
      <c r="D127" s="407" t="s">
        <v>86</v>
      </c>
      <c r="E127" s="83"/>
      <c r="F127" s="357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7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4">
        <f t="shared" si="81"/>
        <v>0.94358974358974468</v>
      </c>
      <c r="S127" s="636"/>
      <c r="T127" s="50">
        <v>0.82847222222222205</v>
      </c>
      <c r="U127" s="50">
        <v>0.87361111111111089</v>
      </c>
      <c r="V127" s="425">
        <v>7</v>
      </c>
      <c r="W127" s="436">
        <f t="shared" si="70"/>
        <v>64.999999999999929</v>
      </c>
      <c r="X127" s="64"/>
      <c r="Y127" s="64"/>
      <c r="Z127" s="54"/>
      <c r="AA127" s="54"/>
      <c r="AB127" s="616"/>
      <c r="AC127" s="616"/>
      <c r="AD127" s="423"/>
      <c r="AE127" s="423"/>
      <c r="AF127" s="108">
        <f t="shared" si="61"/>
        <v>-81.230769230767692</v>
      </c>
      <c r="AG127" s="109">
        <f t="shared" si="62"/>
        <v>0.94358974358974468</v>
      </c>
      <c r="AH127" s="638"/>
    </row>
    <row r="128" spans="1:34" ht="19.2" customHeight="1">
      <c r="A128" s="634"/>
      <c r="B128" s="130" t="s">
        <v>132</v>
      </c>
      <c r="C128" s="157"/>
      <c r="D128" s="59" t="s">
        <v>141</v>
      </c>
      <c r="E128" s="83"/>
      <c r="F128" s="357">
        <v>50.67</v>
      </c>
      <c r="G128" s="57">
        <v>1439</v>
      </c>
      <c r="H128" s="45">
        <f t="shared" si="82"/>
        <v>72914.13</v>
      </c>
      <c r="I128" s="42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4">
        <f t="shared" si="81"/>
        <v>0.94360655737705001</v>
      </c>
      <c r="S128" s="636"/>
      <c r="T128" s="50">
        <v>0.88958333333333317</v>
      </c>
      <c r="U128" s="50">
        <v>0.93194444444444424</v>
      </c>
      <c r="V128" s="425">
        <v>23</v>
      </c>
      <c r="W128" s="436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616"/>
      <c r="AC128" s="616"/>
      <c r="AD128" s="423"/>
      <c r="AE128" s="423"/>
      <c r="AF128" s="48">
        <f t="shared" si="61"/>
        <v>-84.590163934424936</v>
      </c>
      <c r="AG128" s="427">
        <f t="shared" si="62"/>
        <v>0.94360655737705001</v>
      </c>
      <c r="AH128" s="638"/>
    </row>
    <row r="129" spans="1:34" ht="19.2" customHeight="1">
      <c r="A129" s="634"/>
      <c r="B129" s="130" t="s">
        <v>132</v>
      </c>
      <c r="C129" s="157"/>
      <c r="D129" s="59" t="s">
        <v>199</v>
      </c>
      <c r="E129" s="60"/>
      <c r="F129" s="357">
        <v>58.17</v>
      </c>
      <c r="G129" s="57">
        <v>1687</v>
      </c>
      <c r="H129" s="45">
        <f t="shared" si="82"/>
        <v>98132.790000000008</v>
      </c>
      <c r="I129" s="423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4">
        <f t="shared" si="81"/>
        <v>0.92489035087718841</v>
      </c>
      <c r="S129" s="636"/>
      <c r="T129" s="50">
        <v>0.93680555555555534</v>
      </c>
      <c r="U129" s="50">
        <v>0.98958333333333337</v>
      </c>
      <c r="V129" s="425">
        <v>7</v>
      </c>
      <c r="W129" s="436">
        <f t="shared" si="70"/>
        <v>76.000000000000369</v>
      </c>
      <c r="X129" s="64"/>
      <c r="Y129" s="64"/>
      <c r="Z129" s="54"/>
      <c r="AA129" s="54"/>
      <c r="AB129" s="616"/>
      <c r="AC129" s="616"/>
      <c r="AD129" s="423"/>
      <c r="AE129" s="423"/>
      <c r="AF129" s="108">
        <f t="shared" si="61"/>
        <v>-108.15789473684868</v>
      </c>
      <c r="AG129" s="109">
        <f t="shared" si="62"/>
        <v>0.92489035087718841</v>
      </c>
      <c r="AH129" s="638"/>
    </row>
    <row r="130" spans="1:34" ht="19.2" customHeight="1">
      <c r="A130" s="634"/>
      <c r="B130" s="200">
        <v>0</v>
      </c>
      <c r="C130" s="157"/>
      <c r="D130" s="59"/>
      <c r="E130" s="60"/>
      <c r="F130" s="357" t="s">
        <v>133</v>
      </c>
      <c r="G130" s="57"/>
      <c r="H130" s="45">
        <f t="shared" si="82"/>
        <v>0</v>
      </c>
      <c r="I130" s="423"/>
      <c r="J130" s="46"/>
      <c r="K130" s="44"/>
      <c r="L130" s="47"/>
      <c r="M130" s="434"/>
      <c r="N130" s="57"/>
      <c r="O130" s="86"/>
      <c r="P130" s="54"/>
      <c r="Q130" s="88"/>
      <c r="R130" s="424"/>
      <c r="S130" s="636"/>
      <c r="T130" s="50"/>
      <c r="U130" s="50"/>
      <c r="V130" s="425"/>
      <c r="W130" s="436">
        <f t="shared" si="70"/>
        <v>0</v>
      </c>
      <c r="X130" s="64"/>
      <c r="Y130" s="64"/>
      <c r="Z130" s="54"/>
      <c r="AA130" s="54"/>
      <c r="AB130" s="616"/>
      <c r="AC130" s="616"/>
      <c r="AD130" s="423"/>
      <c r="AE130" s="423"/>
      <c r="AF130" s="108">
        <f t="shared" si="61"/>
        <v>0</v>
      </c>
      <c r="AG130" s="109" t="e">
        <f t="shared" si="62"/>
        <v>#DIV/0!</v>
      </c>
      <c r="AH130" s="638"/>
    </row>
    <row r="131" spans="1:34" ht="19.2" customHeight="1">
      <c r="A131" s="634"/>
      <c r="B131" s="200">
        <v>0</v>
      </c>
      <c r="C131" s="157"/>
      <c r="D131" s="59"/>
      <c r="E131" s="83"/>
      <c r="F131" s="357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4"/>
      <c r="S131" s="636"/>
      <c r="T131" s="50"/>
      <c r="U131" s="50"/>
      <c r="V131" s="425"/>
      <c r="W131" s="436">
        <f t="shared" si="70"/>
        <v>0</v>
      </c>
      <c r="X131" s="64"/>
      <c r="Y131" s="64"/>
      <c r="Z131" s="54"/>
      <c r="AA131" s="54"/>
      <c r="AB131" s="616"/>
      <c r="AC131" s="616"/>
      <c r="AD131" s="423"/>
      <c r="AE131" s="423"/>
      <c r="AF131" s="48">
        <f t="shared" si="61"/>
        <v>0</v>
      </c>
      <c r="AG131" s="427" t="e">
        <f t="shared" si="62"/>
        <v>#DIV/0!</v>
      </c>
      <c r="AH131" s="638"/>
    </row>
    <row r="132" spans="1:34" ht="19.2" customHeight="1">
      <c r="A132" s="634"/>
      <c r="B132" s="200">
        <v>0</v>
      </c>
      <c r="C132" s="157"/>
      <c r="D132" s="59"/>
      <c r="E132" s="60"/>
      <c r="F132" s="357" t="s">
        <v>133</v>
      </c>
      <c r="G132" s="57"/>
      <c r="H132" s="45">
        <f t="shared" si="82"/>
        <v>0</v>
      </c>
      <c r="I132" s="423"/>
      <c r="J132" s="87"/>
      <c r="K132" s="57"/>
      <c r="L132" s="86"/>
      <c r="M132" s="434"/>
      <c r="N132" s="57"/>
      <c r="O132" s="86"/>
      <c r="P132" s="54"/>
      <c r="Q132" s="88"/>
      <c r="R132" s="424"/>
      <c r="S132" s="636"/>
      <c r="T132" s="50"/>
      <c r="U132" s="50"/>
      <c r="V132" s="425"/>
      <c r="W132" s="436">
        <f t="shared" si="70"/>
        <v>0</v>
      </c>
      <c r="X132" s="64"/>
      <c r="Y132" s="64"/>
      <c r="Z132" s="54"/>
      <c r="AA132" s="54"/>
      <c r="AB132" s="616"/>
      <c r="AC132" s="616"/>
      <c r="AD132" s="423"/>
      <c r="AE132" s="423"/>
      <c r="AF132" s="65"/>
      <c r="AG132" s="428"/>
      <c r="AH132" s="638"/>
    </row>
    <row r="133" spans="1:34" ht="19.2" customHeight="1">
      <c r="A133" s="634"/>
      <c r="B133" s="200">
        <v>0</v>
      </c>
      <c r="C133" s="157"/>
      <c r="D133" s="59"/>
      <c r="E133" s="60"/>
      <c r="F133" s="370" t="s">
        <v>133</v>
      </c>
      <c r="G133" s="57"/>
      <c r="H133" s="240">
        <f>F133*G133</f>
        <v>0</v>
      </c>
      <c r="I133" s="423"/>
      <c r="J133" s="87"/>
      <c r="K133" s="57"/>
      <c r="L133" s="86"/>
      <c r="M133" s="434"/>
      <c r="N133" s="57"/>
      <c r="O133" s="86"/>
      <c r="P133" s="54"/>
      <c r="Q133" s="88"/>
      <c r="R133" s="424"/>
      <c r="S133" s="636"/>
      <c r="T133" s="50"/>
      <c r="U133" s="50"/>
      <c r="V133" s="425"/>
      <c r="W133" s="239">
        <f t="shared" si="70"/>
        <v>0</v>
      </c>
      <c r="X133" s="64"/>
      <c r="Y133" s="64"/>
      <c r="Z133" s="54"/>
      <c r="AA133" s="54"/>
      <c r="AB133" s="616"/>
      <c r="AC133" s="616"/>
      <c r="AD133" s="423"/>
      <c r="AE133" s="423"/>
      <c r="AF133" s="65"/>
      <c r="AG133" s="428"/>
      <c r="AH133" s="638"/>
    </row>
    <row r="134" spans="1:34" ht="19.2" customHeight="1">
      <c r="A134" s="634"/>
      <c r="B134" s="168">
        <v>0</v>
      </c>
      <c r="C134" s="100" t="s">
        <v>261</v>
      </c>
      <c r="D134" s="617" t="s">
        <v>243</v>
      </c>
      <c r="E134" s="617"/>
      <c r="F134" s="367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635"/>
      <c r="T134" s="50"/>
      <c r="U134" s="50"/>
      <c r="V134" s="425"/>
      <c r="W134" s="425"/>
      <c r="X134" s="53"/>
      <c r="Y134" s="53"/>
      <c r="Z134" s="106">
        <f>SUM(Z122:Z133)</f>
        <v>0</v>
      </c>
      <c r="AA134" s="106">
        <f>SUM(AA122:AA133)</f>
        <v>0</v>
      </c>
      <c r="AB134" s="616"/>
      <c r="AC134" s="616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7">
        <f t="shared" si="62"/>
        <v>0.91697719351154827</v>
      </c>
      <c r="AH134" s="638"/>
    </row>
    <row r="135" spans="1:34" ht="19.2" customHeight="1">
      <c r="A135" s="627" t="s">
        <v>262</v>
      </c>
      <c r="B135" s="425" t="s">
        <v>132</v>
      </c>
      <c r="C135" s="423"/>
      <c r="D135" s="82" t="s">
        <v>144</v>
      </c>
      <c r="E135" s="83"/>
      <c r="F135" s="357">
        <v>54.09</v>
      </c>
      <c r="G135" s="57">
        <v>2320.5</v>
      </c>
      <c r="H135" s="245">
        <f t="shared" ref="H135:H146" si="89">F135*G135</f>
        <v>125515.845</v>
      </c>
      <c r="I135" s="423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4">
        <f t="shared" si="88"/>
        <v>0.90116504854368928</v>
      </c>
      <c r="S135" s="631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616"/>
      <c r="AC135" s="616"/>
      <c r="AD135" s="423">
        <v>1</v>
      </c>
      <c r="AE135" s="423"/>
      <c r="AF135" s="116">
        <f t="shared" si="61"/>
        <v>-148.25242718446634</v>
      </c>
      <c r="AG135" s="120">
        <f t="shared" si="62"/>
        <v>0.90116504854368906</v>
      </c>
      <c r="AH135" s="620">
        <f>AG147</f>
        <v>0.88832194444068535</v>
      </c>
    </row>
    <row r="136" spans="1:34" ht="19.2" customHeight="1">
      <c r="A136" s="628"/>
      <c r="B136" s="425" t="s">
        <v>132</v>
      </c>
      <c r="C136" s="423"/>
      <c r="D136" s="82" t="s">
        <v>78</v>
      </c>
      <c r="E136" s="83"/>
      <c r="F136" s="357">
        <v>57.734999999999999</v>
      </c>
      <c r="G136" s="57">
        <v>1833</v>
      </c>
      <c r="H136" s="84">
        <f t="shared" si="89"/>
        <v>105828.255</v>
      </c>
      <c r="I136" s="423"/>
      <c r="J136" s="46">
        <v>16</v>
      </c>
      <c r="K136" s="57">
        <v>1565</v>
      </c>
      <c r="L136" s="86">
        <v>97.8125</v>
      </c>
      <c r="M136" s="434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4">
        <f t="shared" si="88"/>
        <v>0.84668386004080187</v>
      </c>
      <c r="S136" s="631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616"/>
      <c r="AC136" s="616"/>
      <c r="AD136" s="423"/>
      <c r="AE136" s="423"/>
      <c r="AF136" s="48">
        <f t="shared" si="61"/>
        <v>-239.93975903614501</v>
      </c>
      <c r="AG136" s="125">
        <f t="shared" si="62"/>
        <v>0.84668386004080187</v>
      </c>
      <c r="AH136" s="620"/>
    </row>
    <row r="137" spans="1:34" ht="19.2" customHeight="1">
      <c r="A137" s="628"/>
      <c r="B137" s="425" t="s">
        <v>129</v>
      </c>
      <c r="C137" s="423"/>
      <c r="D137" s="82" t="s">
        <v>186</v>
      </c>
      <c r="E137" s="83"/>
      <c r="F137" s="357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4">
        <f t="shared" si="88"/>
        <v>0.8480522875816987</v>
      </c>
      <c r="S137" s="631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616"/>
      <c r="AC137" s="616"/>
      <c r="AD137" s="423"/>
      <c r="AE137" s="423"/>
      <c r="AF137" s="48">
        <f t="shared" si="61"/>
        <v>-148.41666666666765</v>
      </c>
      <c r="AG137" s="125">
        <f t="shared" si="62"/>
        <v>0.90105555555555494</v>
      </c>
      <c r="AH137" s="620"/>
    </row>
    <row r="138" spans="1:34" ht="19.2" customHeight="1">
      <c r="A138" s="628"/>
      <c r="B138" s="425" t="s">
        <v>130</v>
      </c>
      <c r="C138" s="223"/>
      <c r="D138" s="82" t="s">
        <v>61</v>
      </c>
      <c r="E138" s="83"/>
      <c r="F138" s="357">
        <v>43.14</v>
      </c>
      <c r="G138" s="57">
        <v>733.59999999999991</v>
      </c>
      <c r="H138" s="84">
        <f t="shared" si="89"/>
        <v>31647.503999999997</v>
      </c>
      <c r="I138" s="423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9">
        <f t="shared" si="88"/>
        <v>0.95520833333333188</v>
      </c>
      <c r="S138" s="631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616"/>
      <c r="AC138" s="616"/>
      <c r="AD138" s="423"/>
      <c r="AE138" s="423"/>
      <c r="AF138" s="48">
        <f t="shared" si="61"/>
        <v>-64.500000000002046</v>
      </c>
      <c r="AG138" s="125">
        <f t="shared" si="62"/>
        <v>0.95520833333333188</v>
      </c>
      <c r="AH138" s="620"/>
    </row>
    <row r="139" spans="1:34" ht="19.2" customHeight="1">
      <c r="A139" s="628"/>
      <c r="B139" s="425" t="s">
        <v>128</v>
      </c>
      <c r="C139" s="432"/>
      <c r="D139" s="42" t="s">
        <v>71</v>
      </c>
      <c r="E139" s="43"/>
      <c r="F139" s="357">
        <v>47.65</v>
      </c>
      <c r="G139" s="57">
        <v>741</v>
      </c>
      <c r="H139" s="84">
        <f t="shared" si="89"/>
        <v>35308.65</v>
      </c>
      <c r="I139" s="423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4">
        <f t="shared" si="88"/>
        <v>0.83445945945945876</v>
      </c>
      <c r="S139" s="631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616"/>
      <c r="AC139" s="616"/>
      <c r="AD139" s="423"/>
      <c r="AE139" s="423"/>
      <c r="AF139" s="48">
        <f t="shared" si="61"/>
        <v>-238.37837837837947</v>
      </c>
      <c r="AG139" s="125">
        <f t="shared" si="62"/>
        <v>0.83445945945945865</v>
      </c>
      <c r="AH139" s="620"/>
    </row>
    <row r="140" spans="1:34" ht="19.2" customHeight="1">
      <c r="A140" s="629"/>
      <c r="B140" s="425" t="s">
        <v>132</v>
      </c>
      <c r="C140" s="432"/>
      <c r="D140" s="251" t="s">
        <v>88</v>
      </c>
      <c r="E140" s="83"/>
      <c r="F140" s="357">
        <v>50.98</v>
      </c>
      <c r="G140" s="57">
        <v>1844</v>
      </c>
      <c r="H140" s="84">
        <f t="shared" si="89"/>
        <v>94007.12</v>
      </c>
      <c r="I140" s="423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4">
        <f t="shared" si="88"/>
        <v>0.90392156862745088</v>
      </c>
      <c r="S140" s="632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616"/>
      <c r="AC140" s="616"/>
      <c r="AD140" s="423">
        <v>1</v>
      </c>
      <c r="AE140" s="423"/>
      <c r="AF140" s="48">
        <f t="shared" si="61"/>
        <v>-138.35294117647072</v>
      </c>
      <c r="AG140" s="125">
        <f t="shared" si="62"/>
        <v>0.90392156862745088</v>
      </c>
      <c r="AH140" s="620"/>
    </row>
    <row r="141" spans="1:34" ht="19.2" customHeight="1">
      <c r="A141" s="629"/>
      <c r="B141" s="425" t="s">
        <v>132</v>
      </c>
      <c r="C141" s="432"/>
      <c r="D141" s="42" t="s">
        <v>87</v>
      </c>
      <c r="E141" s="254"/>
      <c r="F141" s="357">
        <v>50.67</v>
      </c>
      <c r="G141" s="57">
        <v>997</v>
      </c>
      <c r="H141" s="84">
        <f t="shared" si="89"/>
        <v>50517.990000000005</v>
      </c>
      <c r="I141" s="423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4">
        <f t="shared" si="88"/>
        <v>0.88622222222222213</v>
      </c>
      <c r="S141" s="632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616"/>
      <c r="AC141" s="616"/>
      <c r="AD141" s="423"/>
      <c r="AE141" s="423"/>
      <c r="AF141" s="48">
        <f t="shared" si="61"/>
        <v>-170.66666666666674</v>
      </c>
      <c r="AG141" s="125">
        <f t="shared" si="62"/>
        <v>0.88622222222222213</v>
      </c>
      <c r="AH141" s="620"/>
    </row>
    <row r="142" spans="1:34" ht="19.2" customHeight="1">
      <c r="A142" s="629"/>
      <c r="B142" s="425" t="s">
        <v>132</v>
      </c>
      <c r="C142" s="432"/>
      <c r="D142" s="42" t="s">
        <v>89</v>
      </c>
      <c r="E142" s="254"/>
      <c r="F142" s="357">
        <v>50.92</v>
      </c>
      <c r="G142" s="57">
        <v>1903</v>
      </c>
      <c r="H142" s="84">
        <f t="shared" si="89"/>
        <v>96900.760000000009</v>
      </c>
      <c r="I142" s="423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4">
        <f t="shared" si="88"/>
        <v>0.89091760299625489</v>
      </c>
      <c r="S142" s="632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616"/>
      <c r="AC142" s="616"/>
      <c r="AD142" s="423"/>
      <c r="AE142" s="423"/>
      <c r="AF142" s="48">
        <f t="shared" si="61"/>
        <v>-157.0786516853932</v>
      </c>
      <c r="AG142" s="125">
        <f t="shared" si="62"/>
        <v>0.89091760299625478</v>
      </c>
      <c r="AH142" s="620"/>
    </row>
    <row r="143" spans="1:34" ht="19.2" customHeight="1">
      <c r="A143" s="629"/>
      <c r="B143" s="425" t="s">
        <v>132</v>
      </c>
      <c r="C143" s="255"/>
      <c r="D143" s="82" t="s">
        <v>187</v>
      </c>
      <c r="E143" s="83"/>
      <c r="F143" s="357">
        <v>52.86</v>
      </c>
      <c r="G143" s="57">
        <v>986</v>
      </c>
      <c r="H143" s="84">
        <f t="shared" si="89"/>
        <v>52119.96</v>
      </c>
      <c r="I143" s="423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4">
        <f t="shared" si="88"/>
        <v>0.89311594202898559</v>
      </c>
      <c r="S143" s="632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616"/>
      <c r="AC143" s="616"/>
      <c r="AD143" s="423"/>
      <c r="AE143" s="423"/>
      <c r="AF143" s="48">
        <f t="shared" si="61"/>
        <v>-153.91304347826076</v>
      </c>
      <c r="AG143" s="125">
        <f t="shared" si="62"/>
        <v>0.89311594202898559</v>
      </c>
      <c r="AH143" s="620"/>
    </row>
    <row r="144" spans="1:34" ht="19.2" customHeight="1">
      <c r="A144" s="629"/>
      <c r="B144" s="425" t="s">
        <v>132</v>
      </c>
      <c r="C144" s="432"/>
      <c r="D144" s="42" t="s">
        <v>90</v>
      </c>
      <c r="E144" s="254"/>
      <c r="F144" s="357">
        <v>50.67</v>
      </c>
      <c r="G144" s="57">
        <v>922</v>
      </c>
      <c r="H144" s="84">
        <f t="shared" si="89"/>
        <v>46717.74</v>
      </c>
      <c r="I144" s="423"/>
      <c r="J144" s="46">
        <v>17</v>
      </c>
      <c r="K144" s="44">
        <v>1440</v>
      </c>
      <c r="L144" s="47">
        <v>84.705882352941174</v>
      </c>
      <c r="M144" s="434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4">
        <f t="shared" si="88"/>
        <v>0.87310606060606055</v>
      </c>
      <c r="S144" s="632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616"/>
      <c r="AC144" s="616"/>
      <c r="AD144" s="423"/>
      <c r="AE144" s="423"/>
      <c r="AF144" s="48">
        <f t="shared" si="61"/>
        <v>-182.72727272727275</v>
      </c>
      <c r="AG144" s="125">
        <f t="shared" si="62"/>
        <v>0.87310606060606055</v>
      </c>
      <c r="AH144" s="620"/>
    </row>
    <row r="145" spans="1:34" ht="19.2" customHeight="1">
      <c r="A145" s="629"/>
      <c r="B145" s="425">
        <v>0</v>
      </c>
      <c r="C145" s="432"/>
      <c r="D145" s="42"/>
      <c r="E145" s="254"/>
      <c r="F145" s="357" t="s">
        <v>133</v>
      </c>
      <c r="G145" s="57"/>
      <c r="H145" s="84">
        <f t="shared" si="89"/>
        <v>0</v>
      </c>
      <c r="I145" s="423"/>
      <c r="J145" s="87"/>
      <c r="K145" s="57"/>
      <c r="L145" s="86"/>
      <c r="M145" s="434"/>
      <c r="N145" s="57"/>
      <c r="O145" s="86"/>
      <c r="P145" s="54"/>
      <c r="Q145" s="88"/>
      <c r="R145" s="424"/>
      <c r="S145" s="63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16"/>
      <c r="AC145" s="616"/>
      <c r="AD145" s="423"/>
      <c r="AE145" s="423"/>
      <c r="AF145" s="48">
        <f t="shared" si="61"/>
        <v>0</v>
      </c>
      <c r="AG145" s="125" t="e">
        <f t="shared" si="62"/>
        <v>#DIV/0!</v>
      </c>
      <c r="AH145" s="620"/>
    </row>
    <row r="146" spans="1:34" ht="19.2" customHeight="1">
      <c r="A146" s="629"/>
      <c r="B146" s="439">
        <v>0</v>
      </c>
      <c r="C146" s="255"/>
      <c r="D146" s="256"/>
      <c r="E146" s="254"/>
      <c r="F146" s="357" t="s">
        <v>133</v>
      </c>
      <c r="G146" s="57"/>
      <c r="H146" s="84">
        <f t="shared" si="89"/>
        <v>0</v>
      </c>
      <c r="I146" s="423"/>
      <c r="J146" s="87"/>
      <c r="K146" s="57"/>
      <c r="L146" s="86"/>
      <c r="M146" s="434"/>
      <c r="N146" s="57"/>
      <c r="O146" s="86"/>
      <c r="P146" s="54"/>
      <c r="Q146" s="88"/>
      <c r="R146" s="424"/>
      <c r="S146" s="63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16"/>
      <c r="AC146" s="616"/>
      <c r="AD146" s="423"/>
      <c r="AE146" s="423"/>
      <c r="AF146" s="54"/>
      <c r="AG146" s="424"/>
      <c r="AH146" s="620"/>
    </row>
    <row r="147" spans="1:34" ht="19.2" customHeight="1">
      <c r="A147" s="630"/>
      <c r="B147" s="257">
        <v>0</v>
      </c>
      <c r="C147" s="100" t="s">
        <v>263</v>
      </c>
      <c r="D147" s="617" t="s">
        <v>243</v>
      </c>
      <c r="E147" s="617"/>
      <c r="F147" s="371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633"/>
      <c r="T147" s="63"/>
      <c r="U147" s="63"/>
      <c r="V147" s="55"/>
      <c r="W147" s="4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16"/>
      <c r="AC147" s="616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620"/>
    </row>
    <row r="148" spans="1:34" ht="19.2" customHeight="1">
      <c r="A148" s="623" t="s">
        <v>264</v>
      </c>
      <c r="B148" s="423" t="s">
        <v>130</v>
      </c>
      <c r="C148" s="121"/>
      <c r="D148" s="173" t="s">
        <v>143</v>
      </c>
      <c r="E148" s="43"/>
      <c r="F148" s="364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7">
        <f t="shared" si="96"/>
        <v>0.73390909090909184</v>
      </c>
      <c r="S148" s="624">
        <f>R160</f>
        <v>0.8079109061489026</v>
      </c>
      <c r="T148" s="246">
        <v>0.5</v>
      </c>
      <c r="U148" s="50">
        <v>0.54583333333333328</v>
      </c>
      <c r="V148" s="425">
        <v>5</v>
      </c>
      <c r="W148" s="436">
        <f>(U148-T148)*24*60</f>
        <v>65.999999999999929</v>
      </c>
      <c r="X148" s="53"/>
      <c r="Y148" s="53"/>
      <c r="Z148" s="54"/>
      <c r="AA148" s="54"/>
      <c r="AB148" s="616"/>
      <c r="AC148" s="616"/>
      <c r="AD148" s="423"/>
      <c r="AE148" s="423"/>
      <c r="AF148" s="48">
        <f t="shared" si="61"/>
        <v>-532.18181818181642</v>
      </c>
      <c r="AG148" s="125">
        <f t="shared" si="62"/>
        <v>0.73390909090909173</v>
      </c>
      <c r="AH148" s="620">
        <f>AG160</f>
        <v>0.81794975486425703</v>
      </c>
    </row>
    <row r="149" spans="1:34" ht="19.2" customHeight="1">
      <c r="A149" s="623"/>
      <c r="B149" s="423" t="s">
        <v>130</v>
      </c>
      <c r="C149" s="221"/>
      <c r="D149" s="251" t="s">
        <v>201</v>
      </c>
      <c r="E149" s="60"/>
      <c r="F149" s="364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7">
        <f t="shared" si="96"/>
        <v>0.72786315789473632</v>
      </c>
      <c r="S149" s="625"/>
      <c r="T149" s="246">
        <v>0.55069444444444438</v>
      </c>
      <c r="U149" s="50">
        <v>0.60347222222222219</v>
      </c>
      <c r="V149" s="425">
        <v>7</v>
      </c>
      <c r="W149" s="436">
        <f t="shared" ref="W149:W159" si="100">(U149-T149)*24*60</f>
        <v>76.000000000000057</v>
      </c>
      <c r="X149" s="53"/>
      <c r="Y149" s="53"/>
      <c r="Z149" s="54"/>
      <c r="AA149" s="54"/>
      <c r="AB149" s="616"/>
      <c r="AC149" s="616"/>
      <c r="AD149" s="423"/>
      <c r="AE149" s="423"/>
      <c r="AF149" s="48">
        <f t="shared" si="61"/>
        <v>-544.27368421052734</v>
      </c>
      <c r="AG149" s="125">
        <f t="shared" si="62"/>
        <v>0.72786315789473632</v>
      </c>
      <c r="AH149" s="626"/>
    </row>
    <row r="150" spans="1:34" ht="19.2" customHeight="1">
      <c r="A150" s="623"/>
      <c r="B150" s="423" t="s">
        <v>132</v>
      </c>
      <c r="C150" s="221"/>
      <c r="D150" s="176" t="s">
        <v>208</v>
      </c>
      <c r="E150" s="60"/>
      <c r="F150" s="364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7">
        <f t="shared" si="96"/>
        <v>0.89488636363636687</v>
      </c>
      <c r="S150" s="625"/>
      <c r="T150" s="246">
        <v>0.70833333333333337</v>
      </c>
      <c r="U150" s="50">
        <v>0.72361111111111109</v>
      </c>
      <c r="V150" s="425">
        <v>5</v>
      </c>
      <c r="W150" s="436">
        <f t="shared" si="100"/>
        <v>21.999999999999922</v>
      </c>
      <c r="X150" s="216"/>
      <c r="Y150" s="216"/>
      <c r="Z150" s="217"/>
      <c r="AA150" s="217"/>
      <c r="AB150" s="616"/>
      <c r="AC150" s="616"/>
      <c r="AD150" s="423"/>
      <c r="AE150" s="423"/>
      <c r="AF150" s="48">
        <f t="shared" si="61"/>
        <v>-151.36363636363171</v>
      </c>
      <c r="AG150" s="125">
        <f t="shared" si="62"/>
        <v>0.89488636363636687</v>
      </c>
      <c r="AH150" s="626"/>
    </row>
    <row r="151" spans="1:34" s="218" customFormat="1" ht="19.2" customHeight="1">
      <c r="A151" s="623"/>
      <c r="B151" s="423" t="s">
        <v>132</v>
      </c>
      <c r="C151" s="221"/>
      <c r="D151" s="59" t="s">
        <v>204</v>
      </c>
      <c r="E151" s="60"/>
      <c r="F151" s="364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7">
        <f t="shared" si="96"/>
        <v>0.89967637540453105</v>
      </c>
      <c r="S151" s="625"/>
      <c r="T151" s="246">
        <v>0.72916666666666663</v>
      </c>
      <c r="U151" s="50">
        <v>0.80069444444444438</v>
      </c>
      <c r="V151" s="425">
        <v>8</v>
      </c>
      <c r="W151" s="436">
        <f t="shared" si="100"/>
        <v>102.99999999999996</v>
      </c>
      <c r="X151" s="216"/>
      <c r="Y151" s="216"/>
      <c r="Z151" s="217"/>
      <c r="AA151" s="217"/>
      <c r="AB151" s="616"/>
      <c r="AC151" s="616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626"/>
    </row>
    <row r="152" spans="1:34" s="218" customFormat="1" ht="19.2" customHeight="1">
      <c r="A152" s="623"/>
      <c r="B152" s="423" t="s">
        <v>132</v>
      </c>
      <c r="C152" s="221"/>
      <c r="D152" s="59" t="s">
        <v>91</v>
      </c>
      <c r="E152" s="60"/>
      <c r="F152" s="364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7">
        <f t="shared" si="96"/>
        <v>0.90112994350282549</v>
      </c>
      <c r="S152" s="625"/>
      <c r="T152" s="261">
        <v>0.80555555555555547</v>
      </c>
      <c r="U152" s="63">
        <v>0.84652777777777766</v>
      </c>
      <c r="V152" s="438">
        <v>7</v>
      </c>
      <c r="W152" s="436">
        <f t="shared" si="100"/>
        <v>58.99999999999995</v>
      </c>
      <c r="X152" s="219"/>
      <c r="Y152" s="219"/>
      <c r="Z152" s="217"/>
      <c r="AA152" s="217"/>
      <c r="AB152" s="616"/>
      <c r="AC152" s="616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626"/>
    </row>
    <row r="153" spans="1:34" s="218" customFormat="1" ht="19.2" customHeight="1">
      <c r="A153" s="623"/>
      <c r="B153" s="423">
        <v>0</v>
      </c>
      <c r="C153" s="221"/>
      <c r="D153" s="251"/>
      <c r="E153" s="60"/>
      <c r="F153" s="364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7"/>
      <c r="S153" s="625"/>
      <c r="T153" s="261"/>
      <c r="U153" s="63"/>
      <c r="V153" s="438"/>
      <c r="W153" s="436">
        <f t="shared" si="100"/>
        <v>0</v>
      </c>
      <c r="X153" s="219"/>
      <c r="Y153" s="219"/>
      <c r="Z153" s="217"/>
      <c r="AA153" s="217"/>
      <c r="AB153" s="616"/>
      <c r="AC153" s="616"/>
      <c r="AD153" s="221"/>
      <c r="AE153" s="221"/>
      <c r="AF153" s="48">
        <f t="shared" si="61"/>
        <v>0</v>
      </c>
      <c r="AG153" s="125" t="e">
        <f t="shared" si="62"/>
        <v>#DIV/0!</v>
      </c>
      <c r="AH153" s="626"/>
    </row>
    <row r="154" spans="1:34" s="218" customFormat="1" ht="19.2" customHeight="1">
      <c r="A154" s="623"/>
      <c r="B154" s="423">
        <v>0</v>
      </c>
      <c r="C154" s="221"/>
      <c r="D154" s="251"/>
      <c r="E154" s="60"/>
      <c r="F154" s="364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7"/>
      <c r="S154" s="625"/>
      <c r="T154" s="261"/>
      <c r="U154" s="63"/>
      <c r="V154" s="438"/>
      <c r="W154" s="436">
        <f t="shared" si="100"/>
        <v>0</v>
      </c>
      <c r="X154" s="219"/>
      <c r="Y154" s="219"/>
      <c r="Z154" s="217"/>
      <c r="AA154" s="217"/>
      <c r="AB154" s="616"/>
      <c r="AC154" s="616"/>
      <c r="AD154" s="221"/>
      <c r="AE154" s="221"/>
      <c r="AF154" s="48">
        <f t="shared" si="61"/>
        <v>0</v>
      </c>
      <c r="AG154" s="125" t="e">
        <f t="shared" si="62"/>
        <v>#DIV/0!</v>
      </c>
      <c r="AH154" s="626"/>
    </row>
    <row r="155" spans="1:34" s="218" customFormat="1" ht="19.2" customHeight="1">
      <c r="A155" s="623"/>
      <c r="B155" s="423">
        <v>0</v>
      </c>
      <c r="C155" s="221"/>
      <c r="D155" s="251"/>
      <c r="E155" s="60"/>
      <c r="F155" s="364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7"/>
      <c r="S155" s="625"/>
      <c r="T155" s="261"/>
      <c r="U155" s="63"/>
      <c r="V155" s="438"/>
      <c r="W155" s="436">
        <f t="shared" si="100"/>
        <v>0</v>
      </c>
      <c r="X155" s="219"/>
      <c r="Y155" s="219"/>
      <c r="Z155" s="217"/>
      <c r="AA155" s="217"/>
      <c r="AB155" s="616"/>
      <c r="AC155" s="616"/>
      <c r="AD155" s="221"/>
      <c r="AE155" s="221"/>
      <c r="AF155" s="264"/>
      <c r="AG155" s="129"/>
      <c r="AH155" s="626"/>
    </row>
    <row r="156" spans="1:34" s="218" customFormat="1" ht="19.2" customHeight="1">
      <c r="A156" s="623"/>
      <c r="B156" s="221">
        <v>0</v>
      </c>
      <c r="C156" s="221"/>
      <c r="D156" s="251"/>
      <c r="E156" s="60"/>
      <c r="F156" s="364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7"/>
      <c r="S156" s="625"/>
      <c r="T156" s="261"/>
      <c r="U156" s="63"/>
      <c r="V156" s="438"/>
      <c r="W156" s="265">
        <f t="shared" si="100"/>
        <v>0</v>
      </c>
      <c r="X156" s="219"/>
      <c r="Y156" s="219"/>
      <c r="Z156" s="217"/>
      <c r="AA156" s="217"/>
      <c r="AB156" s="616"/>
      <c r="AC156" s="616"/>
      <c r="AD156" s="221"/>
      <c r="AE156" s="221"/>
      <c r="AF156" s="264"/>
      <c r="AG156" s="129"/>
      <c r="AH156" s="626"/>
    </row>
    <row r="157" spans="1:34" s="218" customFormat="1" ht="19.2" customHeight="1">
      <c r="A157" s="623"/>
      <c r="B157" s="221">
        <v>0</v>
      </c>
      <c r="C157" s="221"/>
      <c r="D157" s="251"/>
      <c r="E157" s="60"/>
      <c r="F157" s="370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25"/>
      <c r="T157" s="261"/>
      <c r="U157" s="63"/>
      <c r="V157" s="438"/>
      <c r="W157" s="265">
        <f t="shared" si="100"/>
        <v>0</v>
      </c>
      <c r="X157" s="219"/>
      <c r="Y157" s="219"/>
      <c r="Z157" s="217"/>
      <c r="AA157" s="217"/>
      <c r="AB157" s="616"/>
      <c r="AC157" s="616"/>
      <c r="AD157" s="221"/>
      <c r="AE157" s="221"/>
      <c r="AF157" s="264"/>
      <c r="AG157" s="129"/>
      <c r="AH157" s="626"/>
    </row>
    <row r="158" spans="1:34" s="218" customFormat="1" ht="19.2" customHeight="1">
      <c r="A158" s="623"/>
      <c r="B158" s="221">
        <v>0</v>
      </c>
      <c r="C158" s="221"/>
      <c r="D158" s="251"/>
      <c r="E158" s="60"/>
      <c r="F158" s="370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25"/>
      <c r="T158" s="261"/>
      <c r="U158" s="63"/>
      <c r="V158" s="438"/>
      <c r="W158" s="265">
        <f t="shared" si="100"/>
        <v>0</v>
      </c>
      <c r="X158" s="219"/>
      <c r="Y158" s="219"/>
      <c r="Z158" s="217"/>
      <c r="AA158" s="217"/>
      <c r="AB158" s="616"/>
      <c r="AC158" s="616"/>
      <c r="AD158" s="221"/>
      <c r="AE158" s="221"/>
      <c r="AF158" s="264"/>
      <c r="AG158" s="129"/>
      <c r="AH158" s="626"/>
    </row>
    <row r="159" spans="1:34" s="218" customFormat="1" ht="19.2" customHeight="1">
      <c r="A159" s="623"/>
      <c r="B159" s="221">
        <v>0</v>
      </c>
      <c r="C159" s="221"/>
      <c r="D159" s="251"/>
      <c r="E159" s="60"/>
      <c r="F159" s="370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4"/>
      <c r="N159" s="179"/>
      <c r="O159" s="224"/>
      <c r="P159" s="263"/>
      <c r="Q159" s="74"/>
      <c r="R159" s="129"/>
      <c r="S159" s="625"/>
      <c r="T159" s="261"/>
      <c r="U159" s="63"/>
      <c r="V159" s="438"/>
      <c r="W159" s="266">
        <f t="shared" si="100"/>
        <v>0</v>
      </c>
      <c r="X159" s="219"/>
      <c r="Y159" s="219"/>
      <c r="Z159" s="217"/>
      <c r="AA159" s="217"/>
      <c r="AB159" s="616"/>
      <c r="AC159" s="616"/>
      <c r="AD159" s="221"/>
      <c r="AE159" s="221"/>
      <c r="AF159" s="264"/>
      <c r="AG159" s="129"/>
      <c r="AH159" s="626"/>
    </row>
    <row r="160" spans="1:34" ht="19.2" customHeight="1">
      <c r="A160" s="623"/>
      <c r="B160" s="267">
        <v>0</v>
      </c>
      <c r="C160" s="268" t="s">
        <v>265</v>
      </c>
      <c r="D160" s="621" t="s">
        <v>243</v>
      </c>
      <c r="E160" s="622"/>
      <c r="F160" s="358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62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16"/>
      <c r="AC160" s="616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626"/>
    </row>
    <row r="161" spans="1:36" ht="19.2" customHeight="1">
      <c r="A161" s="619" t="s">
        <v>266</v>
      </c>
      <c r="B161" s="121" t="s">
        <v>131</v>
      </c>
      <c r="C161" s="121"/>
      <c r="D161" s="82" t="s">
        <v>92</v>
      </c>
      <c r="E161" s="83"/>
      <c r="F161" s="363">
        <v>34.229999999999997</v>
      </c>
      <c r="G161" s="57">
        <v>3788</v>
      </c>
      <c r="H161" s="84">
        <f t="shared" ref="H161:H170" si="104">F161*G161</f>
        <v>129663.23999999999</v>
      </c>
      <c r="I161" s="42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4">
        <f t="shared" ref="R161:R163" si="107">O161/L161</f>
        <v>0.97128205128205158</v>
      </c>
      <c r="S161" s="620">
        <f>R173</f>
        <v>0.92979248177677432</v>
      </c>
      <c r="T161" s="89">
        <v>0.16666666666666666</v>
      </c>
      <c r="U161" s="89">
        <v>0.23888888888888887</v>
      </c>
      <c r="V161" s="423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616"/>
      <c r="AC161" s="616"/>
      <c r="AD161" s="423"/>
      <c r="AE161" s="423"/>
      <c r="AF161" s="54">
        <f t="shared" si="61"/>
        <v>-64.615384615384301</v>
      </c>
      <c r="AG161" s="424">
        <f t="shared" si="62"/>
        <v>0.97128205128205147</v>
      </c>
      <c r="AH161" s="620">
        <f>AG173</f>
        <v>0.93403418850162823</v>
      </c>
    </row>
    <row r="162" spans="1:36" ht="19.2" customHeight="1">
      <c r="A162" s="619"/>
      <c r="B162" s="121" t="s">
        <v>131</v>
      </c>
      <c r="C162" s="121"/>
      <c r="D162" s="82" t="s">
        <v>93</v>
      </c>
      <c r="E162" s="83"/>
      <c r="F162" s="363">
        <v>34.229999999999997</v>
      </c>
      <c r="G162" s="57">
        <v>3887</v>
      </c>
      <c r="H162" s="84">
        <f t="shared" si="104"/>
        <v>133052.00999999998</v>
      </c>
      <c r="I162" s="42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4">
        <f t="shared" si="107"/>
        <v>0.97786163522012548</v>
      </c>
      <c r="S162" s="620"/>
      <c r="T162" s="89">
        <v>0.25486111111111109</v>
      </c>
      <c r="U162" s="89">
        <v>0.32847222222222222</v>
      </c>
      <c r="V162" s="423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616"/>
      <c r="AC162" s="616"/>
      <c r="AD162" s="423">
        <v>1</v>
      </c>
      <c r="AE162" s="423"/>
      <c r="AF162" s="54">
        <f t="shared" si="61"/>
        <v>-49.811320754717599</v>
      </c>
      <c r="AG162" s="424">
        <f t="shared" si="62"/>
        <v>0.97786163522012548</v>
      </c>
      <c r="AH162" s="620"/>
    </row>
    <row r="163" spans="1:36" ht="19.2" customHeight="1">
      <c r="A163" s="619"/>
      <c r="B163" s="121" t="s">
        <v>131</v>
      </c>
      <c r="C163" s="121"/>
      <c r="D163" s="248" t="s">
        <v>95</v>
      </c>
      <c r="E163" s="248"/>
      <c r="F163" s="363">
        <v>35.83</v>
      </c>
      <c r="G163" s="57">
        <v>3630.9</v>
      </c>
      <c r="H163" s="84">
        <f t="shared" si="104"/>
        <v>130095.147</v>
      </c>
      <c r="I163" s="42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4">
        <f t="shared" si="107"/>
        <v>0.96823999999999966</v>
      </c>
      <c r="S163" s="620"/>
      <c r="T163" s="89">
        <v>0.33333333333333331</v>
      </c>
      <c r="U163" s="89">
        <v>0.40277777777777779</v>
      </c>
      <c r="V163" s="423">
        <v>7</v>
      </c>
      <c r="W163" s="90">
        <f t="shared" si="108"/>
        <v>100.00000000000004</v>
      </c>
      <c r="X163" s="96"/>
      <c r="Y163" s="96"/>
      <c r="Z163" s="54"/>
      <c r="AA163" s="54"/>
      <c r="AB163" s="616"/>
      <c r="AC163" s="616"/>
      <c r="AD163" s="423"/>
      <c r="AE163" s="423"/>
      <c r="AF163" s="54">
        <f t="shared" si="61"/>
        <v>-71.460000000000946</v>
      </c>
      <c r="AG163" s="424">
        <f t="shared" si="62"/>
        <v>0.96823999999999955</v>
      </c>
      <c r="AH163" s="620"/>
    </row>
    <row r="164" spans="1:36" ht="19.2" customHeight="1">
      <c r="A164" s="619"/>
      <c r="B164" s="121" t="s">
        <v>131</v>
      </c>
      <c r="C164" s="121"/>
      <c r="D164" s="273" t="s">
        <v>64</v>
      </c>
      <c r="E164" s="273"/>
      <c r="F164" s="363">
        <v>36.409999999999997</v>
      </c>
      <c r="G164" s="57">
        <v>5995.44</v>
      </c>
      <c r="H164" s="84">
        <f t="shared" si="104"/>
        <v>218293.97039999996</v>
      </c>
      <c r="I164" s="42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4">
        <f>O164/L164</f>
        <v>0.87778395947410059</v>
      </c>
      <c r="S164" s="620"/>
      <c r="T164" s="89">
        <v>0.44305555555555554</v>
      </c>
      <c r="U164" s="89">
        <v>0.54583333333333328</v>
      </c>
      <c r="V164" s="423">
        <v>5</v>
      </c>
      <c r="W164" s="90">
        <f t="shared" si="108"/>
        <v>147.99999999999994</v>
      </c>
      <c r="X164" s="96"/>
      <c r="Y164" s="96"/>
      <c r="Z164" s="54"/>
      <c r="AA164" s="54"/>
      <c r="AB164" s="616"/>
      <c r="AC164" s="616"/>
      <c r="AD164" s="423"/>
      <c r="AE164" s="423"/>
      <c r="AF164" s="54">
        <f>N164-K164</f>
        <v>-338.41621621621562</v>
      </c>
      <c r="AG164" s="424">
        <f>N164/K164</f>
        <v>0.87778395947410048</v>
      </c>
      <c r="AH164" s="620"/>
    </row>
    <row r="165" spans="1:36" ht="19.2" customHeight="1">
      <c r="A165" s="619"/>
      <c r="B165" s="121" t="s">
        <v>131</v>
      </c>
      <c r="C165" s="81"/>
      <c r="D165" s="82" t="s">
        <v>95</v>
      </c>
      <c r="E165" s="83"/>
      <c r="F165" s="360">
        <v>35.83</v>
      </c>
      <c r="G165" s="57">
        <v>1955.1</v>
      </c>
      <c r="H165" s="84">
        <f t="shared" si="104"/>
        <v>70051.232999999993</v>
      </c>
      <c r="I165" s="423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4">
        <f>O165/L165</f>
        <v>0.96548148148148205</v>
      </c>
      <c r="S165" s="620"/>
      <c r="T165" s="89">
        <v>0.56111111111111101</v>
      </c>
      <c r="U165" s="89">
        <v>0.59861111111111098</v>
      </c>
      <c r="V165" s="423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616"/>
      <c r="AC165" s="616"/>
      <c r="AD165" s="423"/>
      <c r="AE165" s="423"/>
      <c r="AF165" s="54">
        <f>N165-K165</f>
        <v>-77.666666666665606</v>
      </c>
      <c r="AG165" s="424">
        <f>N165/K165</f>
        <v>0.96548148148148194</v>
      </c>
      <c r="AH165" s="620"/>
    </row>
    <row r="166" spans="1:36" ht="19.2" customHeight="1">
      <c r="A166" s="619"/>
      <c r="B166" s="121" t="s">
        <v>131</v>
      </c>
      <c r="C166" s="121"/>
      <c r="D166" s="82" t="s">
        <v>64</v>
      </c>
      <c r="E166" s="83"/>
      <c r="F166" s="363">
        <v>36.409999999999997</v>
      </c>
      <c r="G166" s="57">
        <v>2331.5600000000004</v>
      </c>
      <c r="H166" s="84">
        <f t="shared" si="104"/>
        <v>84892.099600000001</v>
      </c>
      <c r="I166" s="42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4">
        <f>O166/L166</f>
        <v>0.87105764560839927</v>
      </c>
      <c r="S166" s="620"/>
      <c r="T166" s="89">
        <v>0.60347222222222208</v>
      </c>
      <c r="U166" s="89">
        <v>0.64374999999999982</v>
      </c>
      <c r="V166" s="423">
        <v>7</v>
      </c>
      <c r="W166" s="90">
        <f t="shared" si="108"/>
        <v>57.999999999999957</v>
      </c>
      <c r="X166" s="96"/>
      <c r="Y166" s="96"/>
      <c r="Z166" s="54"/>
      <c r="AA166" s="54"/>
      <c r="AB166" s="616"/>
      <c r="AC166" s="616"/>
      <c r="AD166" s="423"/>
      <c r="AE166" s="423"/>
      <c r="AF166" s="54">
        <f>N166-K166</f>
        <v>-357.04137931034256</v>
      </c>
      <c r="AG166" s="424">
        <f>N166/K166</f>
        <v>0.87105764560839927</v>
      </c>
      <c r="AH166" s="620"/>
    </row>
    <row r="167" spans="1:36" ht="19.2" customHeight="1">
      <c r="A167" s="619"/>
      <c r="B167" s="121">
        <v>0</v>
      </c>
      <c r="C167" s="121"/>
      <c r="D167" s="251"/>
      <c r="E167" s="60"/>
      <c r="F167" s="363" t="s">
        <v>133</v>
      </c>
      <c r="G167" s="57" t="s">
        <v>15</v>
      </c>
      <c r="H167" s="84"/>
      <c r="I167" s="423"/>
      <c r="J167" s="87"/>
      <c r="K167" s="57"/>
      <c r="L167" s="86"/>
      <c r="M167" s="87"/>
      <c r="N167" s="57"/>
      <c r="O167" s="86"/>
      <c r="P167" s="54"/>
      <c r="Q167" s="88"/>
      <c r="R167" s="424"/>
      <c r="S167" s="620"/>
      <c r="T167" s="89"/>
      <c r="U167" s="89"/>
      <c r="V167" s="423" t="s">
        <v>15</v>
      </c>
      <c r="W167" s="90">
        <f t="shared" si="108"/>
        <v>0</v>
      </c>
      <c r="X167" s="96"/>
      <c r="Y167" s="96"/>
      <c r="Z167" s="54"/>
      <c r="AA167" s="54"/>
      <c r="AB167" s="616"/>
      <c r="AC167" s="616"/>
      <c r="AD167" s="423"/>
      <c r="AE167" s="423"/>
      <c r="AF167" s="54">
        <f t="shared" si="61"/>
        <v>0</v>
      </c>
      <c r="AG167" s="424" t="e">
        <f t="shared" si="62"/>
        <v>#DIV/0!</v>
      </c>
      <c r="AH167" s="620"/>
    </row>
    <row r="168" spans="1:36" ht="19.2" customHeight="1">
      <c r="A168" s="619"/>
      <c r="B168" s="121">
        <v>0</v>
      </c>
      <c r="C168" s="121"/>
      <c r="D168" s="251"/>
      <c r="E168" s="60"/>
      <c r="F168" s="363" t="s">
        <v>133</v>
      </c>
      <c r="G168" s="57"/>
      <c r="H168" s="84">
        <f t="shared" si="104"/>
        <v>0</v>
      </c>
      <c r="I168" s="423"/>
      <c r="J168" s="87"/>
      <c r="K168" s="57"/>
      <c r="L168" s="86"/>
      <c r="M168" s="87"/>
      <c r="N168" s="57"/>
      <c r="O168" s="86"/>
      <c r="P168" s="54"/>
      <c r="Q168" s="88"/>
      <c r="R168" s="424"/>
      <c r="S168" s="620"/>
      <c r="T168" s="89"/>
      <c r="U168" s="89"/>
      <c r="V168" s="423"/>
      <c r="W168" s="90">
        <f t="shared" si="108"/>
        <v>0</v>
      </c>
      <c r="X168" s="96"/>
      <c r="Y168" s="96"/>
      <c r="Z168" s="54"/>
      <c r="AA168" s="54"/>
      <c r="AB168" s="616"/>
      <c r="AC168" s="616"/>
      <c r="AD168" s="423"/>
      <c r="AE168" s="423"/>
      <c r="AF168" s="54">
        <f t="shared" si="61"/>
        <v>0</v>
      </c>
      <c r="AG168" s="424" t="e">
        <f t="shared" si="62"/>
        <v>#DIV/0!</v>
      </c>
      <c r="AH168" s="620"/>
    </row>
    <row r="169" spans="1:36" ht="19.2" customHeight="1">
      <c r="A169" s="619"/>
      <c r="B169" s="121">
        <v>0</v>
      </c>
      <c r="C169" s="121"/>
      <c r="D169" s="251"/>
      <c r="E169" s="60"/>
      <c r="F169" s="363" t="s">
        <v>133</v>
      </c>
      <c r="G169" s="57"/>
      <c r="H169" s="84">
        <f t="shared" si="104"/>
        <v>0</v>
      </c>
      <c r="I169" s="423"/>
      <c r="J169" s="87"/>
      <c r="K169" s="57"/>
      <c r="L169" s="86"/>
      <c r="M169" s="87"/>
      <c r="N169" s="57"/>
      <c r="O169" s="86"/>
      <c r="P169" s="54"/>
      <c r="Q169" s="88"/>
      <c r="R169" s="424"/>
      <c r="S169" s="620"/>
      <c r="T169" s="89"/>
      <c r="U169" s="89"/>
      <c r="V169" s="423" t="s">
        <v>15</v>
      </c>
      <c r="W169" s="90">
        <f t="shared" si="108"/>
        <v>0</v>
      </c>
      <c r="X169" s="96"/>
      <c r="Y169" s="96"/>
      <c r="Z169" s="54"/>
      <c r="AA169" s="54"/>
      <c r="AB169" s="616"/>
      <c r="AC169" s="616"/>
      <c r="AD169" s="423"/>
      <c r="AE169" s="423"/>
      <c r="AF169" s="54">
        <f t="shared" si="61"/>
        <v>0</v>
      </c>
      <c r="AG169" s="424" t="e">
        <f t="shared" si="62"/>
        <v>#DIV/0!</v>
      </c>
      <c r="AH169" s="620"/>
    </row>
    <row r="170" spans="1:36" ht="19.2" customHeight="1">
      <c r="A170" s="619"/>
      <c r="B170" s="121">
        <v>0</v>
      </c>
      <c r="C170" s="121"/>
      <c r="D170" s="251"/>
      <c r="E170" s="60"/>
      <c r="F170" s="363" t="s">
        <v>133</v>
      </c>
      <c r="G170" s="57"/>
      <c r="H170" s="84">
        <f t="shared" si="104"/>
        <v>0</v>
      </c>
      <c r="I170" s="423"/>
      <c r="J170" s="87"/>
      <c r="K170" s="57"/>
      <c r="L170" s="86"/>
      <c r="M170" s="87"/>
      <c r="N170" s="57"/>
      <c r="O170" s="86"/>
      <c r="P170" s="54"/>
      <c r="Q170" s="88"/>
      <c r="R170" s="424"/>
      <c r="S170" s="620"/>
      <c r="T170" s="89"/>
      <c r="U170" s="89"/>
      <c r="V170" s="423"/>
      <c r="W170" s="90">
        <f t="shared" si="108"/>
        <v>0</v>
      </c>
      <c r="X170" s="96"/>
      <c r="Y170" s="96"/>
      <c r="Z170" s="54"/>
      <c r="AA170" s="54"/>
      <c r="AB170" s="616"/>
      <c r="AC170" s="616"/>
      <c r="AD170" s="423"/>
      <c r="AE170" s="423"/>
      <c r="AF170" s="54">
        <f t="shared" si="61"/>
        <v>0</v>
      </c>
      <c r="AG170" s="424" t="e">
        <f t="shared" si="62"/>
        <v>#DIV/0!</v>
      </c>
      <c r="AH170" s="620"/>
    </row>
    <row r="171" spans="1:36" ht="19.2" customHeight="1">
      <c r="A171" s="619"/>
      <c r="B171" s="121">
        <v>0</v>
      </c>
      <c r="C171" s="121"/>
      <c r="D171" s="251"/>
      <c r="E171" s="60"/>
      <c r="F171" s="363" t="s">
        <v>133</v>
      </c>
      <c r="G171" s="57"/>
      <c r="H171" s="84">
        <f t="shared" si="97"/>
        <v>0</v>
      </c>
      <c r="I171" s="423"/>
      <c r="J171" s="87"/>
      <c r="K171" s="57"/>
      <c r="L171" s="86"/>
      <c r="M171" s="87"/>
      <c r="N171" s="57"/>
      <c r="O171" s="86"/>
      <c r="P171" s="54"/>
      <c r="Q171" s="88"/>
      <c r="R171" s="424"/>
      <c r="S171" s="620"/>
      <c r="T171" s="89"/>
      <c r="U171" s="89"/>
      <c r="V171" s="423"/>
      <c r="W171" s="90">
        <f t="shared" si="108"/>
        <v>0</v>
      </c>
      <c r="X171" s="96"/>
      <c r="Y171" s="96"/>
      <c r="Z171" s="54"/>
      <c r="AA171" s="54"/>
      <c r="AB171" s="616"/>
      <c r="AC171" s="616"/>
      <c r="AD171" s="423"/>
      <c r="AE171" s="423"/>
      <c r="AF171" s="54"/>
      <c r="AG171" s="424"/>
      <c r="AH171" s="620"/>
    </row>
    <row r="172" spans="1:36" ht="19.2" customHeight="1">
      <c r="A172" s="619"/>
      <c r="B172" s="121">
        <v>0</v>
      </c>
      <c r="C172" s="121"/>
      <c r="D172" s="251"/>
      <c r="E172" s="60"/>
      <c r="F172" s="363" t="s">
        <v>133</v>
      </c>
      <c r="G172" s="57"/>
      <c r="H172" s="84">
        <f t="shared" si="97"/>
        <v>0</v>
      </c>
      <c r="I172" s="423"/>
      <c r="J172" s="87"/>
      <c r="K172" s="57"/>
      <c r="L172" s="86"/>
      <c r="M172" s="87"/>
      <c r="N172" s="57"/>
      <c r="O172" s="86"/>
      <c r="P172" s="54"/>
      <c r="Q172" s="88"/>
      <c r="R172" s="424"/>
      <c r="S172" s="620"/>
      <c r="T172" s="89"/>
      <c r="U172" s="89"/>
      <c r="V172" s="423"/>
      <c r="W172" s="90">
        <f t="shared" si="108"/>
        <v>0</v>
      </c>
      <c r="X172" s="96"/>
      <c r="Y172" s="96"/>
      <c r="Z172" s="54"/>
      <c r="AA172" s="54"/>
      <c r="AB172" s="616"/>
      <c r="AC172" s="616"/>
      <c r="AD172" s="423"/>
      <c r="AE172" s="423"/>
      <c r="AF172" s="54"/>
      <c r="AG172" s="424"/>
      <c r="AH172" s="620"/>
    </row>
    <row r="173" spans="1:36" ht="19.2" customHeight="1">
      <c r="A173" s="619"/>
      <c r="B173" s="121">
        <v>0</v>
      </c>
      <c r="C173" s="100" t="s">
        <v>267</v>
      </c>
      <c r="D173" s="617" t="s">
        <v>243</v>
      </c>
      <c r="E173" s="617"/>
      <c r="F173" s="361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62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18"/>
      <c r="AC173" s="618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4">
        <f t="shared" si="62"/>
        <v>0.93403418850162823</v>
      </c>
      <c r="AH173" s="62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9325" priority="3106" operator="lessThan">
      <formula>0</formula>
    </cfRule>
  </conditionalFormatting>
  <conditionalFormatting sqref="AH57 AH70 S43 S123 S95 AH95 S5:S9 AH5:AH9 S134 AH17:AH18 S17:S18 S32 S82 AH82 S57:S70">
    <cfRule type="cellIs" dxfId="9324" priority="3105" operator="lessThan">
      <formula>0.8</formula>
    </cfRule>
  </conditionalFormatting>
  <conditionalFormatting sqref="R147 R173 R30 R121 R95 R43 R134 R82 R157:R159 R17:R18 R109:R118 R57:R70">
    <cfRule type="cellIs" dxfId="9323" priority="3103" operator="lessThan">
      <formula>0.8</formula>
    </cfRule>
    <cfRule type="cellIs" dxfId="932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9321" priority="3101" operator="greaterThan">
      <formula>1</formula>
    </cfRule>
    <cfRule type="cellIs" dxfId="9320" priority="3102" operator="lessThan">
      <formula>0.8</formula>
    </cfRule>
  </conditionalFormatting>
  <conditionalFormatting sqref="P147 P30 P121 P95 P43 P134 P82 P157:P159 P109:P118 P57:P70 P17:P28">
    <cfRule type="cellIs" dxfId="9319" priority="3100" operator="greaterThan">
      <formula>0</formula>
    </cfRule>
  </conditionalFormatting>
  <conditionalFormatting sqref="S161">
    <cfRule type="cellIs" dxfId="9318" priority="3099" operator="lessThan">
      <formula>0.8</formula>
    </cfRule>
  </conditionalFormatting>
  <conditionalFormatting sqref="Q161:Q167">
    <cfRule type="cellIs" dxfId="9317" priority="3098" operator="lessThan">
      <formula>0</formula>
    </cfRule>
  </conditionalFormatting>
  <conditionalFormatting sqref="R161:R167">
    <cfRule type="cellIs" dxfId="9316" priority="3096" operator="lessThan">
      <formula>0.8</formula>
    </cfRule>
    <cfRule type="cellIs" dxfId="9315" priority="3097" operator="greaterThan">
      <formula>1</formula>
    </cfRule>
  </conditionalFormatting>
  <conditionalFormatting sqref="R161:R167">
    <cfRule type="cellIs" dxfId="9314" priority="3094" operator="greaterThan">
      <formula>1</formula>
    </cfRule>
    <cfRule type="cellIs" dxfId="9313" priority="3095" operator="lessThan">
      <formula>0.8</formula>
    </cfRule>
  </conditionalFormatting>
  <conditionalFormatting sqref="P161:P167">
    <cfRule type="cellIs" dxfId="9312" priority="3093" operator="greaterThan">
      <formula>0</formula>
    </cfRule>
  </conditionalFormatting>
  <conditionalFormatting sqref="Q169:Q172 AF161:AF172">
    <cfRule type="cellIs" dxfId="9311" priority="3092" operator="lessThan">
      <formula>0</formula>
    </cfRule>
  </conditionalFormatting>
  <conditionalFormatting sqref="R169:R172">
    <cfRule type="cellIs" dxfId="9310" priority="3090" operator="lessThan">
      <formula>0.8</formula>
    </cfRule>
    <cfRule type="cellIs" dxfId="9309" priority="3091" operator="greaterThan">
      <formula>1</formula>
    </cfRule>
  </conditionalFormatting>
  <conditionalFormatting sqref="R169:R172 AG161:AG172">
    <cfRule type="cellIs" dxfId="9308" priority="3088" operator="greaterThan">
      <formula>1</formula>
    </cfRule>
    <cfRule type="cellIs" dxfId="9307" priority="3089" operator="lessThan">
      <formula>0.8</formula>
    </cfRule>
  </conditionalFormatting>
  <conditionalFormatting sqref="P169:P172">
    <cfRule type="cellIs" dxfId="9306" priority="3087" operator="greaterThan">
      <formula>0</formula>
    </cfRule>
  </conditionalFormatting>
  <conditionalFormatting sqref="AF145">
    <cfRule type="cellIs" dxfId="9305" priority="3086" operator="lessThan">
      <formula>0</formula>
    </cfRule>
  </conditionalFormatting>
  <conditionalFormatting sqref="AG145">
    <cfRule type="cellIs" dxfId="9304" priority="3084" operator="greaterThan">
      <formula>1</formula>
    </cfRule>
    <cfRule type="cellIs" dxfId="9303" priority="3085" operator="lessThan">
      <formula>0.8</formula>
    </cfRule>
  </conditionalFormatting>
  <conditionalFormatting sqref="AF44:AF54">
    <cfRule type="cellIs" dxfId="9302" priority="3083" operator="lessThan">
      <formula>0</formula>
    </cfRule>
  </conditionalFormatting>
  <conditionalFormatting sqref="AG44:AG54">
    <cfRule type="cellIs" dxfId="9301" priority="3081" operator="greaterThan">
      <formula>1</formula>
    </cfRule>
    <cfRule type="cellIs" dxfId="9300" priority="3082" operator="lessThan">
      <formula>0.8</formula>
    </cfRule>
  </conditionalFormatting>
  <conditionalFormatting sqref="AF83:AF94">
    <cfRule type="cellIs" dxfId="9299" priority="3080" operator="lessThan">
      <formula>0</formula>
    </cfRule>
  </conditionalFormatting>
  <conditionalFormatting sqref="AH83">
    <cfRule type="cellIs" dxfId="9298" priority="3079" operator="lessThan">
      <formula>0.8</formula>
    </cfRule>
  </conditionalFormatting>
  <conditionalFormatting sqref="AG83:AG94">
    <cfRule type="cellIs" dxfId="9297" priority="3077" operator="greaterThan">
      <formula>1</formula>
    </cfRule>
    <cfRule type="cellIs" dxfId="9296" priority="3078" operator="lessThan">
      <formula>0.8</formula>
    </cfRule>
  </conditionalFormatting>
  <conditionalFormatting sqref="S83">
    <cfRule type="cellIs" dxfId="9295" priority="3076" operator="lessThan">
      <formula>0.8</formula>
    </cfRule>
  </conditionalFormatting>
  <conditionalFormatting sqref="AH84">
    <cfRule type="cellIs" dxfId="9294" priority="3075" operator="lessThan">
      <formula>0.8</formula>
    </cfRule>
  </conditionalFormatting>
  <conditionalFormatting sqref="S84">
    <cfRule type="cellIs" dxfId="9293" priority="3074" operator="lessThan">
      <formula>0.8</formula>
    </cfRule>
  </conditionalFormatting>
  <conditionalFormatting sqref="S90">
    <cfRule type="cellIs" dxfId="9292" priority="3073" operator="lessThan">
      <formula>0.8</formula>
    </cfRule>
  </conditionalFormatting>
  <conditionalFormatting sqref="AH90">
    <cfRule type="cellIs" dxfId="9291" priority="3072" operator="lessThan">
      <formula>0.8</formula>
    </cfRule>
  </conditionalFormatting>
  <conditionalFormatting sqref="AF122">
    <cfRule type="cellIs" dxfId="9290" priority="3071" operator="lessThan">
      <formula>0</formula>
    </cfRule>
  </conditionalFormatting>
  <conditionalFormatting sqref="S122">
    <cfRule type="cellIs" dxfId="9289" priority="3070" operator="lessThan">
      <formula>0.8</formula>
    </cfRule>
  </conditionalFormatting>
  <conditionalFormatting sqref="AG122">
    <cfRule type="cellIs" dxfId="9288" priority="3068" operator="greaterThan">
      <formula>1</formula>
    </cfRule>
    <cfRule type="cellIs" dxfId="9287" priority="3069" operator="lessThan">
      <formula>0.8</formula>
    </cfRule>
  </conditionalFormatting>
  <conditionalFormatting sqref="P162:P168">
    <cfRule type="cellIs" dxfId="9286" priority="3062" operator="greaterThan">
      <formula>0</formula>
    </cfRule>
  </conditionalFormatting>
  <conditionalFormatting sqref="R162:R168">
    <cfRule type="cellIs" dxfId="9285" priority="3065" operator="lessThan">
      <formula>0.8</formula>
    </cfRule>
    <cfRule type="cellIs" dxfId="9284" priority="3066" operator="greaterThan">
      <formula>1</formula>
    </cfRule>
  </conditionalFormatting>
  <conditionalFormatting sqref="R162:R168">
    <cfRule type="cellIs" dxfId="9283" priority="3063" operator="greaterThan">
      <formula>1</formula>
    </cfRule>
    <cfRule type="cellIs" dxfId="9282" priority="3064" operator="lessThan">
      <formula>0.8</formula>
    </cfRule>
  </conditionalFormatting>
  <conditionalFormatting sqref="Q162:Q168">
    <cfRule type="cellIs" dxfId="9281" priority="3067" operator="lessThan">
      <formula>0</formula>
    </cfRule>
  </conditionalFormatting>
  <conditionalFormatting sqref="P132:P133">
    <cfRule type="cellIs" dxfId="9280" priority="3055" operator="greaterThan">
      <formula>0</formula>
    </cfRule>
  </conditionalFormatting>
  <conditionalFormatting sqref="AF124 Q132:Q133 AF132:AF133 AF126:AF127 AF129:AF130">
    <cfRule type="cellIs" dxfId="9279" priority="3061" operator="lessThan">
      <formula>0</formula>
    </cfRule>
  </conditionalFormatting>
  <conditionalFormatting sqref="S124:S133">
    <cfRule type="cellIs" dxfId="9278" priority="3060" operator="lessThan">
      <formula>0.8</formula>
    </cfRule>
  </conditionalFormatting>
  <conditionalFormatting sqref="R132:R133">
    <cfRule type="cellIs" dxfId="9277" priority="3058" operator="lessThan">
      <formula>0.8</formula>
    </cfRule>
    <cfRule type="cellIs" dxfId="9276" priority="3059" operator="greaterThan">
      <formula>1</formula>
    </cfRule>
  </conditionalFormatting>
  <conditionalFormatting sqref="AG124 R132:R133 AG132:AG133 AG126:AG127 AG129:AG130">
    <cfRule type="cellIs" dxfId="9275" priority="3056" operator="greaterThan">
      <formula>1</formula>
    </cfRule>
    <cfRule type="cellIs" dxfId="9274" priority="3057" operator="lessThan">
      <formula>0.8</formula>
    </cfRule>
  </conditionalFormatting>
  <conditionalFormatting sqref="AH109">
    <cfRule type="cellIs" dxfId="9273" priority="3054" operator="lessThan">
      <formula>0.8</formula>
    </cfRule>
  </conditionalFormatting>
  <conditionalFormatting sqref="R160 AG160">
    <cfRule type="cellIs" dxfId="9272" priority="3049" operator="greaterThan">
      <formula>1</formula>
    </cfRule>
    <cfRule type="cellIs" dxfId="9271" priority="3050" operator="lessThan">
      <formula>0.8</formula>
    </cfRule>
  </conditionalFormatting>
  <conditionalFormatting sqref="R160">
    <cfRule type="cellIs" dxfId="9270" priority="3051" operator="lessThan">
      <formula>0.8</formula>
    </cfRule>
    <cfRule type="cellIs" dxfId="9269" priority="3052" operator="greaterThan">
      <formula>1</formula>
    </cfRule>
  </conditionalFormatting>
  <conditionalFormatting sqref="P160">
    <cfRule type="cellIs" dxfId="9268" priority="3048" operator="greaterThan">
      <formula>0</formula>
    </cfRule>
  </conditionalFormatting>
  <conditionalFormatting sqref="AH148">
    <cfRule type="cellIs" dxfId="9267" priority="3047" operator="lessThan">
      <formula>0.8</formula>
    </cfRule>
  </conditionalFormatting>
  <conditionalFormatting sqref="Q160 AF160">
    <cfRule type="cellIs" dxfId="9266" priority="3053" operator="lessThan">
      <formula>0</formula>
    </cfRule>
  </conditionalFormatting>
  <conditionalFormatting sqref="AF148:AF154">
    <cfRule type="cellIs" dxfId="9265" priority="3046" operator="lessThan">
      <formula>0</formula>
    </cfRule>
  </conditionalFormatting>
  <conditionalFormatting sqref="S148">
    <cfRule type="cellIs" dxfId="9264" priority="3045" operator="lessThan">
      <formula>0.8</formula>
    </cfRule>
  </conditionalFormatting>
  <conditionalFormatting sqref="AG148:AG154">
    <cfRule type="cellIs" dxfId="9263" priority="3043" operator="greaterThan">
      <formula>1</formula>
    </cfRule>
    <cfRule type="cellIs" dxfId="9262" priority="3044" operator="lessThan">
      <formula>0.8</formula>
    </cfRule>
  </conditionalFormatting>
  <conditionalFormatting sqref="S86">
    <cfRule type="cellIs" dxfId="9261" priority="3042" operator="lessThan">
      <formula>0.8</formula>
    </cfRule>
  </conditionalFormatting>
  <conditionalFormatting sqref="S88 AH88">
    <cfRule type="cellIs" dxfId="9260" priority="3037" operator="lessThan">
      <formula>0.8</formula>
    </cfRule>
  </conditionalFormatting>
  <conditionalFormatting sqref="AH86">
    <cfRule type="cellIs" dxfId="9259" priority="3041" operator="lessThan">
      <formula>0.8</formula>
    </cfRule>
  </conditionalFormatting>
  <conditionalFormatting sqref="S87">
    <cfRule type="cellIs" dxfId="9258" priority="3040" operator="lessThan">
      <formula>0.8</formula>
    </cfRule>
  </conditionalFormatting>
  <conditionalFormatting sqref="AH87">
    <cfRule type="cellIs" dxfId="9257" priority="3039" operator="lessThan">
      <formula>0.8</formula>
    </cfRule>
  </conditionalFormatting>
  <conditionalFormatting sqref="S89 AH89">
    <cfRule type="cellIs" dxfId="9256" priority="3038" operator="lessThan">
      <formula>0.8</formula>
    </cfRule>
  </conditionalFormatting>
  <conditionalFormatting sqref="AF31 AF35 AF39">
    <cfRule type="cellIs" dxfId="9255" priority="3036" operator="lessThan">
      <formula>0</formula>
    </cfRule>
  </conditionalFormatting>
  <conditionalFormatting sqref="AH31 S31">
    <cfRule type="cellIs" dxfId="9254" priority="3035" operator="lessThan">
      <formula>0.8</formula>
    </cfRule>
  </conditionalFormatting>
  <conditionalFormatting sqref="AG31 AG35 AG39">
    <cfRule type="cellIs" dxfId="9253" priority="3033" operator="greaterThan">
      <formula>1</formula>
    </cfRule>
    <cfRule type="cellIs" dxfId="9252" priority="3034" operator="lessThan">
      <formula>0.8</formula>
    </cfRule>
  </conditionalFormatting>
  <conditionalFormatting sqref="AF135">
    <cfRule type="cellIs" dxfId="9251" priority="3032" operator="lessThan">
      <formula>0</formula>
    </cfRule>
  </conditionalFormatting>
  <conditionalFormatting sqref="AH135 S135">
    <cfRule type="cellIs" dxfId="9250" priority="3031" operator="lessThan">
      <formula>0.8</formula>
    </cfRule>
  </conditionalFormatting>
  <conditionalFormatting sqref="AG135">
    <cfRule type="cellIs" dxfId="9249" priority="3029" operator="greaterThan">
      <formula>1</formula>
    </cfRule>
    <cfRule type="cellIs" dxfId="9248" priority="3030" operator="lessThan">
      <formula>0.8</formula>
    </cfRule>
  </conditionalFormatting>
  <conditionalFormatting sqref="AF108 Q108">
    <cfRule type="cellIs" dxfId="9247" priority="3028" operator="lessThan">
      <formula>0</formula>
    </cfRule>
  </conditionalFormatting>
  <conditionalFormatting sqref="R108">
    <cfRule type="cellIs" dxfId="9246" priority="3026" operator="lessThan">
      <formula>0.8</formula>
    </cfRule>
    <cfRule type="cellIs" dxfId="9245" priority="3027" operator="greaterThan">
      <formula>1</formula>
    </cfRule>
  </conditionalFormatting>
  <conditionalFormatting sqref="AG108 R108">
    <cfRule type="cellIs" dxfId="9244" priority="3024" operator="greaterThan">
      <formula>1</formula>
    </cfRule>
    <cfRule type="cellIs" dxfId="9243" priority="3025" operator="lessThan">
      <formula>0.8</formula>
    </cfRule>
  </conditionalFormatting>
  <conditionalFormatting sqref="P108">
    <cfRule type="cellIs" dxfId="9242" priority="3023" operator="greaterThan">
      <formula>0</formula>
    </cfRule>
  </conditionalFormatting>
  <conditionalFormatting sqref="AH97">
    <cfRule type="cellIs" dxfId="9241" priority="3018" operator="lessThan">
      <formula>0.8</formula>
    </cfRule>
  </conditionalFormatting>
  <conditionalFormatting sqref="AG96 AG98 AG100 AG102:AG103 AG105:AG106">
    <cfRule type="cellIs" dxfId="9240" priority="3020" operator="greaterThan">
      <formula>1</formula>
    </cfRule>
    <cfRule type="cellIs" dxfId="9239" priority="3021" operator="lessThan">
      <formula>0.8</formula>
    </cfRule>
  </conditionalFormatting>
  <conditionalFormatting sqref="AF96 AF98 AF100 AF102:AF103 AF105:AF106">
    <cfRule type="cellIs" dxfId="9238" priority="3022" operator="lessThan">
      <formula>0</formula>
    </cfRule>
  </conditionalFormatting>
  <conditionalFormatting sqref="AG97 AG99 AG101 AG104">
    <cfRule type="cellIs" dxfId="9237" priority="3016" operator="greaterThan">
      <formula>1</formula>
    </cfRule>
    <cfRule type="cellIs" dxfId="9236" priority="3017" operator="lessThan">
      <formula>0.8</formula>
    </cfRule>
  </conditionalFormatting>
  <conditionalFormatting sqref="AF97 AF99 AF101 AF104">
    <cfRule type="cellIs" dxfId="9235" priority="3019" operator="lessThan">
      <formula>0</formula>
    </cfRule>
  </conditionalFormatting>
  <conditionalFormatting sqref="AF71 AF73 AF75 AF79 AF77">
    <cfRule type="cellIs" dxfId="9234" priority="3013" operator="lessThan">
      <formula>0</formula>
    </cfRule>
  </conditionalFormatting>
  <conditionalFormatting sqref="S71 AH71">
    <cfRule type="cellIs" dxfId="9233" priority="3012" operator="lessThan">
      <formula>0.8</formula>
    </cfRule>
  </conditionalFormatting>
  <conditionalFormatting sqref="AG71 AG73 AG75 AG79 AG77">
    <cfRule type="cellIs" dxfId="9232" priority="3010" operator="greaterThan">
      <formula>1</formula>
    </cfRule>
    <cfRule type="cellIs" dxfId="9231" priority="3011" operator="lessThan">
      <formula>0.8</formula>
    </cfRule>
  </conditionalFormatting>
  <conditionalFormatting sqref="AF72 AF76 AF80">
    <cfRule type="cellIs" dxfId="9230" priority="3009" operator="lessThan">
      <formula>0</formula>
    </cfRule>
  </conditionalFormatting>
  <conditionalFormatting sqref="S72 AH72">
    <cfRule type="cellIs" dxfId="9229" priority="3008" operator="lessThan">
      <formula>0.8</formula>
    </cfRule>
  </conditionalFormatting>
  <conditionalFormatting sqref="S11">
    <cfRule type="cellIs" dxfId="9228" priority="3015" operator="lessThan">
      <formula>0.8</formula>
    </cfRule>
  </conditionalFormatting>
  <conditionalFormatting sqref="S10">
    <cfRule type="cellIs" dxfId="9227" priority="3014" operator="lessThan">
      <formula>0.8</formula>
    </cfRule>
  </conditionalFormatting>
  <conditionalFormatting sqref="AG72 AG76 AG80">
    <cfRule type="cellIs" dxfId="9226" priority="3006" operator="greaterThan">
      <formula>1</formula>
    </cfRule>
    <cfRule type="cellIs" dxfId="9225" priority="3007" operator="lessThan">
      <formula>0.8</formula>
    </cfRule>
  </conditionalFormatting>
  <conditionalFormatting sqref="AF14:AF16 Q15:Q16">
    <cfRule type="cellIs" dxfId="9224" priority="3005" operator="lessThan">
      <formula>0</formula>
    </cfRule>
  </conditionalFormatting>
  <conditionalFormatting sqref="R15:R16">
    <cfRule type="cellIs" dxfId="9223" priority="3003" operator="lessThan">
      <formula>0.8</formula>
    </cfRule>
    <cfRule type="cellIs" dxfId="9222" priority="3004" operator="greaterThan">
      <formula>1</formula>
    </cfRule>
  </conditionalFormatting>
  <conditionalFormatting sqref="R15:R16">
    <cfRule type="cellIs" dxfId="9221" priority="3001" operator="greaterThan">
      <formula>1</formula>
    </cfRule>
    <cfRule type="cellIs" dxfId="9220" priority="3002" operator="lessThan">
      <formula>0.8</formula>
    </cfRule>
  </conditionalFormatting>
  <conditionalFormatting sqref="P15:P16">
    <cfRule type="cellIs" dxfId="9219" priority="3000" operator="greaterThan">
      <formula>0</formula>
    </cfRule>
  </conditionalFormatting>
  <conditionalFormatting sqref="AH98">
    <cfRule type="cellIs" dxfId="9218" priority="2999" operator="lessThan">
      <formula>0.8</formula>
    </cfRule>
  </conditionalFormatting>
  <conditionalFormatting sqref="AF33 AF37">
    <cfRule type="cellIs" dxfId="9217" priority="2998" operator="lessThan">
      <formula>0</formula>
    </cfRule>
  </conditionalFormatting>
  <conditionalFormatting sqref="AG33 AG37">
    <cfRule type="cellIs" dxfId="9216" priority="2996" operator="greaterThan">
      <formula>1</formula>
    </cfRule>
    <cfRule type="cellIs" dxfId="9215" priority="2997" operator="lessThan">
      <formula>0.8</formula>
    </cfRule>
  </conditionalFormatting>
  <conditionalFormatting sqref="P41:P42">
    <cfRule type="cellIs" dxfId="9214" priority="2990" operator="greaterThan">
      <formula>0</formula>
    </cfRule>
  </conditionalFormatting>
  <conditionalFormatting sqref="Q41:Q42 AF34 AF41:AF42 AF38">
    <cfRule type="cellIs" dxfId="9213" priority="2995" operator="lessThan">
      <formula>0</formula>
    </cfRule>
  </conditionalFormatting>
  <conditionalFormatting sqref="R41:R42">
    <cfRule type="cellIs" dxfId="9212" priority="2993" operator="lessThan">
      <formula>0.8</formula>
    </cfRule>
    <cfRule type="cellIs" dxfId="9211" priority="2994" operator="greaterThan">
      <formula>1</formula>
    </cfRule>
  </conditionalFormatting>
  <conditionalFormatting sqref="R41:R42 AG34 AG41:AG42 AG38">
    <cfRule type="cellIs" dxfId="9210" priority="2991" operator="greaterThan">
      <formula>1</formula>
    </cfRule>
    <cfRule type="cellIs" dxfId="9209" priority="2992" operator="lessThan">
      <formula>0.8</formula>
    </cfRule>
  </conditionalFormatting>
  <conditionalFormatting sqref="AF137:AF144">
    <cfRule type="cellIs" dxfId="9208" priority="2989" operator="lessThan">
      <formula>0</formula>
    </cfRule>
  </conditionalFormatting>
  <conditionalFormatting sqref="AH137 S137">
    <cfRule type="cellIs" dxfId="9207" priority="2988" operator="lessThan">
      <formula>0.8</formula>
    </cfRule>
  </conditionalFormatting>
  <conditionalFormatting sqref="AG137:AG144">
    <cfRule type="cellIs" dxfId="9206" priority="2986" operator="greaterThan">
      <formula>1</formula>
    </cfRule>
    <cfRule type="cellIs" dxfId="9205" priority="2987" operator="lessThan">
      <formula>0.8</formula>
    </cfRule>
  </conditionalFormatting>
  <conditionalFormatting sqref="AF55">
    <cfRule type="cellIs" dxfId="9204" priority="2985" operator="lessThan">
      <formula>0</formula>
    </cfRule>
  </conditionalFormatting>
  <conditionalFormatting sqref="AG55">
    <cfRule type="cellIs" dxfId="9203" priority="2983" operator="greaterThan">
      <formula>1</formula>
    </cfRule>
    <cfRule type="cellIs" dxfId="9202" priority="2984" operator="lessThan">
      <formula>0.8</formula>
    </cfRule>
  </conditionalFormatting>
  <conditionalFormatting sqref="AF56 Q56">
    <cfRule type="cellIs" dxfId="9201" priority="2982" operator="lessThan">
      <formula>0</formula>
    </cfRule>
  </conditionalFormatting>
  <conditionalFormatting sqref="R56">
    <cfRule type="cellIs" dxfId="9200" priority="2980" operator="lessThan">
      <formula>0.8</formula>
    </cfRule>
    <cfRule type="cellIs" dxfId="9199" priority="2981" operator="greaterThan">
      <formula>1</formula>
    </cfRule>
  </conditionalFormatting>
  <conditionalFormatting sqref="AG56 R56">
    <cfRule type="cellIs" dxfId="9198" priority="2978" operator="greaterThan">
      <formula>1</formula>
    </cfRule>
    <cfRule type="cellIs" dxfId="9197" priority="2979" operator="lessThan">
      <formula>0.8</formula>
    </cfRule>
  </conditionalFormatting>
  <conditionalFormatting sqref="P56">
    <cfRule type="cellIs" dxfId="9196" priority="2977" operator="greaterThan">
      <formula>0</formula>
    </cfRule>
  </conditionalFormatting>
  <conditionalFormatting sqref="P53:P55">
    <cfRule type="cellIs" dxfId="9195" priority="2971" operator="greaterThan">
      <formula>0</formula>
    </cfRule>
  </conditionalFormatting>
  <conditionalFormatting sqref="Q53:Q55">
    <cfRule type="cellIs" dxfId="9194" priority="2976" operator="lessThan">
      <formula>0</formula>
    </cfRule>
  </conditionalFormatting>
  <conditionalFormatting sqref="R53:R55">
    <cfRule type="cellIs" dxfId="9193" priority="2974" operator="lessThan">
      <formula>0.8</formula>
    </cfRule>
    <cfRule type="cellIs" dxfId="9192" priority="2975" operator="greaterThan">
      <formula>1</formula>
    </cfRule>
  </conditionalFormatting>
  <conditionalFormatting sqref="R53:R55">
    <cfRule type="cellIs" dxfId="9191" priority="2972" operator="greaterThan">
      <formula>1</formula>
    </cfRule>
    <cfRule type="cellIs" dxfId="9190" priority="2973" operator="lessThan">
      <formula>0.8</formula>
    </cfRule>
  </conditionalFormatting>
  <conditionalFormatting sqref="P80:P81">
    <cfRule type="cellIs" dxfId="9189" priority="2965" operator="greaterThan">
      <formula>0</formula>
    </cfRule>
  </conditionalFormatting>
  <conditionalFormatting sqref="AF81 Q80:Q81">
    <cfRule type="cellIs" dxfId="9188" priority="2970" operator="lessThan">
      <formula>0</formula>
    </cfRule>
  </conditionalFormatting>
  <conditionalFormatting sqref="R80:R81">
    <cfRule type="cellIs" dxfId="9187" priority="2968" operator="lessThan">
      <formula>0.8</formula>
    </cfRule>
    <cfRule type="cellIs" dxfId="9186" priority="2969" operator="greaterThan">
      <formula>1</formula>
    </cfRule>
  </conditionalFormatting>
  <conditionalFormatting sqref="AG81 R80:R81">
    <cfRule type="cellIs" dxfId="9185" priority="2966" operator="greaterThan">
      <formula>1</formula>
    </cfRule>
    <cfRule type="cellIs" dxfId="9184" priority="2967" operator="lessThan">
      <formula>0.8</formula>
    </cfRule>
  </conditionalFormatting>
  <conditionalFormatting sqref="AH85">
    <cfRule type="cellIs" dxfId="9183" priority="2964" operator="lessThan">
      <formula>0.8</formula>
    </cfRule>
  </conditionalFormatting>
  <conditionalFormatting sqref="S85">
    <cfRule type="cellIs" dxfId="9182" priority="2963" operator="lessThan">
      <formula>0.8</formula>
    </cfRule>
  </conditionalFormatting>
  <conditionalFormatting sqref="AF107">
    <cfRule type="cellIs" dxfId="9181" priority="2962" operator="lessThan">
      <formula>0</formula>
    </cfRule>
  </conditionalFormatting>
  <conditionalFormatting sqref="AH100:AH107">
    <cfRule type="cellIs" dxfId="9180" priority="2961" operator="lessThan">
      <formula>0.8</formula>
    </cfRule>
  </conditionalFormatting>
  <conditionalFormatting sqref="AG107">
    <cfRule type="cellIs" dxfId="9179" priority="2959" operator="greaterThan">
      <formula>1</formula>
    </cfRule>
    <cfRule type="cellIs" dxfId="9178" priority="2960" operator="lessThan">
      <formula>0.8</formula>
    </cfRule>
  </conditionalFormatting>
  <conditionalFormatting sqref="P106:P107">
    <cfRule type="cellIs" dxfId="9177" priority="2953" operator="greaterThan">
      <formula>0</formula>
    </cfRule>
  </conditionalFormatting>
  <conditionalFormatting sqref="Q106:Q107">
    <cfRule type="cellIs" dxfId="9176" priority="2958" operator="lessThan">
      <formula>0</formula>
    </cfRule>
  </conditionalFormatting>
  <conditionalFormatting sqref="R106:R107">
    <cfRule type="cellIs" dxfId="9175" priority="2956" operator="lessThan">
      <formula>0.8</formula>
    </cfRule>
    <cfRule type="cellIs" dxfId="9174" priority="2957" operator="greaterThan">
      <formula>1</formula>
    </cfRule>
  </conditionalFormatting>
  <conditionalFormatting sqref="R106:R107">
    <cfRule type="cellIs" dxfId="9173" priority="2954" operator="greaterThan">
      <formula>1</formula>
    </cfRule>
    <cfRule type="cellIs" dxfId="9172" priority="2955" operator="lessThan">
      <formula>0.8</formula>
    </cfRule>
  </conditionalFormatting>
  <conditionalFormatting sqref="AF109:AF120">
    <cfRule type="cellIs" dxfId="9171" priority="2952" operator="lessThan">
      <formula>0</formula>
    </cfRule>
  </conditionalFormatting>
  <conditionalFormatting sqref="S109">
    <cfRule type="cellIs" dxfId="9170" priority="2951" operator="lessThan">
      <formula>0.8</formula>
    </cfRule>
  </conditionalFormatting>
  <conditionalFormatting sqref="AG109:AG120">
    <cfRule type="cellIs" dxfId="9169" priority="2949" operator="greaterThan">
      <formula>1</formula>
    </cfRule>
    <cfRule type="cellIs" dxfId="9168" priority="2950" operator="lessThan">
      <formula>0.8</formula>
    </cfRule>
  </conditionalFormatting>
  <conditionalFormatting sqref="S150">
    <cfRule type="cellIs" dxfId="9167" priority="2948" operator="lessThan">
      <formula>0.8</formula>
    </cfRule>
  </conditionalFormatting>
  <conditionalFormatting sqref="AH150">
    <cfRule type="cellIs" dxfId="9166" priority="2947" operator="lessThan">
      <formula>0.8</formula>
    </cfRule>
  </conditionalFormatting>
  <conditionalFormatting sqref="S149">
    <cfRule type="cellIs" dxfId="9165" priority="2946" operator="lessThan">
      <formula>0.8</formula>
    </cfRule>
  </conditionalFormatting>
  <conditionalFormatting sqref="Q26:Q29">
    <cfRule type="cellIs" dxfId="9164" priority="2945" operator="lessThan">
      <formula>0</formula>
    </cfRule>
  </conditionalFormatting>
  <conditionalFormatting sqref="S21:S29 AH21:AH29">
    <cfRule type="cellIs" dxfId="9163" priority="2944" operator="lessThan">
      <formula>0.8</formula>
    </cfRule>
  </conditionalFormatting>
  <conditionalFormatting sqref="R26:R29">
    <cfRule type="cellIs" dxfId="9162" priority="2942" operator="lessThan">
      <formula>0.8</formula>
    </cfRule>
    <cfRule type="cellIs" dxfId="9161" priority="2943" operator="greaterThan">
      <formula>1</formula>
    </cfRule>
  </conditionalFormatting>
  <conditionalFormatting sqref="R26:R29">
    <cfRule type="cellIs" dxfId="9160" priority="2940" operator="greaterThan">
      <formula>1</formula>
    </cfRule>
    <cfRule type="cellIs" dxfId="9159" priority="2941" operator="lessThan">
      <formula>0.8</formula>
    </cfRule>
  </conditionalFormatting>
  <conditionalFormatting sqref="P29">
    <cfRule type="cellIs" dxfId="9158" priority="2939" operator="greaterThan">
      <formula>0</formula>
    </cfRule>
  </conditionalFormatting>
  <conditionalFormatting sqref="AH91 S91">
    <cfRule type="cellIs" dxfId="9157" priority="2938" operator="lessThan">
      <formula>0.8</formula>
    </cfRule>
  </conditionalFormatting>
  <conditionalFormatting sqref="P92:P94">
    <cfRule type="cellIs" dxfId="9156" priority="2932" operator="greaterThan">
      <formula>0</formula>
    </cfRule>
  </conditionalFormatting>
  <conditionalFormatting sqref="Q92:Q94">
    <cfRule type="cellIs" dxfId="9155" priority="2937" operator="lessThan">
      <formula>0</formula>
    </cfRule>
  </conditionalFormatting>
  <conditionalFormatting sqref="R92:R94">
    <cfRule type="cellIs" dxfId="9154" priority="2935" operator="lessThan">
      <formula>0.8</formula>
    </cfRule>
    <cfRule type="cellIs" dxfId="9153" priority="2936" operator="greaterThan">
      <formula>1</formula>
    </cfRule>
  </conditionalFormatting>
  <conditionalFormatting sqref="R92:R94">
    <cfRule type="cellIs" dxfId="9152" priority="2933" operator="greaterThan">
      <formula>1</formula>
    </cfRule>
    <cfRule type="cellIs" dxfId="9151" priority="2934" operator="lessThan">
      <formula>0.8</formula>
    </cfRule>
  </conditionalFormatting>
  <conditionalFormatting sqref="AF146 Q146">
    <cfRule type="cellIs" dxfId="9150" priority="2931" operator="lessThan">
      <formula>0</formula>
    </cfRule>
  </conditionalFormatting>
  <conditionalFormatting sqref="AH139:AH146 S139:S146">
    <cfRule type="cellIs" dxfId="9149" priority="2930" operator="lessThan">
      <formula>0.8</formula>
    </cfRule>
  </conditionalFormatting>
  <conditionalFormatting sqref="R146">
    <cfRule type="cellIs" dxfId="9148" priority="2928" operator="lessThan">
      <formula>0.8</formula>
    </cfRule>
    <cfRule type="cellIs" dxfId="9147" priority="2929" operator="greaterThan">
      <formula>1</formula>
    </cfRule>
  </conditionalFormatting>
  <conditionalFormatting sqref="AG146 R146">
    <cfRule type="cellIs" dxfId="9146" priority="2926" operator="greaterThan">
      <formula>1</formula>
    </cfRule>
    <cfRule type="cellIs" dxfId="9145" priority="2927" operator="lessThan">
      <formula>0.8</formula>
    </cfRule>
  </conditionalFormatting>
  <conditionalFormatting sqref="P146">
    <cfRule type="cellIs" dxfId="9144" priority="2925" operator="greaterThan">
      <formula>0</formula>
    </cfRule>
  </conditionalFormatting>
  <conditionalFormatting sqref="Q119:Q120">
    <cfRule type="cellIs" dxfId="9143" priority="2924" operator="lessThan">
      <formula>0</formula>
    </cfRule>
  </conditionalFormatting>
  <conditionalFormatting sqref="R119:R120">
    <cfRule type="cellIs" dxfId="9142" priority="2922" operator="lessThan">
      <formula>0.8</formula>
    </cfRule>
    <cfRule type="cellIs" dxfId="9141" priority="2923" operator="greaterThan">
      <formula>1</formula>
    </cfRule>
  </conditionalFormatting>
  <conditionalFormatting sqref="R119:R120">
    <cfRule type="cellIs" dxfId="9140" priority="2920" operator="greaterThan">
      <formula>1</formula>
    </cfRule>
    <cfRule type="cellIs" dxfId="9139" priority="2921" operator="lessThan">
      <formula>0.8</formula>
    </cfRule>
  </conditionalFormatting>
  <conditionalFormatting sqref="P119:P120">
    <cfRule type="cellIs" dxfId="9138" priority="2919" operator="greaterThan">
      <formula>0</formula>
    </cfRule>
  </conditionalFormatting>
  <conditionalFormatting sqref="S44:S56">
    <cfRule type="cellIs" dxfId="9137" priority="2918" operator="lessThan">
      <formula>0.8</formula>
    </cfRule>
  </conditionalFormatting>
  <conditionalFormatting sqref="S108">
    <cfRule type="cellIs" dxfId="9136" priority="2917" operator="lessThan">
      <formula>0.8</formula>
    </cfRule>
  </conditionalFormatting>
  <conditionalFormatting sqref="S96">
    <cfRule type="cellIs" dxfId="9135" priority="2916" operator="lessThan">
      <formula>0.8</formula>
    </cfRule>
  </conditionalFormatting>
  <conditionalFormatting sqref="S97">
    <cfRule type="cellIs" dxfId="9134" priority="2915" operator="lessThan">
      <formula>0.8</formula>
    </cfRule>
  </conditionalFormatting>
  <conditionalFormatting sqref="S103">
    <cfRule type="cellIs" dxfId="9133" priority="2914" operator="lessThan">
      <formula>0.8</formula>
    </cfRule>
  </conditionalFormatting>
  <conditionalFormatting sqref="S99">
    <cfRule type="cellIs" dxfId="9132" priority="2913" operator="lessThan">
      <formula>0.8</formula>
    </cfRule>
  </conditionalFormatting>
  <conditionalFormatting sqref="S101">
    <cfRule type="cellIs" dxfId="9131" priority="2910" operator="lessThan">
      <formula>0.8</formula>
    </cfRule>
  </conditionalFormatting>
  <conditionalFormatting sqref="S100">
    <cfRule type="cellIs" dxfId="9130" priority="2912" operator="lessThan">
      <formula>0.8</formula>
    </cfRule>
  </conditionalFormatting>
  <conditionalFormatting sqref="S102">
    <cfRule type="cellIs" dxfId="9129" priority="2911" operator="lessThan">
      <formula>0.8</formula>
    </cfRule>
  </conditionalFormatting>
  <conditionalFormatting sqref="S98">
    <cfRule type="cellIs" dxfId="9128" priority="2909" operator="lessThan">
      <formula>0.8</formula>
    </cfRule>
  </conditionalFormatting>
  <conditionalFormatting sqref="S104">
    <cfRule type="cellIs" dxfId="9127" priority="2908" operator="lessThan">
      <formula>0.8</formula>
    </cfRule>
  </conditionalFormatting>
  <conditionalFormatting sqref="Q162:Q167">
    <cfRule type="cellIs" dxfId="9126" priority="2907" operator="lessThan">
      <formula>0</formula>
    </cfRule>
  </conditionalFormatting>
  <conditionalFormatting sqref="R162:R167">
    <cfRule type="cellIs" dxfId="9125" priority="2905" operator="lessThan">
      <formula>0.8</formula>
    </cfRule>
    <cfRule type="cellIs" dxfId="9124" priority="2906" operator="greaterThan">
      <formula>1</formula>
    </cfRule>
  </conditionalFormatting>
  <conditionalFormatting sqref="R162:R167">
    <cfRule type="cellIs" dxfId="9123" priority="2903" operator="greaterThan">
      <formula>1</formula>
    </cfRule>
    <cfRule type="cellIs" dxfId="9122" priority="2904" operator="lessThan">
      <formula>0.8</formula>
    </cfRule>
  </conditionalFormatting>
  <conditionalFormatting sqref="P162:P167">
    <cfRule type="cellIs" dxfId="9121" priority="2902" operator="greaterThan">
      <formula>0</formula>
    </cfRule>
  </conditionalFormatting>
  <conditionalFormatting sqref="P168">
    <cfRule type="cellIs" dxfId="9120" priority="2896" operator="greaterThan">
      <formula>0</formula>
    </cfRule>
  </conditionalFormatting>
  <conditionalFormatting sqref="R168">
    <cfRule type="cellIs" dxfId="9119" priority="2899" operator="lessThan">
      <formula>0.8</formula>
    </cfRule>
    <cfRule type="cellIs" dxfId="9118" priority="2900" operator="greaterThan">
      <formula>1</formula>
    </cfRule>
  </conditionalFormatting>
  <conditionalFormatting sqref="R168">
    <cfRule type="cellIs" dxfId="9117" priority="2897" operator="greaterThan">
      <formula>1</formula>
    </cfRule>
    <cfRule type="cellIs" dxfId="9116" priority="2898" operator="lessThan">
      <formula>0.8</formula>
    </cfRule>
  </conditionalFormatting>
  <conditionalFormatting sqref="Q168">
    <cfRule type="cellIs" dxfId="9115" priority="2901" operator="lessThan">
      <formula>0</formula>
    </cfRule>
  </conditionalFormatting>
  <conditionalFormatting sqref="Q83">
    <cfRule type="cellIs" dxfId="9114" priority="2895" operator="lessThan">
      <formula>0</formula>
    </cfRule>
  </conditionalFormatting>
  <conditionalFormatting sqref="R83">
    <cfRule type="cellIs" dxfId="9113" priority="2893" operator="lessThan">
      <formula>0.8</formula>
    </cfRule>
    <cfRule type="cellIs" dxfId="9112" priority="2894" operator="greaterThan">
      <formula>1</formula>
    </cfRule>
  </conditionalFormatting>
  <conditionalFormatting sqref="R83">
    <cfRule type="cellIs" dxfId="9111" priority="2891" operator="greaterThan">
      <formula>1</formula>
    </cfRule>
    <cfRule type="cellIs" dxfId="9110" priority="2892" operator="lessThan">
      <formula>0.8</formula>
    </cfRule>
  </conditionalFormatting>
  <conditionalFormatting sqref="P83">
    <cfRule type="cellIs" dxfId="9109" priority="2890" operator="greaterThan">
      <formula>0</formula>
    </cfRule>
  </conditionalFormatting>
  <conditionalFormatting sqref="Q83">
    <cfRule type="cellIs" dxfId="9108" priority="2889" operator="lessThan">
      <formula>0</formula>
    </cfRule>
  </conditionalFormatting>
  <conditionalFormatting sqref="R83">
    <cfRule type="cellIs" dxfId="9107" priority="2887" operator="lessThan">
      <formula>0.8</formula>
    </cfRule>
    <cfRule type="cellIs" dxfId="9106" priority="2888" operator="greaterThan">
      <formula>1</formula>
    </cfRule>
  </conditionalFormatting>
  <conditionalFormatting sqref="R83">
    <cfRule type="cellIs" dxfId="9105" priority="2885" operator="greaterThan">
      <formula>1</formula>
    </cfRule>
    <cfRule type="cellIs" dxfId="9104" priority="2886" operator="lessThan">
      <formula>0.8</formula>
    </cfRule>
  </conditionalFormatting>
  <conditionalFormatting sqref="P83">
    <cfRule type="cellIs" dxfId="9103" priority="2884" operator="greaterThan">
      <formula>0</formula>
    </cfRule>
  </conditionalFormatting>
  <conditionalFormatting sqref="Q83">
    <cfRule type="cellIs" dxfId="9102" priority="2883" operator="lessThan">
      <formula>0</formula>
    </cfRule>
  </conditionalFormatting>
  <conditionalFormatting sqref="R83">
    <cfRule type="cellIs" dxfId="9101" priority="2881" operator="lessThan">
      <formula>0.8</formula>
    </cfRule>
    <cfRule type="cellIs" dxfId="9100" priority="2882" operator="greaterThan">
      <formula>1</formula>
    </cfRule>
  </conditionalFormatting>
  <conditionalFormatting sqref="R83">
    <cfRule type="cellIs" dxfId="9099" priority="2879" operator="greaterThan">
      <formula>1</formula>
    </cfRule>
    <cfRule type="cellIs" dxfId="9098" priority="2880" operator="lessThan">
      <formula>0.8</formula>
    </cfRule>
  </conditionalFormatting>
  <conditionalFormatting sqref="P83">
    <cfRule type="cellIs" dxfId="9097" priority="2878" operator="greaterThan">
      <formula>0</formula>
    </cfRule>
  </conditionalFormatting>
  <conditionalFormatting sqref="Q83">
    <cfRule type="cellIs" dxfId="9096" priority="2877" operator="lessThan">
      <formula>0</formula>
    </cfRule>
  </conditionalFormatting>
  <conditionalFormatting sqref="R83">
    <cfRule type="cellIs" dxfId="9095" priority="2875" operator="lessThan">
      <formula>0.8</formula>
    </cfRule>
    <cfRule type="cellIs" dxfId="9094" priority="2876" operator="greaterThan">
      <formula>1</formula>
    </cfRule>
  </conditionalFormatting>
  <conditionalFormatting sqref="R83">
    <cfRule type="cellIs" dxfId="9093" priority="2873" operator="greaterThan">
      <formula>1</formula>
    </cfRule>
    <cfRule type="cellIs" dxfId="9092" priority="2874" operator="lessThan">
      <formula>0.8</formula>
    </cfRule>
  </conditionalFormatting>
  <conditionalFormatting sqref="P83">
    <cfRule type="cellIs" dxfId="9091" priority="2872" operator="greaterThan">
      <formula>0</formula>
    </cfRule>
  </conditionalFormatting>
  <conditionalFormatting sqref="P83">
    <cfRule type="cellIs" dxfId="9090" priority="2866" operator="greaterThan">
      <formula>0</formula>
    </cfRule>
  </conditionalFormatting>
  <conditionalFormatting sqref="Q83">
    <cfRule type="cellIs" dxfId="9089" priority="2871" operator="lessThan">
      <formula>0</formula>
    </cfRule>
  </conditionalFormatting>
  <conditionalFormatting sqref="R83">
    <cfRule type="cellIs" dxfId="9088" priority="2869" operator="lessThan">
      <formula>0.8</formula>
    </cfRule>
    <cfRule type="cellIs" dxfId="9087" priority="2870" operator="greaterThan">
      <formula>1</formula>
    </cfRule>
  </conditionalFormatting>
  <conditionalFormatting sqref="R83">
    <cfRule type="cellIs" dxfId="9086" priority="2867" operator="greaterThan">
      <formula>1</formula>
    </cfRule>
    <cfRule type="cellIs" dxfId="9085" priority="2868" operator="lessThan">
      <formula>0.8</formula>
    </cfRule>
  </conditionalFormatting>
  <conditionalFormatting sqref="P83">
    <cfRule type="cellIs" dxfId="9084" priority="2860" operator="greaterThan">
      <formula>0</formula>
    </cfRule>
  </conditionalFormatting>
  <conditionalFormatting sqref="Q83">
    <cfRule type="cellIs" dxfId="9083" priority="2865" operator="lessThan">
      <formula>0</formula>
    </cfRule>
  </conditionalFormatting>
  <conditionalFormatting sqref="R83">
    <cfRule type="cellIs" dxfId="9082" priority="2863" operator="lessThan">
      <formula>0.8</formula>
    </cfRule>
    <cfRule type="cellIs" dxfId="9081" priority="2864" operator="greaterThan">
      <formula>1</formula>
    </cfRule>
  </conditionalFormatting>
  <conditionalFormatting sqref="R83">
    <cfRule type="cellIs" dxfId="9080" priority="2861" operator="greaterThan">
      <formula>1</formula>
    </cfRule>
    <cfRule type="cellIs" dxfId="9079" priority="2862" operator="lessThan">
      <formula>0.8</formula>
    </cfRule>
  </conditionalFormatting>
  <conditionalFormatting sqref="R83">
    <cfRule type="cellIs" dxfId="9078" priority="2857" operator="lessThan">
      <formula>0.8</formula>
    </cfRule>
    <cfRule type="cellIs" dxfId="9077" priority="2858" operator="greaterThan">
      <formula>1</formula>
    </cfRule>
  </conditionalFormatting>
  <conditionalFormatting sqref="R83">
    <cfRule type="cellIs" dxfId="9076" priority="2855" operator="greaterThan">
      <formula>1</formula>
    </cfRule>
    <cfRule type="cellIs" dxfId="9075" priority="2856" operator="lessThan">
      <formula>0.8</formula>
    </cfRule>
  </conditionalFormatting>
  <conditionalFormatting sqref="P83">
    <cfRule type="cellIs" dxfId="9074" priority="2854" operator="greaterThan">
      <formula>0</formula>
    </cfRule>
  </conditionalFormatting>
  <conditionalFormatting sqref="Q83">
    <cfRule type="cellIs" dxfId="9073" priority="2859" operator="lessThan">
      <formula>0</formula>
    </cfRule>
  </conditionalFormatting>
  <conditionalFormatting sqref="Q83">
    <cfRule type="cellIs" dxfId="9072" priority="2853" operator="lessThan">
      <formula>0</formula>
    </cfRule>
  </conditionalFormatting>
  <conditionalFormatting sqref="R83">
    <cfRule type="cellIs" dxfId="9071" priority="2851" operator="lessThan">
      <formula>0.8</formula>
    </cfRule>
    <cfRule type="cellIs" dxfId="9070" priority="2852" operator="greaterThan">
      <formula>1</formula>
    </cfRule>
  </conditionalFormatting>
  <conditionalFormatting sqref="R83">
    <cfRule type="cellIs" dxfId="9069" priority="2849" operator="greaterThan">
      <formula>1</formula>
    </cfRule>
    <cfRule type="cellIs" dxfId="9068" priority="2850" operator="lessThan">
      <formula>0.8</formula>
    </cfRule>
  </conditionalFormatting>
  <conditionalFormatting sqref="P83">
    <cfRule type="cellIs" dxfId="9067" priority="2848" operator="greaterThan">
      <formula>0</formula>
    </cfRule>
  </conditionalFormatting>
  <conditionalFormatting sqref="P83">
    <cfRule type="cellIs" dxfId="9066" priority="2842" operator="greaterThan">
      <formula>0</formula>
    </cfRule>
  </conditionalFormatting>
  <conditionalFormatting sqref="Q83">
    <cfRule type="cellIs" dxfId="9065" priority="2847" operator="lessThan">
      <formula>0</formula>
    </cfRule>
  </conditionalFormatting>
  <conditionalFormatting sqref="R83">
    <cfRule type="cellIs" dxfId="9064" priority="2845" operator="lessThan">
      <formula>0.8</formula>
    </cfRule>
    <cfRule type="cellIs" dxfId="9063" priority="2846" operator="greaterThan">
      <formula>1</formula>
    </cfRule>
  </conditionalFormatting>
  <conditionalFormatting sqref="R83">
    <cfRule type="cellIs" dxfId="9062" priority="2843" operator="greaterThan">
      <formula>1</formula>
    </cfRule>
    <cfRule type="cellIs" dxfId="9061" priority="2844" operator="lessThan">
      <formula>0.8</formula>
    </cfRule>
  </conditionalFormatting>
  <conditionalFormatting sqref="P83">
    <cfRule type="cellIs" dxfId="9060" priority="2836" operator="greaterThan">
      <formula>0</formula>
    </cfRule>
  </conditionalFormatting>
  <conditionalFormatting sqref="Q83">
    <cfRule type="cellIs" dxfId="9059" priority="2841" operator="lessThan">
      <formula>0</formula>
    </cfRule>
  </conditionalFormatting>
  <conditionalFormatting sqref="R83">
    <cfRule type="cellIs" dxfId="9058" priority="2839" operator="lessThan">
      <formula>0.8</formula>
    </cfRule>
    <cfRule type="cellIs" dxfId="9057" priority="2840" operator="greaterThan">
      <formula>1</formula>
    </cfRule>
  </conditionalFormatting>
  <conditionalFormatting sqref="R83">
    <cfRule type="cellIs" dxfId="9056" priority="2837" operator="greaterThan">
      <formula>1</formula>
    </cfRule>
    <cfRule type="cellIs" dxfId="9055" priority="2838" operator="lessThan">
      <formula>0.8</formula>
    </cfRule>
  </conditionalFormatting>
  <conditionalFormatting sqref="R83">
    <cfRule type="cellIs" dxfId="9054" priority="2833" operator="lessThan">
      <formula>0.8</formula>
    </cfRule>
    <cfRule type="cellIs" dxfId="9053" priority="2834" operator="greaterThan">
      <formula>1</formula>
    </cfRule>
  </conditionalFormatting>
  <conditionalFormatting sqref="R83">
    <cfRule type="cellIs" dxfId="9052" priority="2831" operator="greaterThan">
      <formula>1</formula>
    </cfRule>
    <cfRule type="cellIs" dxfId="9051" priority="2832" operator="lessThan">
      <formula>0.8</formula>
    </cfRule>
  </conditionalFormatting>
  <conditionalFormatting sqref="P83">
    <cfRule type="cellIs" dxfId="9050" priority="2830" operator="greaterThan">
      <formula>0</formula>
    </cfRule>
  </conditionalFormatting>
  <conditionalFormatting sqref="Q83">
    <cfRule type="cellIs" dxfId="9049" priority="2835" operator="lessThan">
      <formula>0</formula>
    </cfRule>
  </conditionalFormatting>
  <conditionalFormatting sqref="P83">
    <cfRule type="cellIs" dxfId="9048" priority="2824" operator="greaterThan">
      <formula>0</formula>
    </cfRule>
  </conditionalFormatting>
  <conditionalFormatting sqref="Q83">
    <cfRule type="cellIs" dxfId="9047" priority="2829" operator="lessThan">
      <formula>0</formula>
    </cfRule>
  </conditionalFormatting>
  <conditionalFormatting sqref="R83">
    <cfRule type="cellIs" dxfId="9046" priority="2827" operator="lessThan">
      <formula>0.8</formula>
    </cfRule>
    <cfRule type="cellIs" dxfId="9045" priority="2828" operator="greaterThan">
      <formula>1</formula>
    </cfRule>
  </conditionalFormatting>
  <conditionalFormatting sqref="R83">
    <cfRule type="cellIs" dxfId="9044" priority="2825" operator="greaterThan">
      <formula>1</formula>
    </cfRule>
    <cfRule type="cellIs" dxfId="9043" priority="2826" operator="lessThan">
      <formula>0.8</formula>
    </cfRule>
  </conditionalFormatting>
  <conditionalFormatting sqref="R83">
    <cfRule type="cellIs" dxfId="9042" priority="2821" operator="lessThan">
      <formula>0.8</formula>
    </cfRule>
    <cfRule type="cellIs" dxfId="9041" priority="2822" operator="greaterThan">
      <formula>1</formula>
    </cfRule>
  </conditionalFormatting>
  <conditionalFormatting sqref="R83">
    <cfRule type="cellIs" dxfId="9040" priority="2819" operator="greaterThan">
      <formula>1</formula>
    </cfRule>
    <cfRule type="cellIs" dxfId="9039" priority="2820" operator="lessThan">
      <formula>0.8</formula>
    </cfRule>
  </conditionalFormatting>
  <conditionalFormatting sqref="P83">
    <cfRule type="cellIs" dxfId="9038" priority="2818" operator="greaterThan">
      <formula>0</formula>
    </cfRule>
  </conditionalFormatting>
  <conditionalFormatting sqref="Q83">
    <cfRule type="cellIs" dxfId="9037" priority="2823" operator="lessThan">
      <formula>0</formula>
    </cfRule>
  </conditionalFormatting>
  <conditionalFormatting sqref="R83">
    <cfRule type="cellIs" dxfId="9036" priority="2815" operator="lessThan">
      <formula>0.8</formula>
    </cfRule>
    <cfRule type="cellIs" dxfId="9035" priority="2816" operator="greaterThan">
      <formula>1</formula>
    </cfRule>
  </conditionalFormatting>
  <conditionalFormatting sqref="R83">
    <cfRule type="cellIs" dxfId="9034" priority="2813" operator="greaterThan">
      <formula>1</formula>
    </cfRule>
    <cfRule type="cellIs" dxfId="9033" priority="2814" operator="lessThan">
      <formula>0.8</formula>
    </cfRule>
  </conditionalFormatting>
  <conditionalFormatting sqref="P83">
    <cfRule type="cellIs" dxfId="9032" priority="2812" operator="greaterThan">
      <formula>0</formula>
    </cfRule>
  </conditionalFormatting>
  <conditionalFormatting sqref="Q83">
    <cfRule type="cellIs" dxfId="9031" priority="2817" operator="lessThan">
      <formula>0</formula>
    </cfRule>
  </conditionalFormatting>
  <conditionalFormatting sqref="Q83">
    <cfRule type="cellIs" dxfId="9030" priority="2811" operator="lessThan">
      <formula>0</formula>
    </cfRule>
  </conditionalFormatting>
  <conditionalFormatting sqref="R83">
    <cfRule type="cellIs" dxfId="9029" priority="2809" operator="lessThan">
      <formula>0.8</formula>
    </cfRule>
    <cfRule type="cellIs" dxfId="9028" priority="2810" operator="greaterThan">
      <formula>1</formula>
    </cfRule>
  </conditionalFormatting>
  <conditionalFormatting sqref="R83">
    <cfRule type="cellIs" dxfId="9027" priority="2807" operator="greaterThan">
      <formula>1</formula>
    </cfRule>
    <cfRule type="cellIs" dxfId="9026" priority="2808" operator="lessThan">
      <formula>0.8</formula>
    </cfRule>
  </conditionalFormatting>
  <conditionalFormatting sqref="P83">
    <cfRule type="cellIs" dxfId="9025" priority="2806" operator="greaterThan">
      <formula>0</formula>
    </cfRule>
  </conditionalFormatting>
  <conditionalFormatting sqref="Q83">
    <cfRule type="cellIs" dxfId="9024" priority="2800" operator="lessThan">
      <formula>0</formula>
    </cfRule>
  </conditionalFormatting>
  <conditionalFormatting sqref="R83">
    <cfRule type="cellIs" dxfId="9023" priority="2804" operator="lessThan">
      <formula>0.8</formula>
    </cfRule>
    <cfRule type="cellIs" dxfId="9022" priority="2805" operator="greaterThan">
      <formula>1</formula>
    </cfRule>
  </conditionalFormatting>
  <conditionalFormatting sqref="R83">
    <cfRule type="cellIs" dxfId="9021" priority="2802" operator="greaterThan">
      <formula>1</formula>
    </cfRule>
    <cfRule type="cellIs" dxfId="9020" priority="2803" operator="lessThan">
      <formula>0.8</formula>
    </cfRule>
  </conditionalFormatting>
  <conditionalFormatting sqref="P83">
    <cfRule type="cellIs" dxfId="9019" priority="2801" operator="greaterThan">
      <formula>0</formula>
    </cfRule>
  </conditionalFormatting>
  <conditionalFormatting sqref="Q83">
    <cfRule type="cellIs" dxfId="9018" priority="2799" operator="lessThan">
      <formula>0</formula>
    </cfRule>
  </conditionalFormatting>
  <conditionalFormatting sqref="R83">
    <cfRule type="cellIs" dxfId="9017" priority="2797" operator="lessThan">
      <formula>0.8</formula>
    </cfRule>
    <cfRule type="cellIs" dxfId="9016" priority="2798" operator="greaterThan">
      <formula>1</formula>
    </cfRule>
  </conditionalFormatting>
  <conditionalFormatting sqref="R83">
    <cfRule type="cellIs" dxfId="9015" priority="2795" operator="greaterThan">
      <formula>1</formula>
    </cfRule>
    <cfRule type="cellIs" dxfId="9014" priority="2796" operator="lessThan">
      <formula>0.8</formula>
    </cfRule>
  </conditionalFormatting>
  <conditionalFormatting sqref="P83">
    <cfRule type="cellIs" dxfId="9013" priority="2794" operator="greaterThan">
      <formula>0</formula>
    </cfRule>
  </conditionalFormatting>
  <conditionalFormatting sqref="Q83">
    <cfRule type="cellIs" dxfId="9012" priority="2793" operator="lessThan">
      <formula>0</formula>
    </cfRule>
  </conditionalFormatting>
  <conditionalFormatting sqref="R83">
    <cfRule type="cellIs" dxfId="9011" priority="2791" operator="lessThan">
      <formula>0.8</formula>
    </cfRule>
    <cfRule type="cellIs" dxfId="9010" priority="2792" operator="greaterThan">
      <formula>1</formula>
    </cfRule>
  </conditionalFormatting>
  <conditionalFormatting sqref="R83">
    <cfRule type="cellIs" dxfId="9009" priority="2789" operator="greaterThan">
      <formula>1</formula>
    </cfRule>
    <cfRule type="cellIs" dxfId="9008" priority="2790" operator="lessThan">
      <formula>0.8</formula>
    </cfRule>
  </conditionalFormatting>
  <conditionalFormatting sqref="P83">
    <cfRule type="cellIs" dxfId="9007" priority="2788" operator="greaterThan">
      <formula>0</formula>
    </cfRule>
  </conditionalFormatting>
  <conditionalFormatting sqref="Q83">
    <cfRule type="cellIs" dxfId="9006" priority="2787" operator="lessThan">
      <formula>0</formula>
    </cfRule>
  </conditionalFormatting>
  <conditionalFormatting sqref="R83">
    <cfRule type="cellIs" dxfId="9005" priority="2785" operator="lessThan">
      <formula>0.8</formula>
    </cfRule>
    <cfRule type="cellIs" dxfId="9004" priority="2786" operator="greaterThan">
      <formula>1</formula>
    </cfRule>
  </conditionalFormatting>
  <conditionalFormatting sqref="R83">
    <cfRule type="cellIs" dxfId="9003" priority="2783" operator="greaterThan">
      <formula>1</formula>
    </cfRule>
    <cfRule type="cellIs" dxfId="9002" priority="2784" operator="lessThan">
      <formula>0.8</formula>
    </cfRule>
  </conditionalFormatting>
  <conditionalFormatting sqref="P83">
    <cfRule type="cellIs" dxfId="9001" priority="2782" operator="greaterThan">
      <formula>0</formula>
    </cfRule>
  </conditionalFormatting>
  <conditionalFormatting sqref="Q83">
    <cfRule type="cellIs" dxfId="9000" priority="2781" operator="lessThan">
      <formula>0</formula>
    </cfRule>
  </conditionalFormatting>
  <conditionalFormatting sqref="R83">
    <cfRule type="cellIs" dxfId="8999" priority="2779" operator="lessThan">
      <formula>0.8</formula>
    </cfRule>
    <cfRule type="cellIs" dxfId="8998" priority="2780" operator="greaterThan">
      <formula>1</formula>
    </cfRule>
  </conditionalFormatting>
  <conditionalFormatting sqref="R83">
    <cfRule type="cellIs" dxfId="8997" priority="2777" operator="greaterThan">
      <formula>1</formula>
    </cfRule>
    <cfRule type="cellIs" dxfId="8996" priority="2778" operator="lessThan">
      <formula>0.8</formula>
    </cfRule>
  </conditionalFormatting>
  <conditionalFormatting sqref="P83">
    <cfRule type="cellIs" dxfId="8995" priority="2776" operator="greaterThan">
      <formula>0</formula>
    </cfRule>
  </conditionalFormatting>
  <conditionalFormatting sqref="Q83">
    <cfRule type="cellIs" dxfId="8994" priority="2775" operator="lessThan">
      <formula>0</formula>
    </cfRule>
  </conditionalFormatting>
  <conditionalFormatting sqref="R83">
    <cfRule type="cellIs" dxfId="8993" priority="2773" operator="lessThan">
      <formula>0.8</formula>
    </cfRule>
    <cfRule type="cellIs" dxfId="8992" priority="2774" operator="greaterThan">
      <formula>1</formula>
    </cfRule>
  </conditionalFormatting>
  <conditionalFormatting sqref="R83">
    <cfRule type="cellIs" dxfId="8991" priority="2771" operator="greaterThan">
      <formula>1</formula>
    </cfRule>
    <cfRule type="cellIs" dxfId="8990" priority="2772" operator="lessThan">
      <formula>0.8</formula>
    </cfRule>
  </conditionalFormatting>
  <conditionalFormatting sqref="P83">
    <cfRule type="cellIs" dxfId="8989" priority="2770" operator="greaterThan">
      <formula>0</formula>
    </cfRule>
  </conditionalFormatting>
  <conditionalFormatting sqref="P83">
    <cfRule type="cellIs" dxfId="8988" priority="2764" operator="greaterThan">
      <formula>0</formula>
    </cfRule>
  </conditionalFormatting>
  <conditionalFormatting sqref="Q83">
    <cfRule type="cellIs" dxfId="8987" priority="2769" operator="lessThan">
      <formula>0</formula>
    </cfRule>
  </conditionalFormatting>
  <conditionalFormatting sqref="R83">
    <cfRule type="cellIs" dxfId="8986" priority="2767" operator="lessThan">
      <formula>0.8</formula>
    </cfRule>
    <cfRule type="cellIs" dxfId="8985" priority="2768" operator="greaterThan">
      <formula>1</formula>
    </cfRule>
  </conditionalFormatting>
  <conditionalFormatting sqref="R83">
    <cfRule type="cellIs" dxfId="8984" priority="2765" operator="greaterThan">
      <formula>1</formula>
    </cfRule>
    <cfRule type="cellIs" dxfId="8983" priority="2766" operator="lessThan">
      <formula>0.8</formula>
    </cfRule>
  </conditionalFormatting>
  <conditionalFormatting sqref="P83">
    <cfRule type="cellIs" dxfId="8982" priority="2758" operator="greaterThan">
      <formula>0</formula>
    </cfRule>
  </conditionalFormatting>
  <conditionalFormatting sqref="Q83">
    <cfRule type="cellIs" dxfId="8981" priority="2763" operator="lessThan">
      <formula>0</formula>
    </cfRule>
  </conditionalFormatting>
  <conditionalFormatting sqref="R83">
    <cfRule type="cellIs" dxfId="8980" priority="2761" operator="lessThan">
      <formula>0.8</formula>
    </cfRule>
    <cfRule type="cellIs" dxfId="8979" priority="2762" operator="greaterThan">
      <formula>1</formula>
    </cfRule>
  </conditionalFormatting>
  <conditionalFormatting sqref="R83">
    <cfRule type="cellIs" dxfId="8978" priority="2759" operator="greaterThan">
      <formula>1</formula>
    </cfRule>
    <cfRule type="cellIs" dxfId="8977" priority="2760" operator="lessThan">
      <formula>0.8</formula>
    </cfRule>
  </conditionalFormatting>
  <conditionalFormatting sqref="R83">
    <cfRule type="cellIs" dxfId="8976" priority="2755" operator="lessThan">
      <formula>0.8</formula>
    </cfRule>
    <cfRule type="cellIs" dxfId="8975" priority="2756" operator="greaterThan">
      <formula>1</formula>
    </cfRule>
  </conditionalFormatting>
  <conditionalFormatting sqref="R83">
    <cfRule type="cellIs" dxfId="8974" priority="2753" operator="greaterThan">
      <formula>1</formula>
    </cfRule>
    <cfRule type="cellIs" dxfId="8973" priority="2754" operator="lessThan">
      <formula>0.8</formula>
    </cfRule>
  </conditionalFormatting>
  <conditionalFormatting sqref="P83">
    <cfRule type="cellIs" dxfId="8972" priority="2752" operator="greaterThan">
      <formula>0</formula>
    </cfRule>
  </conditionalFormatting>
  <conditionalFormatting sqref="Q83">
    <cfRule type="cellIs" dxfId="8971" priority="2757" operator="lessThan">
      <formula>0</formula>
    </cfRule>
  </conditionalFormatting>
  <conditionalFormatting sqref="Q83">
    <cfRule type="cellIs" dxfId="8970" priority="2751" operator="lessThan">
      <formula>0</formula>
    </cfRule>
  </conditionalFormatting>
  <conditionalFormatting sqref="R83">
    <cfRule type="cellIs" dxfId="8969" priority="2749" operator="lessThan">
      <formula>0.8</formula>
    </cfRule>
    <cfRule type="cellIs" dxfId="8968" priority="2750" operator="greaterThan">
      <formula>1</formula>
    </cfRule>
  </conditionalFormatting>
  <conditionalFormatting sqref="R83">
    <cfRule type="cellIs" dxfId="8967" priority="2747" operator="greaterThan">
      <formula>1</formula>
    </cfRule>
    <cfRule type="cellIs" dxfId="8966" priority="2748" operator="lessThan">
      <formula>0.8</formula>
    </cfRule>
  </conditionalFormatting>
  <conditionalFormatting sqref="P83">
    <cfRule type="cellIs" dxfId="8965" priority="2746" operator="greaterThan">
      <formula>0</formula>
    </cfRule>
  </conditionalFormatting>
  <conditionalFormatting sqref="Q83">
    <cfRule type="cellIs" dxfId="8964" priority="2745" operator="lessThan">
      <formula>0</formula>
    </cfRule>
  </conditionalFormatting>
  <conditionalFormatting sqref="R83">
    <cfRule type="cellIs" dxfId="8963" priority="2743" operator="lessThan">
      <formula>0.8</formula>
    </cfRule>
    <cfRule type="cellIs" dxfId="8962" priority="2744" operator="greaterThan">
      <formula>1</formula>
    </cfRule>
  </conditionalFormatting>
  <conditionalFormatting sqref="R83">
    <cfRule type="cellIs" dxfId="8961" priority="2741" operator="greaterThan">
      <formula>1</formula>
    </cfRule>
    <cfRule type="cellIs" dxfId="8960" priority="2742" operator="lessThan">
      <formula>0.8</formula>
    </cfRule>
  </conditionalFormatting>
  <conditionalFormatting sqref="P83">
    <cfRule type="cellIs" dxfId="8959" priority="2740" operator="greaterThan">
      <formula>0</formula>
    </cfRule>
  </conditionalFormatting>
  <conditionalFormatting sqref="Q83">
    <cfRule type="cellIs" dxfId="8958" priority="2739" operator="lessThan">
      <formula>0</formula>
    </cfRule>
  </conditionalFormatting>
  <conditionalFormatting sqref="R83">
    <cfRule type="cellIs" dxfId="8957" priority="2737" operator="lessThan">
      <formula>0.8</formula>
    </cfRule>
    <cfRule type="cellIs" dxfId="8956" priority="2738" operator="greaterThan">
      <formula>1</formula>
    </cfRule>
  </conditionalFormatting>
  <conditionalFormatting sqref="R83">
    <cfRule type="cellIs" dxfId="8955" priority="2735" operator="greaterThan">
      <formula>1</formula>
    </cfRule>
    <cfRule type="cellIs" dxfId="8954" priority="2736" operator="lessThan">
      <formula>0.8</formula>
    </cfRule>
  </conditionalFormatting>
  <conditionalFormatting sqref="P83">
    <cfRule type="cellIs" dxfId="8953" priority="2734" operator="greaterThan">
      <formula>0</formula>
    </cfRule>
  </conditionalFormatting>
  <conditionalFormatting sqref="Q83">
    <cfRule type="cellIs" dxfId="8952" priority="2733" operator="lessThan">
      <formula>0</formula>
    </cfRule>
  </conditionalFormatting>
  <conditionalFormatting sqref="R83">
    <cfRule type="cellIs" dxfId="8951" priority="2731" operator="lessThan">
      <formula>0.8</formula>
    </cfRule>
    <cfRule type="cellIs" dxfId="8950" priority="2732" operator="greaterThan">
      <formula>1</formula>
    </cfRule>
  </conditionalFormatting>
  <conditionalFormatting sqref="R83">
    <cfRule type="cellIs" dxfId="8949" priority="2729" operator="greaterThan">
      <formula>1</formula>
    </cfRule>
    <cfRule type="cellIs" dxfId="8948" priority="2730" operator="lessThan">
      <formula>0.8</formula>
    </cfRule>
  </conditionalFormatting>
  <conditionalFormatting sqref="P83">
    <cfRule type="cellIs" dxfId="8947" priority="2728" operator="greaterThan">
      <formula>0</formula>
    </cfRule>
  </conditionalFormatting>
  <conditionalFormatting sqref="P83">
    <cfRule type="cellIs" dxfId="8946" priority="2722" operator="greaterThan">
      <formula>0</formula>
    </cfRule>
  </conditionalFormatting>
  <conditionalFormatting sqref="Q83">
    <cfRule type="cellIs" dxfId="8945" priority="2727" operator="lessThan">
      <formula>0</formula>
    </cfRule>
  </conditionalFormatting>
  <conditionalFormatting sqref="R83">
    <cfRule type="cellIs" dxfId="8944" priority="2725" operator="lessThan">
      <formula>0.8</formula>
    </cfRule>
    <cfRule type="cellIs" dxfId="8943" priority="2726" operator="greaterThan">
      <formula>1</formula>
    </cfRule>
  </conditionalFormatting>
  <conditionalFormatting sqref="R83">
    <cfRule type="cellIs" dxfId="8942" priority="2723" operator="greaterThan">
      <formula>1</formula>
    </cfRule>
    <cfRule type="cellIs" dxfId="8941" priority="2724" operator="lessThan">
      <formula>0.8</formula>
    </cfRule>
  </conditionalFormatting>
  <conditionalFormatting sqref="P83">
    <cfRule type="cellIs" dxfId="8940" priority="2716" operator="greaterThan">
      <formula>0</formula>
    </cfRule>
  </conditionalFormatting>
  <conditionalFormatting sqref="Q83">
    <cfRule type="cellIs" dxfId="8939" priority="2721" operator="lessThan">
      <formula>0</formula>
    </cfRule>
  </conditionalFormatting>
  <conditionalFormatting sqref="R83">
    <cfRule type="cellIs" dxfId="8938" priority="2719" operator="lessThan">
      <formula>0.8</formula>
    </cfRule>
    <cfRule type="cellIs" dxfId="8937" priority="2720" operator="greaterThan">
      <formula>1</formula>
    </cfRule>
  </conditionalFormatting>
  <conditionalFormatting sqref="R83">
    <cfRule type="cellIs" dxfId="8936" priority="2717" operator="greaterThan">
      <formula>1</formula>
    </cfRule>
    <cfRule type="cellIs" dxfId="8935" priority="2718" operator="lessThan">
      <formula>0.8</formula>
    </cfRule>
  </conditionalFormatting>
  <conditionalFormatting sqref="R83">
    <cfRule type="cellIs" dxfId="8934" priority="2713" operator="lessThan">
      <formula>0.8</formula>
    </cfRule>
    <cfRule type="cellIs" dxfId="8933" priority="2714" operator="greaterThan">
      <formula>1</formula>
    </cfRule>
  </conditionalFormatting>
  <conditionalFormatting sqref="R83">
    <cfRule type="cellIs" dxfId="8932" priority="2711" operator="greaterThan">
      <formula>1</formula>
    </cfRule>
    <cfRule type="cellIs" dxfId="8931" priority="2712" operator="lessThan">
      <formula>0.8</formula>
    </cfRule>
  </conditionalFormatting>
  <conditionalFormatting sqref="P83">
    <cfRule type="cellIs" dxfId="8930" priority="2710" operator="greaterThan">
      <formula>0</formula>
    </cfRule>
  </conditionalFormatting>
  <conditionalFormatting sqref="Q83">
    <cfRule type="cellIs" dxfId="8929" priority="2715" operator="lessThan">
      <formula>0</formula>
    </cfRule>
  </conditionalFormatting>
  <conditionalFormatting sqref="Q83">
    <cfRule type="cellIs" dxfId="8928" priority="2709" operator="lessThan">
      <formula>0</formula>
    </cfRule>
  </conditionalFormatting>
  <conditionalFormatting sqref="R83">
    <cfRule type="cellIs" dxfId="8927" priority="2707" operator="lessThan">
      <formula>0.8</formula>
    </cfRule>
    <cfRule type="cellIs" dxfId="8926" priority="2708" operator="greaterThan">
      <formula>1</formula>
    </cfRule>
  </conditionalFormatting>
  <conditionalFormatting sqref="R83">
    <cfRule type="cellIs" dxfId="8925" priority="2705" operator="greaterThan">
      <formula>1</formula>
    </cfRule>
    <cfRule type="cellIs" dxfId="8924" priority="2706" operator="lessThan">
      <formula>0.8</formula>
    </cfRule>
  </conditionalFormatting>
  <conditionalFormatting sqref="P83">
    <cfRule type="cellIs" dxfId="8923" priority="2704" operator="greaterThan">
      <formula>0</formula>
    </cfRule>
  </conditionalFormatting>
  <conditionalFormatting sqref="P83">
    <cfRule type="cellIs" dxfId="8922" priority="2698" operator="greaterThan">
      <formula>0</formula>
    </cfRule>
  </conditionalFormatting>
  <conditionalFormatting sqref="Q83">
    <cfRule type="cellIs" dxfId="8921" priority="2703" operator="lessThan">
      <formula>0</formula>
    </cfRule>
  </conditionalFormatting>
  <conditionalFormatting sqref="R83">
    <cfRule type="cellIs" dxfId="8920" priority="2701" operator="lessThan">
      <formula>0.8</formula>
    </cfRule>
    <cfRule type="cellIs" dxfId="8919" priority="2702" operator="greaterThan">
      <formula>1</formula>
    </cfRule>
  </conditionalFormatting>
  <conditionalFormatting sqref="R83">
    <cfRule type="cellIs" dxfId="8918" priority="2699" operator="greaterThan">
      <formula>1</formula>
    </cfRule>
    <cfRule type="cellIs" dxfId="8917" priority="2700" operator="lessThan">
      <formula>0.8</formula>
    </cfRule>
  </conditionalFormatting>
  <conditionalFormatting sqref="P83">
    <cfRule type="cellIs" dxfId="8916" priority="2692" operator="greaterThan">
      <formula>0</formula>
    </cfRule>
  </conditionalFormatting>
  <conditionalFormatting sqref="Q83">
    <cfRule type="cellIs" dxfId="8915" priority="2697" operator="lessThan">
      <formula>0</formula>
    </cfRule>
  </conditionalFormatting>
  <conditionalFormatting sqref="R83">
    <cfRule type="cellIs" dxfId="8914" priority="2695" operator="lessThan">
      <formula>0.8</formula>
    </cfRule>
    <cfRule type="cellIs" dxfId="8913" priority="2696" operator="greaterThan">
      <formula>1</formula>
    </cfRule>
  </conditionalFormatting>
  <conditionalFormatting sqref="R83">
    <cfRule type="cellIs" dxfId="8912" priority="2693" operator="greaterThan">
      <formula>1</formula>
    </cfRule>
    <cfRule type="cellIs" dxfId="8911" priority="2694" operator="lessThan">
      <formula>0.8</formula>
    </cfRule>
  </conditionalFormatting>
  <conditionalFormatting sqref="R83">
    <cfRule type="cellIs" dxfId="8910" priority="2689" operator="lessThan">
      <formula>0.8</formula>
    </cfRule>
    <cfRule type="cellIs" dxfId="8909" priority="2690" operator="greaterThan">
      <formula>1</formula>
    </cfRule>
  </conditionalFormatting>
  <conditionalFormatting sqref="R83">
    <cfRule type="cellIs" dxfId="8908" priority="2687" operator="greaterThan">
      <formula>1</formula>
    </cfRule>
    <cfRule type="cellIs" dxfId="8907" priority="2688" operator="lessThan">
      <formula>0.8</formula>
    </cfRule>
  </conditionalFormatting>
  <conditionalFormatting sqref="P83">
    <cfRule type="cellIs" dxfId="8906" priority="2686" operator="greaterThan">
      <formula>0</formula>
    </cfRule>
  </conditionalFormatting>
  <conditionalFormatting sqref="Q83">
    <cfRule type="cellIs" dxfId="8905" priority="2691" operator="lessThan">
      <formula>0</formula>
    </cfRule>
  </conditionalFormatting>
  <conditionalFormatting sqref="P83">
    <cfRule type="cellIs" dxfId="8904" priority="2680" operator="greaterThan">
      <formula>0</formula>
    </cfRule>
  </conditionalFormatting>
  <conditionalFormatting sqref="Q83">
    <cfRule type="cellIs" dxfId="8903" priority="2685" operator="lessThan">
      <formula>0</formula>
    </cfRule>
  </conditionalFormatting>
  <conditionalFormatting sqref="R83">
    <cfRule type="cellIs" dxfId="8902" priority="2683" operator="lessThan">
      <formula>0.8</formula>
    </cfRule>
    <cfRule type="cellIs" dxfId="8901" priority="2684" operator="greaterThan">
      <formula>1</formula>
    </cfRule>
  </conditionalFormatting>
  <conditionalFormatting sqref="R83">
    <cfRule type="cellIs" dxfId="8900" priority="2681" operator="greaterThan">
      <formula>1</formula>
    </cfRule>
    <cfRule type="cellIs" dxfId="8899" priority="2682" operator="lessThan">
      <formula>0.8</formula>
    </cfRule>
  </conditionalFormatting>
  <conditionalFormatting sqref="R83">
    <cfRule type="cellIs" dxfId="8898" priority="2677" operator="lessThan">
      <formula>0.8</formula>
    </cfRule>
    <cfRule type="cellIs" dxfId="8897" priority="2678" operator="greaterThan">
      <formula>1</formula>
    </cfRule>
  </conditionalFormatting>
  <conditionalFormatting sqref="R83">
    <cfRule type="cellIs" dxfId="8896" priority="2675" operator="greaterThan">
      <formula>1</formula>
    </cfRule>
    <cfRule type="cellIs" dxfId="8895" priority="2676" operator="lessThan">
      <formula>0.8</formula>
    </cfRule>
  </conditionalFormatting>
  <conditionalFormatting sqref="P83">
    <cfRule type="cellIs" dxfId="8894" priority="2674" operator="greaterThan">
      <formula>0</formula>
    </cfRule>
  </conditionalFormatting>
  <conditionalFormatting sqref="Q83">
    <cfRule type="cellIs" dxfId="8893" priority="2679" operator="lessThan">
      <formula>0</formula>
    </cfRule>
  </conditionalFormatting>
  <conditionalFormatting sqref="R83">
    <cfRule type="cellIs" dxfId="8892" priority="2671" operator="lessThan">
      <formula>0.8</formula>
    </cfRule>
    <cfRule type="cellIs" dxfId="8891" priority="2672" operator="greaterThan">
      <formula>1</formula>
    </cfRule>
  </conditionalFormatting>
  <conditionalFormatting sqref="R83">
    <cfRule type="cellIs" dxfId="8890" priority="2669" operator="greaterThan">
      <formula>1</formula>
    </cfRule>
    <cfRule type="cellIs" dxfId="8889" priority="2670" operator="lessThan">
      <formula>0.8</formula>
    </cfRule>
  </conditionalFormatting>
  <conditionalFormatting sqref="P83">
    <cfRule type="cellIs" dxfId="8888" priority="2668" operator="greaterThan">
      <formula>0</formula>
    </cfRule>
  </conditionalFormatting>
  <conditionalFormatting sqref="Q83">
    <cfRule type="cellIs" dxfId="8887" priority="2673" operator="lessThan">
      <formula>0</formula>
    </cfRule>
  </conditionalFormatting>
  <conditionalFormatting sqref="Q83">
    <cfRule type="cellIs" dxfId="8886" priority="2667" operator="lessThan">
      <formula>0</formula>
    </cfRule>
  </conditionalFormatting>
  <conditionalFormatting sqref="R83">
    <cfRule type="cellIs" dxfId="8885" priority="2665" operator="lessThan">
      <formula>0.8</formula>
    </cfRule>
    <cfRule type="cellIs" dxfId="8884" priority="2666" operator="greaterThan">
      <formula>1</formula>
    </cfRule>
  </conditionalFormatting>
  <conditionalFormatting sqref="R83">
    <cfRule type="cellIs" dxfId="8883" priority="2663" operator="greaterThan">
      <formula>1</formula>
    </cfRule>
    <cfRule type="cellIs" dxfId="8882" priority="2664" operator="lessThan">
      <formula>0.8</formula>
    </cfRule>
  </conditionalFormatting>
  <conditionalFormatting sqref="P83">
    <cfRule type="cellIs" dxfId="8881" priority="2662" operator="greaterThan">
      <formula>0</formula>
    </cfRule>
  </conditionalFormatting>
  <conditionalFormatting sqref="Q83">
    <cfRule type="cellIs" dxfId="8880" priority="2656" operator="lessThan">
      <formula>0</formula>
    </cfRule>
  </conditionalFormatting>
  <conditionalFormatting sqref="R83">
    <cfRule type="cellIs" dxfId="8879" priority="2660" operator="lessThan">
      <formula>0.8</formula>
    </cfRule>
    <cfRule type="cellIs" dxfId="8878" priority="2661" operator="greaterThan">
      <formula>1</formula>
    </cfRule>
  </conditionalFormatting>
  <conditionalFormatting sqref="R83">
    <cfRule type="cellIs" dxfId="8877" priority="2658" operator="greaterThan">
      <formula>1</formula>
    </cfRule>
    <cfRule type="cellIs" dxfId="8876" priority="2659" operator="lessThan">
      <formula>0.8</formula>
    </cfRule>
  </conditionalFormatting>
  <conditionalFormatting sqref="P83">
    <cfRule type="cellIs" dxfId="8875" priority="2657" operator="greaterThan">
      <formula>0</formula>
    </cfRule>
  </conditionalFormatting>
  <conditionalFormatting sqref="Q83">
    <cfRule type="cellIs" dxfId="8874" priority="2655" operator="lessThan">
      <formula>0</formula>
    </cfRule>
  </conditionalFormatting>
  <conditionalFormatting sqref="R83">
    <cfRule type="cellIs" dxfId="8873" priority="2653" operator="lessThan">
      <formula>0.8</formula>
    </cfRule>
    <cfRule type="cellIs" dxfId="8872" priority="2654" operator="greaterThan">
      <formula>1</formula>
    </cfRule>
  </conditionalFormatting>
  <conditionalFormatting sqref="R83">
    <cfRule type="cellIs" dxfId="8871" priority="2651" operator="greaterThan">
      <formula>1</formula>
    </cfRule>
    <cfRule type="cellIs" dxfId="8870" priority="2652" operator="lessThan">
      <formula>0.8</formula>
    </cfRule>
  </conditionalFormatting>
  <conditionalFormatting sqref="P83">
    <cfRule type="cellIs" dxfId="8869" priority="2650" operator="greaterThan">
      <formula>0</formula>
    </cfRule>
  </conditionalFormatting>
  <conditionalFormatting sqref="Q83">
    <cfRule type="cellIs" dxfId="8868" priority="2649" operator="lessThan">
      <formula>0</formula>
    </cfRule>
  </conditionalFormatting>
  <conditionalFormatting sqref="R83">
    <cfRule type="cellIs" dxfId="8867" priority="2647" operator="lessThan">
      <formula>0.8</formula>
    </cfRule>
    <cfRule type="cellIs" dxfId="8866" priority="2648" operator="greaterThan">
      <formula>1</formula>
    </cfRule>
  </conditionalFormatting>
  <conditionalFormatting sqref="R83">
    <cfRule type="cellIs" dxfId="8865" priority="2645" operator="greaterThan">
      <formula>1</formula>
    </cfRule>
    <cfRule type="cellIs" dxfId="8864" priority="2646" operator="lessThan">
      <formula>0.8</formula>
    </cfRule>
  </conditionalFormatting>
  <conditionalFormatting sqref="P83">
    <cfRule type="cellIs" dxfId="8863" priority="2644" operator="greaterThan">
      <formula>0</formula>
    </cfRule>
  </conditionalFormatting>
  <conditionalFormatting sqref="Q83">
    <cfRule type="cellIs" dxfId="8862" priority="2643" operator="lessThan">
      <formula>0</formula>
    </cfRule>
  </conditionalFormatting>
  <conditionalFormatting sqref="R83">
    <cfRule type="cellIs" dxfId="8861" priority="2641" operator="lessThan">
      <formula>0.8</formula>
    </cfRule>
    <cfRule type="cellIs" dxfId="8860" priority="2642" operator="greaterThan">
      <formula>1</formula>
    </cfRule>
  </conditionalFormatting>
  <conditionalFormatting sqref="R83">
    <cfRule type="cellIs" dxfId="8859" priority="2639" operator="greaterThan">
      <formula>1</formula>
    </cfRule>
    <cfRule type="cellIs" dxfId="8858" priority="2640" operator="lessThan">
      <formula>0.8</formula>
    </cfRule>
  </conditionalFormatting>
  <conditionalFormatting sqref="P83">
    <cfRule type="cellIs" dxfId="8857" priority="2638" operator="greaterThan">
      <formula>0</formula>
    </cfRule>
  </conditionalFormatting>
  <conditionalFormatting sqref="Q83">
    <cfRule type="cellIs" dxfId="8856" priority="2637" operator="lessThan">
      <formula>0</formula>
    </cfRule>
  </conditionalFormatting>
  <conditionalFormatting sqref="R83">
    <cfRule type="cellIs" dxfId="8855" priority="2635" operator="lessThan">
      <formula>0.8</formula>
    </cfRule>
    <cfRule type="cellIs" dxfId="8854" priority="2636" operator="greaterThan">
      <formula>1</formula>
    </cfRule>
  </conditionalFormatting>
  <conditionalFormatting sqref="R83">
    <cfRule type="cellIs" dxfId="8853" priority="2633" operator="greaterThan">
      <formula>1</formula>
    </cfRule>
    <cfRule type="cellIs" dxfId="8852" priority="2634" operator="lessThan">
      <formula>0.8</formula>
    </cfRule>
  </conditionalFormatting>
  <conditionalFormatting sqref="P83">
    <cfRule type="cellIs" dxfId="8851" priority="2632" operator="greaterThan">
      <formula>0</formula>
    </cfRule>
  </conditionalFormatting>
  <conditionalFormatting sqref="Q83">
    <cfRule type="cellIs" dxfId="8850" priority="2631" operator="lessThan">
      <formula>0</formula>
    </cfRule>
  </conditionalFormatting>
  <conditionalFormatting sqref="R83">
    <cfRule type="cellIs" dxfId="8849" priority="2629" operator="lessThan">
      <formula>0.8</formula>
    </cfRule>
    <cfRule type="cellIs" dxfId="8848" priority="2630" operator="greaterThan">
      <formula>1</formula>
    </cfRule>
  </conditionalFormatting>
  <conditionalFormatting sqref="R83">
    <cfRule type="cellIs" dxfId="8847" priority="2627" operator="greaterThan">
      <formula>1</formula>
    </cfRule>
    <cfRule type="cellIs" dxfId="8846" priority="2628" operator="lessThan">
      <formula>0.8</formula>
    </cfRule>
  </conditionalFormatting>
  <conditionalFormatting sqref="P83">
    <cfRule type="cellIs" dxfId="8845" priority="2626" operator="greaterThan">
      <formula>0</formula>
    </cfRule>
  </conditionalFormatting>
  <conditionalFormatting sqref="P83">
    <cfRule type="cellIs" dxfId="8844" priority="2620" operator="greaterThan">
      <formula>0</formula>
    </cfRule>
  </conditionalFormatting>
  <conditionalFormatting sqref="Q83">
    <cfRule type="cellIs" dxfId="8843" priority="2625" operator="lessThan">
      <formula>0</formula>
    </cfRule>
  </conditionalFormatting>
  <conditionalFormatting sqref="R83">
    <cfRule type="cellIs" dxfId="8842" priority="2623" operator="lessThan">
      <formula>0.8</formula>
    </cfRule>
    <cfRule type="cellIs" dxfId="8841" priority="2624" operator="greaterThan">
      <formula>1</formula>
    </cfRule>
  </conditionalFormatting>
  <conditionalFormatting sqref="R83">
    <cfRule type="cellIs" dxfId="8840" priority="2621" operator="greaterThan">
      <formula>1</formula>
    </cfRule>
    <cfRule type="cellIs" dxfId="8839" priority="2622" operator="lessThan">
      <formula>0.8</formula>
    </cfRule>
  </conditionalFormatting>
  <conditionalFormatting sqref="P83">
    <cfRule type="cellIs" dxfId="8838" priority="2614" operator="greaterThan">
      <formula>0</formula>
    </cfRule>
  </conditionalFormatting>
  <conditionalFormatting sqref="Q83">
    <cfRule type="cellIs" dxfId="8837" priority="2619" operator="lessThan">
      <formula>0</formula>
    </cfRule>
  </conditionalFormatting>
  <conditionalFormatting sqref="R83">
    <cfRule type="cellIs" dxfId="8836" priority="2617" operator="lessThan">
      <formula>0.8</formula>
    </cfRule>
    <cfRule type="cellIs" dxfId="8835" priority="2618" operator="greaterThan">
      <formula>1</formula>
    </cfRule>
  </conditionalFormatting>
  <conditionalFormatting sqref="R83">
    <cfRule type="cellIs" dxfId="8834" priority="2615" operator="greaterThan">
      <formula>1</formula>
    </cfRule>
    <cfRule type="cellIs" dxfId="8833" priority="2616" operator="lessThan">
      <formula>0.8</formula>
    </cfRule>
  </conditionalFormatting>
  <conditionalFormatting sqref="R83">
    <cfRule type="cellIs" dxfId="8832" priority="2611" operator="lessThan">
      <formula>0.8</formula>
    </cfRule>
    <cfRule type="cellIs" dxfId="8831" priority="2612" operator="greaterThan">
      <formula>1</formula>
    </cfRule>
  </conditionalFormatting>
  <conditionalFormatting sqref="R83">
    <cfRule type="cellIs" dxfId="8830" priority="2609" operator="greaterThan">
      <formula>1</formula>
    </cfRule>
    <cfRule type="cellIs" dxfId="8829" priority="2610" operator="lessThan">
      <formula>0.8</formula>
    </cfRule>
  </conditionalFormatting>
  <conditionalFormatting sqref="P83">
    <cfRule type="cellIs" dxfId="8828" priority="2608" operator="greaterThan">
      <formula>0</formula>
    </cfRule>
  </conditionalFormatting>
  <conditionalFormatting sqref="Q83">
    <cfRule type="cellIs" dxfId="8827" priority="2613" operator="lessThan">
      <formula>0</formula>
    </cfRule>
  </conditionalFormatting>
  <conditionalFormatting sqref="Q83">
    <cfRule type="cellIs" dxfId="8826" priority="2602" operator="lessThan">
      <formula>0</formula>
    </cfRule>
  </conditionalFormatting>
  <conditionalFormatting sqref="P83">
    <cfRule type="cellIs" dxfId="8825" priority="2603" operator="greaterThan">
      <formula>0</formula>
    </cfRule>
  </conditionalFormatting>
  <conditionalFormatting sqref="R83">
    <cfRule type="cellIs" dxfId="8824" priority="2606" operator="lessThan">
      <formula>0.8</formula>
    </cfRule>
    <cfRule type="cellIs" dxfId="8823" priority="2607" operator="greaterThan">
      <formula>1</formula>
    </cfRule>
  </conditionalFormatting>
  <conditionalFormatting sqref="R83">
    <cfRule type="cellIs" dxfId="8822" priority="2604" operator="greaterThan">
      <formula>1</formula>
    </cfRule>
    <cfRule type="cellIs" dxfId="8821" priority="2605" operator="lessThan">
      <formula>0.8</formula>
    </cfRule>
  </conditionalFormatting>
  <conditionalFormatting sqref="Q83">
    <cfRule type="cellIs" dxfId="8820" priority="2596" operator="lessThan">
      <formula>0</formula>
    </cfRule>
  </conditionalFormatting>
  <conditionalFormatting sqref="R83">
    <cfRule type="cellIs" dxfId="8819" priority="2600" operator="lessThan">
      <formula>0.8</formula>
    </cfRule>
    <cfRule type="cellIs" dxfId="8818" priority="2601" operator="greaterThan">
      <formula>1</formula>
    </cfRule>
  </conditionalFormatting>
  <conditionalFormatting sqref="R83">
    <cfRule type="cellIs" dxfId="8817" priority="2598" operator="greaterThan">
      <formula>1</formula>
    </cfRule>
    <cfRule type="cellIs" dxfId="8816" priority="2599" operator="lessThan">
      <formula>0.8</formula>
    </cfRule>
  </conditionalFormatting>
  <conditionalFormatting sqref="P83">
    <cfRule type="cellIs" dxfId="8815" priority="2597" operator="greaterThan">
      <formula>0</formula>
    </cfRule>
  </conditionalFormatting>
  <conditionalFormatting sqref="Q83">
    <cfRule type="cellIs" dxfId="8814" priority="2595" operator="lessThan">
      <formula>0</formula>
    </cfRule>
  </conditionalFormatting>
  <conditionalFormatting sqref="R83">
    <cfRule type="cellIs" dxfId="8813" priority="2593" operator="lessThan">
      <formula>0.8</formula>
    </cfRule>
    <cfRule type="cellIs" dxfId="8812" priority="2594" operator="greaterThan">
      <formula>1</formula>
    </cfRule>
  </conditionalFormatting>
  <conditionalFormatting sqref="R83">
    <cfRule type="cellIs" dxfId="8811" priority="2591" operator="greaterThan">
      <formula>1</formula>
    </cfRule>
    <cfRule type="cellIs" dxfId="8810" priority="2592" operator="lessThan">
      <formula>0.8</formula>
    </cfRule>
  </conditionalFormatting>
  <conditionalFormatting sqref="P83">
    <cfRule type="cellIs" dxfId="8809" priority="2590" operator="greaterThan">
      <formula>0</formula>
    </cfRule>
  </conditionalFormatting>
  <conditionalFormatting sqref="Q83">
    <cfRule type="cellIs" dxfId="8808" priority="2589" operator="lessThan">
      <formula>0</formula>
    </cfRule>
  </conditionalFormatting>
  <conditionalFormatting sqref="R83">
    <cfRule type="cellIs" dxfId="8807" priority="2587" operator="lessThan">
      <formula>0.8</formula>
    </cfRule>
    <cfRule type="cellIs" dxfId="8806" priority="2588" operator="greaterThan">
      <formula>1</formula>
    </cfRule>
  </conditionalFormatting>
  <conditionalFormatting sqref="R83">
    <cfRule type="cellIs" dxfId="8805" priority="2585" operator="greaterThan">
      <formula>1</formula>
    </cfRule>
    <cfRule type="cellIs" dxfId="8804" priority="2586" operator="lessThan">
      <formula>0.8</formula>
    </cfRule>
  </conditionalFormatting>
  <conditionalFormatting sqref="P83">
    <cfRule type="cellIs" dxfId="8803" priority="2584" operator="greaterThan">
      <formula>0</formula>
    </cfRule>
  </conditionalFormatting>
  <conditionalFormatting sqref="Q83">
    <cfRule type="cellIs" dxfId="8802" priority="2583" operator="lessThan">
      <formula>0</formula>
    </cfRule>
  </conditionalFormatting>
  <conditionalFormatting sqref="R83">
    <cfRule type="cellIs" dxfId="8801" priority="2581" operator="lessThan">
      <formula>0.8</formula>
    </cfRule>
    <cfRule type="cellIs" dxfId="8800" priority="2582" operator="greaterThan">
      <formula>1</formula>
    </cfRule>
  </conditionalFormatting>
  <conditionalFormatting sqref="R83">
    <cfRule type="cellIs" dxfId="8799" priority="2579" operator="greaterThan">
      <formula>1</formula>
    </cfRule>
    <cfRule type="cellIs" dxfId="8798" priority="2580" operator="lessThan">
      <formula>0.8</formula>
    </cfRule>
  </conditionalFormatting>
  <conditionalFormatting sqref="P83">
    <cfRule type="cellIs" dxfId="8797" priority="2578" operator="greaterThan">
      <formula>0</formula>
    </cfRule>
  </conditionalFormatting>
  <conditionalFormatting sqref="Q83">
    <cfRule type="cellIs" dxfId="8796" priority="2577" operator="lessThan">
      <formula>0</formula>
    </cfRule>
  </conditionalFormatting>
  <conditionalFormatting sqref="R83">
    <cfRule type="cellIs" dxfId="8795" priority="2575" operator="lessThan">
      <formula>0.8</formula>
    </cfRule>
    <cfRule type="cellIs" dxfId="8794" priority="2576" operator="greaterThan">
      <formula>1</formula>
    </cfRule>
  </conditionalFormatting>
  <conditionalFormatting sqref="R83">
    <cfRule type="cellIs" dxfId="8793" priority="2573" operator="greaterThan">
      <formula>1</formula>
    </cfRule>
    <cfRule type="cellIs" dxfId="8792" priority="2574" operator="lessThan">
      <formula>0.8</formula>
    </cfRule>
  </conditionalFormatting>
  <conditionalFormatting sqref="P83">
    <cfRule type="cellIs" dxfId="8791" priority="2572" operator="greaterThan">
      <formula>0</formula>
    </cfRule>
  </conditionalFormatting>
  <conditionalFormatting sqref="Q83">
    <cfRule type="cellIs" dxfId="8790" priority="2571" operator="lessThan">
      <formula>0</formula>
    </cfRule>
  </conditionalFormatting>
  <conditionalFormatting sqref="R83">
    <cfRule type="cellIs" dxfId="8789" priority="2569" operator="lessThan">
      <formula>0.8</formula>
    </cfRule>
    <cfRule type="cellIs" dxfId="8788" priority="2570" operator="greaterThan">
      <formula>1</formula>
    </cfRule>
  </conditionalFormatting>
  <conditionalFormatting sqref="R83">
    <cfRule type="cellIs" dxfId="8787" priority="2567" operator="greaterThan">
      <formula>1</formula>
    </cfRule>
    <cfRule type="cellIs" dxfId="8786" priority="2568" operator="lessThan">
      <formula>0.8</formula>
    </cfRule>
  </conditionalFormatting>
  <conditionalFormatting sqref="P83">
    <cfRule type="cellIs" dxfId="8785" priority="2566" operator="greaterThan">
      <formula>0</formula>
    </cfRule>
  </conditionalFormatting>
  <conditionalFormatting sqref="Q83">
    <cfRule type="cellIs" dxfId="8784" priority="2565" operator="lessThan">
      <formula>0</formula>
    </cfRule>
  </conditionalFormatting>
  <conditionalFormatting sqref="R83">
    <cfRule type="cellIs" dxfId="8783" priority="2563" operator="lessThan">
      <formula>0.8</formula>
    </cfRule>
    <cfRule type="cellIs" dxfId="8782" priority="2564" operator="greaterThan">
      <formula>1</formula>
    </cfRule>
  </conditionalFormatting>
  <conditionalFormatting sqref="R83">
    <cfRule type="cellIs" dxfId="8781" priority="2561" operator="greaterThan">
      <formula>1</formula>
    </cfRule>
    <cfRule type="cellIs" dxfId="8780" priority="2562" operator="lessThan">
      <formula>0.8</formula>
    </cfRule>
  </conditionalFormatting>
  <conditionalFormatting sqref="P83">
    <cfRule type="cellIs" dxfId="8779" priority="2560" operator="greaterThan">
      <formula>0</formula>
    </cfRule>
  </conditionalFormatting>
  <conditionalFormatting sqref="Q83">
    <cfRule type="cellIs" dxfId="8778" priority="2559" operator="lessThan">
      <formula>0</formula>
    </cfRule>
  </conditionalFormatting>
  <conditionalFormatting sqref="R83">
    <cfRule type="cellIs" dxfId="8777" priority="2557" operator="lessThan">
      <formula>0.8</formula>
    </cfRule>
    <cfRule type="cellIs" dxfId="8776" priority="2558" operator="greaterThan">
      <formula>1</formula>
    </cfRule>
  </conditionalFormatting>
  <conditionalFormatting sqref="R83">
    <cfRule type="cellIs" dxfId="8775" priority="2555" operator="greaterThan">
      <formula>1</formula>
    </cfRule>
    <cfRule type="cellIs" dxfId="8774" priority="2556" operator="lessThan">
      <formula>0.8</formula>
    </cfRule>
  </conditionalFormatting>
  <conditionalFormatting sqref="P83">
    <cfRule type="cellIs" dxfId="8773" priority="2554" operator="greaterThan">
      <formula>0</formula>
    </cfRule>
  </conditionalFormatting>
  <conditionalFormatting sqref="P83">
    <cfRule type="cellIs" dxfId="8772" priority="2548" operator="greaterThan">
      <formula>0</formula>
    </cfRule>
  </conditionalFormatting>
  <conditionalFormatting sqref="Q83">
    <cfRule type="cellIs" dxfId="8771" priority="2553" operator="lessThan">
      <formula>0</formula>
    </cfRule>
  </conditionalFormatting>
  <conditionalFormatting sqref="R83">
    <cfRule type="cellIs" dxfId="8770" priority="2551" operator="lessThan">
      <formula>0.8</formula>
    </cfRule>
    <cfRule type="cellIs" dxfId="8769" priority="2552" operator="greaterThan">
      <formula>1</formula>
    </cfRule>
  </conditionalFormatting>
  <conditionalFormatting sqref="R83">
    <cfRule type="cellIs" dxfId="8768" priority="2549" operator="greaterThan">
      <formula>1</formula>
    </cfRule>
    <cfRule type="cellIs" dxfId="8767" priority="2550" operator="lessThan">
      <formula>0.8</formula>
    </cfRule>
  </conditionalFormatting>
  <conditionalFormatting sqref="P83">
    <cfRule type="cellIs" dxfId="8766" priority="2542" operator="greaterThan">
      <formula>0</formula>
    </cfRule>
  </conditionalFormatting>
  <conditionalFormatting sqref="Q83">
    <cfRule type="cellIs" dxfId="8765" priority="2547" operator="lessThan">
      <formula>0</formula>
    </cfRule>
  </conditionalFormatting>
  <conditionalFormatting sqref="R83">
    <cfRule type="cellIs" dxfId="8764" priority="2545" operator="lessThan">
      <formula>0.8</formula>
    </cfRule>
    <cfRule type="cellIs" dxfId="8763" priority="2546" operator="greaterThan">
      <formula>1</formula>
    </cfRule>
  </conditionalFormatting>
  <conditionalFormatting sqref="R83">
    <cfRule type="cellIs" dxfId="8762" priority="2543" operator="greaterThan">
      <formula>1</formula>
    </cfRule>
    <cfRule type="cellIs" dxfId="8761" priority="2544" operator="lessThan">
      <formula>0.8</formula>
    </cfRule>
  </conditionalFormatting>
  <conditionalFormatting sqref="R83">
    <cfRule type="cellIs" dxfId="8760" priority="2539" operator="lessThan">
      <formula>0.8</formula>
    </cfRule>
    <cfRule type="cellIs" dxfId="8759" priority="2540" operator="greaterThan">
      <formula>1</formula>
    </cfRule>
  </conditionalFormatting>
  <conditionalFormatting sqref="R83">
    <cfRule type="cellIs" dxfId="8758" priority="2537" operator="greaterThan">
      <formula>1</formula>
    </cfRule>
    <cfRule type="cellIs" dxfId="8757" priority="2538" operator="lessThan">
      <formula>0.8</formula>
    </cfRule>
  </conditionalFormatting>
  <conditionalFormatting sqref="P83">
    <cfRule type="cellIs" dxfId="8756" priority="2536" operator="greaterThan">
      <formula>0</formula>
    </cfRule>
  </conditionalFormatting>
  <conditionalFormatting sqref="Q83">
    <cfRule type="cellIs" dxfId="8755" priority="2541" operator="lessThan">
      <formula>0</formula>
    </cfRule>
  </conditionalFormatting>
  <conditionalFormatting sqref="Q83">
    <cfRule type="cellIs" dxfId="8754" priority="2535" operator="lessThan">
      <formula>0</formula>
    </cfRule>
  </conditionalFormatting>
  <conditionalFormatting sqref="R83">
    <cfRule type="cellIs" dxfId="8753" priority="2533" operator="lessThan">
      <formula>0.8</formula>
    </cfRule>
    <cfRule type="cellIs" dxfId="8752" priority="2534" operator="greaterThan">
      <formula>1</formula>
    </cfRule>
  </conditionalFormatting>
  <conditionalFormatting sqref="R83">
    <cfRule type="cellIs" dxfId="8751" priority="2531" operator="greaterThan">
      <formula>1</formula>
    </cfRule>
    <cfRule type="cellIs" dxfId="8750" priority="2532" operator="lessThan">
      <formula>0.8</formula>
    </cfRule>
  </conditionalFormatting>
  <conditionalFormatting sqref="P83">
    <cfRule type="cellIs" dxfId="8749" priority="2530" operator="greaterThan">
      <formula>0</formula>
    </cfRule>
  </conditionalFormatting>
  <conditionalFormatting sqref="P83">
    <cfRule type="cellIs" dxfId="8748" priority="2524" operator="greaterThan">
      <formula>0</formula>
    </cfRule>
  </conditionalFormatting>
  <conditionalFormatting sqref="Q83">
    <cfRule type="cellIs" dxfId="8747" priority="2529" operator="lessThan">
      <formula>0</formula>
    </cfRule>
  </conditionalFormatting>
  <conditionalFormatting sqref="R83">
    <cfRule type="cellIs" dxfId="8746" priority="2527" operator="lessThan">
      <formula>0.8</formula>
    </cfRule>
    <cfRule type="cellIs" dxfId="8745" priority="2528" operator="greaterThan">
      <formula>1</formula>
    </cfRule>
  </conditionalFormatting>
  <conditionalFormatting sqref="R83">
    <cfRule type="cellIs" dxfId="8744" priority="2525" operator="greaterThan">
      <formula>1</formula>
    </cfRule>
    <cfRule type="cellIs" dxfId="8743" priority="2526" operator="lessThan">
      <formula>0.8</formula>
    </cfRule>
  </conditionalFormatting>
  <conditionalFormatting sqref="P83">
    <cfRule type="cellIs" dxfId="8742" priority="2518" operator="greaterThan">
      <formula>0</formula>
    </cfRule>
  </conditionalFormatting>
  <conditionalFormatting sqref="Q83">
    <cfRule type="cellIs" dxfId="8741" priority="2523" operator="lessThan">
      <formula>0</formula>
    </cfRule>
  </conditionalFormatting>
  <conditionalFormatting sqref="R83">
    <cfRule type="cellIs" dxfId="8740" priority="2521" operator="lessThan">
      <formula>0.8</formula>
    </cfRule>
    <cfRule type="cellIs" dxfId="8739" priority="2522" operator="greaterThan">
      <formula>1</formula>
    </cfRule>
  </conditionalFormatting>
  <conditionalFormatting sqref="R83">
    <cfRule type="cellIs" dxfId="8738" priority="2519" operator="greaterThan">
      <formula>1</formula>
    </cfRule>
    <cfRule type="cellIs" dxfId="8737" priority="2520" operator="lessThan">
      <formula>0.8</formula>
    </cfRule>
  </conditionalFormatting>
  <conditionalFormatting sqref="R83">
    <cfRule type="cellIs" dxfId="8736" priority="2515" operator="lessThan">
      <formula>0.8</formula>
    </cfRule>
    <cfRule type="cellIs" dxfId="8735" priority="2516" operator="greaterThan">
      <formula>1</formula>
    </cfRule>
  </conditionalFormatting>
  <conditionalFormatting sqref="R83">
    <cfRule type="cellIs" dxfId="8734" priority="2513" operator="greaterThan">
      <formula>1</formula>
    </cfRule>
    <cfRule type="cellIs" dxfId="8733" priority="2514" operator="lessThan">
      <formula>0.8</formula>
    </cfRule>
  </conditionalFormatting>
  <conditionalFormatting sqref="P83">
    <cfRule type="cellIs" dxfId="8732" priority="2512" operator="greaterThan">
      <formula>0</formula>
    </cfRule>
  </conditionalFormatting>
  <conditionalFormatting sqref="Q83">
    <cfRule type="cellIs" dxfId="8731" priority="2517" operator="lessThan">
      <formula>0</formula>
    </cfRule>
  </conditionalFormatting>
  <conditionalFormatting sqref="P83">
    <cfRule type="cellIs" dxfId="8730" priority="2506" operator="greaterThan">
      <formula>0</formula>
    </cfRule>
  </conditionalFormatting>
  <conditionalFormatting sqref="Q83">
    <cfRule type="cellIs" dxfId="8729" priority="2511" operator="lessThan">
      <formula>0</formula>
    </cfRule>
  </conditionalFormatting>
  <conditionalFormatting sqref="R83">
    <cfRule type="cellIs" dxfId="8728" priority="2509" operator="lessThan">
      <formula>0.8</formula>
    </cfRule>
    <cfRule type="cellIs" dxfId="8727" priority="2510" operator="greaterThan">
      <formula>1</formula>
    </cfRule>
  </conditionalFormatting>
  <conditionalFormatting sqref="R83">
    <cfRule type="cellIs" dxfId="8726" priority="2507" operator="greaterThan">
      <formula>1</formula>
    </cfRule>
    <cfRule type="cellIs" dxfId="8725" priority="2508" operator="lessThan">
      <formula>0.8</formula>
    </cfRule>
  </conditionalFormatting>
  <conditionalFormatting sqref="R83">
    <cfRule type="cellIs" dxfId="8724" priority="2503" operator="lessThan">
      <formula>0.8</formula>
    </cfRule>
    <cfRule type="cellIs" dxfId="8723" priority="2504" operator="greaterThan">
      <formula>1</formula>
    </cfRule>
  </conditionalFormatting>
  <conditionalFormatting sqref="R83">
    <cfRule type="cellIs" dxfId="8722" priority="2501" operator="greaterThan">
      <formula>1</formula>
    </cfRule>
    <cfRule type="cellIs" dxfId="8721" priority="2502" operator="lessThan">
      <formula>0.8</formula>
    </cfRule>
  </conditionalFormatting>
  <conditionalFormatting sqref="P83">
    <cfRule type="cellIs" dxfId="8720" priority="2500" operator="greaterThan">
      <formula>0</formula>
    </cfRule>
  </conditionalFormatting>
  <conditionalFormatting sqref="Q83">
    <cfRule type="cellIs" dxfId="8719" priority="2505" operator="lessThan">
      <formula>0</formula>
    </cfRule>
  </conditionalFormatting>
  <conditionalFormatting sqref="R83">
    <cfRule type="cellIs" dxfId="8718" priority="2497" operator="lessThan">
      <formula>0.8</formula>
    </cfRule>
    <cfRule type="cellIs" dxfId="8717" priority="2498" operator="greaterThan">
      <formula>1</formula>
    </cfRule>
  </conditionalFormatting>
  <conditionalFormatting sqref="R83">
    <cfRule type="cellIs" dxfId="8716" priority="2495" operator="greaterThan">
      <formula>1</formula>
    </cfRule>
    <cfRule type="cellIs" dxfId="8715" priority="2496" operator="lessThan">
      <formula>0.8</formula>
    </cfRule>
  </conditionalFormatting>
  <conditionalFormatting sqref="P83">
    <cfRule type="cellIs" dxfId="8714" priority="2494" operator="greaterThan">
      <formula>0</formula>
    </cfRule>
  </conditionalFormatting>
  <conditionalFormatting sqref="Q83">
    <cfRule type="cellIs" dxfId="8713" priority="2499" operator="lessThan">
      <formula>0</formula>
    </cfRule>
  </conditionalFormatting>
  <conditionalFormatting sqref="Q83">
    <cfRule type="cellIs" dxfId="8712" priority="2493" operator="lessThan">
      <formula>0</formula>
    </cfRule>
  </conditionalFormatting>
  <conditionalFormatting sqref="R83">
    <cfRule type="cellIs" dxfId="8711" priority="2491" operator="lessThan">
      <formula>0.8</formula>
    </cfRule>
    <cfRule type="cellIs" dxfId="8710" priority="2492" operator="greaterThan">
      <formula>1</formula>
    </cfRule>
  </conditionalFormatting>
  <conditionalFormatting sqref="R83">
    <cfRule type="cellIs" dxfId="8709" priority="2489" operator="greaterThan">
      <formula>1</formula>
    </cfRule>
    <cfRule type="cellIs" dxfId="8708" priority="2490" operator="lessThan">
      <formula>0.8</formula>
    </cfRule>
  </conditionalFormatting>
  <conditionalFormatting sqref="P83">
    <cfRule type="cellIs" dxfId="8707" priority="2488" operator="greaterThan">
      <formula>0</formula>
    </cfRule>
  </conditionalFormatting>
  <conditionalFormatting sqref="Q83">
    <cfRule type="cellIs" dxfId="8706" priority="2482" operator="lessThan">
      <formula>0</formula>
    </cfRule>
  </conditionalFormatting>
  <conditionalFormatting sqref="R83">
    <cfRule type="cellIs" dxfId="8705" priority="2486" operator="lessThan">
      <formula>0.8</formula>
    </cfRule>
    <cfRule type="cellIs" dxfId="8704" priority="2487" operator="greaterThan">
      <formula>1</formula>
    </cfRule>
  </conditionalFormatting>
  <conditionalFormatting sqref="R83">
    <cfRule type="cellIs" dxfId="8703" priority="2484" operator="greaterThan">
      <formula>1</formula>
    </cfRule>
    <cfRule type="cellIs" dxfId="8702" priority="2485" operator="lessThan">
      <formula>0.8</formula>
    </cfRule>
  </conditionalFormatting>
  <conditionalFormatting sqref="P83">
    <cfRule type="cellIs" dxfId="8701" priority="2483" operator="greaterThan">
      <formula>0</formula>
    </cfRule>
  </conditionalFormatting>
  <conditionalFormatting sqref="Q83">
    <cfRule type="cellIs" dxfId="8700" priority="2481" operator="lessThan">
      <formula>0</formula>
    </cfRule>
  </conditionalFormatting>
  <conditionalFormatting sqref="R83">
    <cfRule type="cellIs" dxfId="8699" priority="2479" operator="lessThan">
      <formula>0.8</formula>
    </cfRule>
    <cfRule type="cellIs" dxfId="8698" priority="2480" operator="greaterThan">
      <formula>1</formula>
    </cfRule>
  </conditionalFormatting>
  <conditionalFormatting sqref="R83">
    <cfRule type="cellIs" dxfId="8697" priority="2477" operator="greaterThan">
      <formula>1</formula>
    </cfRule>
    <cfRule type="cellIs" dxfId="8696" priority="2478" operator="lessThan">
      <formula>0.8</formula>
    </cfRule>
  </conditionalFormatting>
  <conditionalFormatting sqref="P83">
    <cfRule type="cellIs" dxfId="8695" priority="2476" operator="greaterThan">
      <formula>0</formula>
    </cfRule>
  </conditionalFormatting>
  <conditionalFormatting sqref="Q83">
    <cfRule type="cellIs" dxfId="8694" priority="2475" operator="lessThan">
      <formula>0</formula>
    </cfRule>
  </conditionalFormatting>
  <conditionalFormatting sqref="R83">
    <cfRule type="cellIs" dxfId="8693" priority="2473" operator="lessThan">
      <formula>0.8</formula>
    </cfRule>
    <cfRule type="cellIs" dxfId="8692" priority="2474" operator="greaterThan">
      <formula>1</formula>
    </cfRule>
  </conditionalFormatting>
  <conditionalFormatting sqref="R83">
    <cfRule type="cellIs" dxfId="8691" priority="2471" operator="greaterThan">
      <formula>1</formula>
    </cfRule>
    <cfRule type="cellIs" dxfId="8690" priority="2472" operator="lessThan">
      <formula>0.8</formula>
    </cfRule>
  </conditionalFormatting>
  <conditionalFormatting sqref="P83">
    <cfRule type="cellIs" dxfId="8689" priority="2470" operator="greaterThan">
      <formula>0</formula>
    </cfRule>
  </conditionalFormatting>
  <conditionalFormatting sqref="Q83">
    <cfRule type="cellIs" dxfId="8688" priority="2469" operator="lessThan">
      <formula>0</formula>
    </cfRule>
  </conditionalFormatting>
  <conditionalFormatting sqref="R83">
    <cfRule type="cellIs" dxfId="8687" priority="2467" operator="lessThan">
      <formula>0.8</formula>
    </cfRule>
    <cfRule type="cellIs" dxfId="8686" priority="2468" operator="greaterThan">
      <formula>1</formula>
    </cfRule>
  </conditionalFormatting>
  <conditionalFormatting sqref="R83">
    <cfRule type="cellIs" dxfId="8685" priority="2465" operator="greaterThan">
      <formula>1</formula>
    </cfRule>
    <cfRule type="cellIs" dxfId="8684" priority="2466" operator="lessThan">
      <formula>0.8</formula>
    </cfRule>
  </conditionalFormatting>
  <conditionalFormatting sqref="P83">
    <cfRule type="cellIs" dxfId="8683" priority="2464" operator="greaterThan">
      <formula>0</formula>
    </cfRule>
  </conditionalFormatting>
  <conditionalFormatting sqref="Q83">
    <cfRule type="cellIs" dxfId="8682" priority="2463" operator="lessThan">
      <formula>0</formula>
    </cfRule>
  </conditionalFormatting>
  <conditionalFormatting sqref="R83">
    <cfRule type="cellIs" dxfId="8681" priority="2461" operator="lessThan">
      <formula>0.8</formula>
    </cfRule>
    <cfRule type="cellIs" dxfId="8680" priority="2462" operator="greaterThan">
      <formula>1</formula>
    </cfRule>
  </conditionalFormatting>
  <conditionalFormatting sqref="R83">
    <cfRule type="cellIs" dxfId="8679" priority="2459" operator="greaterThan">
      <formula>1</formula>
    </cfRule>
    <cfRule type="cellIs" dxfId="8678" priority="2460" operator="lessThan">
      <formula>0.8</formula>
    </cfRule>
  </conditionalFormatting>
  <conditionalFormatting sqref="P83">
    <cfRule type="cellIs" dxfId="8677" priority="2458" operator="greaterThan">
      <formula>0</formula>
    </cfRule>
  </conditionalFormatting>
  <conditionalFormatting sqref="Q83">
    <cfRule type="cellIs" dxfId="8676" priority="2457" operator="lessThan">
      <formula>0</formula>
    </cfRule>
  </conditionalFormatting>
  <conditionalFormatting sqref="R83">
    <cfRule type="cellIs" dxfId="8675" priority="2455" operator="lessThan">
      <formula>0.8</formula>
    </cfRule>
    <cfRule type="cellIs" dxfId="8674" priority="2456" operator="greaterThan">
      <formula>1</formula>
    </cfRule>
  </conditionalFormatting>
  <conditionalFormatting sqref="R83">
    <cfRule type="cellIs" dxfId="8673" priority="2453" operator="greaterThan">
      <formula>1</formula>
    </cfRule>
    <cfRule type="cellIs" dxfId="8672" priority="2454" operator="lessThan">
      <formula>0.8</formula>
    </cfRule>
  </conditionalFormatting>
  <conditionalFormatting sqref="P83">
    <cfRule type="cellIs" dxfId="8671" priority="2452" operator="greaterThan">
      <formula>0</formula>
    </cfRule>
  </conditionalFormatting>
  <conditionalFormatting sqref="P83">
    <cfRule type="cellIs" dxfId="8670" priority="2446" operator="greaterThan">
      <formula>0</formula>
    </cfRule>
  </conditionalFormatting>
  <conditionalFormatting sqref="Q83">
    <cfRule type="cellIs" dxfId="8669" priority="2451" operator="lessThan">
      <formula>0</formula>
    </cfRule>
  </conditionalFormatting>
  <conditionalFormatting sqref="R83">
    <cfRule type="cellIs" dxfId="8668" priority="2449" operator="lessThan">
      <formula>0.8</formula>
    </cfRule>
    <cfRule type="cellIs" dxfId="8667" priority="2450" operator="greaterThan">
      <formula>1</formula>
    </cfRule>
  </conditionalFormatting>
  <conditionalFormatting sqref="R83">
    <cfRule type="cellIs" dxfId="8666" priority="2447" operator="greaterThan">
      <formula>1</formula>
    </cfRule>
    <cfRule type="cellIs" dxfId="8665" priority="2448" operator="lessThan">
      <formula>0.8</formula>
    </cfRule>
  </conditionalFormatting>
  <conditionalFormatting sqref="P83">
    <cfRule type="cellIs" dxfId="8664" priority="2440" operator="greaterThan">
      <formula>0</formula>
    </cfRule>
  </conditionalFormatting>
  <conditionalFormatting sqref="Q83">
    <cfRule type="cellIs" dxfId="8663" priority="2445" operator="lessThan">
      <formula>0</formula>
    </cfRule>
  </conditionalFormatting>
  <conditionalFormatting sqref="R83">
    <cfRule type="cellIs" dxfId="8662" priority="2443" operator="lessThan">
      <formula>0.8</formula>
    </cfRule>
    <cfRule type="cellIs" dxfId="8661" priority="2444" operator="greaterThan">
      <formula>1</formula>
    </cfRule>
  </conditionalFormatting>
  <conditionalFormatting sqref="R83">
    <cfRule type="cellIs" dxfId="8660" priority="2441" operator="greaterThan">
      <formula>1</formula>
    </cfRule>
    <cfRule type="cellIs" dxfId="8659" priority="2442" operator="lessThan">
      <formula>0.8</formula>
    </cfRule>
  </conditionalFormatting>
  <conditionalFormatting sqref="R83">
    <cfRule type="cellIs" dxfId="8658" priority="2437" operator="lessThan">
      <formula>0.8</formula>
    </cfRule>
    <cfRule type="cellIs" dxfId="8657" priority="2438" operator="greaterThan">
      <formula>1</formula>
    </cfRule>
  </conditionalFormatting>
  <conditionalFormatting sqref="R83">
    <cfRule type="cellIs" dxfId="8656" priority="2435" operator="greaterThan">
      <formula>1</formula>
    </cfRule>
    <cfRule type="cellIs" dxfId="8655" priority="2436" operator="lessThan">
      <formula>0.8</formula>
    </cfRule>
  </conditionalFormatting>
  <conditionalFormatting sqref="P83">
    <cfRule type="cellIs" dxfId="8654" priority="2434" operator="greaterThan">
      <formula>0</formula>
    </cfRule>
  </conditionalFormatting>
  <conditionalFormatting sqref="Q83">
    <cfRule type="cellIs" dxfId="8653" priority="2439" operator="lessThan">
      <formula>0</formula>
    </cfRule>
  </conditionalFormatting>
  <conditionalFormatting sqref="P123 P126:P131">
    <cfRule type="cellIs" dxfId="8652" priority="2428" operator="greaterThan">
      <formula>0</formula>
    </cfRule>
  </conditionalFormatting>
  <conditionalFormatting sqref="Q123 Q126:Q131">
    <cfRule type="cellIs" dxfId="8651" priority="2433" operator="lessThan">
      <formula>0</formula>
    </cfRule>
  </conditionalFormatting>
  <conditionalFormatting sqref="R123 R126:R131">
    <cfRule type="cellIs" dxfId="8650" priority="2431" operator="lessThan">
      <formula>0.8</formula>
    </cfRule>
    <cfRule type="cellIs" dxfId="8649" priority="2432" operator="greaterThan">
      <formula>1</formula>
    </cfRule>
  </conditionalFormatting>
  <conditionalFormatting sqref="R123 R126:R131">
    <cfRule type="cellIs" dxfId="8648" priority="2429" operator="greaterThan">
      <formula>1</formula>
    </cfRule>
    <cfRule type="cellIs" dxfId="8647" priority="2430" operator="lessThan">
      <formula>0.8</formula>
    </cfRule>
  </conditionalFormatting>
  <conditionalFormatting sqref="Q123 Q126:Q131">
    <cfRule type="cellIs" dxfId="8646" priority="2427" operator="lessThan">
      <formula>0</formula>
    </cfRule>
  </conditionalFormatting>
  <conditionalFormatting sqref="R123 R126:R131">
    <cfRule type="cellIs" dxfId="8645" priority="2425" operator="lessThan">
      <formula>0.8</formula>
    </cfRule>
    <cfRule type="cellIs" dxfId="8644" priority="2426" operator="greaterThan">
      <formula>1</formula>
    </cfRule>
  </conditionalFormatting>
  <conditionalFormatting sqref="R123 R126:R131">
    <cfRule type="cellIs" dxfId="8643" priority="2423" operator="greaterThan">
      <formula>1</formula>
    </cfRule>
    <cfRule type="cellIs" dxfId="8642" priority="2424" operator="lessThan">
      <formula>0.8</formula>
    </cfRule>
  </conditionalFormatting>
  <conditionalFormatting sqref="P123 P126:P131">
    <cfRule type="cellIs" dxfId="8641" priority="2422" operator="greaterThan">
      <formula>0</formula>
    </cfRule>
  </conditionalFormatting>
  <conditionalFormatting sqref="Q31">
    <cfRule type="cellIs" dxfId="8640" priority="2421" operator="lessThan">
      <formula>0</formula>
    </cfRule>
  </conditionalFormatting>
  <conditionalFormatting sqref="R31">
    <cfRule type="cellIs" dxfId="8639" priority="2419" operator="lessThan">
      <formula>0.8</formula>
    </cfRule>
    <cfRule type="cellIs" dxfId="8638" priority="2420" operator="greaterThan">
      <formula>1</formula>
    </cfRule>
  </conditionalFormatting>
  <conditionalFormatting sqref="R31">
    <cfRule type="cellIs" dxfId="8637" priority="2417" operator="greaterThan">
      <formula>1</formula>
    </cfRule>
    <cfRule type="cellIs" dxfId="8636" priority="2418" operator="lessThan">
      <formula>0.8</formula>
    </cfRule>
  </conditionalFormatting>
  <conditionalFormatting sqref="P31:P40">
    <cfRule type="cellIs" dxfId="8635" priority="2416" operator="greaterThan">
      <formula>0</formula>
    </cfRule>
  </conditionalFormatting>
  <conditionalFormatting sqref="Q31">
    <cfRule type="cellIs" dxfId="8634" priority="2415" operator="lessThan">
      <formula>0</formula>
    </cfRule>
  </conditionalFormatting>
  <conditionalFormatting sqref="R31">
    <cfRule type="cellIs" dxfId="8633" priority="2413" operator="lessThan">
      <formula>0.8</formula>
    </cfRule>
    <cfRule type="cellIs" dxfId="8632" priority="2414" operator="greaterThan">
      <formula>1</formula>
    </cfRule>
  </conditionalFormatting>
  <conditionalFormatting sqref="R31">
    <cfRule type="cellIs" dxfId="8631" priority="2411" operator="greaterThan">
      <formula>1</formula>
    </cfRule>
    <cfRule type="cellIs" dxfId="8630" priority="2412" operator="lessThan">
      <formula>0.8</formula>
    </cfRule>
  </conditionalFormatting>
  <conditionalFormatting sqref="P31:P40">
    <cfRule type="cellIs" dxfId="8629" priority="2410" operator="greaterThan">
      <formula>0</formula>
    </cfRule>
  </conditionalFormatting>
  <conditionalFormatting sqref="Q31">
    <cfRule type="cellIs" dxfId="8628" priority="2409" operator="lessThan">
      <formula>0</formula>
    </cfRule>
  </conditionalFormatting>
  <conditionalFormatting sqref="R31">
    <cfRule type="cellIs" dxfId="8627" priority="2407" operator="lessThan">
      <formula>0.8</formula>
    </cfRule>
    <cfRule type="cellIs" dxfId="8626" priority="2408" operator="greaterThan">
      <formula>1</formula>
    </cfRule>
  </conditionalFormatting>
  <conditionalFormatting sqref="R31">
    <cfRule type="cellIs" dxfId="8625" priority="2405" operator="greaterThan">
      <formula>1</formula>
    </cfRule>
    <cfRule type="cellIs" dxfId="8624" priority="2406" operator="lessThan">
      <formula>0.8</formula>
    </cfRule>
  </conditionalFormatting>
  <conditionalFormatting sqref="P31:P40">
    <cfRule type="cellIs" dxfId="8623" priority="2404" operator="greaterThan">
      <formula>0</formula>
    </cfRule>
  </conditionalFormatting>
  <conditionalFormatting sqref="Q31">
    <cfRule type="cellIs" dxfId="8622" priority="2403" operator="lessThan">
      <formula>0</formula>
    </cfRule>
  </conditionalFormatting>
  <conditionalFormatting sqref="R31">
    <cfRule type="cellIs" dxfId="8621" priority="2401" operator="lessThan">
      <formula>0.8</formula>
    </cfRule>
    <cfRule type="cellIs" dxfId="8620" priority="2402" operator="greaterThan">
      <formula>1</formula>
    </cfRule>
  </conditionalFormatting>
  <conditionalFormatting sqref="R31">
    <cfRule type="cellIs" dxfId="8619" priority="2399" operator="greaterThan">
      <formula>1</formula>
    </cfRule>
    <cfRule type="cellIs" dxfId="8618" priority="2400" operator="lessThan">
      <formula>0.8</formula>
    </cfRule>
  </conditionalFormatting>
  <conditionalFormatting sqref="P31:P40">
    <cfRule type="cellIs" dxfId="8617" priority="2398" operator="greaterThan">
      <formula>0</formula>
    </cfRule>
  </conditionalFormatting>
  <conditionalFormatting sqref="P31:P40">
    <cfRule type="cellIs" dxfId="8616" priority="2392" operator="greaterThan">
      <formula>0</formula>
    </cfRule>
  </conditionalFormatting>
  <conditionalFormatting sqref="Q31">
    <cfRule type="cellIs" dxfId="8615" priority="2397" operator="lessThan">
      <formula>0</formula>
    </cfRule>
  </conditionalFormatting>
  <conditionalFormatting sqref="R31">
    <cfRule type="cellIs" dxfId="8614" priority="2395" operator="lessThan">
      <formula>0.8</formula>
    </cfRule>
    <cfRule type="cellIs" dxfId="8613" priority="2396" operator="greaterThan">
      <formula>1</formula>
    </cfRule>
  </conditionalFormatting>
  <conditionalFormatting sqref="R31">
    <cfRule type="cellIs" dxfId="8612" priority="2393" operator="greaterThan">
      <formula>1</formula>
    </cfRule>
    <cfRule type="cellIs" dxfId="8611" priority="2394" operator="lessThan">
      <formula>0.8</formula>
    </cfRule>
  </conditionalFormatting>
  <conditionalFormatting sqref="P31:P40">
    <cfRule type="cellIs" dxfId="8610" priority="2386" operator="greaterThan">
      <formula>0</formula>
    </cfRule>
  </conditionalFormatting>
  <conditionalFormatting sqref="Q31">
    <cfRule type="cellIs" dxfId="8609" priority="2391" operator="lessThan">
      <formula>0</formula>
    </cfRule>
  </conditionalFormatting>
  <conditionalFormatting sqref="R31">
    <cfRule type="cellIs" dxfId="8608" priority="2389" operator="lessThan">
      <formula>0.8</formula>
    </cfRule>
    <cfRule type="cellIs" dxfId="8607" priority="2390" operator="greaterThan">
      <formula>1</formula>
    </cfRule>
  </conditionalFormatting>
  <conditionalFormatting sqref="R31">
    <cfRule type="cellIs" dxfId="8606" priority="2387" operator="greaterThan">
      <formula>1</formula>
    </cfRule>
    <cfRule type="cellIs" dxfId="8605" priority="2388" operator="lessThan">
      <formula>0.8</formula>
    </cfRule>
  </conditionalFormatting>
  <conditionalFormatting sqref="R31">
    <cfRule type="cellIs" dxfId="8604" priority="2383" operator="lessThan">
      <formula>0.8</formula>
    </cfRule>
    <cfRule type="cellIs" dxfId="8603" priority="2384" operator="greaterThan">
      <formula>1</formula>
    </cfRule>
  </conditionalFormatting>
  <conditionalFormatting sqref="R31">
    <cfRule type="cellIs" dxfId="8602" priority="2381" operator="greaterThan">
      <formula>1</formula>
    </cfRule>
    <cfRule type="cellIs" dxfId="8601" priority="2382" operator="lessThan">
      <formula>0.8</formula>
    </cfRule>
  </conditionalFormatting>
  <conditionalFormatting sqref="P31:P40">
    <cfRule type="cellIs" dxfId="8600" priority="2380" operator="greaterThan">
      <formula>0</formula>
    </cfRule>
  </conditionalFormatting>
  <conditionalFormatting sqref="Q31">
    <cfRule type="cellIs" dxfId="8599" priority="2385" operator="lessThan">
      <formula>0</formula>
    </cfRule>
  </conditionalFormatting>
  <conditionalFormatting sqref="Q31">
    <cfRule type="cellIs" dxfId="8598" priority="2379" operator="lessThan">
      <formula>0</formula>
    </cfRule>
  </conditionalFormatting>
  <conditionalFormatting sqref="R31">
    <cfRule type="cellIs" dxfId="8597" priority="2377" operator="lessThan">
      <formula>0.8</formula>
    </cfRule>
    <cfRule type="cellIs" dxfId="8596" priority="2378" operator="greaterThan">
      <formula>1</formula>
    </cfRule>
  </conditionalFormatting>
  <conditionalFormatting sqref="R31">
    <cfRule type="cellIs" dxfId="8595" priority="2375" operator="greaterThan">
      <formula>1</formula>
    </cfRule>
    <cfRule type="cellIs" dxfId="8594" priority="2376" operator="lessThan">
      <formula>0.8</formula>
    </cfRule>
  </conditionalFormatting>
  <conditionalFormatting sqref="P31:P40">
    <cfRule type="cellIs" dxfId="8593" priority="2374" operator="greaterThan">
      <formula>0</formula>
    </cfRule>
  </conditionalFormatting>
  <conditionalFormatting sqref="P31:P40">
    <cfRule type="cellIs" dxfId="8592" priority="2368" operator="greaterThan">
      <formula>0</formula>
    </cfRule>
  </conditionalFormatting>
  <conditionalFormatting sqref="Q31">
    <cfRule type="cellIs" dxfId="8591" priority="2373" operator="lessThan">
      <formula>0</formula>
    </cfRule>
  </conditionalFormatting>
  <conditionalFormatting sqref="R31">
    <cfRule type="cellIs" dxfId="8590" priority="2371" operator="lessThan">
      <formula>0.8</formula>
    </cfRule>
    <cfRule type="cellIs" dxfId="8589" priority="2372" operator="greaterThan">
      <formula>1</formula>
    </cfRule>
  </conditionalFormatting>
  <conditionalFormatting sqref="R31">
    <cfRule type="cellIs" dxfId="8588" priority="2369" operator="greaterThan">
      <formula>1</formula>
    </cfRule>
    <cfRule type="cellIs" dxfId="8587" priority="2370" operator="lessThan">
      <formula>0.8</formula>
    </cfRule>
  </conditionalFormatting>
  <conditionalFormatting sqref="P31:P40">
    <cfRule type="cellIs" dxfId="8586" priority="2362" operator="greaterThan">
      <formula>0</formula>
    </cfRule>
  </conditionalFormatting>
  <conditionalFormatting sqref="Q31">
    <cfRule type="cellIs" dxfId="8585" priority="2367" operator="lessThan">
      <formula>0</formula>
    </cfRule>
  </conditionalFormatting>
  <conditionalFormatting sqref="R31">
    <cfRule type="cellIs" dxfId="8584" priority="2365" operator="lessThan">
      <formula>0.8</formula>
    </cfRule>
    <cfRule type="cellIs" dxfId="8583" priority="2366" operator="greaterThan">
      <formula>1</formula>
    </cfRule>
  </conditionalFormatting>
  <conditionalFormatting sqref="R31">
    <cfRule type="cellIs" dxfId="8582" priority="2363" operator="greaterThan">
      <formula>1</formula>
    </cfRule>
    <cfRule type="cellIs" dxfId="8581" priority="2364" operator="lessThan">
      <formula>0.8</formula>
    </cfRule>
  </conditionalFormatting>
  <conditionalFormatting sqref="R31">
    <cfRule type="cellIs" dxfId="8580" priority="2359" operator="lessThan">
      <formula>0.8</formula>
    </cfRule>
    <cfRule type="cellIs" dxfId="8579" priority="2360" operator="greaterThan">
      <formula>1</formula>
    </cfRule>
  </conditionalFormatting>
  <conditionalFormatting sqref="R31">
    <cfRule type="cellIs" dxfId="8578" priority="2357" operator="greaterThan">
      <formula>1</formula>
    </cfRule>
    <cfRule type="cellIs" dxfId="8577" priority="2358" operator="lessThan">
      <formula>0.8</formula>
    </cfRule>
  </conditionalFormatting>
  <conditionalFormatting sqref="P31:P40">
    <cfRule type="cellIs" dxfId="8576" priority="2356" operator="greaterThan">
      <formula>0</formula>
    </cfRule>
  </conditionalFormatting>
  <conditionalFormatting sqref="Q31">
    <cfRule type="cellIs" dxfId="8575" priority="2361" operator="lessThan">
      <formula>0</formula>
    </cfRule>
  </conditionalFormatting>
  <conditionalFormatting sqref="P31:P40">
    <cfRule type="cellIs" dxfId="8574" priority="2350" operator="greaterThan">
      <formula>0</formula>
    </cfRule>
  </conditionalFormatting>
  <conditionalFormatting sqref="Q31">
    <cfRule type="cellIs" dxfId="8573" priority="2355" operator="lessThan">
      <formula>0</formula>
    </cfRule>
  </conditionalFormatting>
  <conditionalFormatting sqref="R31">
    <cfRule type="cellIs" dxfId="8572" priority="2353" operator="lessThan">
      <formula>0.8</formula>
    </cfRule>
    <cfRule type="cellIs" dxfId="8571" priority="2354" operator="greaterThan">
      <formula>1</formula>
    </cfRule>
  </conditionalFormatting>
  <conditionalFormatting sqref="R31">
    <cfRule type="cellIs" dxfId="8570" priority="2351" operator="greaterThan">
      <formula>1</formula>
    </cfRule>
    <cfRule type="cellIs" dxfId="8569" priority="2352" operator="lessThan">
      <formula>0.8</formula>
    </cfRule>
  </conditionalFormatting>
  <conditionalFormatting sqref="R31">
    <cfRule type="cellIs" dxfId="8568" priority="2347" operator="lessThan">
      <formula>0.8</formula>
    </cfRule>
    <cfRule type="cellIs" dxfId="8567" priority="2348" operator="greaterThan">
      <formula>1</formula>
    </cfRule>
  </conditionalFormatting>
  <conditionalFormatting sqref="R31">
    <cfRule type="cellIs" dxfId="8566" priority="2345" operator="greaterThan">
      <formula>1</formula>
    </cfRule>
    <cfRule type="cellIs" dxfId="8565" priority="2346" operator="lessThan">
      <formula>0.8</formula>
    </cfRule>
  </conditionalFormatting>
  <conditionalFormatting sqref="P31:P40">
    <cfRule type="cellIs" dxfId="8564" priority="2344" operator="greaterThan">
      <formula>0</formula>
    </cfRule>
  </conditionalFormatting>
  <conditionalFormatting sqref="Q31">
    <cfRule type="cellIs" dxfId="8563" priority="2349" operator="lessThan">
      <formula>0</formula>
    </cfRule>
  </conditionalFormatting>
  <conditionalFormatting sqref="R31">
    <cfRule type="cellIs" dxfId="8562" priority="2341" operator="lessThan">
      <formula>0.8</formula>
    </cfRule>
    <cfRule type="cellIs" dxfId="8561" priority="2342" operator="greaterThan">
      <formula>1</formula>
    </cfRule>
  </conditionalFormatting>
  <conditionalFormatting sqref="R31">
    <cfRule type="cellIs" dxfId="8560" priority="2339" operator="greaterThan">
      <formula>1</formula>
    </cfRule>
    <cfRule type="cellIs" dxfId="8559" priority="2340" operator="lessThan">
      <formula>0.8</formula>
    </cfRule>
  </conditionalFormatting>
  <conditionalFormatting sqref="P31:P40">
    <cfRule type="cellIs" dxfId="8558" priority="2338" operator="greaterThan">
      <formula>0</formula>
    </cfRule>
  </conditionalFormatting>
  <conditionalFormatting sqref="Q31">
    <cfRule type="cellIs" dxfId="8557" priority="2343" operator="lessThan">
      <formula>0</formula>
    </cfRule>
  </conditionalFormatting>
  <conditionalFormatting sqref="Q31">
    <cfRule type="cellIs" dxfId="8556" priority="2337" operator="lessThan">
      <formula>0</formula>
    </cfRule>
  </conditionalFormatting>
  <conditionalFormatting sqref="R31">
    <cfRule type="cellIs" dxfId="8555" priority="2335" operator="lessThan">
      <formula>0.8</formula>
    </cfRule>
    <cfRule type="cellIs" dxfId="8554" priority="2336" operator="greaterThan">
      <formula>1</formula>
    </cfRule>
  </conditionalFormatting>
  <conditionalFormatting sqref="R31">
    <cfRule type="cellIs" dxfId="8553" priority="2333" operator="greaterThan">
      <formula>1</formula>
    </cfRule>
    <cfRule type="cellIs" dxfId="8552" priority="2334" operator="lessThan">
      <formula>0.8</formula>
    </cfRule>
  </conditionalFormatting>
  <conditionalFormatting sqref="P31:P40">
    <cfRule type="cellIs" dxfId="8551" priority="2332" operator="greaterThan">
      <formula>0</formula>
    </cfRule>
  </conditionalFormatting>
  <conditionalFormatting sqref="Q31">
    <cfRule type="cellIs" dxfId="8550" priority="2326" operator="lessThan">
      <formula>0</formula>
    </cfRule>
  </conditionalFormatting>
  <conditionalFormatting sqref="R31">
    <cfRule type="cellIs" dxfId="8549" priority="2330" operator="lessThan">
      <formula>0.8</formula>
    </cfRule>
    <cfRule type="cellIs" dxfId="8548" priority="2331" operator="greaterThan">
      <formula>1</formula>
    </cfRule>
  </conditionalFormatting>
  <conditionalFormatting sqref="R31">
    <cfRule type="cellIs" dxfId="8547" priority="2328" operator="greaterThan">
      <formula>1</formula>
    </cfRule>
    <cfRule type="cellIs" dxfId="8546" priority="2329" operator="lessThan">
      <formula>0.8</formula>
    </cfRule>
  </conditionalFormatting>
  <conditionalFormatting sqref="P31:P40">
    <cfRule type="cellIs" dxfId="8545" priority="2327" operator="greaterThan">
      <formula>0</formula>
    </cfRule>
  </conditionalFormatting>
  <conditionalFormatting sqref="Q31">
    <cfRule type="cellIs" dxfId="8544" priority="2325" operator="lessThan">
      <formula>0</formula>
    </cfRule>
  </conditionalFormatting>
  <conditionalFormatting sqref="R31">
    <cfRule type="cellIs" dxfId="8543" priority="2323" operator="lessThan">
      <formula>0.8</formula>
    </cfRule>
    <cfRule type="cellIs" dxfId="8542" priority="2324" operator="greaterThan">
      <formula>1</formula>
    </cfRule>
  </conditionalFormatting>
  <conditionalFormatting sqref="R31">
    <cfRule type="cellIs" dxfId="8541" priority="2321" operator="greaterThan">
      <formula>1</formula>
    </cfRule>
    <cfRule type="cellIs" dxfId="8540" priority="2322" operator="lessThan">
      <formula>0.8</formula>
    </cfRule>
  </conditionalFormatting>
  <conditionalFormatting sqref="P31:P40">
    <cfRule type="cellIs" dxfId="8539" priority="2320" operator="greaterThan">
      <formula>0</formula>
    </cfRule>
  </conditionalFormatting>
  <conditionalFormatting sqref="Q31">
    <cfRule type="cellIs" dxfId="8538" priority="2319" operator="lessThan">
      <formula>0</formula>
    </cfRule>
  </conditionalFormatting>
  <conditionalFormatting sqref="R31">
    <cfRule type="cellIs" dxfId="8537" priority="2317" operator="lessThan">
      <formula>0.8</formula>
    </cfRule>
    <cfRule type="cellIs" dxfId="8536" priority="2318" operator="greaterThan">
      <formula>1</formula>
    </cfRule>
  </conditionalFormatting>
  <conditionalFormatting sqref="R31">
    <cfRule type="cellIs" dxfId="8535" priority="2315" operator="greaterThan">
      <formula>1</formula>
    </cfRule>
    <cfRule type="cellIs" dxfId="8534" priority="2316" operator="lessThan">
      <formula>0.8</formula>
    </cfRule>
  </conditionalFormatting>
  <conditionalFormatting sqref="P31:P40">
    <cfRule type="cellIs" dxfId="8533" priority="2314" operator="greaterThan">
      <formula>0</formula>
    </cfRule>
  </conditionalFormatting>
  <conditionalFormatting sqref="Q31">
    <cfRule type="cellIs" dxfId="8532" priority="2313" operator="lessThan">
      <formula>0</formula>
    </cfRule>
  </conditionalFormatting>
  <conditionalFormatting sqref="R31">
    <cfRule type="cellIs" dxfId="8531" priority="2311" operator="lessThan">
      <formula>0.8</formula>
    </cfRule>
    <cfRule type="cellIs" dxfId="8530" priority="2312" operator="greaterThan">
      <formula>1</formula>
    </cfRule>
  </conditionalFormatting>
  <conditionalFormatting sqref="R31">
    <cfRule type="cellIs" dxfId="8529" priority="2309" operator="greaterThan">
      <formula>1</formula>
    </cfRule>
    <cfRule type="cellIs" dxfId="8528" priority="2310" operator="lessThan">
      <formula>0.8</formula>
    </cfRule>
  </conditionalFormatting>
  <conditionalFormatting sqref="P31:P40">
    <cfRule type="cellIs" dxfId="8527" priority="2308" operator="greaterThan">
      <formula>0</formula>
    </cfRule>
  </conditionalFormatting>
  <conditionalFormatting sqref="Q31">
    <cfRule type="cellIs" dxfId="8526" priority="2307" operator="lessThan">
      <formula>0</formula>
    </cfRule>
  </conditionalFormatting>
  <conditionalFormatting sqref="R31">
    <cfRule type="cellIs" dxfId="8525" priority="2305" operator="lessThan">
      <formula>0.8</formula>
    </cfRule>
    <cfRule type="cellIs" dxfId="8524" priority="2306" operator="greaterThan">
      <formula>1</formula>
    </cfRule>
  </conditionalFormatting>
  <conditionalFormatting sqref="R31">
    <cfRule type="cellIs" dxfId="8523" priority="2303" operator="greaterThan">
      <formula>1</formula>
    </cfRule>
    <cfRule type="cellIs" dxfId="8522" priority="2304" operator="lessThan">
      <formula>0.8</formula>
    </cfRule>
  </conditionalFormatting>
  <conditionalFormatting sqref="P31:P40">
    <cfRule type="cellIs" dxfId="8521" priority="2302" operator="greaterThan">
      <formula>0</formula>
    </cfRule>
  </conditionalFormatting>
  <conditionalFormatting sqref="Q31">
    <cfRule type="cellIs" dxfId="8520" priority="2301" operator="lessThan">
      <formula>0</formula>
    </cfRule>
  </conditionalFormatting>
  <conditionalFormatting sqref="R31">
    <cfRule type="cellIs" dxfId="8519" priority="2299" operator="lessThan">
      <formula>0.8</formula>
    </cfRule>
    <cfRule type="cellIs" dxfId="8518" priority="2300" operator="greaterThan">
      <formula>1</formula>
    </cfRule>
  </conditionalFormatting>
  <conditionalFormatting sqref="R31">
    <cfRule type="cellIs" dxfId="8517" priority="2297" operator="greaterThan">
      <formula>1</formula>
    </cfRule>
    <cfRule type="cellIs" dxfId="8516" priority="2298" operator="lessThan">
      <formula>0.8</formula>
    </cfRule>
  </conditionalFormatting>
  <conditionalFormatting sqref="P31:P40">
    <cfRule type="cellIs" dxfId="8515" priority="2296" operator="greaterThan">
      <formula>0</formula>
    </cfRule>
  </conditionalFormatting>
  <conditionalFormatting sqref="P31:P40">
    <cfRule type="cellIs" dxfId="8514" priority="2290" operator="greaterThan">
      <formula>0</formula>
    </cfRule>
  </conditionalFormatting>
  <conditionalFormatting sqref="Q31">
    <cfRule type="cellIs" dxfId="8513" priority="2295" operator="lessThan">
      <formula>0</formula>
    </cfRule>
  </conditionalFormatting>
  <conditionalFormatting sqref="R31">
    <cfRule type="cellIs" dxfId="8512" priority="2293" operator="lessThan">
      <formula>0.8</formula>
    </cfRule>
    <cfRule type="cellIs" dxfId="8511" priority="2294" operator="greaterThan">
      <formula>1</formula>
    </cfRule>
  </conditionalFormatting>
  <conditionalFormatting sqref="R31">
    <cfRule type="cellIs" dxfId="8510" priority="2291" operator="greaterThan">
      <formula>1</formula>
    </cfRule>
    <cfRule type="cellIs" dxfId="8509" priority="2292" operator="lessThan">
      <formula>0.8</formula>
    </cfRule>
  </conditionalFormatting>
  <conditionalFormatting sqref="P31:P40">
    <cfRule type="cellIs" dxfId="8508" priority="2284" operator="greaterThan">
      <formula>0</formula>
    </cfRule>
  </conditionalFormatting>
  <conditionalFormatting sqref="Q31">
    <cfRule type="cellIs" dxfId="8507" priority="2289" operator="lessThan">
      <formula>0</formula>
    </cfRule>
  </conditionalFormatting>
  <conditionalFormatting sqref="R31">
    <cfRule type="cellIs" dxfId="8506" priority="2287" operator="lessThan">
      <formula>0.8</formula>
    </cfRule>
    <cfRule type="cellIs" dxfId="8505" priority="2288" operator="greaterThan">
      <formula>1</formula>
    </cfRule>
  </conditionalFormatting>
  <conditionalFormatting sqref="R31">
    <cfRule type="cellIs" dxfId="8504" priority="2285" operator="greaterThan">
      <formula>1</formula>
    </cfRule>
    <cfRule type="cellIs" dxfId="8503" priority="2286" operator="lessThan">
      <formula>0.8</formula>
    </cfRule>
  </conditionalFormatting>
  <conditionalFormatting sqref="R31">
    <cfRule type="cellIs" dxfId="8502" priority="2281" operator="lessThan">
      <formula>0.8</formula>
    </cfRule>
    <cfRule type="cellIs" dxfId="8501" priority="2282" operator="greaterThan">
      <formula>1</formula>
    </cfRule>
  </conditionalFormatting>
  <conditionalFormatting sqref="R31">
    <cfRule type="cellIs" dxfId="8500" priority="2279" operator="greaterThan">
      <formula>1</formula>
    </cfRule>
    <cfRule type="cellIs" dxfId="8499" priority="2280" operator="lessThan">
      <formula>0.8</formula>
    </cfRule>
  </conditionalFormatting>
  <conditionalFormatting sqref="P31:P40">
    <cfRule type="cellIs" dxfId="8498" priority="2278" operator="greaterThan">
      <formula>0</formula>
    </cfRule>
  </conditionalFormatting>
  <conditionalFormatting sqref="Q31">
    <cfRule type="cellIs" dxfId="8497" priority="2283" operator="lessThan">
      <formula>0</formula>
    </cfRule>
  </conditionalFormatting>
  <conditionalFormatting sqref="Q31">
    <cfRule type="cellIs" dxfId="8496" priority="2277" operator="lessThan">
      <formula>0</formula>
    </cfRule>
  </conditionalFormatting>
  <conditionalFormatting sqref="R31">
    <cfRule type="cellIs" dxfId="8495" priority="2275" operator="lessThan">
      <formula>0.8</formula>
    </cfRule>
    <cfRule type="cellIs" dxfId="8494" priority="2276" operator="greaterThan">
      <formula>1</formula>
    </cfRule>
  </conditionalFormatting>
  <conditionalFormatting sqref="R31">
    <cfRule type="cellIs" dxfId="8493" priority="2273" operator="greaterThan">
      <formula>1</formula>
    </cfRule>
    <cfRule type="cellIs" dxfId="8492" priority="2274" operator="lessThan">
      <formula>0.8</formula>
    </cfRule>
  </conditionalFormatting>
  <conditionalFormatting sqref="P31:P40">
    <cfRule type="cellIs" dxfId="8491" priority="2272" operator="greaterThan">
      <formula>0</formula>
    </cfRule>
  </conditionalFormatting>
  <conditionalFormatting sqref="Q31">
    <cfRule type="cellIs" dxfId="8490" priority="2271" operator="lessThan">
      <formula>0</formula>
    </cfRule>
  </conditionalFormatting>
  <conditionalFormatting sqref="R31">
    <cfRule type="cellIs" dxfId="8489" priority="2269" operator="lessThan">
      <formula>0.8</formula>
    </cfRule>
    <cfRule type="cellIs" dxfId="8488" priority="2270" operator="greaterThan">
      <formula>1</formula>
    </cfRule>
  </conditionalFormatting>
  <conditionalFormatting sqref="R31">
    <cfRule type="cellIs" dxfId="8487" priority="2267" operator="greaterThan">
      <formula>1</formula>
    </cfRule>
    <cfRule type="cellIs" dxfId="8486" priority="2268" operator="lessThan">
      <formula>0.8</formula>
    </cfRule>
  </conditionalFormatting>
  <conditionalFormatting sqref="P31:P40">
    <cfRule type="cellIs" dxfId="8485" priority="2266" operator="greaterThan">
      <formula>0</formula>
    </cfRule>
  </conditionalFormatting>
  <conditionalFormatting sqref="Q31">
    <cfRule type="cellIs" dxfId="8484" priority="2265" operator="lessThan">
      <formula>0</formula>
    </cfRule>
  </conditionalFormatting>
  <conditionalFormatting sqref="R31">
    <cfRule type="cellIs" dxfId="8483" priority="2263" operator="lessThan">
      <formula>0.8</formula>
    </cfRule>
    <cfRule type="cellIs" dxfId="8482" priority="2264" operator="greaterThan">
      <formula>1</formula>
    </cfRule>
  </conditionalFormatting>
  <conditionalFormatting sqref="R31">
    <cfRule type="cellIs" dxfId="8481" priority="2261" operator="greaterThan">
      <formula>1</formula>
    </cfRule>
    <cfRule type="cellIs" dxfId="8480" priority="2262" operator="lessThan">
      <formula>0.8</formula>
    </cfRule>
  </conditionalFormatting>
  <conditionalFormatting sqref="P31:P40">
    <cfRule type="cellIs" dxfId="8479" priority="2260" operator="greaterThan">
      <formula>0</formula>
    </cfRule>
  </conditionalFormatting>
  <conditionalFormatting sqref="Q31">
    <cfRule type="cellIs" dxfId="8478" priority="2259" operator="lessThan">
      <formula>0</formula>
    </cfRule>
  </conditionalFormatting>
  <conditionalFormatting sqref="R31">
    <cfRule type="cellIs" dxfId="8477" priority="2257" operator="lessThan">
      <formula>0.8</formula>
    </cfRule>
    <cfRule type="cellIs" dxfId="8476" priority="2258" operator="greaterThan">
      <formula>1</formula>
    </cfRule>
  </conditionalFormatting>
  <conditionalFormatting sqref="R31">
    <cfRule type="cellIs" dxfId="8475" priority="2255" operator="greaterThan">
      <formula>1</formula>
    </cfRule>
    <cfRule type="cellIs" dxfId="8474" priority="2256" operator="lessThan">
      <formula>0.8</formula>
    </cfRule>
  </conditionalFormatting>
  <conditionalFormatting sqref="P31:P40">
    <cfRule type="cellIs" dxfId="8473" priority="2254" operator="greaterThan">
      <formula>0</formula>
    </cfRule>
  </conditionalFormatting>
  <conditionalFormatting sqref="P31:P40">
    <cfRule type="cellIs" dxfId="8472" priority="2248" operator="greaterThan">
      <formula>0</formula>
    </cfRule>
  </conditionalFormatting>
  <conditionalFormatting sqref="Q31">
    <cfRule type="cellIs" dxfId="8471" priority="2253" operator="lessThan">
      <formula>0</formula>
    </cfRule>
  </conditionalFormatting>
  <conditionalFormatting sqref="R31">
    <cfRule type="cellIs" dxfId="8470" priority="2251" operator="lessThan">
      <formula>0.8</formula>
    </cfRule>
    <cfRule type="cellIs" dxfId="8469" priority="2252" operator="greaterThan">
      <formula>1</formula>
    </cfRule>
  </conditionalFormatting>
  <conditionalFormatting sqref="R31">
    <cfRule type="cellIs" dxfId="8468" priority="2249" operator="greaterThan">
      <formula>1</formula>
    </cfRule>
    <cfRule type="cellIs" dxfId="8467" priority="2250" operator="lessThan">
      <formula>0.8</formula>
    </cfRule>
  </conditionalFormatting>
  <conditionalFormatting sqref="P31:P40">
    <cfRule type="cellIs" dxfId="8466" priority="2242" operator="greaterThan">
      <formula>0</formula>
    </cfRule>
  </conditionalFormatting>
  <conditionalFormatting sqref="Q31">
    <cfRule type="cellIs" dxfId="8465" priority="2247" operator="lessThan">
      <formula>0</formula>
    </cfRule>
  </conditionalFormatting>
  <conditionalFormatting sqref="R31">
    <cfRule type="cellIs" dxfId="8464" priority="2245" operator="lessThan">
      <formula>0.8</formula>
    </cfRule>
    <cfRule type="cellIs" dxfId="8463" priority="2246" operator="greaterThan">
      <formula>1</formula>
    </cfRule>
  </conditionalFormatting>
  <conditionalFormatting sqref="R31">
    <cfRule type="cellIs" dxfId="8462" priority="2243" operator="greaterThan">
      <formula>1</formula>
    </cfRule>
    <cfRule type="cellIs" dxfId="8461" priority="2244" operator="lessThan">
      <formula>0.8</formula>
    </cfRule>
  </conditionalFormatting>
  <conditionalFormatting sqref="R31">
    <cfRule type="cellIs" dxfId="8460" priority="2239" operator="lessThan">
      <formula>0.8</formula>
    </cfRule>
    <cfRule type="cellIs" dxfId="8459" priority="2240" operator="greaterThan">
      <formula>1</formula>
    </cfRule>
  </conditionalFormatting>
  <conditionalFormatting sqref="R31">
    <cfRule type="cellIs" dxfId="8458" priority="2237" operator="greaterThan">
      <formula>1</formula>
    </cfRule>
    <cfRule type="cellIs" dxfId="8457" priority="2238" operator="lessThan">
      <formula>0.8</formula>
    </cfRule>
  </conditionalFormatting>
  <conditionalFormatting sqref="P31:P40">
    <cfRule type="cellIs" dxfId="8456" priority="2236" operator="greaterThan">
      <formula>0</formula>
    </cfRule>
  </conditionalFormatting>
  <conditionalFormatting sqref="Q31">
    <cfRule type="cellIs" dxfId="8455" priority="2241" operator="lessThan">
      <formula>0</formula>
    </cfRule>
  </conditionalFormatting>
  <conditionalFormatting sqref="Q31">
    <cfRule type="cellIs" dxfId="8454" priority="2235" operator="lessThan">
      <formula>0</formula>
    </cfRule>
  </conditionalFormatting>
  <conditionalFormatting sqref="R31">
    <cfRule type="cellIs" dxfId="8453" priority="2233" operator="lessThan">
      <formula>0.8</formula>
    </cfRule>
    <cfRule type="cellIs" dxfId="8452" priority="2234" operator="greaterThan">
      <formula>1</formula>
    </cfRule>
  </conditionalFormatting>
  <conditionalFormatting sqref="R31">
    <cfRule type="cellIs" dxfId="8451" priority="2231" operator="greaterThan">
      <formula>1</formula>
    </cfRule>
    <cfRule type="cellIs" dxfId="8450" priority="2232" operator="lessThan">
      <formula>0.8</formula>
    </cfRule>
  </conditionalFormatting>
  <conditionalFormatting sqref="P31:P40">
    <cfRule type="cellIs" dxfId="8449" priority="2230" operator="greaterThan">
      <formula>0</formula>
    </cfRule>
  </conditionalFormatting>
  <conditionalFormatting sqref="P31:P40">
    <cfRule type="cellIs" dxfId="8448" priority="2224" operator="greaterThan">
      <formula>0</formula>
    </cfRule>
  </conditionalFormatting>
  <conditionalFormatting sqref="Q31">
    <cfRule type="cellIs" dxfId="8447" priority="2229" operator="lessThan">
      <formula>0</formula>
    </cfRule>
  </conditionalFormatting>
  <conditionalFormatting sqref="R31">
    <cfRule type="cellIs" dxfId="8446" priority="2227" operator="lessThan">
      <formula>0.8</formula>
    </cfRule>
    <cfRule type="cellIs" dxfId="8445" priority="2228" operator="greaterThan">
      <formula>1</formula>
    </cfRule>
  </conditionalFormatting>
  <conditionalFormatting sqref="R31">
    <cfRule type="cellIs" dxfId="8444" priority="2225" operator="greaterThan">
      <formula>1</formula>
    </cfRule>
    <cfRule type="cellIs" dxfId="8443" priority="2226" operator="lessThan">
      <formula>0.8</formula>
    </cfRule>
  </conditionalFormatting>
  <conditionalFormatting sqref="P31:P40">
    <cfRule type="cellIs" dxfId="8442" priority="2218" operator="greaterThan">
      <formula>0</formula>
    </cfRule>
  </conditionalFormatting>
  <conditionalFormatting sqref="Q31">
    <cfRule type="cellIs" dxfId="8441" priority="2223" operator="lessThan">
      <formula>0</formula>
    </cfRule>
  </conditionalFormatting>
  <conditionalFormatting sqref="R31">
    <cfRule type="cellIs" dxfId="8440" priority="2221" operator="lessThan">
      <formula>0.8</formula>
    </cfRule>
    <cfRule type="cellIs" dxfId="8439" priority="2222" operator="greaterThan">
      <formula>1</formula>
    </cfRule>
  </conditionalFormatting>
  <conditionalFormatting sqref="R31">
    <cfRule type="cellIs" dxfId="8438" priority="2219" operator="greaterThan">
      <formula>1</formula>
    </cfRule>
    <cfRule type="cellIs" dxfId="8437" priority="2220" operator="lessThan">
      <formula>0.8</formula>
    </cfRule>
  </conditionalFormatting>
  <conditionalFormatting sqref="R31">
    <cfRule type="cellIs" dxfId="8436" priority="2215" operator="lessThan">
      <formula>0.8</formula>
    </cfRule>
    <cfRule type="cellIs" dxfId="8435" priority="2216" operator="greaterThan">
      <formula>1</formula>
    </cfRule>
  </conditionalFormatting>
  <conditionalFormatting sqref="R31">
    <cfRule type="cellIs" dxfId="8434" priority="2213" operator="greaterThan">
      <formula>1</formula>
    </cfRule>
    <cfRule type="cellIs" dxfId="8433" priority="2214" operator="lessThan">
      <formula>0.8</formula>
    </cfRule>
  </conditionalFormatting>
  <conditionalFormatting sqref="P31:P40">
    <cfRule type="cellIs" dxfId="8432" priority="2212" operator="greaterThan">
      <formula>0</formula>
    </cfRule>
  </conditionalFormatting>
  <conditionalFormatting sqref="Q31">
    <cfRule type="cellIs" dxfId="8431" priority="2217" operator="lessThan">
      <formula>0</formula>
    </cfRule>
  </conditionalFormatting>
  <conditionalFormatting sqref="P31:P40">
    <cfRule type="cellIs" dxfId="8430" priority="2206" operator="greaterThan">
      <formula>0</formula>
    </cfRule>
  </conditionalFormatting>
  <conditionalFormatting sqref="Q31">
    <cfRule type="cellIs" dxfId="8429" priority="2211" operator="lessThan">
      <formula>0</formula>
    </cfRule>
  </conditionalFormatting>
  <conditionalFormatting sqref="R31">
    <cfRule type="cellIs" dxfId="8428" priority="2209" operator="lessThan">
      <formula>0.8</formula>
    </cfRule>
    <cfRule type="cellIs" dxfId="8427" priority="2210" operator="greaterThan">
      <formula>1</formula>
    </cfRule>
  </conditionalFormatting>
  <conditionalFormatting sqref="R31">
    <cfRule type="cellIs" dxfId="8426" priority="2207" operator="greaterThan">
      <formula>1</formula>
    </cfRule>
    <cfRule type="cellIs" dxfId="8425" priority="2208" operator="lessThan">
      <formula>0.8</formula>
    </cfRule>
  </conditionalFormatting>
  <conditionalFormatting sqref="R31">
    <cfRule type="cellIs" dxfId="8424" priority="2203" operator="lessThan">
      <formula>0.8</formula>
    </cfRule>
    <cfRule type="cellIs" dxfId="8423" priority="2204" operator="greaterThan">
      <formula>1</formula>
    </cfRule>
  </conditionalFormatting>
  <conditionalFormatting sqref="R31">
    <cfRule type="cellIs" dxfId="8422" priority="2201" operator="greaterThan">
      <formula>1</formula>
    </cfRule>
    <cfRule type="cellIs" dxfId="8421" priority="2202" operator="lessThan">
      <formula>0.8</formula>
    </cfRule>
  </conditionalFormatting>
  <conditionalFormatting sqref="P31:P40">
    <cfRule type="cellIs" dxfId="8420" priority="2200" operator="greaterThan">
      <formula>0</formula>
    </cfRule>
  </conditionalFormatting>
  <conditionalFormatting sqref="Q31">
    <cfRule type="cellIs" dxfId="8419" priority="2205" operator="lessThan">
      <formula>0</formula>
    </cfRule>
  </conditionalFormatting>
  <conditionalFormatting sqref="R31">
    <cfRule type="cellIs" dxfId="8418" priority="2197" operator="lessThan">
      <formula>0.8</formula>
    </cfRule>
    <cfRule type="cellIs" dxfId="8417" priority="2198" operator="greaterThan">
      <formula>1</formula>
    </cfRule>
  </conditionalFormatting>
  <conditionalFormatting sqref="R31">
    <cfRule type="cellIs" dxfId="8416" priority="2195" operator="greaterThan">
      <formula>1</formula>
    </cfRule>
    <cfRule type="cellIs" dxfId="8415" priority="2196" operator="lessThan">
      <formula>0.8</formula>
    </cfRule>
  </conditionalFormatting>
  <conditionalFormatting sqref="P31:P40">
    <cfRule type="cellIs" dxfId="8414" priority="2194" operator="greaterThan">
      <formula>0</formula>
    </cfRule>
  </conditionalFormatting>
  <conditionalFormatting sqref="Q31">
    <cfRule type="cellIs" dxfId="8413" priority="2199" operator="lessThan">
      <formula>0</formula>
    </cfRule>
  </conditionalFormatting>
  <conditionalFormatting sqref="Q31">
    <cfRule type="cellIs" dxfId="8412" priority="2193" operator="lessThan">
      <formula>0</formula>
    </cfRule>
  </conditionalFormatting>
  <conditionalFormatting sqref="R31">
    <cfRule type="cellIs" dxfId="8411" priority="2191" operator="lessThan">
      <formula>0.8</formula>
    </cfRule>
    <cfRule type="cellIs" dxfId="8410" priority="2192" operator="greaterThan">
      <formula>1</formula>
    </cfRule>
  </conditionalFormatting>
  <conditionalFormatting sqref="R31">
    <cfRule type="cellIs" dxfId="8409" priority="2189" operator="greaterThan">
      <formula>1</formula>
    </cfRule>
    <cfRule type="cellIs" dxfId="8408" priority="2190" operator="lessThan">
      <formula>0.8</formula>
    </cfRule>
  </conditionalFormatting>
  <conditionalFormatting sqref="P31:P40">
    <cfRule type="cellIs" dxfId="8407" priority="2188" operator="greaterThan">
      <formula>0</formula>
    </cfRule>
  </conditionalFormatting>
  <conditionalFormatting sqref="Q31">
    <cfRule type="cellIs" dxfId="8406" priority="2182" operator="lessThan">
      <formula>0</formula>
    </cfRule>
  </conditionalFormatting>
  <conditionalFormatting sqref="R31">
    <cfRule type="cellIs" dxfId="8405" priority="2186" operator="lessThan">
      <formula>0.8</formula>
    </cfRule>
    <cfRule type="cellIs" dxfId="8404" priority="2187" operator="greaterThan">
      <formula>1</formula>
    </cfRule>
  </conditionalFormatting>
  <conditionalFormatting sqref="R31">
    <cfRule type="cellIs" dxfId="8403" priority="2184" operator="greaterThan">
      <formula>1</formula>
    </cfRule>
    <cfRule type="cellIs" dxfId="8402" priority="2185" operator="lessThan">
      <formula>0.8</formula>
    </cfRule>
  </conditionalFormatting>
  <conditionalFormatting sqref="P31:P40">
    <cfRule type="cellIs" dxfId="8401" priority="2183" operator="greaterThan">
      <formula>0</formula>
    </cfRule>
  </conditionalFormatting>
  <conditionalFormatting sqref="Q31">
    <cfRule type="cellIs" dxfId="8400" priority="2181" operator="lessThan">
      <formula>0</formula>
    </cfRule>
  </conditionalFormatting>
  <conditionalFormatting sqref="R31">
    <cfRule type="cellIs" dxfId="8399" priority="2179" operator="lessThan">
      <formula>0.8</formula>
    </cfRule>
    <cfRule type="cellIs" dxfId="8398" priority="2180" operator="greaterThan">
      <formula>1</formula>
    </cfRule>
  </conditionalFormatting>
  <conditionalFormatting sqref="R31">
    <cfRule type="cellIs" dxfId="8397" priority="2177" operator="greaterThan">
      <formula>1</formula>
    </cfRule>
    <cfRule type="cellIs" dxfId="8396" priority="2178" operator="lessThan">
      <formula>0.8</formula>
    </cfRule>
  </conditionalFormatting>
  <conditionalFormatting sqref="P31:P40">
    <cfRule type="cellIs" dxfId="8395" priority="2176" operator="greaterThan">
      <formula>0</formula>
    </cfRule>
  </conditionalFormatting>
  <conditionalFormatting sqref="Q31">
    <cfRule type="cellIs" dxfId="8394" priority="2175" operator="lessThan">
      <formula>0</formula>
    </cfRule>
  </conditionalFormatting>
  <conditionalFormatting sqref="R31">
    <cfRule type="cellIs" dxfId="8393" priority="2173" operator="lessThan">
      <formula>0.8</formula>
    </cfRule>
    <cfRule type="cellIs" dxfId="8392" priority="2174" operator="greaterThan">
      <formula>1</formula>
    </cfRule>
  </conditionalFormatting>
  <conditionalFormatting sqref="R31">
    <cfRule type="cellIs" dxfId="8391" priority="2171" operator="greaterThan">
      <formula>1</formula>
    </cfRule>
    <cfRule type="cellIs" dxfId="8390" priority="2172" operator="lessThan">
      <formula>0.8</formula>
    </cfRule>
  </conditionalFormatting>
  <conditionalFormatting sqref="P31:P40">
    <cfRule type="cellIs" dxfId="8389" priority="2170" operator="greaterThan">
      <formula>0</formula>
    </cfRule>
  </conditionalFormatting>
  <conditionalFormatting sqref="Q31">
    <cfRule type="cellIs" dxfId="8388" priority="2169" operator="lessThan">
      <formula>0</formula>
    </cfRule>
  </conditionalFormatting>
  <conditionalFormatting sqref="R31">
    <cfRule type="cellIs" dxfId="8387" priority="2167" operator="lessThan">
      <formula>0.8</formula>
    </cfRule>
    <cfRule type="cellIs" dxfId="8386" priority="2168" operator="greaterThan">
      <formula>1</formula>
    </cfRule>
  </conditionalFormatting>
  <conditionalFormatting sqref="R31">
    <cfRule type="cellIs" dxfId="8385" priority="2165" operator="greaterThan">
      <formula>1</formula>
    </cfRule>
    <cfRule type="cellIs" dxfId="8384" priority="2166" operator="lessThan">
      <formula>0.8</formula>
    </cfRule>
  </conditionalFormatting>
  <conditionalFormatting sqref="P31:P40">
    <cfRule type="cellIs" dxfId="8383" priority="2164" operator="greaterThan">
      <formula>0</formula>
    </cfRule>
  </conditionalFormatting>
  <conditionalFormatting sqref="Q31">
    <cfRule type="cellIs" dxfId="8382" priority="2163" operator="lessThan">
      <formula>0</formula>
    </cfRule>
  </conditionalFormatting>
  <conditionalFormatting sqref="R31">
    <cfRule type="cellIs" dxfId="8381" priority="2161" operator="lessThan">
      <formula>0.8</formula>
    </cfRule>
    <cfRule type="cellIs" dxfId="8380" priority="2162" operator="greaterThan">
      <formula>1</formula>
    </cfRule>
  </conditionalFormatting>
  <conditionalFormatting sqref="R31">
    <cfRule type="cellIs" dxfId="8379" priority="2159" operator="greaterThan">
      <formula>1</formula>
    </cfRule>
    <cfRule type="cellIs" dxfId="8378" priority="2160" operator="lessThan">
      <formula>0.8</formula>
    </cfRule>
  </conditionalFormatting>
  <conditionalFormatting sqref="P31:P40">
    <cfRule type="cellIs" dxfId="8377" priority="2158" operator="greaterThan">
      <formula>0</formula>
    </cfRule>
  </conditionalFormatting>
  <conditionalFormatting sqref="Q31">
    <cfRule type="cellIs" dxfId="8376" priority="2157" operator="lessThan">
      <formula>0</formula>
    </cfRule>
  </conditionalFormatting>
  <conditionalFormatting sqref="R31">
    <cfRule type="cellIs" dxfId="8375" priority="2155" operator="lessThan">
      <formula>0.8</formula>
    </cfRule>
    <cfRule type="cellIs" dxfId="8374" priority="2156" operator="greaterThan">
      <formula>1</formula>
    </cfRule>
  </conditionalFormatting>
  <conditionalFormatting sqref="R31">
    <cfRule type="cellIs" dxfId="8373" priority="2153" operator="greaterThan">
      <formula>1</formula>
    </cfRule>
    <cfRule type="cellIs" dxfId="8372" priority="2154" operator="lessThan">
      <formula>0.8</formula>
    </cfRule>
  </conditionalFormatting>
  <conditionalFormatting sqref="P31:P40">
    <cfRule type="cellIs" dxfId="8371" priority="2152" operator="greaterThan">
      <formula>0</formula>
    </cfRule>
  </conditionalFormatting>
  <conditionalFormatting sqref="P31:P40">
    <cfRule type="cellIs" dxfId="8370" priority="2146" operator="greaterThan">
      <formula>0</formula>
    </cfRule>
  </conditionalFormatting>
  <conditionalFormatting sqref="Q31">
    <cfRule type="cellIs" dxfId="8369" priority="2151" operator="lessThan">
      <formula>0</formula>
    </cfRule>
  </conditionalFormatting>
  <conditionalFormatting sqref="R31">
    <cfRule type="cellIs" dxfId="8368" priority="2149" operator="lessThan">
      <formula>0.8</formula>
    </cfRule>
    <cfRule type="cellIs" dxfId="8367" priority="2150" operator="greaterThan">
      <formula>1</formula>
    </cfRule>
  </conditionalFormatting>
  <conditionalFormatting sqref="R31">
    <cfRule type="cellIs" dxfId="8366" priority="2147" operator="greaterThan">
      <formula>1</formula>
    </cfRule>
    <cfRule type="cellIs" dxfId="8365" priority="2148" operator="lessThan">
      <formula>0.8</formula>
    </cfRule>
  </conditionalFormatting>
  <conditionalFormatting sqref="P31:P40">
    <cfRule type="cellIs" dxfId="8364" priority="2140" operator="greaterThan">
      <formula>0</formula>
    </cfRule>
  </conditionalFormatting>
  <conditionalFormatting sqref="Q31">
    <cfRule type="cellIs" dxfId="8363" priority="2145" operator="lessThan">
      <formula>0</formula>
    </cfRule>
  </conditionalFormatting>
  <conditionalFormatting sqref="R31">
    <cfRule type="cellIs" dxfId="8362" priority="2143" operator="lessThan">
      <formula>0.8</formula>
    </cfRule>
    <cfRule type="cellIs" dxfId="8361" priority="2144" operator="greaterThan">
      <formula>1</formula>
    </cfRule>
  </conditionalFormatting>
  <conditionalFormatting sqref="R31">
    <cfRule type="cellIs" dxfId="8360" priority="2141" operator="greaterThan">
      <formula>1</formula>
    </cfRule>
    <cfRule type="cellIs" dxfId="8359" priority="2142" operator="lessThan">
      <formula>0.8</formula>
    </cfRule>
  </conditionalFormatting>
  <conditionalFormatting sqref="R31">
    <cfRule type="cellIs" dxfId="8358" priority="2137" operator="lessThan">
      <formula>0.8</formula>
    </cfRule>
    <cfRule type="cellIs" dxfId="8357" priority="2138" operator="greaterThan">
      <formula>1</formula>
    </cfRule>
  </conditionalFormatting>
  <conditionalFormatting sqref="R31">
    <cfRule type="cellIs" dxfId="8356" priority="2135" operator="greaterThan">
      <formula>1</formula>
    </cfRule>
    <cfRule type="cellIs" dxfId="8355" priority="2136" operator="lessThan">
      <formula>0.8</formula>
    </cfRule>
  </conditionalFormatting>
  <conditionalFormatting sqref="P31:P40">
    <cfRule type="cellIs" dxfId="8354" priority="2134" operator="greaterThan">
      <formula>0</formula>
    </cfRule>
  </conditionalFormatting>
  <conditionalFormatting sqref="Q31">
    <cfRule type="cellIs" dxfId="8353" priority="2139" operator="lessThan">
      <formula>0</formula>
    </cfRule>
  </conditionalFormatting>
  <conditionalFormatting sqref="P79">
    <cfRule type="cellIs" dxfId="8352" priority="2128" operator="greaterThan">
      <formula>0</formula>
    </cfRule>
  </conditionalFormatting>
  <conditionalFormatting sqref="Q79">
    <cfRule type="cellIs" dxfId="8351" priority="2133" operator="lessThan">
      <formula>0</formula>
    </cfRule>
  </conditionalFormatting>
  <conditionalFormatting sqref="R79">
    <cfRule type="cellIs" dxfId="8350" priority="2131" operator="lessThan">
      <formula>0.8</formula>
    </cfRule>
    <cfRule type="cellIs" dxfId="8349" priority="2132" operator="greaterThan">
      <formula>1</formula>
    </cfRule>
  </conditionalFormatting>
  <conditionalFormatting sqref="R79">
    <cfRule type="cellIs" dxfId="8348" priority="2129" operator="greaterThan">
      <formula>1</formula>
    </cfRule>
    <cfRule type="cellIs" dxfId="8347" priority="2130" operator="lessThan">
      <formula>0.8</formula>
    </cfRule>
  </conditionalFormatting>
  <conditionalFormatting sqref="Q79">
    <cfRule type="cellIs" dxfId="8346" priority="2127" operator="lessThan">
      <formula>0</formula>
    </cfRule>
  </conditionalFormatting>
  <conditionalFormatting sqref="R79">
    <cfRule type="cellIs" dxfId="8345" priority="2125" operator="lessThan">
      <formula>0.8</formula>
    </cfRule>
    <cfRule type="cellIs" dxfId="8344" priority="2126" operator="greaterThan">
      <formula>1</formula>
    </cfRule>
  </conditionalFormatting>
  <conditionalFormatting sqref="R79">
    <cfRule type="cellIs" dxfId="8343" priority="2123" operator="greaterThan">
      <formula>1</formula>
    </cfRule>
    <cfRule type="cellIs" dxfId="8342" priority="2124" operator="lessThan">
      <formula>0.8</formula>
    </cfRule>
  </conditionalFormatting>
  <conditionalFormatting sqref="P79">
    <cfRule type="cellIs" dxfId="8341" priority="2122" operator="greaterThan">
      <formula>0</formula>
    </cfRule>
  </conditionalFormatting>
  <conditionalFormatting sqref="P79">
    <cfRule type="cellIs" dxfId="8340" priority="2116" operator="greaterThan">
      <formula>0</formula>
    </cfRule>
  </conditionalFormatting>
  <conditionalFormatting sqref="Q79">
    <cfRule type="cellIs" dxfId="8339" priority="2121" operator="lessThan">
      <formula>0</formula>
    </cfRule>
  </conditionalFormatting>
  <conditionalFormatting sqref="R79">
    <cfRule type="cellIs" dxfId="8338" priority="2119" operator="lessThan">
      <formula>0.8</formula>
    </cfRule>
    <cfRule type="cellIs" dxfId="8337" priority="2120" operator="greaterThan">
      <formula>1</formula>
    </cfRule>
  </conditionalFormatting>
  <conditionalFormatting sqref="R79">
    <cfRule type="cellIs" dxfId="8336" priority="2117" operator="greaterThan">
      <formula>1</formula>
    </cfRule>
    <cfRule type="cellIs" dxfId="8335" priority="2118" operator="lessThan">
      <formula>0.8</formula>
    </cfRule>
  </conditionalFormatting>
  <conditionalFormatting sqref="Q79">
    <cfRule type="cellIs" dxfId="8334" priority="2110" operator="lessThan">
      <formula>0</formula>
    </cfRule>
  </conditionalFormatting>
  <conditionalFormatting sqref="P79">
    <cfRule type="cellIs" dxfId="8333" priority="2111" operator="greaterThan">
      <formula>0</formula>
    </cfRule>
  </conditionalFormatting>
  <conditionalFormatting sqref="R79">
    <cfRule type="cellIs" dxfId="8332" priority="2114" operator="lessThan">
      <formula>0.8</formula>
    </cfRule>
    <cfRule type="cellIs" dxfId="8331" priority="2115" operator="greaterThan">
      <formula>1</formula>
    </cfRule>
  </conditionalFormatting>
  <conditionalFormatting sqref="R79">
    <cfRule type="cellIs" dxfId="8330" priority="2112" operator="greaterThan">
      <formula>1</formula>
    </cfRule>
    <cfRule type="cellIs" dxfId="8329" priority="2113" operator="lessThan">
      <formula>0.8</formula>
    </cfRule>
  </conditionalFormatting>
  <conditionalFormatting sqref="Q79">
    <cfRule type="cellIs" dxfId="8328" priority="2104" operator="lessThan">
      <formula>0</formula>
    </cfRule>
  </conditionalFormatting>
  <conditionalFormatting sqref="R79">
    <cfRule type="cellIs" dxfId="8327" priority="2108" operator="lessThan">
      <formula>0.8</formula>
    </cfRule>
    <cfRule type="cellIs" dxfId="8326" priority="2109" operator="greaterThan">
      <formula>1</formula>
    </cfRule>
  </conditionalFormatting>
  <conditionalFormatting sqref="R79">
    <cfRule type="cellIs" dxfId="8325" priority="2106" operator="greaterThan">
      <formula>1</formula>
    </cfRule>
    <cfRule type="cellIs" dxfId="8324" priority="2107" operator="lessThan">
      <formula>0.8</formula>
    </cfRule>
  </conditionalFormatting>
  <conditionalFormatting sqref="P79">
    <cfRule type="cellIs" dxfId="8323" priority="2105" operator="greaterThan">
      <formula>0</formula>
    </cfRule>
  </conditionalFormatting>
  <conditionalFormatting sqref="Q79">
    <cfRule type="cellIs" dxfId="8322" priority="2103" operator="lessThan">
      <formula>0</formula>
    </cfRule>
  </conditionalFormatting>
  <conditionalFormatting sqref="R79">
    <cfRule type="cellIs" dxfId="8321" priority="2101" operator="lessThan">
      <formula>0.8</formula>
    </cfRule>
    <cfRule type="cellIs" dxfId="8320" priority="2102" operator="greaterThan">
      <formula>1</formula>
    </cfRule>
  </conditionalFormatting>
  <conditionalFormatting sqref="R79">
    <cfRule type="cellIs" dxfId="8319" priority="2099" operator="greaterThan">
      <formula>1</formula>
    </cfRule>
    <cfRule type="cellIs" dxfId="8318" priority="2100" operator="lessThan">
      <formula>0.8</formula>
    </cfRule>
  </conditionalFormatting>
  <conditionalFormatting sqref="P79">
    <cfRule type="cellIs" dxfId="8317" priority="2098" operator="greaterThan">
      <formula>0</formula>
    </cfRule>
  </conditionalFormatting>
  <conditionalFormatting sqref="Q79">
    <cfRule type="cellIs" dxfId="8316" priority="2097" operator="lessThan">
      <formula>0</formula>
    </cfRule>
  </conditionalFormatting>
  <conditionalFormatting sqref="R79">
    <cfRule type="cellIs" dxfId="8315" priority="2095" operator="lessThan">
      <formula>0.8</formula>
    </cfRule>
    <cfRule type="cellIs" dxfId="8314" priority="2096" operator="greaterThan">
      <formula>1</formula>
    </cfRule>
  </conditionalFormatting>
  <conditionalFormatting sqref="R79">
    <cfRule type="cellIs" dxfId="8313" priority="2093" operator="greaterThan">
      <formula>1</formula>
    </cfRule>
    <cfRule type="cellIs" dxfId="8312" priority="2094" operator="lessThan">
      <formula>0.8</formula>
    </cfRule>
  </conditionalFormatting>
  <conditionalFormatting sqref="P79">
    <cfRule type="cellIs" dxfId="8311" priority="2092" operator="greaterThan">
      <formula>0</formula>
    </cfRule>
  </conditionalFormatting>
  <conditionalFormatting sqref="P79">
    <cfRule type="cellIs" dxfId="8310" priority="2086" operator="greaterThan">
      <formula>0</formula>
    </cfRule>
  </conditionalFormatting>
  <conditionalFormatting sqref="Q79">
    <cfRule type="cellIs" dxfId="8309" priority="2091" operator="lessThan">
      <formula>0</formula>
    </cfRule>
  </conditionalFormatting>
  <conditionalFormatting sqref="R79">
    <cfRule type="cellIs" dxfId="8308" priority="2089" operator="lessThan">
      <formula>0.8</formula>
    </cfRule>
    <cfRule type="cellIs" dxfId="8307" priority="2090" operator="greaterThan">
      <formula>1</formula>
    </cfRule>
  </conditionalFormatting>
  <conditionalFormatting sqref="R79">
    <cfRule type="cellIs" dxfId="8306" priority="2087" operator="greaterThan">
      <formula>1</formula>
    </cfRule>
    <cfRule type="cellIs" dxfId="8305" priority="2088" operator="lessThan">
      <formula>0.8</formula>
    </cfRule>
  </conditionalFormatting>
  <conditionalFormatting sqref="P71:P78">
    <cfRule type="cellIs" dxfId="8304" priority="2080" operator="greaterThan">
      <formula>0</formula>
    </cfRule>
  </conditionalFormatting>
  <conditionalFormatting sqref="Q71:Q78">
    <cfRule type="cellIs" dxfId="8303" priority="2085" operator="lessThan">
      <formula>0</formula>
    </cfRule>
  </conditionalFormatting>
  <conditionalFormatting sqref="R71:R78">
    <cfRule type="cellIs" dxfId="8302" priority="2083" operator="lessThan">
      <formula>0.8</formula>
    </cfRule>
    <cfRule type="cellIs" dxfId="8301" priority="2084" operator="greaterThan">
      <formula>1</formula>
    </cfRule>
  </conditionalFormatting>
  <conditionalFormatting sqref="R71:R78">
    <cfRule type="cellIs" dxfId="8300" priority="2081" operator="greaterThan">
      <formula>1</formula>
    </cfRule>
    <cfRule type="cellIs" dxfId="8299" priority="2082" operator="lessThan">
      <formula>0.8</formula>
    </cfRule>
  </conditionalFormatting>
  <conditionalFormatting sqref="Q148:Q156">
    <cfRule type="cellIs" dxfId="8298" priority="2079" operator="lessThan">
      <formula>0</formula>
    </cfRule>
  </conditionalFormatting>
  <conditionalFormatting sqref="R148:R156">
    <cfRule type="cellIs" dxfId="8297" priority="2077" operator="lessThan">
      <formula>0.8</formula>
    </cfRule>
    <cfRule type="cellIs" dxfId="8296" priority="2078" operator="greaterThan">
      <formula>1</formula>
    </cfRule>
  </conditionalFormatting>
  <conditionalFormatting sqref="R148:R156">
    <cfRule type="cellIs" dxfId="8295" priority="2075" operator="greaterThan">
      <formula>1</formula>
    </cfRule>
    <cfRule type="cellIs" dxfId="8294" priority="2076" operator="lessThan">
      <formula>0.8</formula>
    </cfRule>
  </conditionalFormatting>
  <conditionalFormatting sqref="P148:P156">
    <cfRule type="cellIs" dxfId="8293" priority="2074" operator="greaterThan">
      <formula>0</formula>
    </cfRule>
  </conditionalFormatting>
  <conditionalFormatting sqref="Q148:Q156">
    <cfRule type="cellIs" dxfId="8292" priority="2073" operator="lessThan">
      <formula>0</formula>
    </cfRule>
  </conditionalFormatting>
  <conditionalFormatting sqref="R148:R156">
    <cfRule type="cellIs" dxfId="8291" priority="2071" operator="lessThan">
      <formula>0.8</formula>
    </cfRule>
    <cfRule type="cellIs" dxfId="8290" priority="2072" operator="greaterThan">
      <formula>1</formula>
    </cfRule>
  </conditionalFormatting>
  <conditionalFormatting sqref="R148:R156">
    <cfRule type="cellIs" dxfId="8289" priority="2069" operator="greaterThan">
      <formula>1</formula>
    </cfRule>
    <cfRule type="cellIs" dxfId="8288" priority="2070" operator="lessThan">
      <formula>0.8</formula>
    </cfRule>
  </conditionalFormatting>
  <conditionalFormatting sqref="P148:P156">
    <cfRule type="cellIs" dxfId="8287" priority="2068" operator="greaterThan">
      <formula>0</formula>
    </cfRule>
  </conditionalFormatting>
  <conditionalFormatting sqref="Q148:Q156">
    <cfRule type="cellIs" dxfId="8286" priority="2067" operator="lessThan">
      <formula>0</formula>
    </cfRule>
  </conditionalFormatting>
  <conditionalFormatting sqref="R148:R156">
    <cfRule type="cellIs" dxfId="8285" priority="2065" operator="lessThan">
      <formula>0.8</formula>
    </cfRule>
    <cfRule type="cellIs" dxfId="8284" priority="2066" operator="greaterThan">
      <formula>1</formula>
    </cfRule>
  </conditionalFormatting>
  <conditionalFormatting sqref="R148:R156">
    <cfRule type="cellIs" dxfId="8283" priority="2063" operator="greaterThan">
      <formula>1</formula>
    </cfRule>
    <cfRule type="cellIs" dxfId="8282" priority="2064" operator="lessThan">
      <formula>0.8</formula>
    </cfRule>
  </conditionalFormatting>
  <conditionalFormatting sqref="P148:P156">
    <cfRule type="cellIs" dxfId="8281" priority="2062" operator="greaterThan">
      <formula>0</formula>
    </cfRule>
  </conditionalFormatting>
  <conditionalFormatting sqref="Q148:Q156">
    <cfRule type="cellIs" dxfId="8280" priority="2061" operator="lessThan">
      <formula>0</formula>
    </cfRule>
  </conditionalFormatting>
  <conditionalFormatting sqref="R148:R156">
    <cfRule type="cellIs" dxfId="8279" priority="2059" operator="lessThan">
      <formula>0.8</formula>
    </cfRule>
    <cfRule type="cellIs" dxfId="8278" priority="2060" operator="greaterThan">
      <formula>1</formula>
    </cfRule>
  </conditionalFormatting>
  <conditionalFormatting sqref="R148:R156">
    <cfRule type="cellIs" dxfId="8277" priority="2057" operator="greaterThan">
      <formula>1</formula>
    </cfRule>
    <cfRule type="cellIs" dxfId="8276" priority="2058" operator="lessThan">
      <formula>0.8</formula>
    </cfRule>
  </conditionalFormatting>
  <conditionalFormatting sqref="P148:P156">
    <cfRule type="cellIs" dxfId="8275" priority="2056" operator="greaterThan">
      <formula>0</formula>
    </cfRule>
  </conditionalFormatting>
  <conditionalFormatting sqref="P148:P156">
    <cfRule type="cellIs" dxfId="8274" priority="2050" operator="greaterThan">
      <formula>0</formula>
    </cfRule>
  </conditionalFormatting>
  <conditionalFormatting sqref="Q148:Q156">
    <cfRule type="cellIs" dxfId="8273" priority="2055" operator="lessThan">
      <formula>0</formula>
    </cfRule>
  </conditionalFormatting>
  <conditionalFormatting sqref="R148:R156">
    <cfRule type="cellIs" dxfId="8272" priority="2053" operator="lessThan">
      <formula>0.8</formula>
    </cfRule>
    <cfRule type="cellIs" dxfId="8271" priority="2054" operator="greaterThan">
      <formula>1</formula>
    </cfRule>
  </conditionalFormatting>
  <conditionalFormatting sqref="R148:R156">
    <cfRule type="cellIs" dxfId="8270" priority="2051" operator="greaterThan">
      <formula>1</formula>
    </cfRule>
    <cfRule type="cellIs" dxfId="8269" priority="2052" operator="lessThan">
      <formula>0.8</formula>
    </cfRule>
  </conditionalFormatting>
  <conditionalFormatting sqref="P148:P156">
    <cfRule type="cellIs" dxfId="8268" priority="2044" operator="greaterThan">
      <formula>0</formula>
    </cfRule>
  </conditionalFormatting>
  <conditionalFormatting sqref="Q148:Q156">
    <cfRule type="cellIs" dxfId="8267" priority="2049" operator="lessThan">
      <formula>0</formula>
    </cfRule>
  </conditionalFormatting>
  <conditionalFormatting sqref="R148:R156">
    <cfRule type="cellIs" dxfId="8266" priority="2047" operator="lessThan">
      <formula>0.8</formula>
    </cfRule>
    <cfRule type="cellIs" dxfId="8265" priority="2048" operator="greaterThan">
      <formula>1</formula>
    </cfRule>
  </conditionalFormatting>
  <conditionalFormatting sqref="R148:R156">
    <cfRule type="cellIs" dxfId="8264" priority="2045" operator="greaterThan">
      <formula>1</formula>
    </cfRule>
    <cfRule type="cellIs" dxfId="8263" priority="2046" operator="lessThan">
      <formula>0.8</formula>
    </cfRule>
  </conditionalFormatting>
  <conditionalFormatting sqref="R148:R156">
    <cfRule type="cellIs" dxfId="8262" priority="2041" operator="lessThan">
      <formula>0.8</formula>
    </cfRule>
    <cfRule type="cellIs" dxfId="8261" priority="2042" operator="greaterThan">
      <formula>1</formula>
    </cfRule>
  </conditionalFormatting>
  <conditionalFormatting sqref="R148:R156">
    <cfRule type="cellIs" dxfId="8260" priority="2039" operator="greaterThan">
      <formula>1</formula>
    </cfRule>
    <cfRule type="cellIs" dxfId="8259" priority="2040" operator="lessThan">
      <formula>0.8</formula>
    </cfRule>
  </conditionalFormatting>
  <conditionalFormatting sqref="P148:P156">
    <cfRule type="cellIs" dxfId="8258" priority="2038" operator="greaterThan">
      <formula>0</formula>
    </cfRule>
  </conditionalFormatting>
  <conditionalFormatting sqref="Q148:Q156">
    <cfRule type="cellIs" dxfId="8257" priority="2043" operator="lessThan">
      <formula>0</formula>
    </cfRule>
  </conditionalFormatting>
  <conditionalFormatting sqref="Q148:Q156">
    <cfRule type="cellIs" dxfId="8256" priority="2037" operator="lessThan">
      <formula>0</formula>
    </cfRule>
  </conditionalFormatting>
  <conditionalFormatting sqref="R148:R156">
    <cfRule type="cellIs" dxfId="8255" priority="2035" operator="lessThan">
      <formula>0.8</formula>
    </cfRule>
    <cfRule type="cellIs" dxfId="8254" priority="2036" operator="greaterThan">
      <formula>1</formula>
    </cfRule>
  </conditionalFormatting>
  <conditionalFormatting sqref="R148:R156">
    <cfRule type="cellIs" dxfId="8253" priority="2033" operator="greaterThan">
      <formula>1</formula>
    </cfRule>
    <cfRule type="cellIs" dxfId="8252" priority="2034" operator="lessThan">
      <formula>0.8</formula>
    </cfRule>
  </conditionalFormatting>
  <conditionalFormatting sqref="P148:P156">
    <cfRule type="cellIs" dxfId="8251" priority="2032" operator="greaterThan">
      <formula>0</formula>
    </cfRule>
  </conditionalFormatting>
  <conditionalFormatting sqref="P148:P156">
    <cfRule type="cellIs" dxfId="8250" priority="2026" operator="greaterThan">
      <formula>0</formula>
    </cfRule>
  </conditionalFormatting>
  <conditionalFormatting sqref="Q148:Q156">
    <cfRule type="cellIs" dxfId="8249" priority="2031" operator="lessThan">
      <formula>0</formula>
    </cfRule>
  </conditionalFormatting>
  <conditionalFormatting sqref="R148:R156">
    <cfRule type="cellIs" dxfId="8248" priority="2029" operator="lessThan">
      <formula>0.8</formula>
    </cfRule>
    <cfRule type="cellIs" dxfId="8247" priority="2030" operator="greaterThan">
      <formula>1</formula>
    </cfRule>
  </conditionalFormatting>
  <conditionalFormatting sqref="R148:R156">
    <cfRule type="cellIs" dxfId="8246" priority="2027" operator="greaterThan">
      <formula>1</formula>
    </cfRule>
    <cfRule type="cellIs" dxfId="8245" priority="2028" operator="lessThan">
      <formula>0.8</formula>
    </cfRule>
  </conditionalFormatting>
  <conditionalFormatting sqref="P148:P156">
    <cfRule type="cellIs" dxfId="8244" priority="2020" operator="greaterThan">
      <formula>0</formula>
    </cfRule>
  </conditionalFormatting>
  <conditionalFormatting sqref="Q148:Q156">
    <cfRule type="cellIs" dxfId="8243" priority="2025" operator="lessThan">
      <formula>0</formula>
    </cfRule>
  </conditionalFormatting>
  <conditionalFormatting sqref="R148:R156">
    <cfRule type="cellIs" dxfId="8242" priority="2023" operator="lessThan">
      <formula>0.8</formula>
    </cfRule>
    <cfRule type="cellIs" dxfId="8241" priority="2024" operator="greaterThan">
      <formula>1</formula>
    </cfRule>
  </conditionalFormatting>
  <conditionalFormatting sqref="R148:R156">
    <cfRule type="cellIs" dxfId="8240" priority="2021" operator="greaterThan">
      <formula>1</formula>
    </cfRule>
    <cfRule type="cellIs" dxfId="8239" priority="2022" operator="lessThan">
      <formula>0.8</formula>
    </cfRule>
  </conditionalFormatting>
  <conditionalFormatting sqref="R148:R156">
    <cfRule type="cellIs" dxfId="8238" priority="2017" operator="lessThan">
      <formula>0.8</formula>
    </cfRule>
    <cfRule type="cellIs" dxfId="8237" priority="2018" operator="greaterThan">
      <formula>1</formula>
    </cfRule>
  </conditionalFormatting>
  <conditionalFormatting sqref="R148:R156">
    <cfRule type="cellIs" dxfId="8236" priority="2015" operator="greaterThan">
      <formula>1</formula>
    </cfRule>
    <cfRule type="cellIs" dxfId="8235" priority="2016" operator="lessThan">
      <formula>0.8</formula>
    </cfRule>
  </conditionalFormatting>
  <conditionalFormatting sqref="P148:P156">
    <cfRule type="cellIs" dxfId="8234" priority="2014" operator="greaterThan">
      <formula>0</formula>
    </cfRule>
  </conditionalFormatting>
  <conditionalFormatting sqref="Q148:Q156">
    <cfRule type="cellIs" dxfId="8233" priority="2019" operator="lessThan">
      <formula>0</formula>
    </cfRule>
  </conditionalFormatting>
  <conditionalFormatting sqref="P148:P156">
    <cfRule type="cellIs" dxfId="8232" priority="2008" operator="greaterThan">
      <formula>0</formula>
    </cfRule>
  </conditionalFormatting>
  <conditionalFormatting sqref="Q148:Q156">
    <cfRule type="cellIs" dxfId="8231" priority="2013" operator="lessThan">
      <formula>0</formula>
    </cfRule>
  </conditionalFormatting>
  <conditionalFormatting sqref="R148:R156">
    <cfRule type="cellIs" dxfId="8230" priority="2011" operator="lessThan">
      <formula>0.8</formula>
    </cfRule>
    <cfRule type="cellIs" dxfId="8229" priority="2012" operator="greaterThan">
      <formula>1</formula>
    </cfRule>
  </conditionalFormatting>
  <conditionalFormatting sqref="R148:R156">
    <cfRule type="cellIs" dxfId="8228" priority="2009" operator="greaterThan">
      <formula>1</formula>
    </cfRule>
    <cfRule type="cellIs" dxfId="8227" priority="2010" operator="lessThan">
      <formula>0.8</formula>
    </cfRule>
  </conditionalFormatting>
  <conditionalFormatting sqref="R148:R156">
    <cfRule type="cellIs" dxfId="8226" priority="2005" operator="lessThan">
      <formula>0.8</formula>
    </cfRule>
    <cfRule type="cellIs" dxfId="8225" priority="2006" operator="greaterThan">
      <formula>1</formula>
    </cfRule>
  </conditionalFormatting>
  <conditionalFormatting sqref="R148:R156">
    <cfRule type="cellIs" dxfId="8224" priority="2003" operator="greaterThan">
      <formula>1</formula>
    </cfRule>
    <cfRule type="cellIs" dxfId="8223" priority="2004" operator="lessThan">
      <formula>0.8</formula>
    </cfRule>
  </conditionalFormatting>
  <conditionalFormatting sqref="P148:P156">
    <cfRule type="cellIs" dxfId="8222" priority="2002" operator="greaterThan">
      <formula>0</formula>
    </cfRule>
  </conditionalFormatting>
  <conditionalFormatting sqref="Q148:Q156">
    <cfRule type="cellIs" dxfId="8221" priority="2007" operator="lessThan">
      <formula>0</formula>
    </cfRule>
  </conditionalFormatting>
  <conditionalFormatting sqref="R148:R156">
    <cfRule type="cellIs" dxfId="8220" priority="1999" operator="lessThan">
      <formula>0.8</formula>
    </cfRule>
    <cfRule type="cellIs" dxfId="8219" priority="2000" operator="greaterThan">
      <formula>1</formula>
    </cfRule>
  </conditionalFormatting>
  <conditionalFormatting sqref="R148:R156">
    <cfRule type="cellIs" dxfId="8218" priority="1997" operator="greaterThan">
      <formula>1</formula>
    </cfRule>
    <cfRule type="cellIs" dxfId="8217" priority="1998" operator="lessThan">
      <formula>0.8</formula>
    </cfRule>
  </conditionalFormatting>
  <conditionalFormatting sqref="P148:P156">
    <cfRule type="cellIs" dxfId="8216" priority="1996" operator="greaterThan">
      <formula>0</formula>
    </cfRule>
  </conditionalFormatting>
  <conditionalFormatting sqref="Q148:Q156">
    <cfRule type="cellIs" dxfId="8215" priority="2001" operator="lessThan">
      <formula>0</formula>
    </cfRule>
  </conditionalFormatting>
  <conditionalFormatting sqref="Q148:Q156">
    <cfRule type="cellIs" dxfId="8214" priority="1995" operator="lessThan">
      <formula>0</formula>
    </cfRule>
  </conditionalFormatting>
  <conditionalFormatting sqref="R148:R156">
    <cfRule type="cellIs" dxfId="8213" priority="1993" operator="lessThan">
      <formula>0.8</formula>
    </cfRule>
    <cfRule type="cellIs" dxfId="8212" priority="1994" operator="greaterThan">
      <formula>1</formula>
    </cfRule>
  </conditionalFormatting>
  <conditionalFormatting sqref="R148:R156">
    <cfRule type="cellIs" dxfId="8211" priority="1991" operator="greaterThan">
      <formula>1</formula>
    </cfRule>
    <cfRule type="cellIs" dxfId="8210" priority="1992" operator="lessThan">
      <formula>0.8</formula>
    </cfRule>
  </conditionalFormatting>
  <conditionalFormatting sqref="P148:P156">
    <cfRule type="cellIs" dxfId="8209" priority="1990" operator="greaterThan">
      <formula>0</formula>
    </cfRule>
  </conditionalFormatting>
  <conditionalFormatting sqref="Q148:Q156">
    <cfRule type="cellIs" dxfId="8208" priority="1984" operator="lessThan">
      <formula>0</formula>
    </cfRule>
  </conditionalFormatting>
  <conditionalFormatting sqref="R148:R156">
    <cfRule type="cellIs" dxfId="8207" priority="1988" operator="lessThan">
      <formula>0.8</formula>
    </cfRule>
    <cfRule type="cellIs" dxfId="8206" priority="1989" operator="greaterThan">
      <formula>1</formula>
    </cfRule>
  </conditionalFormatting>
  <conditionalFormatting sqref="R148:R156">
    <cfRule type="cellIs" dxfId="8205" priority="1986" operator="greaterThan">
      <formula>1</formula>
    </cfRule>
    <cfRule type="cellIs" dxfId="8204" priority="1987" operator="lessThan">
      <formula>0.8</formula>
    </cfRule>
  </conditionalFormatting>
  <conditionalFormatting sqref="P148:P156">
    <cfRule type="cellIs" dxfId="8203" priority="1985" operator="greaterThan">
      <formula>0</formula>
    </cfRule>
  </conditionalFormatting>
  <conditionalFormatting sqref="Q148:Q156">
    <cfRule type="cellIs" dxfId="8202" priority="1983" operator="lessThan">
      <formula>0</formula>
    </cfRule>
  </conditionalFormatting>
  <conditionalFormatting sqref="R148:R156">
    <cfRule type="cellIs" dxfId="8201" priority="1981" operator="lessThan">
      <formula>0.8</formula>
    </cfRule>
    <cfRule type="cellIs" dxfId="8200" priority="1982" operator="greaterThan">
      <formula>1</formula>
    </cfRule>
  </conditionalFormatting>
  <conditionalFormatting sqref="R148:R156">
    <cfRule type="cellIs" dxfId="8199" priority="1979" operator="greaterThan">
      <formula>1</formula>
    </cfRule>
    <cfRule type="cellIs" dxfId="8198" priority="1980" operator="lessThan">
      <formula>0.8</formula>
    </cfRule>
  </conditionalFormatting>
  <conditionalFormatting sqref="P148:P156">
    <cfRule type="cellIs" dxfId="8197" priority="1978" operator="greaterThan">
      <formula>0</formula>
    </cfRule>
  </conditionalFormatting>
  <conditionalFormatting sqref="Q148:Q156">
    <cfRule type="cellIs" dxfId="8196" priority="1977" operator="lessThan">
      <formula>0</formula>
    </cfRule>
  </conditionalFormatting>
  <conditionalFormatting sqref="R148:R156">
    <cfRule type="cellIs" dxfId="8195" priority="1975" operator="lessThan">
      <formula>0.8</formula>
    </cfRule>
    <cfRule type="cellIs" dxfId="8194" priority="1976" operator="greaterThan">
      <formula>1</formula>
    </cfRule>
  </conditionalFormatting>
  <conditionalFormatting sqref="R148:R156">
    <cfRule type="cellIs" dxfId="8193" priority="1973" operator="greaterThan">
      <formula>1</formula>
    </cfRule>
    <cfRule type="cellIs" dxfId="8192" priority="1974" operator="lessThan">
      <formula>0.8</formula>
    </cfRule>
  </conditionalFormatting>
  <conditionalFormatting sqref="P148:P156">
    <cfRule type="cellIs" dxfId="8191" priority="1972" operator="greaterThan">
      <formula>0</formula>
    </cfRule>
  </conditionalFormatting>
  <conditionalFormatting sqref="Q148:Q156">
    <cfRule type="cellIs" dxfId="8190" priority="1971" operator="lessThan">
      <formula>0</formula>
    </cfRule>
  </conditionalFormatting>
  <conditionalFormatting sqref="R148:R156">
    <cfRule type="cellIs" dxfId="8189" priority="1969" operator="lessThan">
      <formula>0.8</formula>
    </cfRule>
    <cfRule type="cellIs" dxfId="8188" priority="1970" operator="greaterThan">
      <formula>1</formula>
    </cfRule>
  </conditionalFormatting>
  <conditionalFormatting sqref="R148:R156">
    <cfRule type="cellIs" dxfId="8187" priority="1967" operator="greaterThan">
      <formula>1</formula>
    </cfRule>
    <cfRule type="cellIs" dxfId="8186" priority="1968" operator="lessThan">
      <formula>0.8</formula>
    </cfRule>
  </conditionalFormatting>
  <conditionalFormatting sqref="P148:P156">
    <cfRule type="cellIs" dxfId="8185" priority="1966" operator="greaterThan">
      <formula>0</formula>
    </cfRule>
  </conditionalFormatting>
  <conditionalFormatting sqref="Q148:Q156">
    <cfRule type="cellIs" dxfId="8184" priority="1965" operator="lessThan">
      <formula>0</formula>
    </cfRule>
  </conditionalFormatting>
  <conditionalFormatting sqref="R148:R156">
    <cfRule type="cellIs" dxfId="8183" priority="1963" operator="lessThan">
      <formula>0.8</formula>
    </cfRule>
    <cfRule type="cellIs" dxfId="8182" priority="1964" operator="greaterThan">
      <formula>1</formula>
    </cfRule>
  </conditionalFormatting>
  <conditionalFormatting sqref="R148:R156">
    <cfRule type="cellIs" dxfId="8181" priority="1961" operator="greaterThan">
      <formula>1</formula>
    </cfRule>
    <cfRule type="cellIs" dxfId="8180" priority="1962" operator="lessThan">
      <formula>0.8</formula>
    </cfRule>
  </conditionalFormatting>
  <conditionalFormatting sqref="P148:P156">
    <cfRule type="cellIs" dxfId="8179" priority="1960" operator="greaterThan">
      <formula>0</formula>
    </cfRule>
  </conditionalFormatting>
  <conditionalFormatting sqref="Q148:Q156">
    <cfRule type="cellIs" dxfId="8178" priority="1959" operator="lessThan">
      <formula>0</formula>
    </cfRule>
  </conditionalFormatting>
  <conditionalFormatting sqref="R148:R156">
    <cfRule type="cellIs" dxfId="8177" priority="1957" operator="lessThan">
      <formula>0.8</formula>
    </cfRule>
    <cfRule type="cellIs" dxfId="8176" priority="1958" operator="greaterThan">
      <formula>1</formula>
    </cfRule>
  </conditionalFormatting>
  <conditionalFormatting sqref="R148:R156">
    <cfRule type="cellIs" dxfId="8175" priority="1955" operator="greaterThan">
      <formula>1</formula>
    </cfRule>
    <cfRule type="cellIs" dxfId="8174" priority="1956" operator="lessThan">
      <formula>0.8</formula>
    </cfRule>
  </conditionalFormatting>
  <conditionalFormatting sqref="P148:P156">
    <cfRule type="cellIs" dxfId="8173" priority="1954" operator="greaterThan">
      <formula>0</formula>
    </cfRule>
  </conditionalFormatting>
  <conditionalFormatting sqref="P148:P156">
    <cfRule type="cellIs" dxfId="8172" priority="1948" operator="greaterThan">
      <formula>0</formula>
    </cfRule>
  </conditionalFormatting>
  <conditionalFormatting sqref="Q148:Q156">
    <cfRule type="cellIs" dxfId="8171" priority="1953" operator="lessThan">
      <formula>0</formula>
    </cfRule>
  </conditionalFormatting>
  <conditionalFormatting sqref="R148:R156">
    <cfRule type="cellIs" dxfId="8170" priority="1951" operator="lessThan">
      <formula>0.8</formula>
    </cfRule>
    <cfRule type="cellIs" dxfId="8169" priority="1952" operator="greaterThan">
      <formula>1</formula>
    </cfRule>
  </conditionalFormatting>
  <conditionalFormatting sqref="R148:R156">
    <cfRule type="cellIs" dxfId="8168" priority="1949" operator="greaterThan">
      <formula>1</formula>
    </cfRule>
    <cfRule type="cellIs" dxfId="8167" priority="1950" operator="lessThan">
      <formula>0.8</formula>
    </cfRule>
  </conditionalFormatting>
  <conditionalFormatting sqref="P148:P156">
    <cfRule type="cellIs" dxfId="8166" priority="1942" operator="greaterThan">
      <formula>0</formula>
    </cfRule>
  </conditionalFormatting>
  <conditionalFormatting sqref="Q148:Q156">
    <cfRule type="cellIs" dxfId="8165" priority="1947" operator="lessThan">
      <formula>0</formula>
    </cfRule>
  </conditionalFormatting>
  <conditionalFormatting sqref="R148:R156">
    <cfRule type="cellIs" dxfId="8164" priority="1945" operator="lessThan">
      <formula>0.8</formula>
    </cfRule>
    <cfRule type="cellIs" dxfId="8163" priority="1946" operator="greaterThan">
      <formula>1</formula>
    </cfRule>
  </conditionalFormatting>
  <conditionalFormatting sqref="R148:R156">
    <cfRule type="cellIs" dxfId="8162" priority="1943" operator="greaterThan">
      <formula>1</formula>
    </cfRule>
    <cfRule type="cellIs" dxfId="8161" priority="1944" operator="lessThan">
      <formula>0.8</formula>
    </cfRule>
  </conditionalFormatting>
  <conditionalFormatting sqref="R148:R156">
    <cfRule type="cellIs" dxfId="8160" priority="1939" operator="lessThan">
      <formula>0.8</formula>
    </cfRule>
    <cfRule type="cellIs" dxfId="8159" priority="1940" operator="greaterThan">
      <formula>1</formula>
    </cfRule>
  </conditionalFormatting>
  <conditionalFormatting sqref="R148:R156">
    <cfRule type="cellIs" dxfId="8158" priority="1937" operator="greaterThan">
      <formula>1</formula>
    </cfRule>
    <cfRule type="cellIs" dxfId="8157" priority="1938" operator="lessThan">
      <formula>0.8</formula>
    </cfRule>
  </conditionalFormatting>
  <conditionalFormatting sqref="P148:P156">
    <cfRule type="cellIs" dxfId="8156" priority="1936" operator="greaterThan">
      <formula>0</formula>
    </cfRule>
  </conditionalFormatting>
  <conditionalFormatting sqref="Q148:Q156">
    <cfRule type="cellIs" dxfId="8155" priority="1941" operator="lessThan">
      <formula>0</formula>
    </cfRule>
  </conditionalFormatting>
  <conditionalFormatting sqref="Q148:Q156">
    <cfRule type="cellIs" dxfId="8154" priority="1930" operator="lessThan">
      <formula>0</formula>
    </cfRule>
  </conditionalFormatting>
  <conditionalFormatting sqref="P148:P156">
    <cfRule type="cellIs" dxfId="8153" priority="1931" operator="greaterThan">
      <formula>0</formula>
    </cfRule>
  </conditionalFormatting>
  <conditionalFormatting sqref="R148:R156">
    <cfRule type="cellIs" dxfId="8152" priority="1934" operator="lessThan">
      <formula>0.8</formula>
    </cfRule>
    <cfRule type="cellIs" dxfId="8151" priority="1935" operator="greaterThan">
      <formula>1</formula>
    </cfRule>
  </conditionalFormatting>
  <conditionalFormatting sqref="R148:R156">
    <cfRule type="cellIs" dxfId="8150" priority="1932" operator="greaterThan">
      <formula>1</formula>
    </cfRule>
    <cfRule type="cellIs" dxfId="8149" priority="1933" operator="lessThan">
      <formula>0.8</formula>
    </cfRule>
  </conditionalFormatting>
  <conditionalFormatting sqref="Q148:Q156">
    <cfRule type="cellIs" dxfId="8148" priority="1924" operator="lessThan">
      <formula>0</formula>
    </cfRule>
  </conditionalFormatting>
  <conditionalFormatting sqref="R148:R156">
    <cfRule type="cellIs" dxfId="8147" priority="1928" operator="lessThan">
      <formula>0.8</formula>
    </cfRule>
    <cfRule type="cellIs" dxfId="8146" priority="1929" operator="greaterThan">
      <formula>1</formula>
    </cfRule>
  </conditionalFormatting>
  <conditionalFormatting sqref="R148:R156">
    <cfRule type="cellIs" dxfId="8145" priority="1926" operator="greaterThan">
      <formula>1</formula>
    </cfRule>
    <cfRule type="cellIs" dxfId="8144" priority="1927" operator="lessThan">
      <formula>0.8</formula>
    </cfRule>
  </conditionalFormatting>
  <conditionalFormatting sqref="P148:P156">
    <cfRule type="cellIs" dxfId="8143" priority="1925" operator="greaterThan">
      <formula>0</formula>
    </cfRule>
  </conditionalFormatting>
  <conditionalFormatting sqref="Q148:Q156">
    <cfRule type="cellIs" dxfId="8142" priority="1923" operator="lessThan">
      <formula>0</formula>
    </cfRule>
  </conditionalFormatting>
  <conditionalFormatting sqref="R148:R156">
    <cfRule type="cellIs" dxfId="8141" priority="1921" operator="lessThan">
      <formula>0.8</formula>
    </cfRule>
    <cfRule type="cellIs" dxfId="8140" priority="1922" operator="greaterThan">
      <formula>1</formula>
    </cfRule>
  </conditionalFormatting>
  <conditionalFormatting sqref="R148:R156">
    <cfRule type="cellIs" dxfId="8139" priority="1919" operator="greaterThan">
      <formula>1</formula>
    </cfRule>
    <cfRule type="cellIs" dxfId="8138" priority="1920" operator="lessThan">
      <formula>0.8</formula>
    </cfRule>
  </conditionalFormatting>
  <conditionalFormatting sqref="P148:P156">
    <cfRule type="cellIs" dxfId="8137" priority="1918" operator="greaterThan">
      <formula>0</formula>
    </cfRule>
  </conditionalFormatting>
  <conditionalFormatting sqref="Q148:Q156">
    <cfRule type="cellIs" dxfId="8136" priority="1917" operator="lessThan">
      <formula>0</formula>
    </cfRule>
  </conditionalFormatting>
  <conditionalFormatting sqref="R148:R156">
    <cfRule type="cellIs" dxfId="8135" priority="1915" operator="lessThan">
      <formula>0.8</formula>
    </cfRule>
    <cfRule type="cellIs" dxfId="8134" priority="1916" operator="greaterThan">
      <formula>1</formula>
    </cfRule>
  </conditionalFormatting>
  <conditionalFormatting sqref="R148:R156">
    <cfRule type="cellIs" dxfId="8133" priority="1913" operator="greaterThan">
      <formula>1</formula>
    </cfRule>
    <cfRule type="cellIs" dxfId="8132" priority="1914" operator="lessThan">
      <formula>0.8</formula>
    </cfRule>
  </conditionalFormatting>
  <conditionalFormatting sqref="P148:P156">
    <cfRule type="cellIs" dxfId="8131" priority="1912" operator="greaterThan">
      <formula>0</formula>
    </cfRule>
  </conditionalFormatting>
  <conditionalFormatting sqref="Q148:Q156">
    <cfRule type="cellIs" dxfId="8130" priority="1911" operator="lessThan">
      <formula>0</formula>
    </cfRule>
  </conditionalFormatting>
  <conditionalFormatting sqref="R148:R156">
    <cfRule type="cellIs" dxfId="8129" priority="1909" operator="lessThan">
      <formula>0.8</formula>
    </cfRule>
    <cfRule type="cellIs" dxfId="8128" priority="1910" operator="greaterThan">
      <formula>1</formula>
    </cfRule>
  </conditionalFormatting>
  <conditionalFormatting sqref="R148:R156">
    <cfRule type="cellIs" dxfId="8127" priority="1907" operator="greaterThan">
      <formula>1</formula>
    </cfRule>
    <cfRule type="cellIs" dxfId="8126" priority="1908" operator="lessThan">
      <formula>0.8</formula>
    </cfRule>
  </conditionalFormatting>
  <conditionalFormatting sqref="P148:P156">
    <cfRule type="cellIs" dxfId="8125" priority="1906" operator="greaterThan">
      <formula>0</formula>
    </cfRule>
  </conditionalFormatting>
  <conditionalFormatting sqref="Q148:Q156">
    <cfRule type="cellIs" dxfId="8124" priority="1905" operator="lessThan">
      <formula>0</formula>
    </cfRule>
  </conditionalFormatting>
  <conditionalFormatting sqref="R148:R156">
    <cfRule type="cellIs" dxfId="8123" priority="1903" operator="lessThan">
      <formula>0.8</formula>
    </cfRule>
    <cfRule type="cellIs" dxfId="8122" priority="1904" operator="greaterThan">
      <formula>1</formula>
    </cfRule>
  </conditionalFormatting>
  <conditionalFormatting sqref="R148:R156">
    <cfRule type="cellIs" dxfId="8121" priority="1901" operator="greaterThan">
      <formula>1</formula>
    </cfRule>
    <cfRule type="cellIs" dxfId="8120" priority="1902" operator="lessThan">
      <formula>0.8</formula>
    </cfRule>
  </conditionalFormatting>
  <conditionalFormatting sqref="P148:P156">
    <cfRule type="cellIs" dxfId="8119" priority="1900" operator="greaterThan">
      <formula>0</formula>
    </cfRule>
  </conditionalFormatting>
  <conditionalFormatting sqref="Q124">
    <cfRule type="cellIs" dxfId="8118" priority="1894" operator="lessThan">
      <formula>0</formula>
    </cfRule>
  </conditionalFormatting>
  <conditionalFormatting sqref="P124">
    <cfRule type="cellIs" dxfId="8117" priority="1895" operator="greaterThan">
      <formula>0</formula>
    </cfRule>
  </conditionalFormatting>
  <conditionalFormatting sqref="R124">
    <cfRule type="cellIs" dxfId="8116" priority="1898" operator="lessThan">
      <formula>0.8</formula>
    </cfRule>
    <cfRule type="cellIs" dxfId="8115" priority="1899" operator="greaterThan">
      <formula>1</formula>
    </cfRule>
  </conditionalFormatting>
  <conditionalFormatting sqref="R124">
    <cfRule type="cellIs" dxfId="8114" priority="1896" operator="greaterThan">
      <formula>1</formula>
    </cfRule>
    <cfRule type="cellIs" dxfId="8113" priority="1897" operator="lessThan">
      <formula>0.8</formula>
    </cfRule>
  </conditionalFormatting>
  <conditionalFormatting sqref="Q124">
    <cfRule type="cellIs" dxfId="8112" priority="1888" operator="lessThan">
      <formula>0</formula>
    </cfRule>
  </conditionalFormatting>
  <conditionalFormatting sqref="R124">
    <cfRule type="cellIs" dxfId="8111" priority="1892" operator="lessThan">
      <formula>0.8</formula>
    </cfRule>
    <cfRule type="cellIs" dxfId="8110" priority="1893" operator="greaterThan">
      <formula>1</formula>
    </cfRule>
  </conditionalFormatting>
  <conditionalFormatting sqref="R124">
    <cfRule type="cellIs" dxfId="8109" priority="1890" operator="greaterThan">
      <formula>1</formula>
    </cfRule>
    <cfRule type="cellIs" dxfId="8108" priority="1891" operator="lessThan">
      <formula>0.8</formula>
    </cfRule>
  </conditionalFormatting>
  <conditionalFormatting sqref="P124">
    <cfRule type="cellIs" dxfId="8107" priority="1889" operator="greaterThan">
      <formula>0</formula>
    </cfRule>
  </conditionalFormatting>
  <conditionalFormatting sqref="Q124">
    <cfRule type="cellIs" dxfId="8106" priority="1887" operator="lessThan">
      <formula>0</formula>
    </cfRule>
  </conditionalFormatting>
  <conditionalFormatting sqref="R124">
    <cfRule type="cellIs" dxfId="8105" priority="1885" operator="lessThan">
      <formula>0.8</formula>
    </cfRule>
    <cfRule type="cellIs" dxfId="8104" priority="1886" operator="greaterThan">
      <formula>1</formula>
    </cfRule>
  </conditionalFormatting>
  <conditionalFormatting sqref="R124">
    <cfRule type="cellIs" dxfId="8103" priority="1883" operator="greaterThan">
      <formula>1</formula>
    </cfRule>
    <cfRule type="cellIs" dxfId="8102" priority="1884" operator="lessThan">
      <formula>0.8</formula>
    </cfRule>
  </conditionalFormatting>
  <conditionalFormatting sqref="P124">
    <cfRule type="cellIs" dxfId="8101" priority="1882" operator="greaterThan">
      <formula>0</formula>
    </cfRule>
  </conditionalFormatting>
  <conditionalFormatting sqref="Q124">
    <cfRule type="cellIs" dxfId="8100" priority="1881" operator="lessThan">
      <formula>0</formula>
    </cfRule>
  </conditionalFormatting>
  <conditionalFormatting sqref="R124">
    <cfRule type="cellIs" dxfId="8099" priority="1879" operator="lessThan">
      <formula>0.8</formula>
    </cfRule>
    <cfRule type="cellIs" dxfId="8098" priority="1880" operator="greaterThan">
      <formula>1</formula>
    </cfRule>
  </conditionalFormatting>
  <conditionalFormatting sqref="R124">
    <cfRule type="cellIs" dxfId="8097" priority="1877" operator="greaterThan">
      <formula>1</formula>
    </cfRule>
    <cfRule type="cellIs" dxfId="8096" priority="1878" operator="lessThan">
      <formula>0.8</formula>
    </cfRule>
  </conditionalFormatting>
  <conditionalFormatting sqref="P124">
    <cfRule type="cellIs" dxfId="8095" priority="1876" operator="greaterThan">
      <formula>0</formula>
    </cfRule>
  </conditionalFormatting>
  <conditionalFormatting sqref="Q124">
    <cfRule type="cellIs" dxfId="8094" priority="1875" operator="lessThan">
      <formula>0</formula>
    </cfRule>
  </conditionalFormatting>
  <conditionalFormatting sqref="R124">
    <cfRule type="cellIs" dxfId="8093" priority="1873" operator="lessThan">
      <formula>0.8</formula>
    </cfRule>
    <cfRule type="cellIs" dxfId="8092" priority="1874" operator="greaterThan">
      <formula>1</formula>
    </cfRule>
  </conditionalFormatting>
  <conditionalFormatting sqref="R124">
    <cfRule type="cellIs" dxfId="8091" priority="1871" operator="greaterThan">
      <formula>1</formula>
    </cfRule>
    <cfRule type="cellIs" dxfId="8090" priority="1872" operator="lessThan">
      <formula>0.8</formula>
    </cfRule>
  </conditionalFormatting>
  <conditionalFormatting sqref="P124">
    <cfRule type="cellIs" dxfId="8089" priority="1870" operator="greaterThan">
      <formula>0</formula>
    </cfRule>
  </conditionalFormatting>
  <conditionalFormatting sqref="Q124">
    <cfRule type="cellIs" dxfId="8088" priority="1869" operator="lessThan">
      <formula>0</formula>
    </cfRule>
  </conditionalFormatting>
  <conditionalFormatting sqref="R124">
    <cfRule type="cellIs" dxfId="8087" priority="1867" operator="lessThan">
      <formula>0.8</formula>
    </cfRule>
    <cfRule type="cellIs" dxfId="8086" priority="1868" operator="greaterThan">
      <formula>1</formula>
    </cfRule>
  </conditionalFormatting>
  <conditionalFormatting sqref="R124">
    <cfRule type="cellIs" dxfId="8085" priority="1865" operator="greaterThan">
      <formula>1</formula>
    </cfRule>
    <cfRule type="cellIs" dxfId="8084" priority="1866" operator="lessThan">
      <formula>0.8</formula>
    </cfRule>
  </conditionalFormatting>
  <conditionalFormatting sqref="P124">
    <cfRule type="cellIs" dxfId="8083" priority="1864" operator="greaterThan">
      <formula>0</formula>
    </cfRule>
  </conditionalFormatting>
  <conditionalFormatting sqref="Q124">
    <cfRule type="cellIs" dxfId="8082" priority="1863" operator="lessThan">
      <formula>0</formula>
    </cfRule>
  </conditionalFormatting>
  <conditionalFormatting sqref="R124">
    <cfRule type="cellIs" dxfId="8081" priority="1861" operator="lessThan">
      <formula>0.8</formula>
    </cfRule>
    <cfRule type="cellIs" dxfId="8080" priority="1862" operator="greaterThan">
      <formula>1</formula>
    </cfRule>
  </conditionalFormatting>
  <conditionalFormatting sqref="R124">
    <cfRule type="cellIs" dxfId="8079" priority="1859" operator="greaterThan">
      <formula>1</formula>
    </cfRule>
    <cfRule type="cellIs" dxfId="8078" priority="1860" operator="lessThan">
      <formula>0.8</formula>
    </cfRule>
  </conditionalFormatting>
  <conditionalFormatting sqref="P124">
    <cfRule type="cellIs" dxfId="8077" priority="1858" operator="greaterThan">
      <formula>0</formula>
    </cfRule>
  </conditionalFormatting>
  <conditionalFormatting sqref="Q124">
    <cfRule type="cellIs" dxfId="8076" priority="1857" operator="lessThan">
      <formula>0</formula>
    </cfRule>
  </conditionalFormatting>
  <conditionalFormatting sqref="R124">
    <cfRule type="cellIs" dxfId="8075" priority="1855" operator="lessThan">
      <formula>0.8</formula>
    </cfRule>
    <cfRule type="cellIs" dxfId="8074" priority="1856" operator="greaterThan">
      <formula>1</formula>
    </cfRule>
  </conditionalFormatting>
  <conditionalFormatting sqref="R124">
    <cfRule type="cellIs" dxfId="8073" priority="1853" operator="greaterThan">
      <formula>1</formula>
    </cfRule>
    <cfRule type="cellIs" dxfId="8072" priority="1854" operator="lessThan">
      <formula>0.8</formula>
    </cfRule>
  </conditionalFormatting>
  <conditionalFormatting sqref="P124">
    <cfRule type="cellIs" dxfId="8071" priority="1852" operator="greaterThan">
      <formula>0</formula>
    </cfRule>
  </conditionalFormatting>
  <conditionalFormatting sqref="Q124">
    <cfRule type="cellIs" dxfId="8070" priority="1851" operator="lessThan">
      <formula>0</formula>
    </cfRule>
  </conditionalFormatting>
  <conditionalFormatting sqref="R124">
    <cfRule type="cellIs" dxfId="8069" priority="1849" operator="lessThan">
      <formula>0.8</formula>
    </cfRule>
    <cfRule type="cellIs" dxfId="8068" priority="1850" operator="greaterThan">
      <formula>1</formula>
    </cfRule>
  </conditionalFormatting>
  <conditionalFormatting sqref="R124">
    <cfRule type="cellIs" dxfId="8067" priority="1847" operator="greaterThan">
      <formula>1</formula>
    </cfRule>
    <cfRule type="cellIs" dxfId="8066" priority="1848" operator="lessThan">
      <formula>0.8</formula>
    </cfRule>
  </conditionalFormatting>
  <conditionalFormatting sqref="P124">
    <cfRule type="cellIs" dxfId="8065" priority="1846" operator="greaterThan">
      <formula>0</formula>
    </cfRule>
  </conditionalFormatting>
  <conditionalFormatting sqref="P124">
    <cfRule type="cellIs" dxfId="8064" priority="1840" operator="greaterThan">
      <formula>0</formula>
    </cfRule>
  </conditionalFormatting>
  <conditionalFormatting sqref="Q124">
    <cfRule type="cellIs" dxfId="8063" priority="1845" operator="lessThan">
      <formula>0</formula>
    </cfRule>
  </conditionalFormatting>
  <conditionalFormatting sqref="R124">
    <cfRule type="cellIs" dxfId="8062" priority="1843" operator="lessThan">
      <formula>0.8</formula>
    </cfRule>
    <cfRule type="cellIs" dxfId="8061" priority="1844" operator="greaterThan">
      <formula>1</formula>
    </cfRule>
  </conditionalFormatting>
  <conditionalFormatting sqref="R124">
    <cfRule type="cellIs" dxfId="8060" priority="1841" operator="greaterThan">
      <formula>1</formula>
    </cfRule>
    <cfRule type="cellIs" dxfId="8059" priority="1842" operator="lessThan">
      <formula>0.8</formula>
    </cfRule>
  </conditionalFormatting>
  <conditionalFormatting sqref="P124">
    <cfRule type="cellIs" dxfId="8058" priority="1834" operator="greaterThan">
      <formula>0</formula>
    </cfRule>
  </conditionalFormatting>
  <conditionalFormatting sqref="Q124">
    <cfRule type="cellIs" dxfId="8057" priority="1839" operator="lessThan">
      <formula>0</formula>
    </cfRule>
  </conditionalFormatting>
  <conditionalFormatting sqref="R124">
    <cfRule type="cellIs" dxfId="8056" priority="1837" operator="lessThan">
      <formula>0.8</formula>
    </cfRule>
    <cfRule type="cellIs" dxfId="8055" priority="1838" operator="greaterThan">
      <formula>1</formula>
    </cfRule>
  </conditionalFormatting>
  <conditionalFormatting sqref="R124">
    <cfRule type="cellIs" dxfId="8054" priority="1835" operator="greaterThan">
      <formula>1</formula>
    </cfRule>
    <cfRule type="cellIs" dxfId="8053" priority="1836" operator="lessThan">
      <formula>0.8</formula>
    </cfRule>
  </conditionalFormatting>
  <conditionalFormatting sqref="R124">
    <cfRule type="cellIs" dxfId="8052" priority="1831" operator="lessThan">
      <formula>0.8</formula>
    </cfRule>
    <cfRule type="cellIs" dxfId="8051" priority="1832" operator="greaterThan">
      <formula>1</formula>
    </cfRule>
  </conditionalFormatting>
  <conditionalFormatting sqref="R124">
    <cfRule type="cellIs" dxfId="8050" priority="1829" operator="greaterThan">
      <formula>1</formula>
    </cfRule>
    <cfRule type="cellIs" dxfId="8049" priority="1830" operator="lessThan">
      <formula>0.8</formula>
    </cfRule>
  </conditionalFormatting>
  <conditionalFormatting sqref="P124">
    <cfRule type="cellIs" dxfId="8048" priority="1828" operator="greaterThan">
      <formula>0</formula>
    </cfRule>
  </conditionalFormatting>
  <conditionalFormatting sqref="Q124">
    <cfRule type="cellIs" dxfId="8047" priority="1833" operator="lessThan">
      <formula>0</formula>
    </cfRule>
  </conditionalFormatting>
  <conditionalFormatting sqref="Q124">
    <cfRule type="cellIs" dxfId="8046" priority="1827" operator="lessThan">
      <formula>0</formula>
    </cfRule>
  </conditionalFormatting>
  <conditionalFormatting sqref="R124">
    <cfRule type="cellIs" dxfId="8045" priority="1825" operator="lessThan">
      <formula>0.8</formula>
    </cfRule>
    <cfRule type="cellIs" dxfId="8044" priority="1826" operator="greaterThan">
      <formula>1</formula>
    </cfRule>
  </conditionalFormatting>
  <conditionalFormatting sqref="R124">
    <cfRule type="cellIs" dxfId="8043" priority="1823" operator="greaterThan">
      <formula>1</formula>
    </cfRule>
    <cfRule type="cellIs" dxfId="8042" priority="1824" operator="lessThan">
      <formula>0.8</formula>
    </cfRule>
  </conditionalFormatting>
  <conditionalFormatting sqref="P124">
    <cfRule type="cellIs" dxfId="8041" priority="1822" operator="greaterThan">
      <formula>0</formula>
    </cfRule>
  </conditionalFormatting>
  <conditionalFormatting sqref="P124">
    <cfRule type="cellIs" dxfId="8040" priority="1816" operator="greaterThan">
      <formula>0</formula>
    </cfRule>
  </conditionalFormatting>
  <conditionalFormatting sqref="Q124">
    <cfRule type="cellIs" dxfId="8039" priority="1821" operator="lessThan">
      <formula>0</formula>
    </cfRule>
  </conditionalFormatting>
  <conditionalFormatting sqref="R124">
    <cfRule type="cellIs" dxfId="8038" priority="1819" operator="lessThan">
      <formula>0.8</formula>
    </cfRule>
    <cfRule type="cellIs" dxfId="8037" priority="1820" operator="greaterThan">
      <formula>1</formula>
    </cfRule>
  </conditionalFormatting>
  <conditionalFormatting sqref="R124">
    <cfRule type="cellIs" dxfId="8036" priority="1817" operator="greaterThan">
      <formula>1</formula>
    </cfRule>
    <cfRule type="cellIs" dxfId="8035" priority="1818" operator="lessThan">
      <formula>0.8</formula>
    </cfRule>
  </conditionalFormatting>
  <conditionalFormatting sqref="P124">
    <cfRule type="cellIs" dxfId="8034" priority="1810" operator="greaterThan">
      <formula>0</formula>
    </cfRule>
  </conditionalFormatting>
  <conditionalFormatting sqref="Q124">
    <cfRule type="cellIs" dxfId="8033" priority="1815" operator="lessThan">
      <formula>0</formula>
    </cfRule>
  </conditionalFormatting>
  <conditionalFormatting sqref="R124">
    <cfRule type="cellIs" dxfId="8032" priority="1813" operator="lessThan">
      <formula>0.8</formula>
    </cfRule>
    <cfRule type="cellIs" dxfId="8031" priority="1814" operator="greaterThan">
      <formula>1</formula>
    </cfRule>
  </conditionalFormatting>
  <conditionalFormatting sqref="R124">
    <cfRule type="cellIs" dxfId="8030" priority="1811" operator="greaterThan">
      <formula>1</formula>
    </cfRule>
    <cfRule type="cellIs" dxfId="8029" priority="1812" operator="lessThan">
      <formula>0.8</formula>
    </cfRule>
  </conditionalFormatting>
  <conditionalFormatting sqref="R124">
    <cfRule type="cellIs" dxfId="8028" priority="1807" operator="lessThan">
      <formula>0.8</formula>
    </cfRule>
    <cfRule type="cellIs" dxfId="8027" priority="1808" operator="greaterThan">
      <formula>1</formula>
    </cfRule>
  </conditionalFormatting>
  <conditionalFormatting sqref="R124">
    <cfRule type="cellIs" dxfId="8026" priority="1805" operator="greaterThan">
      <formula>1</formula>
    </cfRule>
    <cfRule type="cellIs" dxfId="8025" priority="1806" operator="lessThan">
      <formula>0.8</formula>
    </cfRule>
  </conditionalFormatting>
  <conditionalFormatting sqref="P124">
    <cfRule type="cellIs" dxfId="8024" priority="1804" operator="greaterThan">
      <formula>0</formula>
    </cfRule>
  </conditionalFormatting>
  <conditionalFormatting sqref="Q124">
    <cfRule type="cellIs" dxfId="8023" priority="1809" operator="lessThan">
      <formula>0</formula>
    </cfRule>
  </conditionalFormatting>
  <conditionalFormatting sqref="P124">
    <cfRule type="cellIs" dxfId="8022" priority="1798" operator="greaterThan">
      <formula>0</formula>
    </cfRule>
  </conditionalFormatting>
  <conditionalFormatting sqref="Q124">
    <cfRule type="cellIs" dxfId="8021" priority="1803" operator="lessThan">
      <formula>0</formula>
    </cfRule>
  </conditionalFormatting>
  <conditionalFormatting sqref="R124">
    <cfRule type="cellIs" dxfId="8020" priority="1801" operator="lessThan">
      <formula>0.8</formula>
    </cfRule>
    <cfRule type="cellIs" dxfId="8019" priority="1802" operator="greaterThan">
      <formula>1</formula>
    </cfRule>
  </conditionalFormatting>
  <conditionalFormatting sqref="R124">
    <cfRule type="cellIs" dxfId="8018" priority="1799" operator="greaterThan">
      <formula>1</formula>
    </cfRule>
    <cfRule type="cellIs" dxfId="8017" priority="1800" operator="lessThan">
      <formula>0.8</formula>
    </cfRule>
  </conditionalFormatting>
  <conditionalFormatting sqref="R124">
    <cfRule type="cellIs" dxfId="8016" priority="1795" operator="lessThan">
      <formula>0.8</formula>
    </cfRule>
    <cfRule type="cellIs" dxfId="8015" priority="1796" operator="greaterThan">
      <formula>1</formula>
    </cfRule>
  </conditionalFormatting>
  <conditionalFormatting sqref="R124">
    <cfRule type="cellIs" dxfId="8014" priority="1793" operator="greaterThan">
      <formula>1</formula>
    </cfRule>
    <cfRule type="cellIs" dxfId="8013" priority="1794" operator="lessThan">
      <formula>0.8</formula>
    </cfRule>
  </conditionalFormatting>
  <conditionalFormatting sqref="P124">
    <cfRule type="cellIs" dxfId="8012" priority="1792" operator="greaterThan">
      <formula>0</formula>
    </cfRule>
  </conditionalFormatting>
  <conditionalFormatting sqref="Q124">
    <cfRule type="cellIs" dxfId="8011" priority="1797" operator="lessThan">
      <formula>0</formula>
    </cfRule>
  </conditionalFormatting>
  <conditionalFormatting sqref="R124">
    <cfRule type="cellIs" dxfId="8010" priority="1789" operator="lessThan">
      <formula>0.8</formula>
    </cfRule>
    <cfRule type="cellIs" dxfId="8009" priority="1790" operator="greaterThan">
      <formula>1</formula>
    </cfRule>
  </conditionalFormatting>
  <conditionalFormatting sqref="R124">
    <cfRule type="cellIs" dxfId="8008" priority="1787" operator="greaterThan">
      <formula>1</formula>
    </cfRule>
    <cfRule type="cellIs" dxfId="8007" priority="1788" operator="lessThan">
      <formula>0.8</formula>
    </cfRule>
  </conditionalFormatting>
  <conditionalFormatting sqref="P124">
    <cfRule type="cellIs" dxfId="8006" priority="1786" operator="greaterThan">
      <formula>0</formula>
    </cfRule>
  </conditionalFormatting>
  <conditionalFormatting sqref="Q124">
    <cfRule type="cellIs" dxfId="8005" priority="1791" operator="lessThan">
      <formula>0</formula>
    </cfRule>
  </conditionalFormatting>
  <conditionalFormatting sqref="Q124">
    <cfRule type="cellIs" dxfId="8004" priority="1785" operator="lessThan">
      <formula>0</formula>
    </cfRule>
  </conditionalFormatting>
  <conditionalFormatting sqref="R124">
    <cfRule type="cellIs" dxfId="8003" priority="1783" operator="lessThan">
      <formula>0.8</formula>
    </cfRule>
    <cfRule type="cellIs" dxfId="8002" priority="1784" operator="greaterThan">
      <formula>1</formula>
    </cfRule>
  </conditionalFormatting>
  <conditionalFormatting sqref="R124">
    <cfRule type="cellIs" dxfId="8001" priority="1781" operator="greaterThan">
      <formula>1</formula>
    </cfRule>
    <cfRule type="cellIs" dxfId="8000" priority="1782" operator="lessThan">
      <formula>0.8</formula>
    </cfRule>
  </conditionalFormatting>
  <conditionalFormatting sqref="P124">
    <cfRule type="cellIs" dxfId="7999" priority="1780" operator="greaterThan">
      <formula>0</formula>
    </cfRule>
  </conditionalFormatting>
  <conditionalFormatting sqref="Q124">
    <cfRule type="cellIs" dxfId="7998" priority="1774" operator="lessThan">
      <formula>0</formula>
    </cfRule>
  </conditionalFormatting>
  <conditionalFormatting sqref="R124">
    <cfRule type="cellIs" dxfId="7997" priority="1778" operator="lessThan">
      <formula>0.8</formula>
    </cfRule>
    <cfRule type="cellIs" dxfId="7996" priority="1779" operator="greaterThan">
      <formula>1</formula>
    </cfRule>
  </conditionalFormatting>
  <conditionalFormatting sqref="R124">
    <cfRule type="cellIs" dxfId="7995" priority="1776" operator="greaterThan">
      <formula>1</formula>
    </cfRule>
    <cfRule type="cellIs" dxfId="7994" priority="1777" operator="lessThan">
      <formula>0.8</formula>
    </cfRule>
  </conditionalFormatting>
  <conditionalFormatting sqref="P124">
    <cfRule type="cellIs" dxfId="7993" priority="1775" operator="greaterThan">
      <formula>0</formula>
    </cfRule>
  </conditionalFormatting>
  <conditionalFormatting sqref="Q124">
    <cfRule type="cellIs" dxfId="7992" priority="1773" operator="lessThan">
      <formula>0</formula>
    </cfRule>
  </conditionalFormatting>
  <conditionalFormatting sqref="R124">
    <cfRule type="cellIs" dxfId="7991" priority="1771" operator="lessThan">
      <formula>0.8</formula>
    </cfRule>
    <cfRule type="cellIs" dxfId="7990" priority="1772" operator="greaterThan">
      <formula>1</formula>
    </cfRule>
  </conditionalFormatting>
  <conditionalFormatting sqref="R124">
    <cfRule type="cellIs" dxfId="7989" priority="1769" operator="greaterThan">
      <formula>1</formula>
    </cfRule>
    <cfRule type="cellIs" dxfId="7988" priority="1770" operator="lessThan">
      <formula>0.8</formula>
    </cfRule>
  </conditionalFormatting>
  <conditionalFormatting sqref="P124">
    <cfRule type="cellIs" dxfId="7987" priority="1768" operator="greaterThan">
      <formula>0</formula>
    </cfRule>
  </conditionalFormatting>
  <conditionalFormatting sqref="Q124">
    <cfRule type="cellIs" dxfId="7986" priority="1767" operator="lessThan">
      <formula>0</formula>
    </cfRule>
  </conditionalFormatting>
  <conditionalFormatting sqref="R124">
    <cfRule type="cellIs" dxfId="7985" priority="1765" operator="lessThan">
      <formula>0.8</formula>
    </cfRule>
    <cfRule type="cellIs" dxfId="7984" priority="1766" operator="greaterThan">
      <formula>1</formula>
    </cfRule>
  </conditionalFormatting>
  <conditionalFormatting sqref="R124">
    <cfRule type="cellIs" dxfId="7983" priority="1763" operator="greaterThan">
      <formula>1</formula>
    </cfRule>
    <cfRule type="cellIs" dxfId="7982" priority="1764" operator="lessThan">
      <formula>0.8</formula>
    </cfRule>
  </conditionalFormatting>
  <conditionalFormatting sqref="P124">
    <cfRule type="cellIs" dxfId="7981" priority="1762" operator="greaterThan">
      <formula>0</formula>
    </cfRule>
  </conditionalFormatting>
  <conditionalFormatting sqref="Q124">
    <cfRule type="cellIs" dxfId="7980" priority="1761" operator="lessThan">
      <formula>0</formula>
    </cfRule>
  </conditionalFormatting>
  <conditionalFormatting sqref="R124">
    <cfRule type="cellIs" dxfId="7979" priority="1759" operator="lessThan">
      <formula>0.8</formula>
    </cfRule>
    <cfRule type="cellIs" dxfId="7978" priority="1760" operator="greaterThan">
      <formula>1</formula>
    </cfRule>
  </conditionalFormatting>
  <conditionalFormatting sqref="R124">
    <cfRule type="cellIs" dxfId="7977" priority="1757" operator="greaterThan">
      <formula>1</formula>
    </cfRule>
    <cfRule type="cellIs" dxfId="7976" priority="1758" operator="lessThan">
      <formula>0.8</formula>
    </cfRule>
  </conditionalFormatting>
  <conditionalFormatting sqref="P124">
    <cfRule type="cellIs" dxfId="7975" priority="1756" operator="greaterThan">
      <formula>0</formula>
    </cfRule>
  </conditionalFormatting>
  <conditionalFormatting sqref="Q124">
    <cfRule type="cellIs" dxfId="7974" priority="1755" operator="lessThan">
      <formula>0</formula>
    </cfRule>
  </conditionalFormatting>
  <conditionalFormatting sqref="R124">
    <cfRule type="cellIs" dxfId="7973" priority="1753" operator="lessThan">
      <formula>0.8</formula>
    </cfRule>
    <cfRule type="cellIs" dxfId="7972" priority="1754" operator="greaterThan">
      <formula>1</formula>
    </cfRule>
  </conditionalFormatting>
  <conditionalFormatting sqref="R124">
    <cfRule type="cellIs" dxfId="7971" priority="1751" operator="greaterThan">
      <formula>1</formula>
    </cfRule>
    <cfRule type="cellIs" dxfId="7970" priority="1752" operator="lessThan">
      <formula>0.8</formula>
    </cfRule>
  </conditionalFormatting>
  <conditionalFormatting sqref="P124">
    <cfRule type="cellIs" dxfId="7969" priority="1750" operator="greaterThan">
      <formula>0</formula>
    </cfRule>
  </conditionalFormatting>
  <conditionalFormatting sqref="Q124">
    <cfRule type="cellIs" dxfId="7968" priority="1749" operator="lessThan">
      <formula>0</formula>
    </cfRule>
  </conditionalFormatting>
  <conditionalFormatting sqref="R124">
    <cfRule type="cellIs" dxfId="7967" priority="1747" operator="lessThan">
      <formula>0.8</formula>
    </cfRule>
    <cfRule type="cellIs" dxfId="7966" priority="1748" operator="greaterThan">
      <formula>1</formula>
    </cfRule>
  </conditionalFormatting>
  <conditionalFormatting sqref="R124">
    <cfRule type="cellIs" dxfId="7965" priority="1745" operator="greaterThan">
      <formula>1</formula>
    </cfRule>
    <cfRule type="cellIs" dxfId="7964" priority="1746" operator="lessThan">
      <formula>0.8</formula>
    </cfRule>
  </conditionalFormatting>
  <conditionalFormatting sqref="P124">
    <cfRule type="cellIs" dxfId="7963" priority="1744" operator="greaterThan">
      <formula>0</formula>
    </cfRule>
  </conditionalFormatting>
  <conditionalFormatting sqref="P124">
    <cfRule type="cellIs" dxfId="7962" priority="1738" operator="greaterThan">
      <formula>0</formula>
    </cfRule>
  </conditionalFormatting>
  <conditionalFormatting sqref="Q124">
    <cfRule type="cellIs" dxfId="7961" priority="1743" operator="lessThan">
      <formula>0</formula>
    </cfRule>
  </conditionalFormatting>
  <conditionalFormatting sqref="R124">
    <cfRule type="cellIs" dxfId="7960" priority="1741" operator="lessThan">
      <formula>0.8</formula>
    </cfRule>
    <cfRule type="cellIs" dxfId="7959" priority="1742" operator="greaterThan">
      <formula>1</formula>
    </cfRule>
  </conditionalFormatting>
  <conditionalFormatting sqref="R124">
    <cfRule type="cellIs" dxfId="7958" priority="1739" operator="greaterThan">
      <formula>1</formula>
    </cfRule>
    <cfRule type="cellIs" dxfId="7957" priority="1740" operator="lessThan">
      <formula>0.8</formula>
    </cfRule>
  </conditionalFormatting>
  <conditionalFormatting sqref="P124">
    <cfRule type="cellIs" dxfId="7956" priority="1732" operator="greaterThan">
      <formula>0</formula>
    </cfRule>
  </conditionalFormatting>
  <conditionalFormatting sqref="Q124">
    <cfRule type="cellIs" dxfId="7955" priority="1737" operator="lessThan">
      <formula>0</formula>
    </cfRule>
  </conditionalFormatting>
  <conditionalFormatting sqref="R124">
    <cfRule type="cellIs" dxfId="7954" priority="1735" operator="lessThan">
      <formula>0.8</formula>
    </cfRule>
    <cfRule type="cellIs" dxfId="7953" priority="1736" operator="greaterThan">
      <formula>1</formula>
    </cfRule>
  </conditionalFormatting>
  <conditionalFormatting sqref="R124">
    <cfRule type="cellIs" dxfId="7952" priority="1733" operator="greaterThan">
      <formula>1</formula>
    </cfRule>
    <cfRule type="cellIs" dxfId="7951" priority="1734" operator="lessThan">
      <formula>0.8</formula>
    </cfRule>
  </conditionalFormatting>
  <conditionalFormatting sqref="R124">
    <cfRule type="cellIs" dxfId="7950" priority="1729" operator="lessThan">
      <formula>0.8</formula>
    </cfRule>
    <cfRule type="cellIs" dxfId="7949" priority="1730" operator="greaterThan">
      <formula>1</formula>
    </cfRule>
  </conditionalFormatting>
  <conditionalFormatting sqref="R124">
    <cfRule type="cellIs" dxfId="7948" priority="1727" operator="greaterThan">
      <formula>1</formula>
    </cfRule>
    <cfRule type="cellIs" dxfId="7947" priority="1728" operator="lessThan">
      <formula>0.8</formula>
    </cfRule>
  </conditionalFormatting>
  <conditionalFormatting sqref="P124">
    <cfRule type="cellIs" dxfId="7946" priority="1726" operator="greaterThan">
      <formula>0</formula>
    </cfRule>
  </conditionalFormatting>
  <conditionalFormatting sqref="Q124">
    <cfRule type="cellIs" dxfId="7945" priority="1731" operator="lessThan">
      <formula>0</formula>
    </cfRule>
  </conditionalFormatting>
  <conditionalFormatting sqref="Q5:Q14">
    <cfRule type="cellIs" dxfId="7944" priority="1725" operator="lessThan">
      <formula>0</formula>
    </cfRule>
  </conditionalFormatting>
  <conditionalFormatting sqref="R5:R14">
    <cfRule type="cellIs" dxfId="7943" priority="1723" operator="lessThan">
      <formula>0.8</formula>
    </cfRule>
    <cfRule type="cellIs" dxfId="7942" priority="1724" operator="greaterThan">
      <formula>1</formula>
    </cfRule>
  </conditionalFormatting>
  <conditionalFormatting sqref="R5:R14">
    <cfRule type="cellIs" dxfId="7941" priority="1721" operator="greaterThan">
      <formula>1</formula>
    </cfRule>
    <cfRule type="cellIs" dxfId="7940" priority="1722" operator="lessThan">
      <formula>0.8</formula>
    </cfRule>
  </conditionalFormatting>
  <conditionalFormatting sqref="P5:P14">
    <cfRule type="cellIs" dxfId="7939" priority="1720" operator="greaterThan">
      <formula>0</formula>
    </cfRule>
  </conditionalFormatting>
  <conditionalFormatting sqref="Q83">
    <cfRule type="cellIs" dxfId="7938" priority="1719" operator="lessThan">
      <formula>0</formula>
    </cfRule>
  </conditionalFormatting>
  <conditionalFormatting sqref="R83">
    <cfRule type="cellIs" dxfId="7937" priority="1717" operator="lessThan">
      <formula>0.8</formula>
    </cfRule>
    <cfRule type="cellIs" dxfId="7936" priority="1718" operator="greaterThan">
      <formula>1</formula>
    </cfRule>
  </conditionalFormatting>
  <conditionalFormatting sqref="R83">
    <cfRule type="cellIs" dxfId="7935" priority="1715" operator="greaterThan">
      <formula>1</formula>
    </cfRule>
    <cfRule type="cellIs" dxfId="7934" priority="1716" operator="lessThan">
      <formula>0.8</formula>
    </cfRule>
  </conditionalFormatting>
  <conditionalFormatting sqref="P83">
    <cfRule type="cellIs" dxfId="7933" priority="1714" operator="greaterThan">
      <formula>0</formula>
    </cfRule>
  </conditionalFormatting>
  <conditionalFormatting sqref="Q83">
    <cfRule type="cellIs" dxfId="7932" priority="1713" operator="lessThan">
      <formula>0</formula>
    </cfRule>
  </conditionalFormatting>
  <conditionalFormatting sqref="R83">
    <cfRule type="cellIs" dxfId="7931" priority="1711" operator="lessThan">
      <formula>0.8</formula>
    </cfRule>
    <cfRule type="cellIs" dxfId="7930" priority="1712" operator="greaterThan">
      <formula>1</formula>
    </cfRule>
  </conditionalFormatting>
  <conditionalFormatting sqref="R83">
    <cfRule type="cellIs" dxfId="7929" priority="1709" operator="greaterThan">
      <formula>1</formula>
    </cfRule>
    <cfRule type="cellIs" dxfId="7928" priority="1710" operator="lessThan">
      <formula>0.8</formula>
    </cfRule>
  </conditionalFormatting>
  <conditionalFormatting sqref="P83">
    <cfRule type="cellIs" dxfId="7927" priority="1708" operator="greaterThan">
      <formula>0</formula>
    </cfRule>
  </conditionalFormatting>
  <conditionalFormatting sqref="Q83">
    <cfRule type="cellIs" dxfId="7926" priority="1707" operator="lessThan">
      <formula>0</formula>
    </cfRule>
  </conditionalFormatting>
  <conditionalFormatting sqref="R83">
    <cfRule type="cellIs" dxfId="7925" priority="1705" operator="lessThan">
      <formula>0.8</formula>
    </cfRule>
    <cfRule type="cellIs" dxfId="7924" priority="1706" operator="greaterThan">
      <formula>1</formula>
    </cfRule>
  </conditionalFormatting>
  <conditionalFormatting sqref="R83">
    <cfRule type="cellIs" dxfId="7923" priority="1703" operator="greaterThan">
      <formula>1</formula>
    </cfRule>
    <cfRule type="cellIs" dxfId="7922" priority="1704" operator="lessThan">
      <formula>0.8</formula>
    </cfRule>
  </conditionalFormatting>
  <conditionalFormatting sqref="P83">
    <cfRule type="cellIs" dxfId="7921" priority="1702" operator="greaterThan">
      <formula>0</formula>
    </cfRule>
  </conditionalFormatting>
  <conditionalFormatting sqref="Q83">
    <cfRule type="cellIs" dxfId="7920" priority="1701" operator="lessThan">
      <formula>0</formula>
    </cfRule>
  </conditionalFormatting>
  <conditionalFormatting sqref="R83">
    <cfRule type="cellIs" dxfId="7919" priority="1699" operator="lessThan">
      <formula>0.8</formula>
    </cfRule>
    <cfRule type="cellIs" dxfId="7918" priority="1700" operator="greaterThan">
      <formula>1</formula>
    </cfRule>
  </conditionalFormatting>
  <conditionalFormatting sqref="R83">
    <cfRule type="cellIs" dxfId="7917" priority="1697" operator="greaterThan">
      <formula>1</formula>
    </cfRule>
    <cfRule type="cellIs" dxfId="7916" priority="1698" operator="lessThan">
      <formula>0.8</formula>
    </cfRule>
  </conditionalFormatting>
  <conditionalFormatting sqref="P83">
    <cfRule type="cellIs" dxfId="7915" priority="1696" operator="greaterThan">
      <formula>0</formula>
    </cfRule>
  </conditionalFormatting>
  <conditionalFormatting sqref="P83">
    <cfRule type="cellIs" dxfId="7914" priority="1690" operator="greaterThan">
      <formula>0</formula>
    </cfRule>
  </conditionalFormatting>
  <conditionalFormatting sqref="Q83">
    <cfRule type="cellIs" dxfId="7913" priority="1695" operator="lessThan">
      <formula>0</formula>
    </cfRule>
  </conditionalFormatting>
  <conditionalFormatting sqref="R83">
    <cfRule type="cellIs" dxfId="7912" priority="1693" operator="lessThan">
      <formula>0.8</formula>
    </cfRule>
    <cfRule type="cellIs" dxfId="7911" priority="1694" operator="greaterThan">
      <formula>1</formula>
    </cfRule>
  </conditionalFormatting>
  <conditionalFormatting sqref="R83">
    <cfRule type="cellIs" dxfId="7910" priority="1691" operator="greaterThan">
      <formula>1</formula>
    </cfRule>
    <cfRule type="cellIs" dxfId="7909" priority="1692" operator="lessThan">
      <formula>0.8</formula>
    </cfRule>
  </conditionalFormatting>
  <conditionalFormatting sqref="P83">
    <cfRule type="cellIs" dxfId="7908" priority="1684" operator="greaterThan">
      <formula>0</formula>
    </cfRule>
  </conditionalFormatting>
  <conditionalFormatting sqref="Q83">
    <cfRule type="cellIs" dxfId="7907" priority="1689" operator="lessThan">
      <formula>0</formula>
    </cfRule>
  </conditionalFormatting>
  <conditionalFormatting sqref="R83">
    <cfRule type="cellIs" dxfId="7906" priority="1687" operator="lessThan">
      <formula>0.8</formula>
    </cfRule>
    <cfRule type="cellIs" dxfId="7905" priority="1688" operator="greaterThan">
      <formula>1</formula>
    </cfRule>
  </conditionalFormatting>
  <conditionalFormatting sqref="R83">
    <cfRule type="cellIs" dxfId="7904" priority="1685" operator="greaterThan">
      <formula>1</formula>
    </cfRule>
    <cfRule type="cellIs" dxfId="7903" priority="1686" operator="lessThan">
      <formula>0.8</formula>
    </cfRule>
  </conditionalFormatting>
  <conditionalFormatting sqref="R83">
    <cfRule type="cellIs" dxfId="7902" priority="1681" operator="lessThan">
      <formula>0.8</formula>
    </cfRule>
    <cfRule type="cellIs" dxfId="7901" priority="1682" operator="greaterThan">
      <formula>1</formula>
    </cfRule>
  </conditionalFormatting>
  <conditionalFormatting sqref="R83">
    <cfRule type="cellIs" dxfId="7900" priority="1679" operator="greaterThan">
      <formula>1</formula>
    </cfRule>
    <cfRule type="cellIs" dxfId="7899" priority="1680" operator="lessThan">
      <formula>0.8</formula>
    </cfRule>
  </conditionalFormatting>
  <conditionalFormatting sqref="P83">
    <cfRule type="cellIs" dxfId="7898" priority="1678" operator="greaterThan">
      <formula>0</formula>
    </cfRule>
  </conditionalFormatting>
  <conditionalFormatting sqref="Q83">
    <cfRule type="cellIs" dxfId="7897" priority="1683" operator="lessThan">
      <formula>0</formula>
    </cfRule>
  </conditionalFormatting>
  <conditionalFormatting sqref="Q83">
    <cfRule type="cellIs" dxfId="7896" priority="1677" operator="lessThan">
      <formula>0</formula>
    </cfRule>
  </conditionalFormatting>
  <conditionalFormatting sqref="R83">
    <cfRule type="cellIs" dxfId="7895" priority="1675" operator="lessThan">
      <formula>0.8</formula>
    </cfRule>
    <cfRule type="cellIs" dxfId="7894" priority="1676" operator="greaterThan">
      <formula>1</formula>
    </cfRule>
  </conditionalFormatting>
  <conditionalFormatting sqref="R83">
    <cfRule type="cellIs" dxfId="7893" priority="1673" operator="greaterThan">
      <formula>1</formula>
    </cfRule>
    <cfRule type="cellIs" dxfId="7892" priority="1674" operator="lessThan">
      <formula>0.8</formula>
    </cfRule>
  </conditionalFormatting>
  <conditionalFormatting sqref="P83">
    <cfRule type="cellIs" dxfId="7891" priority="1672" operator="greaterThan">
      <formula>0</formula>
    </cfRule>
  </conditionalFormatting>
  <conditionalFormatting sqref="P83">
    <cfRule type="cellIs" dxfId="7890" priority="1666" operator="greaterThan">
      <formula>0</formula>
    </cfRule>
  </conditionalFormatting>
  <conditionalFormatting sqref="Q83">
    <cfRule type="cellIs" dxfId="7889" priority="1671" operator="lessThan">
      <formula>0</formula>
    </cfRule>
  </conditionalFormatting>
  <conditionalFormatting sqref="R83">
    <cfRule type="cellIs" dxfId="7888" priority="1669" operator="lessThan">
      <formula>0.8</formula>
    </cfRule>
    <cfRule type="cellIs" dxfId="7887" priority="1670" operator="greaterThan">
      <formula>1</formula>
    </cfRule>
  </conditionalFormatting>
  <conditionalFormatting sqref="R83">
    <cfRule type="cellIs" dxfId="7886" priority="1667" operator="greaterThan">
      <formula>1</formula>
    </cfRule>
    <cfRule type="cellIs" dxfId="7885" priority="1668" operator="lessThan">
      <formula>0.8</formula>
    </cfRule>
  </conditionalFormatting>
  <conditionalFormatting sqref="P83">
    <cfRule type="cellIs" dxfId="7884" priority="1660" operator="greaterThan">
      <formula>0</formula>
    </cfRule>
  </conditionalFormatting>
  <conditionalFormatting sqref="Q83">
    <cfRule type="cellIs" dxfId="7883" priority="1665" operator="lessThan">
      <formula>0</formula>
    </cfRule>
  </conditionalFormatting>
  <conditionalFormatting sqref="R83">
    <cfRule type="cellIs" dxfId="7882" priority="1663" operator="lessThan">
      <formula>0.8</formula>
    </cfRule>
    <cfRule type="cellIs" dxfId="7881" priority="1664" operator="greaterThan">
      <formula>1</formula>
    </cfRule>
  </conditionalFormatting>
  <conditionalFormatting sqref="R83">
    <cfRule type="cellIs" dxfId="7880" priority="1661" operator="greaterThan">
      <formula>1</formula>
    </cfRule>
    <cfRule type="cellIs" dxfId="7879" priority="1662" operator="lessThan">
      <formula>0.8</formula>
    </cfRule>
  </conditionalFormatting>
  <conditionalFormatting sqref="R83">
    <cfRule type="cellIs" dxfId="7878" priority="1657" operator="lessThan">
      <formula>0.8</formula>
    </cfRule>
    <cfRule type="cellIs" dxfId="7877" priority="1658" operator="greaterThan">
      <formula>1</formula>
    </cfRule>
  </conditionalFormatting>
  <conditionalFormatting sqref="R83">
    <cfRule type="cellIs" dxfId="7876" priority="1655" operator="greaterThan">
      <formula>1</formula>
    </cfRule>
    <cfRule type="cellIs" dxfId="7875" priority="1656" operator="lessThan">
      <formula>0.8</formula>
    </cfRule>
  </conditionalFormatting>
  <conditionalFormatting sqref="P83">
    <cfRule type="cellIs" dxfId="7874" priority="1654" operator="greaterThan">
      <formula>0</formula>
    </cfRule>
  </conditionalFormatting>
  <conditionalFormatting sqref="Q83">
    <cfRule type="cellIs" dxfId="7873" priority="1659" operator="lessThan">
      <formula>0</formula>
    </cfRule>
  </conditionalFormatting>
  <conditionalFormatting sqref="P83">
    <cfRule type="cellIs" dxfId="7872" priority="1648" operator="greaterThan">
      <formula>0</formula>
    </cfRule>
  </conditionalFormatting>
  <conditionalFormatting sqref="Q83">
    <cfRule type="cellIs" dxfId="7871" priority="1653" operator="lessThan">
      <formula>0</formula>
    </cfRule>
  </conditionalFormatting>
  <conditionalFormatting sqref="R83">
    <cfRule type="cellIs" dxfId="7870" priority="1651" operator="lessThan">
      <formula>0.8</formula>
    </cfRule>
    <cfRule type="cellIs" dxfId="7869" priority="1652" operator="greaterThan">
      <formula>1</formula>
    </cfRule>
  </conditionalFormatting>
  <conditionalFormatting sqref="R83">
    <cfRule type="cellIs" dxfId="7868" priority="1649" operator="greaterThan">
      <formula>1</formula>
    </cfRule>
    <cfRule type="cellIs" dxfId="7867" priority="1650" operator="lessThan">
      <formula>0.8</formula>
    </cfRule>
  </conditionalFormatting>
  <conditionalFormatting sqref="R83">
    <cfRule type="cellIs" dxfId="7866" priority="1645" operator="lessThan">
      <formula>0.8</formula>
    </cfRule>
    <cfRule type="cellIs" dxfId="7865" priority="1646" operator="greaterThan">
      <formula>1</formula>
    </cfRule>
  </conditionalFormatting>
  <conditionalFormatting sqref="R83">
    <cfRule type="cellIs" dxfId="7864" priority="1643" operator="greaterThan">
      <formula>1</formula>
    </cfRule>
    <cfRule type="cellIs" dxfId="7863" priority="1644" operator="lessThan">
      <formula>0.8</formula>
    </cfRule>
  </conditionalFormatting>
  <conditionalFormatting sqref="P83">
    <cfRule type="cellIs" dxfId="7862" priority="1642" operator="greaterThan">
      <formula>0</formula>
    </cfRule>
  </conditionalFormatting>
  <conditionalFormatting sqref="Q83">
    <cfRule type="cellIs" dxfId="7861" priority="1647" operator="lessThan">
      <formula>0</formula>
    </cfRule>
  </conditionalFormatting>
  <conditionalFormatting sqref="R83">
    <cfRule type="cellIs" dxfId="7860" priority="1639" operator="lessThan">
      <formula>0.8</formula>
    </cfRule>
    <cfRule type="cellIs" dxfId="7859" priority="1640" operator="greaterThan">
      <formula>1</formula>
    </cfRule>
  </conditionalFormatting>
  <conditionalFormatting sqref="R83">
    <cfRule type="cellIs" dxfId="7858" priority="1637" operator="greaterThan">
      <formula>1</formula>
    </cfRule>
    <cfRule type="cellIs" dxfId="7857" priority="1638" operator="lessThan">
      <formula>0.8</formula>
    </cfRule>
  </conditionalFormatting>
  <conditionalFormatting sqref="P83">
    <cfRule type="cellIs" dxfId="7856" priority="1636" operator="greaterThan">
      <formula>0</formula>
    </cfRule>
  </conditionalFormatting>
  <conditionalFormatting sqref="Q83">
    <cfRule type="cellIs" dxfId="7855" priority="1641" operator="lessThan">
      <formula>0</formula>
    </cfRule>
  </conditionalFormatting>
  <conditionalFormatting sqref="Q83">
    <cfRule type="cellIs" dxfId="7854" priority="1635" operator="lessThan">
      <formula>0</formula>
    </cfRule>
  </conditionalFormatting>
  <conditionalFormatting sqref="R83">
    <cfRule type="cellIs" dxfId="7853" priority="1633" operator="lessThan">
      <formula>0.8</formula>
    </cfRule>
    <cfRule type="cellIs" dxfId="7852" priority="1634" operator="greaterThan">
      <formula>1</formula>
    </cfRule>
  </conditionalFormatting>
  <conditionalFormatting sqref="R83">
    <cfRule type="cellIs" dxfId="7851" priority="1631" operator="greaterThan">
      <formula>1</formula>
    </cfRule>
    <cfRule type="cellIs" dxfId="7850" priority="1632" operator="lessThan">
      <formula>0.8</formula>
    </cfRule>
  </conditionalFormatting>
  <conditionalFormatting sqref="P83">
    <cfRule type="cellIs" dxfId="7849" priority="1630" operator="greaterThan">
      <formula>0</formula>
    </cfRule>
  </conditionalFormatting>
  <conditionalFormatting sqref="Q83">
    <cfRule type="cellIs" dxfId="7848" priority="1624" operator="lessThan">
      <formula>0</formula>
    </cfRule>
  </conditionalFormatting>
  <conditionalFormatting sqref="R83">
    <cfRule type="cellIs" dxfId="7847" priority="1628" operator="lessThan">
      <formula>0.8</formula>
    </cfRule>
    <cfRule type="cellIs" dxfId="7846" priority="1629" operator="greaterThan">
      <formula>1</formula>
    </cfRule>
  </conditionalFormatting>
  <conditionalFormatting sqref="R83">
    <cfRule type="cellIs" dxfId="7845" priority="1626" operator="greaterThan">
      <formula>1</formula>
    </cfRule>
    <cfRule type="cellIs" dxfId="7844" priority="1627" operator="lessThan">
      <formula>0.8</formula>
    </cfRule>
  </conditionalFormatting>
  <conditionalFormatting sqref="P83">
    <cfRule type="cellIs" dxfId="7843" priority="1625" operator="greaterThan">
      <formula>0</formula>
    </cfRule>
  </conditionalFormatting>
  <conditionalFormatting sqref="Q83">
    <cfRule type="cellIs" dxfId="7842" priority="1623" operator="lessThan">
      <formula>0</formula>
    </cfRule>
  </conditionalFormatting>
  <conditionalFormatting sqref="R83">
    <cfRule type="cellIs" dxfId="7841" priority="1621" operator="lessThan">
      <formula>0.8</formula>
    </cfRule>
    <cfRule type="cellIs" dxfId="7840" priority="1622" operator="greaterThan">
      <formula>1</formula>
    </cfRule>
  </conditionalFormatting>
  <conditionalFormatting sqref="R83">
    <cfRule type="cellIs" dxfId="7839" priority="1619" operator="greaterThan">
      <formula>1</formula>
    </cfRule>
    <cfRule type="cellIs" dxfId="7838" priority="1620" operator="lessThan">
      <formula>0.8</formula>
    </cfRule>
  </conditionalFormatting>
  <conditionalFormatting sqref="P83">
    <cfRule type="cellIs" dxfId="7837" priority="1618" operator="greaterThan">
      <formula>0</formula>
    </cfRule>
  </conditionalFormatting>
  <conditionalFormatting sqref="Q83">
    <cfRule type="cellIs" dxfId="7836" priority="1617" operator="lessThan">
      <formula>0</formula>
    </cfRule>
  </conditionalFormatting>
  <conditionalFormatting sqref="R83">
    <cfRule type="cellIs" dxfId="7835" priority="1615" operator="lessThan">
      <formula>0.8</formula>
    </cfRule>
    <cfRule type="cellIs" dxfId="7834" priority="1616" operator="greaterThan">
      <formula>1</formula>
    </cfRule>
  </conditionalFormatting>
  <conditionalFormatting sqref="R83">
    <cfRule type="cellIs" dxfId="7833" priority="1613" operator="greaterThan">
      <formula>1</formula>
    </cfRule>
    <cfRule type="cellIs" dxfId="7832" priority="1614" operator="lessThan">
      <formula>0.8</formula>
    </cfRule>
  </conditionalFormatting>
  <conditionalFormatting sqref="P83">
    <cfRule type="cellIs" dxfId="7831" priority="1612" operator="greaterThan">
      <formula>0</formula>
    </cfRule>
  </conditionalFormatting>
  <conditionalFormatting sqref="Q83">
    <cfRule type="cellIs" dxfId="7830" priority="1611" operator="lessThan">
      <formula>0</formula>
    </cfRule>
  </conditionalFormatting>
  <conditionalFormatting sqref="R83">
    <cfRule type="cellIs" dxfId="7829" priority="1609" operator="lessThan">
      <formula>0.8</formula>
    </cfRule>
    <cfRule type="cellIs" dxfId="7828" priority="1610" operator="greaterThan">
      <formula>1</formula>
    </cfRule>
  </conditionalFormatting>
  <conditionalFormatting sqref="R83">
    <cfRule type="cellIs" dxfId="7827" priority="1607" operator="greaterThan">
      <formula>1</formula>
    </cfRule>
    <cfRule type="cellIs" dxfId="7826" priority="1608" operator="lessThan">
      <formula>0.8</formula>
    </cfRule>
  </conditionalFormatting>
  <conditionalFormatting sqref="P83">
    <cfRule type="cellIs" dxfId="7825" priority="1606" operator="greaterThan">
      <formula>0</formula>
    </cfRule>
  </conditionalFormatting>
  <conditionalFormatting sqref="Q83">
    <cfRule type="cellIs" dxfId="7824" priority="1605" operator="lessThan">
      <formula>0</formula>
    </cfRule>
  </conditionalFormatting>
  <conditionalFormatting sqref="R83">
    <cfRule type="cellIs" dxfId="7823" priority="1603" operator="lessThan">
      <formula>0.8</formula>
    </cfRule>
    <cfRule type="cellIs" dxfId="7822" priority="1604" operator="greaterThan">
      <formula>1</formula>
    </cfRule>
  </conditionalFormatting>
  <conditionalFormatting sqref="R83">
    <cfRule type="cellIs" dxfId="7821" priority="1601" operator="greaterThan">
      <formula>1</formula>
    </cfRule>
    <cfRule type="cellIs" dxfId="7820" priority="1602" operator="lessThan">
      <formula>0.8</formula>
    </cfRule>
  </conditionalFormatting>
  <conditionalFormatting sqref="P83">
    <cfRule type="cellIs" dxfId="7819" priority="1600" operator="greaterThan">
      <formula>0</formula>
    </cfRule>
  </conditionalFormatting>
  <conditionalFormatting sqref="Q83">
    <cfRule type="cellIs" dxfId="7818" priority="1599" operator="lessThan">
      <formula>0</formula>
    </cfRule>
  </conditionalFormatting>
  <conditionalFormatting sqref="R83">
    <cfRule type="cellIs" dxfId="7817" priority="1597" operator="lessThan">
      <formula>0.8</formula>
    </cfRule>
    <cfRule type="cellIs" dxfId="7816" priority="1598" operator="greaterThan">
      <formula>1</formula>
    </cfRule>
  </conditionalFormatting>
  <conditionalFormatting sqref="R83">
    <cfRule type="cellIs" dxfId="7815" priority="1595" operator="greaterThan">
      <formula>1</formula>
    </cfRule>
    <cfRule type="cellIs" dxfId="7814" priority="1596" operator="lessThan">
      <formula>0.8</formula>
    </cfRule>
  </conditionalFormatting>
  <conditionalFormatting sqref="P83">
    <cfRule type="cellIs" dxfId="7813" priority="1594" operator="greaterThan">
      <formula>0</formula>
    </cfRule>
  </conditionalFormatting>
  <conditionalFormatting sqref="P83">
    <cfRule type="cellIs" dxfId="7812" priority="1588" operator="greaterThan">
      <formula>0</formula>
    </cfRule>
  </conditionalFormatting>
  <conditionalFormatting sqref="Q83">
    <cfRule type="cellIs" dxfId="7811" priority="1593" operator="lessThan">
      <formula>0</formula>
    </cfRule>
  </conditionalFormatting>
  <conditionalFormatting sqref="R83">
    <cfRule type="cellIs" dxfId="7810" priority="1591" operator="lessThan">
      <formula>0.8</formula>
    </cfRule>
    <cfRule type="cellIs" dxfId="7809" priority="1592" operator="greaterThan">
      <formula>1</formula>
    </cfRule>
  </conditionalFormatting>
  <conditionalFormatting sqref="R83">
    <cfRule type="cellIs" dxfId="7808" priority="1589" operator="greaterThan">
      <formula>1</formula>
    </cfRule>
    <cfRule type="cellIs" dxfId="7807" priority="1590" operator="lessThan">
      <formula>0.8</formula>
    </cfRule>
  </conditionalFormatting>
  <conditionalFormatting sqref="P83">
    <cfRule type="cellIs" dxfId="7806" priority="1582" operator="greaterThan">
      <formula>0</formula>
    </cfRule>
  </conditionalFormatting>
  <conditionalFormatting sqref="Q83">
    <cfRule type="cellIs" dxfId="7805" priority="1587" operator="lessThan">
      <formula>0</formula>
    </cfRule>
  </conditionalFormatting>
  <conditionalFormatting sqref="R83">
    <cfRule type="cellIs" dxfId="7804" priority="1585" operator="lessThan">
      <formula>0.8</formula>
    </cfRule>
    <cfRule type="cellIs" dxfId="7803" priority="1586" operator="greaterThan">
      <formula>1</formula>
    </cfRule>
  </conditionalFormatting>
  <conditionalFormatting sqref="R83">
    <cfRule type="cellIs" dxfId="7802" priority="1583" operator="greaterThan">
      <formula>1</formula>
    </cfRule>
    <cfRule type="cellIs" dxfId="7801" priority="1584" operator="lessThan">
      <formula>0.8</formula>
    </cfRule>
  </conditionalFormatting>
  <conditionalFormatting sqref="R83">
    <cfRule type="cellIs" dxfId="7800" priority="1579" operator="lessThan">
      <formula>0.8</formula>
    </cfRule>
    <cfRule type="cellIs" dxfId="7799" priority="1580" operator="greaterThan">
      <formula>1</formula>
    </cfRule>
  </conditionalFormatting>
  <conditionalFormatting sqref="R83">
    <cfRule type="cellIs" dxfId="7798" priority="1577" operator="greaterThan">
      <formula>1</formula>
    </cfRule>
    <cfRule type="cellIs" dxfId="7797" priority="1578" operator="lessThan">
      <formula>0.8</formula>
    </cfRule>
  </conditionalFormatting>
  <conditionalFormatting sqref="P83">
    <cfRule type="cellIs" dxfId="7796" priority="1576" operator="greaterThan">
      <formula>0</formula>
    </cfRule>
  </conditionalFormatting>
  <conditionalFormatting sqref="Q83">
    <cfRule type="cellIs" dxfId="7795" priority="1581" operator="lessThan">
      <formula>0</formula>
    </cfRule>
  </conditionalFormatting>
  <conditionalFormatting sqref="Q83">
    <cfRule type="cellIs" dxfId="7794" priority="1570" operator="lessThan">
      <formula>0</formula>
    </cfRule>
  </conditionalFormatting>
  <conditionalFormatting sqref="P83">
    <cfRule type="cellIs" dxfId="7793" priority="1571" operator="greaterThan">
      <formula>0</formula>
    </cfRule>
  </conditionalFormatting>
  <conditionalFormatting sqref="R83">
    <cfRule type="cellIs" dxfId="7792" priority="1574" operator="lessThan">
      <formula>0.8</formula>
    </cfRule>
    <cfRule type="cellIs" dxfId="7791" priority="1575" operator="greaterThan">
      <formula>1</formula>
    </cfRule>
  </conditionalFormatting>
  <conditionalFormatting sqref="R83">
    <cfRule type="cellIs" dxfId="7790" priority="1572" operator="greaterThan">
      <formula>1</formula>
    </cfRule>
    <cfRule type="cellIs" dxfId="7789" priority="1573" operator="lessThan">
      <formula>0.8</formula>
    </cfRule>
  </conditionalFormatting>
  <conditionalFormatting sqref="Q83">
    <cfRule type="cellIs" dxfId="7788" priority="1564" operator="lessThan">
      <formula>0</formula>
    </cfRule>
  </conditionalFormatting>
  <conditionalFormatting sqref="R83">
    <cfRule type="cellIs" dxfId="7787" priority="1568" operator="lessThan">
      <formula>0.8</formula>
    </cfRule>
    <cfRule type="cellIs" dxfId="7786" priority="1569" operator="greaterThan">
      <formula>1</formula>
    </cfRule>
  </conditionalFormatting>
  <conditionalFormatting sqref="R83">
    <cfRule type="cellIs" dxfId="7785" priority="1566" operator="greaterThan">
      <formula>1</formula>
    </cfRule>
    <cfRule type="cellIs" dxfId="7784" priority="1567" operator="lessThan">
      <formula>0.8</formula>
    </cfRule>
  </conditionalFormatting>
  <conditionalFormatting sqref="P83">
    <cfRule type="cellIs" dxfId="7783" priority="1565" operator="greaterThan">
      <formula>0</formula>
    </cfRule>
  </conditionalFormatting>
  <conditionalFormatting sqref="Q83">
    <cfRule type="cellIs" dxfId="7782" priority="1563" operator="lessThan">
      <formula>0</formula>
    </cfRule>
  </conditionalFormatting>
  <conditionalFormatting sqref="R83">
    <cfRule type="cellIs" dxfId="7781" priority="1561" operator="lessThan">
      <formula>0.8</formula>
    </cfRule>
    <cfRule type="cellIs" dxfId="7780" priority="1562" operator="greaterThan">
      <formula>1</formula>
    </cfRule>
  </conditionalFormatting>
  <conditionalFormatting sqref="R83">
    <cfRule type="cellIs" dxfId="7779" priority="1559" operator="greaterThan">
      <formula>1</formula>
    </cfRule>
    <cfRule type="cellIs" dxfId="7778" priority="1560" operator="lessThan">
      <formula>0.8</formula>
    </cfRule>
  </conditionalFormatting>
  <conditionalFormatting sqref="P83">
    <cfRule type="cellIs" dxfId="7777" priority="1558" operator="greaterThan">
      <formula>0</formula>
    </cfRule>
  </conditionalFormatting>
  <conditionalFormatting sqref="Q83">
    <cfRule type="cellIs" dxfId="7776" priority="1557" operator="lessThan">
      <formula>0</formula>
    </cfRule>
  </conditionalFormatting>
  <conditionalFormatting sqref="R83">
    <cfRule type="cellIs" dxfId="7775" priority="1555" operator="lessThan">
      <formula>0.8</formula>
    </cfRule>
    <cfRule type="cellIs" dxfId="7774" priority="1556" operator="greaterThan">
      <formula>1</formula>
    </cfRule>
  </conditionalFormatting>
  <conditionalFormatting sqref="R83">
    <cfRule type="cellIs" dxfId="7773" priority="1553" operator="greaterThan">
      <formula>1</formula>
    </cfRule>
    <cfRule type="cellIs" dxfId="7772" priority="1554" operator="lessThan">
      <formula>0.8</formula>
    </cfRule>
  </conditionalFormatting>
  <conditionalFormatting sqref="P83">
    <cfRule type="cellIs" dxfId="7771" priority="1552" operator="greaterThan">
      <formula>0</formula>
    </cfRule>
  </conditionalFormatting>
  <conditionalFormatting sqref="Q83">
    <cfRule type="cellIs" dxfId="7770" priority="1551" operator="lessThan">
      <formula>0</formula>
    </cfRule>
  </conditionalFormatting>
  <conditionalFormatting sqref="R83">
    <cfRule type="cellIs" dxfId="7769" priority="1549" operator="lessThan">
      <formula>0.8</formula>
    </cfRule>
    <cfRule type="cellIs" dxfId="7768" priority="1550" operator="greaterThan">
      <formula>1</formula>
    </cfRule>
  </conditionalFormatting>
  <conditionalFormatting sqref="R83">
    <cfRule type="cellIs" dxfId="7767" priority="1547" operator="greaterThan">
      <formula>1</formula>
    </cfRule>
    <cfRule type="cellIs" dxfId="7766" priority="1548" operator="lessThan">
      <formula>0.8</formula>
    </cfRule>
  </conditionalFormatting>
  <conditionalFormatting sqref="P83">
    <cfRule type="cellIs" dxfId="7765" priority="1546" operator="greaterThan">
      <formula>0</formula>
    </cfRule>
  </conditionalFormatting>
  <conditionalFormatting sqref="Q32:Q40">
    <cfRule type="cellIs" dxfId="7764" priority="1541" operator="lessThan">
      <formula>0</formula>
    </cfRule>
  </conditionalFormatting>
  <conditionalFormatting sqref="R32:R40">
    <cfRule type="cellIs" dxfId="7763" priority="1544" operator="lessThan">
      <formula>0.8</formula>
    </cfRule>
    <cfRule type="cellIs" dxfId="7762" priority="1545" operator="greaterThan">
      <formula>1</formula>
    </cfRule>
  </conditionalFormatting>
  <conditionalFormatting sqref="R32:R40">
    <cfRule type="cellIs" dxfId="7761" priority="1542" operator="greaterThan">
      <formula>1</formula>
    </cfRule>
    <cfRule type="cellIs" dxfId="7760" priority="1543" operator="lessThan">
      <formula>0.8</formula>
    </cfRule>
  </conditionalFormatting>
  <conditionalFormatting sqref="Q32:Q40">
    <cfRule type="cellIs" dxfId="7759" priority="1536" operator="lessThan">
      <formula>0</formula>
    </cfRule>
  </conditionalFormatting>
  <conditionalFormatting sqref="R32:R40">
    <cfRule type="cellIs" dxfId="7758" priority="1539" operator="lessThan">
      <formula>0.8</formula>
    </cfRule>
    <cfRule type="cellIs" dxfId="7757" priority="1540" operator="greaterThan">
      <formula>1</formula>
    </cfRule>
  </conditionalFormatting>
  <conditionalFormatting sqref="R32:R40">
    <cfRule type="cellIs" dxfId="7756" priority="1537" operator="greaterThan">
      <formula>1</formula>
    </cfRule>
    <cfRule type="cellIs" dxfId="7755" priority="1538" operator="lessThan">
      <formula>0.8</formula>
    </cfRule>
  </conditionalFormatting>
  <conditionalFormatting sqref="Q32:Q40">
    <cfRule type="cellIs" dxfId="7754" priority="1535" operator="lessThan">
      <formula>0</formula>
    </cfRule>
  </conditionalFormatting>
  <conditionalFormatting sqref="R32:R40">
    <cfRule type="cellIs" dxfId="7753" priority="1533" operator="lessThan">
      <formula>0.8</formula>
    </cfRule>
    <cfRule type="cellIs" dxfId="7752" priority="1534" operator="greaterThan">
      <formula>1</formula>
    </cfRule>
  </conditionalFormatting>
  <conditionalFormatting sqref="R32:R40">
    <cfRule type="cellIs" dxfId="7751" priority="1531" operator="greaterThan">
      <formula>1</formula>
    </cfRule>
    <cfRule type="cellIs" dxfId="7750" priority="1532" operator="lessThan">
      <formula>0.8</formula>
    </cfRule>
  </conditionalFormatting>
  <conditionalFormatting sqref="Q32:Q40">
    <cfRule type="cellIs" dxfId="7749" priority="1530" operator="lessThan">
      <formula>0</formula>
    </cfRule>
  </conditionalFormatting>
  <conditionalFormatting sqref="R32:R40">
    <cfRule type="cellIs" dxfId="7748" priority="1528" operator="lessThan">
      <formula>0.8</formula>
    </cfRule>
    <cfRule type="cellIs" dxfId="7747" priority="1529" operator="greaterThan">
      <formula>1</formula>
    </cfRule>
  </conditionalFormatting>
  <conditionalFormatting sqref="R32:R40">
    <cfRule type="cellIs" dxfId="7746" priority="1526" operator="greaterThan">
      <formula>1</formula>
    </cfRule>
    <cfRule type="cellIs" dxfId="7745" priority="1527" operator="lessThan">
      <formula>0.8</formula>
    </cfRule>
  </conditionalFormatting>
  <conditionalFormatting sqref="Q32:Q40">
    <cfRule type="cellIs" dxfId="7744" priority="1521" operator="lessThan">
      <formula>0</formula>
    </cfRule>
  </conditionalFormatting>
  <conditionalFormatting sqref="R32:R40">
    <cfRule type="cellIs" dxfId="7743" priority="1524" operator="lessThan">
      <formula>0.8</formula>
    </cfRule>
    <cfRule type="cellIs" dxfId="7742" priority="1525" operator="greaterThan">
      <formula>1</formula>
    </cfRule>
  </conditionalFormatting>
  <conditionalFormatting sqref="R32:R40">
    <cfRule type="cellIs" dxfId="7741" priority="1522" operator="greaterThan">
      <formula>1</formula>
    </cfRule>
    <cfRule type="cellIs" dxfId="7740" priority="1523" operator="lessThan">
      <formula>0.8</formula>
    </cfRule>
  </conditionalFormatting>
  <conditionalFormatting sqref="Q32:Q40">
    <cfRule type="cellIs" dxfId="7739" priority="1520" operator="lessThan">
      <formula>0</formula>
    </cfRule>
  </conditionalFormatting>
  <conditionalFormatting sqref="R32:R40">
    <cfRule type="cellIs" dxfId="7738" priority="1518" operator="lessThan">
      <formula>0.8</formula>
    </cfRule>
    <cfRule type="cellIs" dxfId="7737" priority="1519" operator="greaterThan">
      <formula>1</formula>
    </cfRule>
  </conditionalFormatting>
  <conditionalFormatting sqref="R32:R40">
    <cfRule type="cellIs" dxfId="7736" priority="1516" operator="greaterThan">
      <formula>1</formula>
    </cfRule>
    <cfRule type="cellIs" dxfId="7735" priority="1517" operator="lessThan">
      <formula>0.8</formula>
    </cfRule>
  </conditionalFormatting>
  <conditionalFormatting sqref="Q32:Q40">
    <cfRule type="cellIs" dxfId="7734" priority="1515" operator="lessThan">
      <formula>0</formula>
    </cfRule>
  </conditionalFormatting>
  <conditionalFormatting sqref="R32:R40">
    <cfRule type="cellIs" dxfId="7733" priority="1513" operator="lessThan">
      <formula>0.8</formula>
    </cfRule>
    <cfRule type="cellIs" dxfId="7732" priority="1514" operator="greaterThan">
      <formula>1</formula>
    </cfRule>
  </conditionalFormatting>
  <conditionalFormatting sqref="R32:R40">
    <cfRule type="cellIs" dxfId="7731" priority="1511" operator="greaterThan">
      <formula>1</formula>
    </cfRule>
    <cfRule type="cellIs" dxfId="7730" priority="1512" operator="lessThan">
      <formula>0.8</formula>
    </cfRule>
  </conditionalFormatting>
  <conditionalFormatting sqref="Q32:Q40">
    <cfRule type="cellIs" dxfId="7729" priority="1510" operator="lessThan">
      <formula>0</formula>
    </cfRule>
  </conditionalFormatting>
  <conditionalFormatting sqref="R32:R40">
    <cfRule type="cellIs" dxfId="7728" priority="1508" operator="lessThan">
      <formula>0.8</formula>
    </cfRule>
    <cfRule type="cellIs" dxfId="7727" priority="1509" operator="greaterThan">
      <formula>1</formula>
    </cfRule>
  </conditionalFormatting>
  <conditionalFormatting sqref="R32:R40">
    <cfRule type="cellIs" dxfId="7726" priority="1506" operator="greaterThan">
      <formula>1</formula>
    </cfRule>
    <cfRule type="cellIs" dxfId="7725" priority="1507" operator="lessThan">
      <formula>0.8</formula>
    </cfRule>
  </conditionalFormatting>
  <conditionalFormatting sqref="Q32:Q40">
    <cfRule type="cellIs" dxfId="7724" priority="1505" operator="lessThan">
      <formula>0</formula>
    </cfRule>
  </conditionalFormatting>
  <conditionalFormatting sqref="R32:R40">
    <cfRule type="cellIs" dxfId="7723" priority="1503" operator="lessThan">
      <formula>0.8</formula>
    </cfRule>
    <cfRule type="cellIs" dxfId="7722" priority="1504" operator="greaterThan">
      <formula>1</formula>
    </cfRule>
  </conditionalFormatting>
  <conditionalFormatting sqref="R32:R40">
    <cfRule type="cellIs" dxfId="7721" priority="1501" operator="greaterThan">
      <formula>1</formula>
    </cfRule>
    <cfRule type="cellIs" dxfId="7720" priority="1502" operator="lessThan">
      <formula>0.8</formula>
    </cfRule>
  </conditionalFormatting>
  <conditionalFormatting sqref="Q32:Q40">
    <cfRule type="cellIs" dxfId="7719" priority="1500" operator="lessThan">
      <formula>0</formula>
    </cfRule>
  </conditionalFormatting>
  <conditionalFormatting sqref="R32:R40">
    <cfRule type="cellIs" dxfId="7718" priority="1498" operator="lessThan">
      <formula>0.8</formula>
    </cfRule>
    <cfRule type="cellIs" dxfId="7717" priority="1499" operator="greaterThan">
      <formula>1</formula>
    </cfRule>
  </conditionalFormatting>
  <conditionalFormatting sqref="R32:R40">
    <cfRule type="cellIs" dxfId="7716" priority="1496" operator="greaterThan">
      <formula>1</formula>
    </cfRule>
    <cfRule type="cellIs" dxfId="7715" priority="1497" operator="lessThan">
      <formula>0.8</formula>
    </cfRule>
  </conditionalFormatting>
  <conditionalFormatting sqref="Q32:Q40">
    <cfRule type="cellIs" dxfId="7714" priority="1495" operator="lessThan">
      <formula>0</formula>
    </cfRule>
  </conditionalFormatting>
  <conditionalFormatting sqref="R32:R40">
    <cfRule type="cellIs" dxfId="7713" priority="1493" operator="lessThan">
      <formula>0.8</formula>
    </cfRule>
    <cfRule type="cellIs" dxfId="7712" priority="1494" operator="greaterThan">
      <formula>1</formula>
    </cfRule>
  </conditionalFormatting>
  <conditionalFormatting sqref="R32:R40">
    <cfRule type="cellIs" dxfId="7711" priority="1491" operator="greaterThan">
      <formula>1</formula>
    </cfRule>
    <cfRule type="cellIs" dxfId="7710" priority="1492" operator="lessThan">
      <formula>0.8</formula>
    </cfRule>
  </conditionalFormatting>
  <conditionalFormatting sqref="Q32:Q40">
    <cfRule type="cellIs" dxfId="7709" priority="1490" operator="lessThan">
      <formula>0</formula>
    </cfRule>
  </conditionalFormatting>
  <conditionalFormatting sqref="R32:R40">
    <cfRule type="cellIs" dxfId="7708" priority="1488" operator="lessThan">
      <formula>0.8</formula>
    </cfRule>
    <cfRule type="cellIs" dxfId="7707" priority="1489" operator="greaterThan">
      <formula>1</formula>
    </cfRule>
  </conditionalFormatting>
  <conditionalFormatting sqref="R32:R40">
    <cfRule type="cellIs" dxfId="7706" priority="1486" operator="greaterThan">
      <formula>1</formula>
    </cfRule>
    <cfRule type="cellIs" dxfId="7705" priority="1487" operator="lessThan">
      <formula>0.8</formula>
    </cfRule>
  </conditionalFormatting>
  <conditionalFormatting sqref="R32:R40">
    <cfRule type="cellIs" dxfId="7704" priority="1483" operator="lessThan">
      <formula>0.8</formula>
    </cfRule>
    <cfRule type="cellIs" dxfId="7703" priority="1484" operator="greaterThan">
      <formula>1</formula>
    </cfRule>
  </conditionalFormatting>
  <conditionalFormatting sqref="R32:R40">
    <cfRule type="cellIs" dxfId="7702" priority="1481" operator="greaterThan">
      <formula>1</formula>
    </cfRule>
    <cfRule type="cellIs" dxfId="7701" priority="1482" operator="lessThan">
      <formula>0.8</formula>
    </cfRule>
  </conditionalFormatting>
  <conditionalFormatting sqref="Q32:Q40">
    <cfRule type="cellIs" dxfId="7700" priority="1485" operator="lessThan">
      <formula>0</formula>
    </cfRule>
  </conditionalFormatting>
  <conditionalFormatting sqref="Q32:Q40">
    <cfRule type="cellIs" dxfId="7699" priority="1476" operator="lessThan">
      <formula>0</formula>
    </cfRule>
  </conditionalFormatting>
  <conditionalFormatting sqref="R32:R40">
    <cfRule type="cellIs" dxfId="7698" priority="1479" operator="lessThan">
      <formula>0.8</formula>
    </cfRule>
    <cfRule type="cellIs" dxfId="7697" priority="1480" operator="greaterThan">
      <formula>1</formula>
    </cfRule>
  </conditionalFormatting>
  <conditionalFormatting sqref="R32:R40">
    <cfRule type="cellIs" dxfId="7696" priority="1477" operator="greaterThan">
      <formula>1</formula>
    </cfRule>
    <cfRule type="cellIs" dxfId="7695" priority="1478" operator="lessThan">
      <formula>0.8</formula>
    </cfRule>
  </conditionalFormatting>
  <conditionalFormatting sqref="Q32:Q40">
    <cfRule type="cellIs" dxfId="7694" priority="1471" operator="lessThan">
      <formula>0</formula>
    </cfRule>
  </conditionalFormatting>
  <conditionalFormatting sqref="R32:R40">
    <cfRule type="cellIs" dxfId="7693" priority="1474" operator="lessThan">
      <formula>0.8</formula>
    </cfRule>
    <cfRule type="cellIs" dxfId="7692" priority="1475" operator="greaterThan">
      <formula>1</formula>
    </cfRule>
  </conditionalFormatting>
  <conditionalFormatting sqref="R32:R40">
    <cfRule type="cellIs" dxfId="7691" priority="1472" operator="greaterThan">
      <formula>1</formula>
    </cfRule>
    <cfRule type="cellIs" dxfId="7690" priority="1473" operator="lessThan">
      <formula>0.8</formula>
    </cfRule>
  </conditionalFormatting>
  <conditionalFormatting sqref="Q32:Q40">
    <cfRule type="cellIs" dxfId="7689" priority="1470" operator="lessThan">
      <formula>0</formula>
    </cfRule>
  </conditionalFormatting>
  <conditionalFormatting sqref="R32:R40">
    <cfRule type="cellIs" dxfId="7688" priority="1468" operator="lessThan">
      <formula>0.8</formula>
    </cfRule>
    <cfRule type="cellIs" dxfId="7687" priority="1469" operator="greaterThan">
      <formula>1</formula>
    </cfRule>
  </conditionalFormatting>
  <conditionalFormatting sqref="R32:R40">
    <cfRule type="cellIs" dxfId="7686" priority="1466" operator="greaterThan">
      <formula>1</formula>
    </cfRule>
    <cfRule type="cellIs" dxfId="7685" priority="1467" operator="lessThan">
      <formula>0.8</formula>
    </cfRule>
  </conditionalFormatting>
  <conditionalFormatting sqref="Q32:Q40">
    <cfRule type="cellIs" dxfId="7684" priority="1465" operator="lessThan">
      <formula>0</formula>
    </cfRule>
  </conditionalFormatting>
  <conditionalFormatting sqref="R32:R40">
    <cfRule type="cellIs" dxfId="7683" priority="1463" operator="lessThan">
      <formula>0.8</formula>
    </cfRule>
    <cfRule type="cellIs" dxfId="7682" priority="1464" operator="greaterThan">
      <formula>1</formula>
    </cfRule>
  </conditionalFormatting>
  <conditionalFormatting sqref="R32:R40">
    <cfRule type="cellIs" dxfId="7681" priority="1461" operator="greaterThan">
      <formula>1</formula>
    </cfRule>
    <cfRule type="cellIs" dxfId="7680" priority="1462" operator="lessThan">
      <formula>0.8</formula>
    </cfRule>
  </conditionalFormatting>
  <conditionalFormatting sqref="Q32:Q40">
    <cfRule type="cellIs" dxfId="7679" priority="1456" operator="lessThan">
      <formula>0</formula>
    </cfRule>
  </conditionalFormatting>
  <conditionalFormatting sqref="R32:R40">
    <cfRule type="cellIs" dxfId="7678" priority="1459" operator="lessThan">
      <formula>0.8</formula>
    </cfRule>
    <cfRule type="cellIs" dxfId="7677" priority="1460" operator="greaterThan">
      <formula>1</formula>
    </cfRule>
  </conditionalFormatting>
  <conditionalFormatting sqref="R32:R40">
    <cfRule type="cellIs" dxfId="7676" priority="1457" operator="greaterThan">
      <formula>1</formula>
    </cfRule>
    <cfRule type="cellIs" dxfId="7675" priority="1458" operator="lessThan">
      <formula>0.8</formula>
    </cfRule>
  </conditionalFormatting>
  <conditionalFormatting sqref="Q32:Q40">
    <cfRule type="cellIs" dxfId="7674" priority="1451" operator="lessThan">
      <formula>0</formula>
    </cfRule>
  </conditionalFormatting>
  <conditionalFormatting sqref="R32:R40">
    <cfRule type="cellIs" dxfId="7673" priority="1454" operator="lessThan">
      <formula>0.8</formula>
    </cfRule>
    <cfRule type="cellIs" dxfId="7672" priority="1455" operator="greaterThan">
      <formula>1</formula>
    </cfRule>
  </conditionalFormatting>
  <conditionalFormatting sqref="R32:R40">
    <cfRule type="cellIs" dxfId="7671" priority="1452" operator="greaterThan">
      <formula>1</formula>
    </cfRule>
    <cfRule type="cellIs" dxfId="7670" priority="1453" operator="lessThan">
      <formula>0.8</formula>
    </cfRule>
  </conditionalFormatting>
  <conditionalFormatting sqref="Q32:Q40">
    <cfRule type="cellIs" dxfId="7669" priority="1450" operator="lessThan">
      <formula>0</formula>
    </cfRule>
  </conditionalFormatting>
  <conditionalFormatting sqref="R32:R40">
    <cfRule type="cellIs" dxfId="7668" priority="1448" operator="lessThan">
      <formula>0.8</formula>
    </cfRule>
    <cfRule type="cellIs" dxfId="7667" priority="1449" operator="greaterThan">
      <formula>1</formula>
    </cfRule>
  </conditionalFormatting>
  <conditionalFormatting sqref="R32:R40">
    <cfRule type="cellIs" dxfId="7666" priority="1446" operator="greaterThan">
      <formula>1</formula>
    </cfRule>
    <cfRule type="cellIs" dxfId="7665" priority="1447" operator="lessThan">
      <formula>0.8</formula>
    </cfRule>
  </conditionalFormatting>
  <conditionalFormatting sqref="Q32:Q40">
    <cfRule type="cellIs" dxfId="7664" priority="1445" operator="lessThan">
      <formula>0</formula>
    </cfRule>
  </conditionalFormatting>
  <conditionalFormatting sqref="R32:R40">
    <cfRule type="cellIs" dxfId="7663" priority="1443" operator="lessThan">
      <formula>0.8</formula>
    </cfRule>
    <cfRule type="cellIs" dxfId="7662" priority="1444" operator="greaterThan">
      <formula>1</formula>
    </cfRule>
  </conditionalFormatting>
  <conditionalFormatting sqref="R32:R40">
    <cfRule type="cellIs" dxfId="7661" priority="1441" operator="greaterThan">
      <formula>1</formula>
    </cfRule>
    <cfRule type="cellIs" dxfId="7660" priority="1442" operator="lessThan">
      <formula>0.8</formula>
    </cfRule>
  </conditionalFormatting>
  <conditionalFormatting sqref="Q19:Q25">
    <cfRule type="cellIs" dxfId="7659" priority="1440" operator="lessThan">
      <formula>0</formula>
    </cfRule>
  </conditionalFormatting>
  <conditionalFormatting sqref="R19:R25">
    <cfRule type="cellIs" dxfId="7658" priority="1438" operator="lessThan">
      <formula>0.8</formula>
    </cfRule>
    <cfRule type="cellIs" dxfId="7657" priority="1439" operator="greaterThan">
      <formula>1</formula>
    </cfRule>
  </conditionalFormatting>
  <conditionalFormatting sqref="R19:R25">
    <cfRule type="cellIs" dxfId="7656" priority="1436" operator="greaterThan">
      <formula>1</formula>
    </cfRule>
    <cfRule type="cellIs" dxfId="7655" priority="1437" operator="lessThan">
      <formula>0.8</formula>
    </cfRule>
  </conditionalFormatting>
  <conditionalFormatting sqref="R19:R25">
    <cfRule type="cellIs" dxfId="7654" priority="1433" operator="lessThan">
      <formula>0.8</formula>
    </cfRule>
    <cfRule type="cellIs" dxfId="7653" priority="1434" operator="greaterThan">
      <formula>1</formula>
    </cfRule>
  </conditionalFormatting>
  <conditionalFormatting sqref="R19:R25">
    <cfRule type="cellIs" dxfId="7652" priority="1431" operator="greaterThan">
      <formula>1</formula>
    </cfRule>
    <cfRule type="cellIs" dxfId="7651" priority="1432" operator="lessThan">
      <formula>0.8</formula>
    </cfRule>
  </conditionalFormatting>
  <conditionalFormatting sqref="Q19:Q25">
    <cfRule type="cellIs" dxfId="7650" priority="1435" operator="lessThan">
      <formula>0</formula>
    </cfRule>
  </conditionalFormatting>
  <conditionalFormatting sqref="R19:R25">
    <cfRule type="cellIs" dxfId="7649" priority="1428" operator="lessThan">
      <formula>0.8</formula>
    </cfRule>
    <cfRule type="cellIs" dxfId="7648" priority="1429" operator="greaterThan">
      <formula>1</formula>
    </cfRule>
  </conditionalFormatting>
  <conditionalFormatting sqref="R19:R25">
    <cfRule type="cellIs" dxfId="7647" priority="1426" operator="greaterThan">
      <formula>1</formula>
    </cfRule>
    <cfRule type="cellIs" dxfId="7646" priority="1427" operator="lessThan">
      <formula>0.8</formula>
    </cfRule>
  </conditionalFormatting>
  <conditionalFormatting sqref="Q19:Q25">
    <cfRule type="cellIs" dxfId="7645" priority="1430" operator="lessThan">
      <formula>0</formula>
    </cfRule>
  </conditionalFormatting>
  <conditionalFormatting sqref="Q19:Q25">
    <cfRule type="cellIs" dxfId="7644" priority="1425" operator="lessThan">
      <formula>0</formula>
    </cfRule>
  </conditionalFormatting>
  <conditionalFormatting sqref="R19:R25">
    <cfRule type="cellIs" dxfId="7643" priority="1423" operator="lessThan">
      <formula>0.8</formula>
    </cfRule>
    <cfRule type="cellIs" dxfId="7642" priority="1424" operator="greaterThan">
      <formula>1</formula>
    </cfRule>
  </conditionalFormatting>
  <conditionalFormatting sqref="R19:R25">
    <cfRule type="cellIs" dxfId="7641" priority="1421" operator="greaterThan">
      <formula>1</formula>
    </cfRule>
    <cfRule type="cellIs" dxfId="7640" priority="1422" operator="lessThan">
      <formula>0.8</formula>
    </cfRule>
  </conditionalFormatting>
  <conditionalFormatting sqref="Q135:Q136">
    <cfRule type="cellIs" dxfId="7639" priority="1420" operator="lessThan">
      <formula>0</formula>
    </cfRule>
  </conditionalFormatting>
  <conditionalFormatting sqref="R135:R136 R139:R145">
    <cfRule type="cellIs" dxfId="7638" priority="1418" operator="lessThan">
      <formula>0.8</formula>
    </cfRule>
    <cfRule type="cellIs" dxfId="7637" priority="1419" operator="greaterThan">
      <formula>1</formula>
    </cfRule>
  </conditionalFormatting>
  <conditionalFormatting sqref="R135:R136 R139:R145">
    <cfRule type="cellIs" dxfId="7636" priority="1416" operator="greaterThan">
      <formula>1</formula>
    </cfRule>
    <cfRule type="cellIs" dxfId="7635" priority="1417" operator="lessThan">
      <formula>0.8</formula>
    </cfRule>
  </conditionalFormatting>
  <conditionalFormatting sqref="P135:P136 P139 P141 P143 P145">
    <cfRule type="cellIs" dxfId="7634" priority="1415" operator="greaterThan">
      <formula>0</formula>
    </cfRule>
  </conditionalFormatting>
  <conditionalFormatting sqref="P135:P136 P139 P141 P143 P145">
    <cfRule type="cellIs" dxfId="7633" priority="1409" operator="greaterThan">
      <formula>0</formula>
    </cfRule>
  </conditionalFormatting>
  <conditionalFormatting sqref="Q135:Q136">
    <cfRule type="cellIs" dxfId="7632" priority="1414" operator="lessThan">
      <formula>0</formula>
    </cfRule>
  </conditionalFormatting>
  <conditionalFormatting sqref="R135:R136 R139:R145">
    <cfRule type="cellIs" dxfId="7631" priority="1412" operator="lessThan">
      <formula>0.8</formula>
    </cfRule>
    <cfRule type="cellIs" dxfId="7630" priority="1413" operator="greaterThan">
      <formula>1</formula>
    </cfRule>
  </conditionalFormatting>
  <conditionalFormatting sqref="R135:R136 R139:R145">
    <cfRule type="cellIs" dxfId="7629" priority="1410" operator="greaterThan">
      <formula>1</formula>
    </cfRule>
    <cfRule type="cellIs" dxfId="7628" priority="1411" operator="lessThan">
      <formula>0.8</formula>
    </cfRule>
  </conditionalFormatting>
  <conditionalFormatting sqref="Q19:Q25">
    <cfRule type="cellIs" dxfId="7627" priority="1408" operator="lessThan">
      <formula>0</formula>
    </cfRule>
  </conditionalFormatting>
  <conditionalFormatting sqref="R19:R25">
    <cfRule type="cellIs" dxfId="7626" priority="1406" operator="lessThan">
      <formula>0.8</formula>
    </cfRule>
    <cfRule type="cellIs" dxfId="7625" priority="1407" operator="greaterThan">
      <formula>1</formula>
    </cfRule>
  </conditionalFormatting>
  <conditionalFormatting sqref="R19:R25">
    <cfRule type="cellIs" dxfId="7624" priority="1404" operator="greaterThan">
      <formula>1</formula>
    </cfRule>
    <cfRule type="cellIs" dxfId="7623" priority="1405" operator="lessThan">
      <formula>0.8</formula>
    </cfRule>
  </conditionalFormatting>
  <conditionalFormatting sqref="Q19:Q25">
    <cfRule type="cellIs" dxfId="7622" priority="1403" operator="lessThan">
      <formula>0</formula>
    </cfRule>
  </conditionalFormatting>
  <conditionalFormatting sqref="R19:R25">
    <cfRule type="cellIs" dxfId="7621" priority="1401" operator="lessThan">
      <formula>0.8</formula>
    </cfRule>
    <cfRule type="cellIs" dxfId="7620" priority="1402" operator="greaterThan">
      <formula>1</formula>
    </cfRule>
  </conditionalFormatting>
  <conditionalFormatting sqref="R19:R25">
    <cfRule type="cellIs" dxfId="7619" priority="1399" operator="greaterThan">
      <formula>1</formula>
    </cfRule>
    <cfRule type="cellIs" dxfId="7618" priority="1400" operator="lessThan">
      <formula>0.8</formula>
    </cfRule>
  </conditionalFormatting>
  <conditionalFormatting sqref="Q19:Q25">
    <cfRule type="cellIs" dxfId="7617" priority="1398" operator="lessThan">
      <formula>0</formula>
    </cfRule>
  </conditionalFormatting>
  <conditionalFormatting sqref="R19:R25">
    <cfRule type="cellIs" dxfId="7616" priority="1396" operator="lessThan">
      <formula>0.8</formula>
    </cfRule>
    <cfRule type="cellIs" dxfId="7615" priority="1397" operator="greaterThan">
      <formula>1</formula>
    </cfRule>
  </conditionalFormatting>
  <conditionalFormatting sqref="R19:R25">
    <cfRule type="cellIs" dxfId="7614" priority="1394" operator="greaterThan">
      <formula>1</formula>
    </cfRule>
    <cfRule type="cellIs" dxfId="7613" priority="1395" operator="lessThan">
      <formula>0.8</formula>
    </cfRule>
  </conditionalFormatting>
  <conditionalFormatting sqref="Q19:Q25">
    <cfRule type="cellIs" dxfId="7612" priority="1393" operator="lessThan">
      <formula>0</formula>
    </cfRule>
  </conditionalFormatting>
  <conditionalFormatting sqref="R19:R25">
    <cfRule type="cellIs" dxfId="7611" priority="1391" operator="lessThan">
      <formula>0.8</formula>
    </cfRule>
    <cfRule type="cellIs" dxfId="7610" priority="1392" operator="greaterThan">
      <formula>1</formula>
    </cfRule>
  </conditionalFormatting>
  <conditionalFormatting sqref="R19:R25">
    <cfRule type="cellIs" dxfId="7609" priority="1389" operator="greaterThan">
      <formula>1</formula>
    </cfRule>
    <cfRule type="cellIs" dxfId="7608" priority="1390" operator="lessThan">
      <formula>0.8</formula>
    </cfRule>
  </conditionalFormatting>
  <conditionalFormatting sqref="R19:R25">
    <cfRule type="cellIs" dxfId="7607" priority="1386" operator="lessThan">
      <formula>0.8</formula>
    </cfRule>
    <cfRule type="cellIs" dxfId="7606" priority="1387" operator="greaterThan">
      <formula>1</formula>
    </cfRule>
  </conditionalFormatting>
  <conditionalFormatting sqref="R19:R25">
    <cfRule type="cellIs" dxfId="7605" priority="1384" operator="greaterThan">
      <formula>1</formula>
    </cfRule>
    <cfRule type="cellIs" dxfId="7604" priority="1385" operator="lessThan">
      <formula>0.8</formula>
    </cfRule>
  </conditionalFormatting>
  <conditionalFormatting sqref="Q19:Q25">
    <cfRule type="cellIs" dxfId="7603" priority="1388" operator="lessThan">
      <formula>0</formula>
    </cfRule>
  </conditionalFormatting>
  <conditionalFormatting sqref="Q19:Q25">
    <cfRule type="cellIs" dxfId="7602" priority="1383" operator="lessThan">
      <formula>0</formula>
    </cfRule>
  </conditionalFormatting>
  <conditionalFormatting sqref="R19:R25">
    <cfRule type="cellIs" dxfId="7601" priority="1381" operator="lessThan">
      <formula>0.8</formula>
    </cfRule>
    <cfRule type="cellIs" dxfId="7600" priority="1382" operator="greaterThan">
      <formula>1</formula>
    </cfRule>
  </conditionalFormatting>
  <conditionalFormatting sqref="R19:R25">
    <cfRule type="cellIs" dxfId="7599" priority="1379" operator="greaterThan">
      <formula>1</formula>
    </cfRule>
    <cfRule type="cellIs" dxfId="7598" priority="1380" operator="lessThan">
      <formula>0.8</formula>
    </cfRule>
  </conditionalFormatting>
  <conditionalFormatting sqref="Q19:Q25">
    <cfRule type="cellIs" dxfId="7597" priority="1378" operator="lessThan">
      <formula>0</formula>
    </cfRule>
  </conditionalFormatting>
  <conditionalFormatting sqref="R19:R25">
    <cfRule type="cellIs" dxfId="7596" priority="1376" operator="lessThan">
      <formula>0.8</formula>
    </cfRule>
    <cfRule type="cellIs" dxfId="7595" priority="1377" operator="greaterThan">
      <formula>1</formula>
    </cfRule>
  </conditionalFormatting>
  <conditionalFormatting sqref="R19:R25">
    <cfRule type="cellIs" dxfId="7594" priority="1374" operator="greaterThan">
      <formula>1</formula>
    </cfRule>
    <cfRule type="cellIs" dxfId="7593" priority="1375" operator="lessThan">
      <formula>0.8</formula>
    </cfRule>
  </conditionalFormatting>
  <conditionalFormatting sqref="Q19:Q25">
    <cfRule type="cellIs" dxfId="7592" priority="1373" operator="lessThan">
      <formula>0</formula>
    </cfRule>
  </conditionalFormatting>
  <conditionalFormatting sqref="R19:R25">
    <cfRule type="cellIs" dxfId="7591" priority="1371" operator="lessThan">
      <formula>0.8</formula>
    </cfRule>
    <cfRule type="cellIs" dxfId="7590" priority="1372" operator="greaterThan">
      <formula>1</formula>
    </cfRule>
  </conditionalFormatting>
  <conditionalFormatting sqref="R19:R25">
    <cfRule type="cellIs" dxfId="7589" priority="1369" operator="greaterThan">
      <formula>1</formula>
    </cfRule>
    <cfRule type="cellIs" dxfId="7588" priority="1370" operator="lessThan">
      <formula>0.8</formula>
    </cfRule>
  </conditionalFormatting>
  <conditionalFormatting sqref="Q19:Q25">
    <cfRule type="cellIs" dxfId="7587" priority="1368" operator="lessThan">
      <formula>0</formula>
    </cfRule>
  </conditionalFormatting>
  <conditionalFormatting sqref="R19:R25">
    <cfRule type="cellIs" dxfId="7586" priority="1366" operator="lessThan">
      <formula>0.8</formula>
    </cfRule>
    <cfRule type="cellIs" dxfId="7585" priority="1367" operator="greaterThan">
      <formula>1</formula>
    </cfRule>
  </conditionalFormatting>
  <conditionalFormatting sqref="R19:R25">
    <cfRule type="cellIs" dxfId="7584" priority="1364" operator="greaterThan">
      <formula>1</formula>
    </cfRule>
    <cfRule type="cellIs" dxfId="7583" priority="1365" operator="lessThan">
      <formula>0.8</formula>
    </cfRule>
  </conditionalFormatting>
  <conditionalFormatting sqref="Q19:Q25">
    <cfRule type="cellIs" dxfId="7582" priority="1363" operator="lessThan">
      <formula>0</formula>
    </cfRule>
  </conditionalFormatting>
  <conditionalFormatting sqref="R19:R25">
    <cfRule type="cellIs" dxfId="7581" priority="1361" operator="lessThan">
      <formula>0.8</formula>
    </cfRule>
    <cfRule type="cellIs" dxfId="7580" priority="1362" operator="greaterThan">
      <formula>1</formula>
    </cfRule>
  </conditionalFormatting>
  <conditionalFormatting sqref="R19:R25">
    <cfRule type="cellIs" dxfId="7579" priority="1359" operator="greaterThan">
      <formula>1</formula>
    </cfRule>
    <cfRule type="cellIs" dxfId="7578" priority="1360" operator="lessThan">
      <formula>0.8</formula>
    </cfRule>
  </conditionalFormatting>
  <conditionalFormatting sqref="Q19:Q25">
    <cfRule type="cellIs" dxfId="7577" priority="1358" operator="lessThan">
      <formula>0</formula>
    </cfRule>
  </conditionalFormatting>
  <conditionalFormatting sqref="R19:R25">
    <cfRule type="cellIs" dxfId="7576" priority="1356" operator="lessThan">
      <formula>0.8</formula>
    </cfRule>
    <cfRule type="cellIs" dxfId="7575" priority="1357" operator="greaterThan">
      <formula>1</formula>
    </cfRule>
  </conditionalFormatting>
  <conditionalFormatting sqref="R19:R25">
    <cfRule type="cellIs" dxfId="7574" priority="1354" operator="greaterThan">
      <formula>1</formula>
    </cfRule>
    <cfRule type="cellIs" dxfId="7573" priority="1355" operator="lessThan">
      <formula>0.8</formula>
    </cfRule>
  </conditionalFormatting>
  <conditionalFormatting sqref="Q19:Q25">
    <cfRule type="cellIs" dxfId="7572" priority="1353" operator="lessThan">
      <formula>0</formula>
    </cfRule>
  </conditionalFormatting>
  <conditionalFormatting sqref="R19:R25">
    <cfRule type="cellIs" dxfId="7571" priority="1351" operator="lessThan">
      <formula>0.8</formula>
    </cfRule>
    <cfRule type="cellIs" dxfId="7570" priority="1352" operator="greaterThan">
      <formula>1</formula>
    </cfRule>
  </conditionalFormatting>
  <conditionalFormatting sqref="R19:R25">
    <cfRule type="cellIs" dxfId="7569" priority="1349" operator="greaterThan">
      <formula>1</formula>
    </cfRule>
    <cfRule type="cellIs" dxfId="7568" priority="1350" operator="lessThan">
      <formula>0.8</formula>
    </cfRule>
  </conditionalFormatting>
  <conditionalFormatting sqref="Q19:Q25">
    <cfRule type="cellIs" dxfId="7567" priority="1348" operator="lessThan">
      <formula>0</formula>
    </cfRule>
  </conditionalFormatting>
  <conditionalFormatting sqref="R19:R25">
    <cfRule type="cellIs" dxfId="7566" priority="1346" operator="lessThan">
      <formula>0.8</formula>
    </cfRule>
    <cfRule type="cellIs" dxfId="7565" priority="1347" operator="greaterThan">
      <formula>1</formula>
    </cfRule>
  </conditionalFormatting>
  <conditionalFormatting sqref="R19:R25">
    <cfRule type="cellIs" dxfId="7564" priority="1344" operator="greaterThan">
      <formula>1</formula>
    </cfRule>
    <cfRule type="cellIs" dxfId="7563" priority="1345" operator="lessThan">
      <formula>0.8</formula>
    </cfRule>
  </conditionalFormatting>
  <conditionalFormatting sqref="Q19:Q25">
    <cfRule type="cellIs" dxfId="7562" priority="1343" operator="lessThan">
      <formula>0</formula>
    </cfRule>
  </conditionalFormatting>
  <conditionalFormatting sqref="R19:R25">
    <cfRule type="cellIs" dxfId="7561" priority="1341" operator="lessThan">
      <formula>0.8</formula>
    </cfRule>
    <cfRule type="cellIs" dxfId="7560" priority="1342" operator="greaterThan">
      <formula>1</formula>
    </cfRule>
  </conditionalFormatting>
  <conditionalFormatting sqref="R19:R25">
    <cfRule type="cellIs" dxfId="7559" priority="1339" operator="greaterThan">
      <formula>1</formula>
    </cfRule>
    <cfRule type="cellIs" dxfId="7558" priority="1340" operator="lessThan">
      <formula>0.8</formula>
    </cfRule>
  </conditionalFormatting>
  <conditionalFormatting sqref="R19:R25">
    <cfRule type="cellIs" dxfId="7557" priority="1336" operator="lessThan">
      <formula>0.8</formula>
    </cfRule>
    <cfRule type="cellIs" dxfId="7556" priority="1337" operator="greaterThan">
      <formula>1</formula>
    </cfRule>
  </conditionalFormatting>
  <conditionalFormatting sqref="R19:R25">
    <cfRule type="cellIs" dxfId="7555" priority="1334" operator="greaterThan">
      <formula>1</formula>
    </cfRule>
    <cfRule type="cellIs" dxfId="7554" priority="1335" operator="lessThan">
      <formula>0.8</formula>
    </cfRule>
  </conditionalFormatting>
  <conditionalFormatting sqref="Q19:Q25">
    <cfRule type="cellIs" dxfId="7553" priority="1338" operator="lessThan">
      <formula>0</formula>
    </cfRule>
  </conditionalFormatting>
  <conditionalFormatting sqref="Q32:Q40">
    <cfRule type="cellIs" dxfId="7552" priority="1333" operator="lessThan">
      <formula>0</formula>
    </cfRule>
  </conditionalFormatting>
  <conditionalFormatting sqref="R32:R40">
    <cfRule type="cellIs" dxfId="7551" priority="1331" operator="lessThan">
      <formula>0.8</formula>
    </cfRule>
    <cfRule type="cellIs" dxfId="7550" priority="1332" operator="greaterThan">
      <formula>1</formula>
    </cfRule>
  </conditionalFormatting>
  <conditionalFormatting sqref="R32:R40">
    <cfRule type="cellIs" dxfId="7549" priority="1329" operator="greaterThan">
      <formula>1</formula>
    </cfRule>
    <cfRule type="cellIs" dxfId="7548" priority="1330" operator="lessThan">
      <formula>0.8</formula>
    </cfRule>
  </conditionalFormatting>
  <conditionalFormatting sqref="Q32:Q40">
    <cfRule type="cellIs" dxfId="7547" priority="1328" operator="lessThan">
      <formula>0</formula>
    </cfRule>
  </conditionalFormatting>
  <conditionalFormatting sqref="R32:R40">
    <cfRule type="cellIs" dxfId="7546" priority="1326" operator="lessThan">
      <formula>0.8</formula>
    </cfRule>
    <cfRule type="cellIs" dxfId="7545" priority="1327" operator="greaterThan">
      <formula>1</formula>
    </cfRule>
  </conditionalFormatting>
  <conditionalFormatting sqref="R32:R40">
    <cfRule type="cellIs" dxfId="7544" priority="1324" operator="greaterThan">
      <formula>1</formula>
    </cfRule>
    <cfRule type="cellIs" dxfId="7543" priority="1325" operator="lessThan">
      <formula>0.8</formula>
    </cfRule>
  </conditionalFormatting>
  <conditionalFormatting sqref="Q32:Q40">
    <cfRule type="cellIs" dxfId="7542" priority="1323" operator="lessThan">
      <formula>0</formula>
    </cfRule>
  </conditionalFormatting>
  <conditionalFormatting sqref="R32:R40">
    <cfRule type="cellIs" dxfId="7541" priority="1321" operator="lessThan">
      <formula>0.8</formula>
    </cfRule>
    <cfRule type="cellIs" dxfId="7540" priority="1322" operator="greaterThan">
      <formula>1</formula>
    </cfRule>
  </conditionalFormatting>
  <conditionalFormatting sqref="R32:R40">
    <cfRule type="cellIs" dxfId="7539" priority="1319" operator="greaterThan">
      <formula>1</formula>
    </cfRule>
    <cfRule type="cellIs" dxfId="7538" priority="1320" operator="lessThan">
      <formula>0.8</formula>
    </cfRule>
  </conditionalFormatting>
  <conditionalFormatting sqref="Q32:Q40">
    <cfRule type="cellIs" dxfId="7537" priority="1318" operator="lessThan">
      <formula>0</formula>
    </cfRule>
  </conditionalFormatting>
  <conditionalFormatting sqref="R32:R40">
    <cfRule type="cellIs" dxfId="7536" priority="1316" operator="lessThan">
      <formula>0.8</formula>
    </cfRule>
    <cfRule type="cellIs" dxfId="7535" priority="1317" operator="greaterThan">
      <formula>1</formula>
    </cfRule>
  </conditionalFormatting>
  <conditionalFormatting sqref="R32:R40">
    <cfRule type="cellIs" dxfId="7534" priority="1314" operator="greaterThan">
      <formula>1</formula>
    </cfRule>
    <cfRule type="cellIs" dxfId="7533" priority="1315" operator="lessThan">
      <formula>0.8</formula>
    </cfRule>
  </conditionalFormatting>
  <conditionalFormatting sqref="Q32:Q40">
    <cfRule type="cellIs" dxfId="7532" priority="1313" operator="lessThan">
      <formula>0</formula>
    </cfRule>
  </conditionalFormatting>
  <conditionalFormatting sqref="R32:R40">
    <cfRule type="cellIs" dxfId="7531" priority="1311" operator="lessThan">
      <formula>0.8</formula>
    </cfRule>
    <cfRule type="cellIs" dxfId="7530" priority="1312" operator="greaterThan">
      <formula>1</formula>
    </cfRule>
  </conditionalFormatting>
  <conditionalFormatting sqref="R32:R40">
    <cfRule type="cellIs" dxfId="7529" priority="1309" operator="greaterThan">
      <formula>1</formula>
    </cfRule>
    <cfRule type="cellIs" dxfId="7528" priority="1310" operator="lessThan">
      <formula>0.8</formula>
    </cfRule>
  </conditionalFormatting>
  <conditionalFormatting sqref="Q32:Q40">
    <cfRule type="cellIs" dxfId="7527" priority="1308" operator="lessThan">
      <formula>0</formula>
    </cfRule>
  </conditionalFormatting>
  <conditionalFormatting sqref="R32:R40">
    <cfRule type="cellIs" dxfId="7526" priority="1306" operator="lessThan">
      <formula>0.8</formula>
    </cfRule>
    <cfRule type="cellIs" dxfId="7525" priority="1307" operator="greaterThan">
      <formula>1</formula>
    </cfRule>
  </conditionalFormatting>
  <conditionalFormatting sqref="R32:R40">
    <cfRule type="cellIs" dxfId="7524" priority="1304" operator="greaterThan">
      <formula>1</formula>
    </cfRule>
    <cfRule type="cellIs" dxfId="7523" priority="1305" operator="lessThan">
      <formula>0.8</formula>
    </cfRule>
  </conditionalFormatting>
  <conditionalFormatting sqref="R32:R40">
    <cfRule type="cellIs" dxfId="7522" priority="1301" operator="lessThan">
      <formula>0.8</formula>
    </cfRule>
    <cfRule type="cellIs" dxfId="7521" priority="1302" operator="greaterThan">
      <formula>1</formula>
    </cfRule>
  </conditionalFormatting>
  <conditionalFormatting sqref="R32:R40">
    <cfRule type="cellIs" dxfId="7520" priority="1299" operator="greaterThan">
      <formula>1</formula>
    </cfRule>
    <cfRule type="cellIs" dxfId="7519" priority="1300" operator="lessThan">
      <formula>0.8</formula>
    </cfRule>
  </conditionalFormatting>
  <conditionalFormatting sqref="Q32:Q40">
    <cfRule type="cellIs" dxfId="7518" priority="1303" operator="lessThan">
      <formula>0</formula>
    </cfRule>
  </conditionalFormatting>
  <conditionalFormatting sqref="Q32:Q40">
    <cfRule type="cellIs" dxfId="7517" priority="1298" operator="lessThan">
      <formula>0</formula>
    </cfRule>
  </conditionalFormatting>
  <conditionalFormatting sqref="R32:R40">
    <cfRule type="cellIs" dxfId="7516" priority="1296" operator="lessThan">
      <formula>0.8</formula>
    </cfRule>
    <cfRule type="cellIs" dxfId="7515" priority="1297" operator="greaterThan">
      <formula>1</formula>
    </cfRule>
  </conditionalFormatting>
  <conditionalFormatting sqref="R32:R40">
    <cfRule type="cellIs" dxfId="7514" priority="1294" operator="greaterThan">
      <formula>1</formula>
    </cfRule>
    <cfRule type="cellIs" dxfId="7513" priority="1295" operator="lessThan">
      <formula>0.8</formula>
    </cfRule>
  </conditionalFormatting>
  <conditionalFormatting sqref="Q32:Q40">
    <cfRule type="cellIs" dxfId="7512" priority="1293" operator="lessThan">
      <formula>0</formula>
    </cfRule>
  </conditionalFormatting>
  <conditionalFormatting sqref="R32:R40">
    <cfRule type="cellIs" dxfId="7511" priority="1291" operator="lessThan">
      <formula>0.8</formula>
    </cfRule>
    <cfRule type="cellIs" dxfId="7510" priority="1292" operator="greaterThan">
      <formula>1</formula>
    </cfRule>
  </conditionalFormatting>
  <conditionalFormatting sqref="R32:R40">
    <cfRule type="cellIs" dxfId="7509" priority="1289" operator="greaterThan">
      <formula>1</formula>
    </cfRule>
    <cfRule type="cellIs" dxfId="7508" priority="1290" operator="lessThan">
      <formula>0.8</formula>
    </cfRule>
  </conditionalFormatting>
  <conditionalFormatting sqref="Q32:Q40">
    <cfRule type="cellIs" dxfId="7507" priority="1288" operator="lessThan">
      <formula>0</formula>
    </cfRule>
  </conditionalFormatting>
  <conditionalFormatting sqref="R32:R40">
    <cfRule type="cellIs" dxfId="7506" priority="1286" operator="lessThan">
      <formula>0.8</formula>
    </cfRule>
    <cfRule type="cellIs" dxfId="7505" priority="1287" operator="greaterThan">
      <formula>1</formula>
    </cfRule>
  </conditionalFormatting>
  <conditionalFormatting sqref="R32:R40">
    <cfRule type="cellIs" dxfId="7504" priority="1284" operator="greaterThan">
      <formula>1</formula>
    </cfRule>
    <cfRule type="cellIs" dxfId="7503" priority="1285" operator="lessThan">
      <formula>0.8</formula>
    </cfRule>
  </conditionalFormatting>
  <conditionalFormatting sqref="R32:R40">
    <cfRule type="cellIs" dxfId="7502" priority="1281" operator="lessThan">
      <formula>0.8</formula>
    </cfRule>
    <cfRule type="cellIs" dxfId="7501" priority="1282" operator="greaterThan">
      <formula>1</formula>
    </cfRule>
  </conditionalFormatting>
  <conditionalFormatting sqref="R32:R40">
    <cfRule type="cellIs" dxfId="7500" priority="1279" operator="greaterThan">
      <formula>1</formula>
    </cfRule>
    <cfRule type="cellIs" dxfId="7499" priority="1280" operator="lessThan">
      <formula>0.8</formula>
    </cfRule>
  </conditionalFormatting>
  <conditionalFormatting sqref="Q32:Q40">
    <cfRule type="cellIs" dxfId="7498" priority="1283" operator="lessThan">
      <formula>0</formula>
    </cfRule>
  </conditionalFormatting>
  <conditionalFormatting sqref="Q32:Q40">
    <cfRule type="cellIs" dxfId="7497" priority="1278" operator="lessThan">
      <formula>0</formula>
    </cfRule>
  </conditionalFormatting>
  <conditionalFormatting sqref="R32:R40">
    <cfRule type="cellIs" dxfId="7496" priority="1276" operator="lessThan">
      <formula>0.8</formula>
    </cfRule>
    <cfRule type="cellIs" dxfId="7495" priority="1277" operator="greaterThan">
      <formula>1</formula>
    </cfRule>
  </conditionalFormatting>
  <conditionalFormatting sqref="R32:R40">
    <cfRule type="cellIs" dxfId="7494" priority="1274" operator="greaterThan">
      <formula>1</formula>
    </cfRule>
    <cfRule type="cellIs" dxfId="7493" priority="1275" operator="lessThan">
      <formula>0.8</formula>
    </cfRule>
  </conditionalFormatting>
  <conditionalFormatting sqref="R32:R40">
    <cfRule type="cellIs" dxfId="7492" priority="1271" operator="lessThan">
      <formula>0.8</formula>
    </cfRule>
    <cfRule type="cellIs" dxfId="7491" priority="1272" operator="greaterThan">
      <formula>1</formula>
    </cfRule>
  </conditionalFormatting>
  <conditionalFormatting sqref="R32:R40">
    <cfRule type="cellIs" dxfId="7490" priority="1269" operator="greaterThan">
      <formula>1</formula>
    </cfRule>
    <cfRule type="cellIs" dxfId="7489" priority="1270" operator="lessThan">
      <formula>0.8</formula>
    </cfRule>
  </conditionalFormatting>
  <conditionalFormatting sqref="Q32:Q40">
    <cfRule type="cellIs" dxfId="7488" priority="1273" operator="lessThan">
      <formula>0</formula>
    </cfRule>
  </conditionalFormatting>
  <conditionalFormatting sqref="R32:R40">
    <cfRule type="cellIs" dxfId="7487" priority="1266" operator="lessThan">
      <formula>0.8</formula>
    </cfRule>
    <cfRule type="cellIs" dxfId="7486" priority="1267" operator="greaterThan">
      <formula>1</formula>
    </cfRule>
  </conditionalFormatting>
  <conditionalFormatting sqref="R32:R40">
    <cfRule type="cellIs" dxfId="7485" priority="1264" operator="greaterThan">
      <formula>1</formula>
    </cfRule>
    <cfRule type="cellIs" dxfId="7484" priority="1265" operator="lessThan">
      <formula>0.8</formula>
    </cfRule>
  </conditionalFormatting>
  <conditionalFormatting sqref="Q32:Q40">
    <cfRule type="cellIs" dxfId="7483" priority="1268" operator="lessThan">
      <formula>0</formula>
    </cfRule>
  </conditionalFormatting>
  <conditionalFormatting sqref="Q32:Q40">
    <cfRule type="cellIs" dxfId="7482" priority="1263" operator="lessThan">
      <formula>0</formula>
    </cfRule>
  </conditionalFormatting>
  <conditionalFormatting sqref="R32:R40">
    <cfRule type="cellIs" dxfId="7481" priority="1261" operator="lessThan">
      <formula>0.8</formula>
    </cfRule>
    <cfRule type="cellIs" dxfId="7480" priority="1262" operator="greaterThan">
      <formula>1</formula>
    </cfRule>
  </conditionalFormatting>
  <conditionalFormatting sqref="R32:R40">
    <cfRule type="cellIs" dxfId="7479" priority="1259" operator="greaterThan">
      <formula>1</formula>
    </cfRule>
    <cfRule type="cellIs" dxfId="7478" priority="1260" operator="lessThan">
      <formula>0.8</formula>
    </cfRule>
  </conditionalFormatting>
  <conditionalFormatting sqref="Q32:Q40">
    <cfRule type="cellIs" dxfId="7477" priority="1254" operator="lessThan">
      <formula>0</formula>
    </cfRule>
  </conditionalFormatting>
  <conditionalFormatting sqref="R32:R40">
    <cfRule type="cellIs" dxfId="7476" priority="1257" operator="lessThan">
      <formula>0.8</formula>
    </cfRule>
    <cfRule type="cellIs" dxfId="7475" priority="1258" operator="greaterThan">
      <formula>1</formula>
    </cfRule>
  </conditionalFormatting>
  <conditionalFormatting sqref="R32:R40">
    <cfRule type="cellIs" dxfId="7474" priority="1255" operator="greaterThan">
      <formula>1</formula>
    </cfRule>
    <cfRule type="cellIs" dxfId="7473" priority="1256" operator="lessThan">
      <formula>0.8</formula>
    </cfRule>
  </conditionalFormatting>
  <conditionalFormatting sqref="Q32:Q40">
    <cfRule type="cellIs" dxfId="7472" priority="1253" operator="lessThan">
      <formula>0</formula>
    </cfRule>
  </conditionalFormatting>
  <conditionalFormatting sqref="R32:R40">
    <cfRule type="cellIs" dxfId="7471" priority="1251" operator="lessThan">
      <formula>0.8</formula>
    </cfRule>
    <cfRule type="cellIs" dxfId="7470" priority="1252" operator="greaterThan">
      <formula>1</formula>
    </cfRule>
  </conditionalFormatting>
  <conditionalFormatting sqref="R32:R40">
    <cfRule type="cellIs" dxfId="7469" priority="1249" operator="greaterThan">
      <formula>1</formula>
    </cfRule>
    <cfRule type="cellIs" dxfId="7468" priority="1250" operator="lessThan">
      <formula>0.8</formula>
    </cfRule>
  </conditionalFormatting>
  <conditionalFormatting sqref="Q32:Q40">
    <cfRule type="cellIs" dxfId="7467" priority="1248" operator="lessThan">
      <formula>0</formula>
    </cfRule>
  </conditionalFormatting>
  <conditionalFormatting sqref="R32:R40">
    <cfRule type="cellIs" dxfId="7466" priority="1246" operator="lessThan">
      <formula>0.8</formula>
    </cfRule>
    <cfRule type="cellIs" dxfId="7465" priority="1247" operator="greaterThan">
      <formula>1</formula>
    </cfRule>
  </conditionalFormatting>
  <conditionalFormatting sqref="R32:R40">
    <cfRule type="cellIs" dxfId="7464" priority="1244" operator="greaterThan">
      <formula>1</formula>
    </cfRule>
    <cfRule type="cellIs" dxfId="7463" priority="1245" operator="lessThan">
      <formula>0.8</formula>
    </cfRule>
  </conditionalFormatting>
  <conditionalFormatting sqref="Q32:Q40">
    <cfRule type="cellIs" dxfId="7462" priority="1243" operator="lessThan">
      <formula>0</formula>
    </cfRule>
  </conditionalFormatting>
  <conditionalFormatting sqref="R32:R40">
    <cfRule type="cellIs" dxfId="7461" priority="1241" operator="lessThan">
      <formula>0.8</formula>
    </cfRule>
    <cfRule type="cellIs" dxfId="7460" priority="1242" operator="greaterThan">
      <formula>1</formula>
    </cfRule>
  </conditionalFormatting>
  <conditionalFormatting sqref="R32:R40">
    <cfRule type="cellIs" dxfId="7459" priority="1239" operator="greaterThan">
      <formula>1</formula>
    </cfRule>
    <cfRule type="cellIs" dxfId="7458" priority="1240" operator="lessThan">
      <formula>0.8</formula>
    </cfRule>
  </conditionalFormatting>
  <conditionalFormatting sqref="Q32:Q40">
    <cfRule type="cellIs" dxfId="7457" priority="1238" operator="lessThan">
      <formula>0</formula>
    </cfRule>
  </conditionalFormatting>
  <conditionalFormatting sqref="R32:R40">
    <cfRule type="cellIs" dxfId="7456" priority="1236" operator="lessThan">
      <formula>0.8</formula>
    </cfRule>
    <cfRule type="cellIs" dxfId="7455" priority="1237" operator="greaterThan">
      <formula>1</formula>
    </cfRule>
  </conditionalFormatting>
  <conditionalFormatting sqref="R32:R40">
    <cfRule type="cellIs" dxfId="7454" priority="1234" operator="greaterThan">
      <formula>1</formula>
    </cfRule>
    <cfRule type="cellIs" dxfId="7453" priority="1235" operator="lessThan">
      <formula>0.8</formula>
    </cfRule>
  </conditionalFormatting>
  <conditionalFormatting sqref="Q32:Q40">
    <cfRule type="cellIs" dxfId="7452" priority="1233" operator="lessThan">
      <formula>0</formula>
    </cfRule>
  </conditionalFormatting>
  <conditionalFormatting sqref="R32:R40">
    <cfRule type="cellIs" dxfId="7451" priority="1231" operator="lessThan">
      <formula>0.8</formula>
    </cfRule>
    <cfRule type="cellIs" dxfId="7450" priority="1232" operator="greaterThan">
      <formula>1</formula>
    </cfRule>
  </conditionalFormatting>
  <conditionalFormatting sqref="R32:R40">
    <cfRule type="cellIs" dxfId="7449" priority="1229" operator="greaterThan">
      <formula>1</formula>
    </cfRule>
    <cfRule type="cellIs" dxfId="7448" priority="1230" operator="lessThan">
      <formula>0.8</formula>
    </cfRule>
  </conditionalFormatting>
  <conditionalFormatting sqref="Q32:Q40">
    <cfRule type="cellIs" dxfId="7447" priority="1228" operator="lessThan">
      <formula>0</formula>
    </cfRule>
  </conditionalFormatting>
  <conditionalFormatting sqref="R32:R40">
    <cfRule type="cellIs" dxfId="7446" priority="1226" operator="lessThan">
      <formula>0.8</formula>
    </cfRule>
    <cfRule type="cellIs" dxfId="7445" priority="1227" operator="greaterThan">
      <formula>1</formula>
    </cfRule>
  </conditionalFormatting>
  <conditionalFormatting sqref="R32:R40">
    <cfRule type="cellIs" dxfId="7444" priority="1224" operator="greaterThan">
      <formula>1</formula>
    </cfRule>
    <cfRule type="cellIs" dxfId="7443" priority="1225" operator="lessThan">
      <formula>0.8</formula>
    </cfRule>
  </conditionalFormatting>
  <conditionalFormatting sqref="Q32:Q40">
    <cfRule type="cellIs" dxfId="7442" priority="1223" operator="lessThan">
      <formula>0</formula>
    </cfRule>
  </conditionalFormatting>
  <conditionalFormatting sqref="R32:R40">
    <cfRule type="cellIs" dxfId="7441" priority="1221" operator="lessThan">
      <formula>0.8</formula>
    </cfRule>
    <cfRule type="cellIs" dxfId="7440" priority="1222" operator="greaterThan">
      <formula>1</formula>
    </cfRule>
  </conditionalFormatting>
  <conditionalFormatting sqref="R32:R40">
    <cfRule type="cellIs" dxfId="7439" priority="1219" operator="greaterThan">
      <formula>1</formula>
    </cfRule>
    <cfRule type="cellIs" dxfId="7438" priority="1220" operator="lessThan">
      <formula>0.8</formula>
    </cfRule>
  </conditionalFormatting>
  <conditionalFormatting sqref="R32:R40">
    <cfRule type="cellIs" dxfId="7437" priority="1216" operator="lessThan">
      <formula>0.8</formula>
    </cfRule>
    <cfRule type="cellIs" dxfId="7436" priority="1217" operator="greaterThan">
      <formula>1</formula>
    </cfRule>
  </conditionalFormatting>
  <conditionalFormatting sqref="R32:R40">
    <cfRule type="cellIs" dxfId="7435" priority="1214" operator="greaterThan">
      <formula>1</formula>
    </cfRule>
    <cfRule type="cellIs" dxfId="7434" priority="1215" operator="lessThan">
      <formula>0.8</formula>
    </cfRule>
  </conditionalFormatting>
  <conditionalFormatting sqref="Q32:Q40">
    <cfRule type="cellIs" dxfId="7433" priority="1218" operator="lessThan">
      <formula>0</formula>
    </cfRule>
  </conditionalFormatting>
  <conditionalFormatting sqref="Q32:Q40">
    <cfRule type="cellIs" dxfId="7432" priority="1209" operator="lessThan">
      <formula>0</formula>
    </cfRule>
  </conditionalFormatting>
  <conditionalFormatting sqref="R32:R40">
    <cfRule type="cellIs" dxfId="7431" priority="1212" operator="lessThan">
      <formula>0.8</formula>
    </cfRule>
    <cfRule type="cellIs" dxfId="7430" priority="1213" operator="greaterThan">
      <formula>1</formula>
    </cfRule>
  </conditionalFormatting>
  <conditionalFormatting sqref="R32:R40">
    <cfRule type="cellIs" dxfId="7429" priority="1210" operator="greaterThan">
      <formula>1</formula>
    </cfRule>
    <cfRule type="cellIs" dxfId="7428" priority="1211" operator="lessThan">
      <formula>0.8</formula>
    </cfRule>
  </conditionalFormatting>
  <conditionalFormatting sqref="Q32:Q40">
    <cfRule type="cellIs" dxfId="7427" priority="1204" operator="lessThan">
      <formula>0</formula>
    </cfRule>
  </conditionalFormatting>
  <conditionalFormatting sqref="R32:R40">
    <cfRule type="cellIs" dxfId="7426" priority="1207" operator="lessThan">
      <formula>0.8</formula>
    </cfRule>
    <cfRule type="cellIs" dxfId="7425" priority="1208" operator="greaterThan">
      <formula>1</formula>
    </cfRule>
  </conditionalFormatting>
  <conditionalFormatting sqref="R32:R40">
    <cfRule type="cellIs" dxfId="7424" priority="1205" operator="greaterThan">
      <formula>1</formula>
    </cfRule>
    <cfRule type="cellIs" dxfId="7423" priority="1206" operator="lessThan">
      <formula>0.8</formula>
    </cfRule>
  </conditionalFormatting>
  <conditionalFormatting sqref="Q32:Q40">
    <cfRule type="cellIs" dxfId="7422" priority="1203" operator="lessThan">
      <formula>0</formula>
    </cfRule>
  </conditionalFormatting>
  <conditionalFormatting sqref="R32:R40">
    <cfRule type="cellIs" dxfId="7421" priority="1201" operator="lessThan">
      <formula>0.8</formula>
    </cfRule>
    <cfRule type="cellIs" dxfId="7420" priority="1202" operator="greaterThan">
      <formula>1</formula>
    </cfRule>
  </conditionalFormatting>
  <conditionalFormatting sqref="R32:R40">
    <cfRule type="cellIs" dxfId="7419" priority="1199" operator="greaterThan">
      <formula>1</formula>
    </cfRule>
    <cfRule type="cellIs" dxfId="7418" priority="1200" operator="lessThan">
      <formula>0.8</formula>
    </cfRule>
  </conditionalFormatting>
  <conditionalFormatting sqref="Q32:Q40">
    <cfRule type="cellIs" dxfId="7417" priority="1198" operator="lessThan">
      <formula>0</formula>
    </cfRule>
  </conditionalFormatting>
  <conditionalFormatting sqref="R32:R40">
    <cfRule type="cellIs" dxfId="7416" priority="1196" operator="lessThan">
      <formula>0.8</formula>
    </cfRule>
    <cfRule type="cellIs" dxfId="7415" priority="1197" operator="greaterThan">
      <formula>1</formula>
    </cfRule>
  </conditionalFormatting>
  <conditionalFormatting sqref="R32:R40">
    <cfRule type="cellIs" dxfId="7414" priority="1194" operator="greaterThan">
      <formula>1</formula>
    </cfRule>
    <cfRule type="cellIs" dxfId="7413" priority="1195" operator="lessThan">
      <formula>0.8</formula>
    </cfRule>
  </conditionalFormatting>
  <conditionalFormatting sqref="Q32:Q40">
    <cfRule type="cellIs" dxfId="7412" priority="1193" operator="lessThan">
      <formula>0</formula>
    </cfRule>
  </conditionalFormatting>
  <conditionalFormatting sqref="R32:R40">
    <cfRule type="cellIs" dxfId="7411" priority="1191" operator="lessThan">
      <formula>0.8</formula>
    </cfRule>
    <cfRule type="cellIs" dxfId="7410" priority="1192" operator="greaterThan">
      <formula>1</formula>
    </cfRule>
  </conditionalFormatting>
  <conditionalFormatting sqref="R32:R40">
    <cfRule type="cellIs" dxfId="7409" priority="1189" operator="greaterThan">
      <formula>1</formula>
    </cfRule>
    <cfRule type="cellIs" dxfId="7408" priority="1190" operator="lessThan">
      <formula>0.8</formula>
    </cfRule>
  </conditionalFormatting>
  <conditionalFormatting sqref="Q32:Q40">
    <cfRule type="cellIs" dxfId="7407" priority="1188" operator="lessThan">
      <formula>0</formula>
    </cfRule>
  </conditionalFormatting>
  <conditionalFormatting sqref="R32:R40">
    <cfRule type="cellIs" dxfId="7406" priority="1186" operator="lessThan">
      <formula>0.8</formula>
    </cfRule>
    <cfRule type="cellIs" dxfId="7405" priority="1187" operator="greaterThan">
      <formula>1</formula>
    </cfRule>
  </conditionalFormatting>
  <conditionalFormatting sqref="R32:R40">
    <cfRule type="cellIs" dxfId="7404" priority="1184" operator="greaterThan">
      <formula>1</formula>
    </cfRule>
    <cfRule type="cellIs" dxfId="7403" priority="1185" operator="lessThan">
      <formula>0.8</formula>
    </cfRule>
  </conditionalFormatting>
  <conditionalFormatting sqref="Q96:Q105">
    <cfRule type="cellIs" dxfId="7402" priority="1178" operator="lessThan">
      <formula>0</formula>
    </cfRule>
  </conditionalFormatting>
  <conditionalFormatting sqref="P96:P105">
    <cfRule type="cellIs" dxfId="7401" priority="1179" operator="greaterThan">
      <formula>0</formula>
    </cfRule>
  </conditionalFormatting>
  <conditionalFormatting sqref="R96:R105">
    <cfRule type="cellIs" dxfId="7400" priority="1182" operator="lessThan">
      <formula>0.8</formula>
    </cfRule>
    <cfRule type="cellIs" dxfId="7399" priority="1183" operator="greaterThan">
      <formula>1</formula>
    </cfRule>
  </conditionalFormatting>
  <conditionalFormatting sqref="R96:R105">
    <cfRule type="cellIs" dxfId="7398" priority="1180" operator="greaterThan">
      <formula>1</formula>
    </cfRule>
    <cfRule type="cellIs" dxfId="7397" priority="1181" operator="lessThan">
      <formula>0.8</formula>
    </cfRule>
  </conditionalFormatting>
  <conditionalFormatting sqref="Q96:Q105">
    <cfRule type="cellIs" dxfId="7396" priority="1172" operator="lessThan">
      <formula>0</formula>
    </cfRule>
  </conditionalFormatting>
  <conditionalFormatting sqref="R96:R105">
    <cfRule type="cellIs" dxfId="7395" priority="1176" operator="lessThan">
      <formula>0.8</formula>
    </cfRule>
    <cfRule type="cellIs" dxfId="7394" priority="1177" operator="greaterThan">
      <formula>1</formula>
    </cfRule>
  </conditionalFormatting>
  <conditionalFormatting sqref="R96:R105">
    <cfRule type="cellIs" dxfId="7393" priority="1174" operator="greaterThan">
      <formula>1</formula>
    </cfRule>
    <cfRule type="cellIs" dxfId="7392" priority="1175" operator="lessThan">
      <formula>0.8</formula>
    </cfRule>
  </conditionalFormatting>
  <conditionalFormatting sqref="P96:P105">
    <cfRule type="cellIs" dxfId="7391" priority="1173" operator="greaterThan">
      <formula>0</formula>
    </cfRule>
  </conditionalFormatting>
  <conditionalFormatting sqref="Q96:Q105">
    <cfRule type="cellIs" dxfId="7390" priority="1171" operator="lessThan">
      <formula>0</formula>
    </cfRule>
  </conditionalFormatting>
  <conditionalFormatting sqref="R96:R105">
    <cfRule type="cellIs" dxfId="7389" priority="1169" operator="lessThan">
      <formula>0.8</formula>
    </cfRule>
    <cfRule type="cellIs" dxfId="7388" priority="1170" operator="greaterThan">
      <formula>1</formula>
    </cfRule>
  </conditionalFormatting>
  <conditionalFormatting sqref="R96:R105">
    <cfRule type="cellIs" dxfId="7387" priority="1167" operator="greaterThan">
      <formula>1</formula>
    </cfRule>
    <cfRule type="cellIs" dxfId="7386" priority="1168" operator="lessThan">
      <formula>0.8</formula>
    </cfRule>
  </conditionalFormatting>
  <conditionalFormatting sqref="P96:P105">
    <cfRule type="cellIs" dxfId="7385" priority="1166" operator="greaterThan">
      <formula>0</formula>
    </cfRule>
  </conditionalFormatting>
  <conditionalFormatting sqref="Q96:Q105">
    <cfRule type="cellIs" dxfId="7384" priority="1165" operator="lessThan">
      <formula>0</formula>
    </cfRule>
  </conditionalFormatting>
  <conditionalFormatting sqref="R96:R105">
    <cfRule type="cellIs" dxfId="7383" priority="1163" operator="lessThan">
      <formula>0.8</formula>
    </cfRule>
    <cfRule type="cellIs" dxfId="7382" priority="1164" operator="greaterThan">
      <formula>1</formula>
    </cfRule>
  </conditionalFormatting>
  <conditionalFormatting sqref="R96:R105">
    <cfRule type="cellIs" dxfId="7381" priority="1161" operator="greaterThan">
      <formula>1</formula>
    </cfRule>
    <cfRule type="cellIs" dxfId="7380" priority="1162" operator="lessThan">
      <formula>0.8</formula>
    </cfRule>
  </conditionalFormatting>
  <conditionalFormatting sqref="P96:P105">
    <cfRule type="cellIs" dxfId="7379" priority="1160" operator="greaterThan">
      <formula>0</formula>
    </cfRule>
  </conditionalFormatting>
  <conditionalFormatting sqref="Q96:Q105">
    <cfRule type="cellIs" dxfId="7378" priority="1154" operator="lessThan">
      <formula>0</formula>
    </cfRule>
  </conditionalFormatting>
  <conditionalFormatting sqref="R96:R105">
    <cfRule type="cellIs" dxfId="7377" priority="1158" operator="lessThan">
      <formula>0.8</formula>
    </cfRule>
    <cfRule type="cellIs" dxfId="7376" priority="1159" operator="greaterThan">
      <formula>1</formula>
    </cfRule>
  </conditionalFormatting>
  <conditionalFormatting sqref="R96:R105">
    <cfRule type="cellIs" dxfId="7375" priority="1156" operator="greaterThan">
      <formula>1</formula>
    </cfRule>
    <cfRule type="cellIs" dxfId="7374" priority="1157" operator="lessThan">
      <formula>0.8</formula>
    </cfRule>
  </conditionalFormatting>
  <conditionalFormatting sqref="P96:P105">
    <cfRule type="cellIs" dxfId="7373" priority="1155" operator="greaterThan">
      <formula>0</formula>
    </cfRule>
  </conditionalFormatting>
  <conditionalFormatting sqref="Q96:Q105">
    <cfRule type="cellIs" dxfId="7372" priority="1153" operator="lessThan">
      <formula>0</formula>
    </cfRule>
  </conditionalFormatting>
  <conditionalFormatting sqref="R96:R105">
    <cfRule type="cellIs" dxfId="7371" priority="1151" operator="lessThan">
      <formula>0.8</formula>
    </cfRule>
    <cfRule type="cellIs" dxfId="7370" priority="1152" operator="greaterThan">
      <formula>1</formula>
    </cfRule>
  </conditionalFormatting>
  <conditionalFormatting sqref="R96:R105">
    <cfRule type="cellIs" dxfId="7369" priority="1149" operator="greaterThan">
      <formula>1</formula>
    </cfRule>
    <cfRule type="cellIs" dxfId="7368" priority="1150" operator="lessThan">
      <formula>0.8</formula>
    </cfRule>
  </conditionalFormatting>
  <conditionalFormatting sqref="P96:P105">
    <cfRule type="cellIs" dxfId="7367" priority="1148" operator="greaterThan">
      <formula>0</formula>
    </cfRule>
  </conditionalFormatting>
  <conditionalFormatting sqref="Q96:Q105">
    <cfRule type="cellIs" dxfId="7366" priority="1147" operator="lessThan">
      <formula>0</formula>
    </cfRule>
  </conditionalFormatting>
  <conditionalFormatting sqref="R96:R105">
    <cfRule type="cellIs" dxfId="7365" priority="1145" operator="lessThan">
      <formula>0.8</formula>
    </cfRule>
    <cfRule type="cellIs" dxfId="7364" priority="1146" operator="greaterThan">
      <formula>1</formula>
    </cfRule>
  </conditionalFormatting>
  <conditionalFormatting sqref="R96:R105">
    <cfRule type="cellIs" dxfId="7363" priority="1143" operator="greaterThan">
      <formula>1</formula>
    </cfRule>
    <cfRule type="cellIs" dxfId="7362" priority="1144" operator="lessThan">
      <formula>0.8</formula>
    </cfRule>
  </conditionalFormatting>
  <conditionalFormatting sqref="P96:P105">
    <cfRule type="cellIs" dxfId="7361" priority="1142" operator="greaterThan">
      <formula>0</formula>
    </cfRule>
  </conditionalFormatting>
  <conditionalFormatting sqref="Q96:Q105">
    <cfRule type="cellIs" dxfId="7360" priority="1141" operator="lessThan">
      <formula>0</formula>
    </cfRule>
  </conditionalFormatting>
  <conditionalFormatting sqref="R96:R105">
    <cfRule type="cellIs" dxfId="7359" priority="1139" operator="lessThan">
      <formula>0.8</formula>
    </cfRule>
    <cfRule type="cellIs" dxfId="7358" priority="1140" operator="greaterThan">
      <formula>1</formula>
    </cfRule>
  </conditionalFormatting>
  <conditionalFormatting sqref="R96:R105">
    <cfRule type="cellIs" dxfId="7357" priority="1137" operator="greaterThan">
      <formula>1</formula>
    </cfRule>
    <cfRule type="cellIs" dxfId="7356" priority="1138" operator="lessThan">
      <formula>0.8</formula>
    </cfRule>
  </conditionalFormatting>
  <conditionalFormatting sqref="P96:P105">
    <cfRule type="cellIs" dxfId="7355" priority="1136" operator="greaterThan">
      <formula>0</formula>
    </cfRule>
  </conditionalFormatting>
  <conditionalFormatting sqref="Q96:Q105">
    <cfRule type="cellIs" dxfId="7354" priority="1135" operator="lessThan">
      <formula>0</formula>
    </cfRule>
  </conditionalFormatting>
  <conditionalFormatting sqref="R96:R105">
    <cfRule type="cellIs" dxfId="7353" priority="1133" operator="lessThan">
      <formula>0.8</formula>
    </cfRule>
    <cfRule type="cellIs" dxfId="7352" priority="1134" operator="greaterThan">
      <formula>1</formula>
    </cfRule>
  </conditionalFormatting>
  <conditionalFormatting sqref="R96:R105">
    <cfRule type="cellIs" dxfId="7351" priority="1131" operator="greaterThan">
      <formula>1</formula>
    </cfRule>
    <cfRule type="cellIs" dxfId="7350" priority="1132" operator="lessThan">
      <formula>0.8</formula>
    </cfRule>
  </conditionalFormatting>
  <conditionalFormatting sqref="P96:P105">
    <cfRule type="cellIs" dxfId="7349" priority="1130" operator="greaterThan">
      <formula>0</formula>
    </cfRule>
  </conditionalFormatting>
  <conditionalFormatting sqref="Q96:Q105">
    <cfRule type="cellIs" dxfId="7348" priority="1129" operator="lessThan">
      <formula>0</formula>
    </cfRule>
  </conditionalFormatting>
  <conditionalFormatting sqref="R96:R105">
    <cfRule type="cellIs" dxfId="7347" priority="1127" operator="lessThan">
      <formula>0.8</formula>
    </cfRule>
    <cfRule type="cellIs" dxfId="7346" priority="1128" operator="greaterThan">
      <formula>1</formula>
    </cfRule>
  </conditionalFormatting>
  <conditionalFormatting sqref="R96:R105">
    <cfRule type="cellIs" dxfId="7345" priority="1125" operator="greaterThan">
      <formula>1</formula>
    </cfRule>
    <cfRule type="cellIs" dxfId="7344" priority="1126" operator="lessThan">
      <formula>0.8</formula>
    </cfRule>
  </conditionalFormatting>
  <conditionalFormatting sqref="P96:P105">
    <cfRule type="cellIs" dxfId="7343" priority="1124" operator="greaterThan">
      <formula>0</formula>
    </cfRule>
  </conditionalFormatting>
  <conditionalFormatting sqref="P96:P105">
    <cfRule type="cellIs" dxfId="7342" priority="1118" operator="greaterThan">
      <formula>0</formula>
    </cfRule>
  </conditionalFormatting>
  <conditionalFormatting sqref="Q96:Q105">
    <cfRule type="cellIs" dxfId="7341" priority="1123" operator="lessThan">
      <formula>0</formula>
    </cfRule>
  </conditionalFormatting>
  <conditionalFormatting sqref="R96:R105">
    <cfRule type="cellIs" dxfId="7340" priority="1121" operator="lessThan">
      <formula>0.8</formula>
    </cfRule>
    <cfRule type="cellIs" dxfId="7339" priority="1122" operator="greaterThan">
      <formula>1</formula>
    </cfRule>
  </conditionalFormatting>
  <conditionalFormatting sqref="R96:R105">
    <cfRule type="cellIs" dxfId="7338" priority="1119" operator="greaterThan">
      <formula>1</formula>
    </cfRule>
    <cfRule type="cellIs" dxfId="7337" priority="1120" operator="lessThan">
      <formula>0.8</formula>
    </cfRule>
  </conditionalFormatting>
  <conditionalFormatting sqref="P96:P105">
    <cfRule type="cellIs" dxfId="7336" priority="1112" operator="greaterThan">
      <formula>0</formula>
    </cfRule>
  </conditionalFormatting>
  <conditionalFormatting sqref="Q96:Q105">
    <cfRule type="cellIs" dxfId="7335" priority="1117" operator="lessThan">
      <formula>0</formula>
    </cfRule>
  </conditionalFormatting>
  <conditionalFormatting sqref="R96:R105">
    <cfRule type="cellIs" dxfId="7334" priority="1115" operator="lessThan">
      <formula>0.8</formula>
    </cfRule>
    <cfRule type="cellIs" dxfId="7333" priority="1116" operator="greaterThan">
      <formula>1</formula>
    </cfRule>
  </conditionalFormatting>
  <conditionalFormatting sqref="R96:R105">
    <cfRule type="cellIs" dxfId="7332" priority="1113" operator="greaterThan">
      <formula>1</formula>
    </cfRule>
    <cfRule type="cellIs" dxfId="7331" priority="1114" operator="lessThan">
      <formula>0.8</formula>
    </cfRule>
  </conditionalFormatting>
  <conditionalFormatting sqref="R96:R105">
    <cfRule type="cellIs" dxfId="7330" priority="1109" operator="lessThan">
      <formula>0.8</formula>
    </cfRule>
    <cfRule type="cellIs" dxfId="7329" priority="1110" operator="greaterThan">
      <formula>1</formula>
    </cfRule>
  </conditionalFormatting>
  <conditionalFormatting sqref="R96:R105">
    <cfRule type="cellIs" dxfId="7328" priority="1107" operator="greaterThan">
      <formula>1</formula>
    </cfRule>
    <cfRule type="cellIs" dxfId="7327" priority="1108" operator="lessThan">
      <formula>0.8</formula>
    </cfRule>
  </conditionalFormatting>
  <conditionalFormatting sqref="P96:P105">
    <cfRule type="cellIs" dxfId="7326" priority="1106" operator="greaterThan">
      <formula>0</formula>
    </cfRule>
  </conditionalFormatting>
  <conditionalFormatting sqref="Q96:Q105">
    <cfRule type="cellIs" dxfId="7325" priority="1111" operator="lessThan">
      <formula>0</formula>
    </cfRule>
  </conditionalFormatting>
  <conditionalFormatting sqref="Q96:Q105">
    <cfRule type="cellIs" dxfId="7324" priority="1100" operator="lessThan">
      <formula>0</formula>
    </cfRule>
  </conditionalFormatting>
  <conditionalFormatting sqref="P96:P105">
    <cfRule type="cellIs" dxfId="7323" priority="1101" operator="greaterThan">
      <formula>0</formula>
    </cfRule>
  </conditionalFormatting>
  <conditionalFormatting sqref="R96:R105">
    <cfRule type="cellIs" dxfId="7322" priority="1104" operator="lessThan">
      <formula>0.8</formula>
    </cfRule>
    <cfRule type="cellIs" dxfId="7321" priority="1105" operator="greaterThan">
      <formula>1</formula>
    </cfRule>
  </conditionalFormatting>
  <conditionalFormatting sqref="R96:R105">
    <cfRule type="cellIs" dxfId="7320" priority="1102" operator="greaterThan">
      <formula>1</formula>
    </cfRule>
    <cfRule type="cellIs" dxfId="7319" priority="1103" operator="lessThan">
      <formula>0.8</formula>
    </cfRule>
  </conditionalFormatting>
  <conditionalFormatting sqref="Q96:Q105">
    <cfRule type="cellIs" dxfId="7318" priority="1094" operator="lessThan">
      <formula>0</formula>
    </cfRule>
  </conditionalFormatting>
  <conditionalFormatting sqref="R96:R105">
    <cfRule type="cellIs" dxfId="7317" priority="1098" operator="lessThan">
      <formula>0.8</formula>
    </cfRule>
    <cfRule type="cellIs" dxfId="7316" priority="1099" operator="greaterThan">
      <formula>1</formula>
    </cfRule>
  </conditionalFormatting>
  <conditionalFormatting sqref="R96:R105">
    <cfRule type="cellIs" dxfId="7315" priority="1096" operator="greaterThan">
      <formula>1</formula>
    </cfRule>
    <cfRule type="cellIs" dxfId="7314" priority="1097" operator="lessThan">
      <formula>0.8</formula>
    </cfRule>
  </conditionalFormatting>
  <conditionalFormatting sqref="P96:P105">
    <cfRule type="cellIs" dxfId="7313" priority="1095" operator="greaterThan">
      <formula>0</formula>
    </cfRule>
  </conditionalFormatting>
  <conditionalFormatting sqref="Q96:Q105">
    <cfRule type="cellIs" dxfId="7312" priority="1093" operator="lessThan">
      <formula>0</formula>
    </cfRule>
  </conditionalFormatting>
  <conditionalFormatting sqref="R96:R105">
    <cfRule type="cellIs" dxfId="7311" priority="1091" operator="lessThan">
      <formula>0.8</formula>
    </cfRule>
    <cfRule type="cellIs" dxfId="7310" priority="1092" operator="greaterThan">
      <formula>1</formula>
    </cfRule>
  </conditionalFormatting>
  <conditionalFormatting sqref="R96:R105">
    <cfRule type="cellIs" dxfId="7309" priority="1089" operator="greaterThan">
      <formula>1</formula>
    </cfRule>
    <cfRule type="cellIs" dxfId="7308" priority="1090" operator="lessThan">
      <formula>0.8</formula>
    </cfRule>
  </conditionalFormatting>
  <conditionalFormatting sqref="P96:P105">
    <cfRule type="cellIs" dxfId="7307" priority="1088" operator="greaterThan">
      <formula>0</formula>
    </cfRule>
  </conditionalFormatting>
  <conditionalFormatting sqref="Q96:Q105">
    <cfRule type="cellIs" dxfId="7306" priority="1087" operator="lessThan">
      <formula>0</formula>
    </cfRule>
  </conditionalFormatting>
  <conditionalFormatting sqref="R96:R105">
    <cfRule type="cellIs" dxfId="7305" priority="1085" operator="lessThan">
      <formula>0.8</formula>
    </cfRule>
    <cfRule type="cellIs" dxfId="7304" priority="1086" operator="greaterThan">
      <formula>1</formula>
    </cfRule>
  </conditionalFormatting>
  <conditionalFormatting sqref="R96:R105">
    <cfRule type="cellIs" dxfId="7303" priority="1083" operator="greaterThan">
      <formula>1</formula>
    </cfRule>
    <cfRule type="cellIs" dxfId="7302" priority="1084" operator="lessThan">
      <formula>0.8</formula>
    </cfRule>
  </conditionalFormatting>
  <conditionalFormatting sqref="P96:P105">
    <cfRule type="cellIs" dxfId="7301" priority="1082" operator="greaterThan">
      <formula>0</formula>
    </cfRule>
  </conditionalFormatting>
  <conditionalFormatting sqref="Q96:Q105">
    <cfRule type="cellIs" dxfId="7300" priority="1076" operator="lessThan">
      <formula>0</formula>
    </cfRule>
  </conditionalFormatting>
  <conditionalFormatting sqref="P96:P105">
    <cfRule type="cellIs" dxfId="7299" priority="1077" operator="greaterThan">
      <formula>0</formula>
    </cfRule>
  </conditionalFormatting>
  <conditionalFormatting sqref="R96:R105">
    <cfRule type="cellIs" dxfId="7298" priority="1080" operator="lessThan">
      <formula>0.8</formula>
    </cfRule>
    <cfRule type="cellIs" dxfId="7297" priority="1081" operator="greaterThan">
      <formula>1</formula>
    </cfRule>
  </conditionalFormatting>
  <conditionalFormatting sqref="R96:R105">
    <cfRule type="cellIs" dxfId="7296" priority="1078" operator="greaterThan">
      <formula>1</formula>
    </cfRule>
    <cfRule type="cellIs" dxfId="7295" priority="1079" operator="lessThan">
      <formula>0.8</formula>
    </cfRule>
  </conditionalFormatting>
  <conditionalFormatting sqref="Q96:Q105">
    <cfRule type="cellIs" dxfId="7294" priority="1070" operator="lessThan">
      <formula>0</formula>
    </cfRule>
  </conditionalFormatting>
  <conditionalFormatting sqref="R96:R105">
    <cfRule type="cellIs" dxfId="7293" priority="1074" operator="lessThan">
      <formula>0.8</formula>
    </cfRule>
    <cfRule type="cellIs" dxfId="7292" priority="1075" operator="greaterThan">
      <formula>1</formula>
    </cfRule>
  </conditionalFormatting>
  <conditionalFormatting sqref="R96:R105">
    <cfRule type="cellIs" dxfId="7291" priority="1072" operator="greaterThan">
      <formula>1</formula>
    </cfRule>
    <cfRule type="cellIs" dxfId="7290" priority="1073" operator="lessThan">
      <formula>0.8</formula>
    </cfRule>
  </conditionalFormatting>
  <conditionalFormatting sqref="P96:P105">
    <cfRule type="cellIs" dxfId="7289" priority="1071" operator="greaterThan">
      <formula>0</formula>
    </cfRule>
  </conditionalFormatting>
  <conditionalFormatting sqref="Q96:Q105">
    <cfRule type="cellIs" dxfId="7288" priority="1069" operator="lessThan">
      <formula>0</formula>
    </cfRule>
  </conditionalFormatting>
  <conditionalFormatting sqref="R96:R105">
    <cfRule type="cellIs" dxfId="7287" priority="1067" operator="lessThan">
      <formula>0.8</formula>
    </cfRule>
    <cfRule type="cellIs" dxfId="7286" priority="1068" operator="greaterThan">
      <formula>1</formula>
    </cfRule>
  </conditionalFormatting>
  <conditionalFormatting sqref="R96:R105">
    <cfRule type="cellIs" dxfId="7285" priority="1065" operator="greaterThan">
      <formula>1</formula>
    </cfRule>
    <cfRule type="cellIs" dxfId="7284" priority="1066" operator="lessThan">
      <formula>0.8</formula>
    </cfRule>
  </conditionalFormatting>
  <conditionalFormatting sqref="P96:P105">
    <cfRule type="cellIs" dxfId="7283" priority="1064" operator="greaterThan">
      <formula>0</formula>
    </cfRule>
  </conditionalFormatting>
  <conditionalFormatting sqref="Q96:Q105">
    <cfRule type="cellIs" dxfId="7282" priority="1063" operator="lessThan">
      <formula>0</formula>
    </cfRule>
  </conditionalFormatting>
  <conditionalFormatting sqref="R96:R105">
    <cfRule type="cellIs" dxfId="7281" priority="1061" operator="lessThan">
      <formula>0.8</formula>
    </cfRule>
    <cfRule type="cellIs" dxfId="7280" priority="1062" operator="greaterThan">
      <formula>1</formula>
    </cfRule>
  </conditionalFormatting>
  <conditionalFormatting sqref="R96:R105">
    <cfRule type="cellIs" dxfId="7279" priority="1059" operator="greaterThan">
      <formula>1</formula>
    </cfRule>
    <cfRule type="cellIs" dxfId="7278" priority="1060" operator="lessThan">
      <formula>0.8</formula>
    </cfRule>
  </conditionalFormatting>
  <conditionalFormatting sqref="P96:P105">
    <cfRule type="cellIs" dxfId="7277" priority="1058" operator="greaterThan">
      <formula>0</formula>
    </cfRule>
  </conditionalFormatting>
  <conditionalFormatting sqref="P124">
    <cfRule type="cellIs" dxfId="7276" priority="1052" operator="greaterThan">
      <formula>0</formula>
    </cfRule>
  </conditionalFormatting>
  <conditionalFormatting sqref="Q124">
    <cfRule type="cellIs" dxfId="7275" priority="1057" operator="lessThan">
      <formula>0</formula>
    </cfRule>
  </conditionalFormatting>
  <conditionalFormatting sqref="R124">
    <cfRule type="cellIs" dxfId="7274" priority="1055" operator="lessThan">
      <formula>0.8</formula>
    </cfRule>
    <cfRule type="cellIs" dxfId="7273" priority="1056" operator="greaterThan">
      <formula>1</formula>
    </cfRule>
  </conditionalFormatting>
  <conditionalFormatting sqref="R124">
    <cfRule type="cellIs" dxfId="7272" priority="1053" operator="greaterThan">
      <formula>1</formula>
    </cfRule>
    <cfRule type="cellIs" dxfId="7271" priority="1054" operator="lessThan">
      <formula>0.8</formula>
    </cfRule>
  </conditionalFormatting>
  <conditionalFormatting sqref="Q124">
    <cfRule type="cellIs" dxfId="7270" priority="1051" operator="lessThan">
      <formula>0</formula>
    </cfRule>
  </conditionalFormatting>
  <conditionalFormatting sqref="R124">
    <cfRule type="cellIs" dxfId="7269" priority="1049" operator="lessThan">
      <formula>0.8</formula>
    </cfRule>
    <cfRule type="cellIs" dxfId="7268" priority="1050" operator="greaterThan">
      <formula>1</formula>
    </cfRule>
  </conditionalFormatting>
  <conditionalFormatting sqref="R124">
    <cfRule type="cellIs" dxfId="7267" priority="1047" operator="greaterThan">
      <formula>1</formula>
    </cfRule>
    <cfRule type="cellIs" dxfId="7266" priority="1048" operator="lessThan">
      <formula>0.8</formula>
    </cfRule>
  </conditionalFormatting>
  <conditionalFormatting sqref="P124">
    <cfRule type="cellIs" dxfId="7265" priority="1046" operator="greaterThan">
      <formula>0</formula>
    </cfRule>
  </conditionalFormatting>
  <conditionalFormatting sqref="Q123 Q126:Q131">
    <cfRule type="cellIs" dxfId="7264" priority="1045" operator="lessThan">
      <formula>0</formula>
    </cfRule>
  </conditionalFormatting>
  <conditionalFormatting sqref="R123 R126:R131">
    <cfRule type="cellIs" dxfId="7263" priority="1043" operator="lessThan">
      <formula>0.8</formula>
    </cfRule>
    <cfRule type="cellIs" dxfId="7262" priority="1044" operator="greaterThan">
      <formula>1</formula>
    </cfRule>
  </conditionalFormatting>
  <conditionalFormatting sqref="R123 R126:R131">
    <cfRule type="cellIs" dxfId="7261" priority="1041" operator="greaterThan">
      <formula>1</formula>
    </cfRule>
    <cfRule type="cellIs" dxfId="7260" priority="1042" operator="lessThan">
      <formula>0.8</formula>
    </cfRule>
  </conditionalFormatting>
  <conditionalFormatting sqref="P123 P126:P131">
    <cfRule type="cellIs" dxfId="7259" priority="1040" operator="greaterThan">
      <formula>0</formula>
    </cfRule>
  </conditionalFormatting>
  <conditionalFormatting sqref="P123 P126:P131">
    <cfRule type="cellIs" dxfId="7258" priority="1034" operator="greaterThan">
      <formula>0</formula>
    </cfRule>
  </conditionalFormatting>
  <conditionalFormatting sqref="Q123 Q126:Q131">
    <cfRule type="cellIs" dxfId="7257" priority="1039" operator="lessThan">
      <formula>0</formula>
    </cfRule>
  </conditionalFormatting>
  <conditionalFormatting sqref="R123 R126:R131">
    <cfRule type="cellIs" dxfId="7256" priority="1037" operator="lessThan">
      <formula>0.8</formula>
    </cfRule>
    <cfRule type="cellIs" dxfId="7255" priority="1038" operator="greaterThan">
      <formula>1</formula>
    </cfRule>
  </conditionalFormatting>
  <conditionalFormatting sqref="R123 R126:R131">
    <cfRule type="cellIs" dxfId="7254" priority="1035" operator="greaterThan">
      <formula>1</formula>
    </cfRule>
    <cfRule type="cellIs" dxfId="7253" priority="1036" operator="lessThan">
      <formula>0.8</formula>
    </cfRule>
  </conditionalFormatting>
  <conditionalFormatting sqref="P122 P125">
    <cfRule type="cellIs" dxfId="7252" priority="1028" operator="greaterThan">
      <formula>0</formula>
    </cfRule>
  </conditionalFormatting>
  <conditionalFormatting sqref="Q122 Q125">
    <cfRule type="cellIs" dxfId="7251" priority="1033" operator="lessThan">
      <formula>0</formula>
    </cfRule>
  </conditionalFormatting>
  <conditionalFormatting sqref="R122 R125">
    <cfRule type="cellIs" dxfId="7250" priority="1031" operator="lessThan">
      <formula>0.8</formula>
    </cfRule>
    <cfRule type="cellIs" dxfId="7249" priority="1032" operator="greaterThan">
      <formula>1</formula>
    </cfRule>
  </conditionalFormatting>
  <conditionalFormatting sqref="R122 R125">
    <cfRule type="cellIs" dxfId="7248" priority="1029" operator="greaterThan">
      <formula>1</formula>
    </cfRule>
    <cfRule type="cellIs" dxfId="7247" priority="1030" operator="lessThan">
      <formula>0.8</formula>
    </cfRule>
  </conditionalFormatting>
  <conditionalFormatting sqref="P137 P140 P142 P144">
    <cfRule type="cellIs" dxfId="7246" priority="1027" operator="greaterThan">
      <formula>0</formula>
    </cfRule>
  </conditionalFormatting>
  <conditionalFormatting sqref="Q137:Q145">
    <cfRule type="cellIs" dxfId="7245" priority="1026" operator="lessThan">
      <formula>0</formula>
    </cfRule>
  </conditionalFormatting>
  <conditionalFormatting sqref="R137">
    <cfRule type="cellIs" dxfId="7244" priority="1024" operator="lessThan">
      <formula>0.8</formula>
    </cfRule>
    <cfRule type="cellIs" dxfId="7243" priority="1025" operator="greaterThan">
      <formula>1</formula>
    </cfRule>
  </conditionalFormatting>
  <conditionalFormatting sqref="R137">
    <cfRule type="cellIs" dxfId="7242" priority="1022" operator="greaterThan">
      <formula>1</formula>
    </cfRule>
    <cfRule type="cellIs" dxfId="7241" priority="1023" operator="lessThan">
      <formula>0.8</formula>
    </cfRule>
  </conditionalFormatting>
  <conditionalFormatting sqref="P137 P140 P142 P144">
    <cfRule type="cellIs" dxfId="7240" priority="1021" operator="greaterThan">
      <formula>0</formula>
    </cfRule>
  </conditionalFormatting>
  <conditionalFormatting sqref="Q137:Q145">
    <cfRule type="cellIs" dxfId="7239" priority="1020" operator="lessThan">
      <formula>0</formula>
    </cfRule>
  </conditionalFormatting>
  <conditionalFormatting sqref="R137">
    <cfRule type="cellIs" dxfId="7238" priority="1018" operator="lessThan">
      <formula>0.8</formula>
    </cfRule>
    <cfRule type="cellIs" dxfId="7237" priority="1019" operator="greaterThan">
      <formula>1</formula>
    </cfRule>
  </conditionalFormatting>
  <conditionalFormatting sqref="R137">
    <cfRule type="cellIs" dxfId="7236" priority="1016" operator="greaterThan">
      <formula>1</formula>
    </cfRule>
    <cfRule type="cellIs" dxfId="7235" priority="1017" operator="lessThan">
      <formula>0.8</formula>
    </cfRule>
  </conditionalFormatting>
  <conditionalFormatting sqref="P137 P140 P142 P144">
    <cfRule type="cellIs" dxfId="7234" priority="1015" operator="greaterThan">
      <formula>0</formula>
    </cfRule>
  </conditionalFormatting>
  <conditionalFormatting sqref="P137 P140 P142 P144">
    <cfRule type="cellIs" dxfId="7233" priority="1009" operator="greaterThan">
      <formula>0</formula>
    </cfRule>
  </conditionalFormatting>
  <conditionalFormatting sqref="Q137:Q145">
    <cfRule type="cellIs" dxfId="7232" priority="1014" operator="lessThan">
      <formula>0</formula>
    </cfRule>
  </conditionalFormatting>
  <conditionalFormatting sqref="R137">
    <cfRule type="cellIs" dxfId="7231" priority="1012" operator="lessThan">
      <formula>0.8</formula>
    </cfRule>
    <cfRule type="cellIs" dxfId="7230" priority="1013" operator="greaterThan">
      <formula>1</formula>
    </cfRule>
  </conditionalFormatting>
  <conditionalFormatting sqref="R137">
    <cfRule type="cellIs" dxfId="7229" priority="1010" operator="greaterThan">
      <formula>1</formula>
    </cfRule>
    <cfRule type="cellIs" dxfId="7228" priority="1011" operator="lessThan">
      <formula>0.8</formula>
    </cfRule>
  </conditionalFormatting>
  <conditionalFormatting sqref="Q137:Q145">
    <cfRule type="cellIs" dxfId="7227" priority="1008" operator="lessThan">
      <formula>0</formula>
    </cfRule>
  </conditionalFormatting>
  <conditionalFormatting sqref="R137">
    <cfRule type="cellIs" dxfId="7226" priority="1006" operator="lessThan">
      <formula>0.8</formula>
    </cfRule>
    <cfRule type="cellIs" dxfId="7225" priority="1007" operator="greaterThan">
      <formula>1</formula>
    </cfRule>
  </conditionalFormatting>
  <conditionalFormatting sqref="R137">
    <cfRule type="cellIs" dxfId="7224" priority="1004" operator="greaterThan">
      <formula>1</formula>
    </cfRule>
    <cfRule type="cellIs" dxfId="7223" priority="1005" operator="lessThan">
      <formula>0.8</formula>
    </cfRule>
  </conditionalFormatting>
  <conditionalFormatting sqref="P137 P140 P142 P144">
    <cfRule type="cellIs" dxfId="7222" priority="1003" operator="greaterThan">
      <formula>0</formula>
    </cfRule>
  </conditionalFormatting>
  <conditionalFormatting sqref="Q137:Q145">
    <cfRule type="cellIs" dxfId="7221" priority="1002" operator="lessThan">
      <formula>0</formula>
    </cfRule>
  </conditionalFormatting>
  <conditionalFormatting sqref="R137">
    <cfRule type="cellIs" dxfId="7220" priority="1000" operator="lessThan">
      <formula>0.8</formula>
    </cfRule>
    <cfRule type="cellIs" dxfId="7219" priority="1001" operator="greaterThan">
      <formula>1</formula>
    </cfRule>
  </conditionalFormatting>
  <conditionalFormatting sqref="R137">
    <cfRule type="cellIs" dxfId="7218" priority="998" operator="greaterThan">
      <formula>1</formula>
    </cfRule>
    <cfRule type="cellIs" dxfId="7217" priority="999" operator="lessThan">
      <formula>0.8</formula>
    </cfRule>
  </conditionalFormatting>
  <conditionalFormatting sqref="P137 P140 P142 P144">
    <cfRule type="cellIs" dxfId="7216" priority="997" operator="greaterThan">
      <formula>0</formula>
    </cfRule>
  </conditionalFormatting>
  <conditionalFormatting sqref="P137 P140 P142 P144">
    <cfRule type="cellIs" dxfId="7215" priority="991" operator="greaterThan">
      <formula>0</formula>
    </cfRule>
  </conditionalFormatting>
  <conditionalFormatting sqref="Q137:Q145">
    <cfRule type="cellIs" dxfId="7214" priority="996" operator="lessThan">
      <formula>0</formula>
    </cfRule>
  </conditionalFormatting>
  <conditionalFormatting sqref="R137">
    <cfRule type="cellIs" dxfId="7213" priority="994" operator="lessThan">
      <formula>0.8</formula>
    </cfRule>
    <cfRule type="cellIs" dxfId="7212" priority="995" operator="greaterThan">
      <formula>1</formula>
    </cfRule>
  </conditionalFormatting>
  <conditionalFormatting sqref="R137">
    <cfRule type="cellIs" dxfId="7211" priority="992" operator="greaterThan">
      <formula>1</formula>
    </cfRule>
    <cfRule type="cellIs" dxfId="7210" priority="993" operator="lessThan">
      <formula>0.8</formula>
    </cfRule>
  </conditionalFormatting>
  <conditionalFormatting sqref="Q137:Q145">
    <cfRule type="cellIs" dxfId="7209" priority="990" operator="lessThan">
      <formula>0</formula>
    </cfRule>
  </conditionalFormatting>
  <conditionalFormatting sqref="R137">
    <cfRule type="cellIs" dxfId="7208" priority="988" operator="lessThan">
      <formula>0.8</formula>
    </cfRule>
    <cfRule type="cellIs" dxfId="7207" priority="989" operator="greaterThan">
      <formula>1</formula>
    </cfRule>
  </conditionalFormatting>
  <conditionalFormatting sqref="R137">
    <cfRule type="cellIs" dxfId="7206" priority="986" operator="greaterThan">
      <formula>1</formula>
    </cfRule>
    <cfRule type="cellIs" dxfId="7205" priority="987" operator="lessThan">
      <formula>0.8</formula>
    </cfRule>
  </conditionalFormatting>
  <conditionalFormatting sqref="P137 P140 P142 P144">
    <cfRule type="cellIs" dxfId="7204" priority="985" operator="greaterThan">
      <formula>0</formula>
    </cfRule>
  </conditionalFormatting>
  <conditionalFormatting sqref="Q137:Q145">
    <cfRule type="cellIs" dxfId="7203" priority="984" operator="lessThan">
      <formula>0</formula>
    </cfRule>
  </conditionalFormatting>
  <conditionalFormatting sqref="R137">
    <cfRule type="cellIs" dxfId="7202" priority="982" operator="lessThan">
      <formula>0.8</formula>
    </cfRule>
    <cfRule type="cellIs" dxfId="7201" priority="983" operator="greaterThan">
      <formula>1</formula>
    </cfRule>
  </conditionalFormatting>
  <conditionalFormatting sqref="R137">
    <cfRule type="cellIs" dxfId="7200" priority="980" operator="greaterThan">
      <formula>1</formula>
    </cfRule>
    <cfRule type="cellIs" dxfId="7199" priority="981" operator="lessThan">
      <formula>0.8</formula>
    </cfRule>
  </conditionalFormatting>
  <conditionalFormatting sqref="P137 P140 P142 P144">
    <cfRule type="cellIs" dxfId="7198" priority="979" operator="greaterThan">
      <formula>0</formula>
    </cfRule>
  </conditionalFormatting>
  <conditionalFormatting sqref="P137 P140 P142 P144">
    <cfRule type="cellIs" dxfId="7197" priority="973" operator="greaterThan">
      <formula>0</formula>
    </cfRule>
  </conditionalFormatting>
  <conditionalFormatting sqref="Q137:Q145">
    <cfRule type="cellIs" dxfId="7196" priority="978" operator="lessThan">
      <formula>0</formula>
    </cfRule>
  </conditionalFormatting>
  <conditionalFormatting sqref="R137">
    <cfRule type="cellIs" dxfId="7195" priority="976" operator="lessThan">
      <formula>0.8</formula>
    </cfRule>
    <cfRule type="cellIs" dxfId="7194" priority="977" operator="greaterThan">
      <formula>1</formula>
    </cfRule>
  </conditionalFormatting>
  <conditionalFormatting sqref="R137">
    <cfRule type="cellIs" dxfId="7193" priority="974" operator="greaterThan">
      <formula>1</formula>
    </cfRule>
    <cfRule type="cellIs" dxfId="7192" priority="975" operator="lessThan">
      <formula>0.8</formula>
    </cfRule>
  </conditionalFormatting>
  <conditionalFormatting sqref="Q137:Q145">
    <cfRule type="cellIs" dxfId="7191" priority="972" operator="lessThan">
      <formula>0</formula>
    </cfRule>
  </conditionalFormatting>
  <conditionalFormatting sqref="R137">
    <cfRule type="cellIs" dxfId="7190" priority="970" operator="lessThan">
      <formula>0.8</formula>
    </cfRule>
    <cfRule type="cellIs" dxfId="7189" priority="971" operator="greaterThan">
      <formula>1</formula>
    </cfRule>
  </conditionalFormatting>
  <conditionalFormatting sqref="R137">
    <cfRule type="cellIs" dxfId="7188" priority="968" operator="greaterThan">
      <formula>1</formula>
    </cfRule>
    <cfRule type="cellIs" dxfId="7187" priority="969" operator="lessThan">
      <formula>0.8</formula>
    </cfRule>
  </conditionalFormatting>
  <conditionalFormatting sqref="P137 P140 P142 P144">
    <cfRule type="cellIs" dxfId="7186" priority="967" operator="greaterThan">
      <formula>0</formula>
    </cfRule>
  </conditionalFormatting>
  <conditionalFormatting sqref="P138">
    <cfRule type="cellIs" dxfId="7185" priority="962" operator="greaterThan">
      <formula>0</formula>
    </cfRule>
  </conditionalFormatting>
  <conditionalFormatting sqref="R138">
    <cfRule type="cellIs" dxfId="7184" priority="965" operator="lessThan">
      <formula>0.8</formula>
    </cfRule>
    <cfRule type="cellIs" dxfId="7183" priority="966" operator="greaterThan">
      <formula>1</formula>
    </cfRule>
  </conditionalFormatting>
  <conditionalFormatting sqref="R138">
    <cfRule type="cellIs" dxfId="7182" priority="963" operator="greaterThan">
      <formula>1</formula>
    </cfRule>
    <cfRule type="cellIs" dxfId="7181" priority="964" operator="lessThan">
      <formula>0.8</formula>
    </cfRule>
  </conditionalFormatting>
  <conditionalFormatting sqref="R138">
    <cfRule type="cellIs" dxfId="7180" priority="960" operator="lessThan">
      <formula>0.8</formula>
    </cfRule>
    <cfRule type="cellIs" dxfId="7179" priority="961" operator="greaterThan">
      <formula>1</formula>
    </cfRule>
  </conditionalFormatting>
  <conditionalFormatting sqref="R138">
    <cfRule type="cellIs" dxfId="7178" priority="958" operator="greaterThan">
      <formula>1</formula>
    </cfRule>
    <cfRule type="cellIs" dxfId="7177" priority="959" operator="lessThan">
      <formula>0.8</formula>
    </cfRule>
  </conditionalFormatting>
  <conditionalFormatting sqref="P138">
    <cfRule type="cellIs" dxfId="7176" priority="957" operator="greaterThan">
      <formula>0</formula>
    </cfRule>
  </conditionalFormatting>
  <conditionalFormatting sqref="R138">
    <cfRule type="cellIs" dxfId="7175" priority="955" operator="lessThan">
      <formula>0.8</formula>
    </cfRule>
    <cfRule type="cellIs" dxfId="7174" priority="956" operator="greaterThan">
      <formula>1</formula>
    </cfRule>
  </conditionalFormatting>
  <conditionalFormatting sqref="R138">
    <cfRule type="cellIs" dxfId="7173" priority="953" operator="greaterThan">
      <formula>1</formula>
    </cfRule>
    <cfRule type="cellIs" dxfId="7172" priority="954" operator="lessThan">
      <formula>0.8</formula>
    </cfRule>
  </conditionalFormatting>
  <conditionalFormatting sqref="P138">
    <cfRule type="cellIs" dxfId="7171" priority="952" operator="greaterThan">
      <formula>0</formula>
    </cfRule>
  </conditionalFormatting>
  <conditionalFormatting sqref="R138">
    <cfRule type="cellIs" dxfId="7170" priority="950" operator="lessThan">
      <formula>0.8</formula>
    </cfRule>
    <cfRule type="cellIs" dxfId="7169" priority="951" operator="greaterThan">
      <formula>1</formula>
    </cfRule>
  </conditionalFormatting>
  <conditionalFormatting sqref="R138">
    <cfRule type="cellIs" dxfId="7168" priority="948" operator="greaterThan">
      <formula>1</formula>
    </cfRule>
    <cfRule type="cellIs" dxfId="7167" priority="949" operator="lessThan">
      <formula>0.8</formula>
    </cfRule>
  </conditionalFormatting>
  <conditionalFormatting sqref="P138">
    <cfRule type="cellIs" dxfId="7166" priority="947" operator="greaterThan">
      <formula>0</formula>
    </cfRule>
  </conditionalFormatting>
  <conditionalFormatting sqref="R138">
    <cfRule type="cellIs" dxfId="7165" priority="945" operator="lessThan">
      <formula>0.8</formula>
    </cfRule>
    <cfRule type="cellIs" dxfId="7164" priority="946" operator="greaterThan">
      <formula>1</formula>
    </cfRule>
  </conditionalFormatting>
  <conditionalFormatting sqref="R138">
    <cfRule type="cellIs" dxfId="7163" priority="943" operator="greaterThan">
      <formula>1</formula>
    </cfRule>
    <cfRule type="cellIs" dxfId="7162" priority="944" operator="lessThan">
      <formula>0.8</formula>
    </cfRule>
  </conditionalFormatting>
  <conditionalFormatting sqref="R138">
    <cfRule type="cellIs" dxfId="7161" priority="941" operator="lessThan">
      <formula>0.8</formula>
    </cfRule>
    <cfRule type="cellIs" dxfId="7160" priority="942" operator="greaterThan">
      <formula>1</formula>
    </cfRule>
  </conditionalFormatting>
  <conditionalFormatting sqref="R138">
    <cfRule type="cellIs" dxfId="7159" priority="939" operator="greaterThan">
      <formula>1</formula>
    </cfRule>
    <cfRule type="cellIs" dxfId="7158" priority="940" operator="lessThan">
      <formula>0.8</formula>
    </cfRule>
  </conditionalFormatting>
  <conditionalFormatting sqref="P138">
    <cfRule type="cellIs" dxfId="7157" priority="938" operator="greaterThan">
      <formula>0</formula>
    </cfRule>
  </conditionalFormatting>
  <conditionalFormatting sqref="P138">
    <cfRule type="cellIs" dxfId="7156" priority="933" operator="greaterThan">
      <formula>0</formula>
    </cfRule>
  </conditionalFormatting>
  <conditionalFormatting sqref="R138">
    <cfRule type="cellIs" dxfId="7155" priority="936" operator="lessThan">
      <formula>0.8</formula>
    </cfRule>
    <cfRule type="cellIs" dxfId="7154" priority="937" operator="greaterThan">
      <formula>1</formula>
    </cfRule>
  </conditionalFormatting>
  <conditionalFormatting sqref="R138">
    <cfRule type="cellIs" dxfId="7153" priority="934" operator="greaterThan">
      <formula>1</formula>
    </cfRule>
    <cfRule type="cellIs" dxfId="7152" priority="935" operator="lessThan">
      <formula>0.8</formula>
    </cfRule>
  </conditionalFormatting>
  <conditionalFormatting sqref="R138">
    <cfRule type="cellIs" dxfId="7151" priority="931" operator="lessThan">
      <formula>0.8</formula>
    </cfRule>
    <cfRule type="cellIs" dxfId="7150" priority="932" operator="greaterThan">
      <formula>1</formula>
    </cfRule>
  </conditionalFormatting>
  <conditionalFormatting sqref="R138">
    <cfRule type="cellIs" dxfId="7149" priority="929" operator="greaterThan">
      <formula>1</formula>
    </cfRule>
    <cfRule type="cellIs" dxfId="7148" priority="930" operator="lessThan">
      <formula>0.8</formula>
    </cfRule>
  </conditionalFormatting>
  <conditionalFormatting sqref="P138">
    <cfRule type="cellIs" dxfId="7147" priority="928" operator="greaterThan">
      <formula>0</formula>
    </cfRule>
  </conditionalFormatting>
  <conditionalFormatting sqref="Q148:Q156">
    <cfRule type="cellIs" dxfId="7146" priority="927" operator="lessThan">
      <formula>0</formula>
    </cfRule>
  </conditionalFormatting>
  <conditionalFormatting sqref="R148:R156">
    <cfRule type="cellIs" dxfId="7145" priority="925" operator="lessThan">
      <formula>0.8</formula>
    </cfRule>
    <cfRule type="cellIs" dxfId="7144" priority="926" operator="greaterThan">
      <formula>1</formula>
    </cfRule>
  </conditionalFormatting>
  <conditionalFormatting sqref="R148:R156">
    <cfRule type="cellIs" dxfId="7143" priority="923" operator="greaterThan">
      <formula>1</formula>
    </cfRule>
    <cfRule type="cellIs" dxfId="7142" priority="924" operator="lessThan">
      <formula>0.8</formula>
    </cfRule>
  </conditionalFormatting>
  <conditionalFormatting sqref="P148:P156">
    <cfRule type="cellIs" dxfId="7141" priority="922" operator="greaterThan">
      <formula>0</formula>
    </cfRule>
  </conditionalFormatting>
  <conditionalFormatting sqref="P148:P156">
    <cfRule type="cellIs" dxfId="7140" priority="916" operator="greaterThan">
      <formula>0</formula>
    </cfRule>
  </conditionalFormatting>
  <conditionalFormatting sqref="Q148:Q156">
    <cfRule type="cellIs" dxfId="7139" priority="921" operator="lessThan">
      <formula>0</formula>
    </cfRule>
  </conditionalFormatting>
  <conditionalFormatting sqref="R148:R156">
    <cfRule type="cellIs" dxfId="7138" priority="919" operator="lessThan">
      <formula>0.8</formula>
    </cfRule>
    <cfRule type="cellIs" dxfId="7137" priority="920" operator="greaterThan">
      <formula>1</formula>
    </cfRule>
  </conditionalFormatting>
  <conditionalFormatting sqref="R148:R156">
    <cfRule type="cellIs" dxfId="7136" priority="917" operator="greaterThan">
      <formula>1</formula>
    </cfRule>
    <cfRule type="cellIs" dxfId="7135" priority="918" operator="lessThan">
      <formula>0.8</formula>
    </cfRule>
  </conditionalFormatting>
  <conditionalFormatting sqref="Q148:Q156">
    <cfRule type="cellIs" dxfId="7134" priority="915" operator="lessThan">
      <formula>0</formula>
    </cfRule>
  </conditionalFormatting>
  <conditionalFormatting sqref="R148:R156">
    <cfRule type="cellIs" dxfId="7133" priority="913" operator="lessThan">
      <formula>0.8</formula>
    </cfRule>
    <cfRule type="cellIs" dxfId="7132" priority="914" operator="greaterThan">
      <formula>1</formula>
    </cfRule>
  </conditionalFormatting>
  <conditionalFormatting sqref="R148:R156">
    <cfRule type="cellIs" dxfId="7131" priority="911" operator="greaterThan">
      <formula>1</formula>
    </cfRule>
    <cfRule type="cellIs" dxfId="7130" priority="912" operator="lessThan">
      <formula>0.8</formula>
    </cfRule>
  </conditionalFormatting>
  <conditionalFormatting sqref="P148:P156">
    <cfRule type="cellIs" dxfId="7129" priority="910" operator="greaterThan">
      <formula>0</formula>
    </cfRule>
  </conditionalFormatting>
  <conditionalFormatting sqref="Q148:Q156">
    <cfRule type="cellIs" dxfId="7128" priority="909" operator="lessThan">
      <formula>0</formula>
    </cfRule>
  </conditionalFormatting>
  <conditionalFormatting sqref="R148:R156">
    <cfRule type="cellIs" dxfId="7127" priority="907" operator="lessThan">
      <formula>0.8</formula>
    </cfRule>
    <cfRule type="cellIs" dxfId="7126" priority="908" operator="greaterThan">
      <formula>1</formula>
    </cfRule>
  </conditionalFormatting>
  <conditionalFormatting sqref="R148:R156">
    <cfRule type="cellIs" dxfId="7125" priority="905" operator="greaterThan">
      <formula>1</formula>
    </cfRule>
    <cfRule type="cellIs" dxfId="7124" priority="906" operator="lessThan">
      <formula>0.8</formula>
    </cfRule>
  </conditionalFormatting>
  <conditionalFormatting sqref="P148:P156">
    <cfRule type="cellIs" dxfId="7123" priority="904" operator="greaterThan">
      <formula>0</formula>
    </cfRule>
  </conditionalFormatting>
  <conditionalFormatting sqref="P148:P156">
    <cfRule type="cellIs" dxfId="7122" priority="898" operator="greaterThan">
      <formula>0</formula>
    </cfRule>
  </conditionalFormatting>
  <conditionalFormatting sqref="Q148:Q156">
    <cfRule type="cellIs" dxfId="7121" priority="903" operator="lessThan">
      <formula>0</formula>
    </cfRule>
  </conditionalFormatting>
  <conditionalFormatting sqref="R148:R156">
    <cfRule type="cellIs" dxfId="7120" priority="901" operator="lessThan">
      <formula>0.8</formula>
    </cfRule>
    <cfRule type="cellIs" dxfId="7119" priority="902" operator="greaterThan">
      <formula>1</formula>
    </cfRule>
  </conditionalFormatting>
  <conditionalFormatting sqref="R148:R156">
    <cfRule type="cellIs" dxfId="7118" priority="899" operator="greaterThan">
      <formula>1</formula>
    </cfRule>
    <cfRule type="cellIs" dxfId="7117" priority="900" operator="lessThan">
      <formula>0.8</formula>
    </cfRule>
  </conditionalFormatting>
  <conditionalFormatting sqref="Q148:Q156">
    <cfRule type="cellIs" dxfId="7116" priority="897" operator="lessThan">
      <formula>0</formula>
    </cfRule>
  </conditionalFormatting>
  <conditionalFormatting sqref="R148:R156">
    <cfRule type="cellIs" dxfId="7115" priority="895" operator="lessThan">
      <formula>0.8</formula>
    </cfRule>
    <cfRule type="cellIs" dxfId="7114" priority="896" operator="greaterThan">
      <formula>1</formula>
    </cfRule>
  </conditionalFormatting>
  <conditionalFormatting sqref="R148:R156">
    <cfRule type="cellIs" dxfId="7113" priority="893" operator="greaterThan">
      <formula>1</formula>
    </cfRule>
    <cfRule type="cellIs" dxfId="7112" priority="894" operator="lessThan">
      <formula>0.8</formula>
    </cfRule>
  </conditionalFormatting>
  <conditionalFormatting sqref="P148:P156">
    <cfRule type="cellIs" dxfId="7111" priority="892" operator="greaterThan">
      <formula>0</formula>
    </cfRule>
  </conditionalFormatting>
  <conditionalFormatting sqref="Q148:Q156">
    <cfRule type="cellIs" dxfId="7110" priority="886" operator="lessThan">
      <formula>0</formula>
    </cfRule>
  </conditionalFormatting>
  <conditionalFormatting sqref="P148:P156">
    <cfRule type="cellIs" dxfId="7109" priority="887" operator="greaterThan">
      <formula>0</formula>
    </cfRule>
  </conditionalFormatting>
  <conditionalFormatting sqref="R148:R156">
    <cfRule type="cellIs" dxfId="7108" priority="890" operator="lessThan">
      <formula>0.8</formula>
    </cfRule>
    <cfRule type="cellIs" dxfId="7107" priority="891" operator="greaterThan">
      <formula>1</formula>
    </cfRule>
  </conditionalFormatting>
  <conditionalFormatting sqref="R148:R156">
    <cfRule type="cellIs" dxfId="7106" priority="888" operator="greaterThan">
      <formula>1</formula>
    </cfRule>
    <cfRule type="cellIs" dxfId="7105" priority="889" operator="lessThan">
      <formula>0.8</formula>
    </cfRule>
  </conditionalFormatting>
  <conditionalFormatting sqref="Q148:Q156">
    <cfRule type="cellIs" dxfId="7104" priority="880" operator="lessThan">
      <formula>0</formula>
    </cfRule>
  </conditionalFormatting>
  <conditionalFormatting sqref="R148:R156">
    <cfRule type="cellIs" dxfId="7103" priority="884" operator="lessThan">
      <formula>0.8</formula>
    </cfRule>
    <cfRule type="cellIs" dxfId="7102" priority="885" operator="greaterThan">
      <formula>1</formula>
    </cfRule>
  </conditionalFormatting>
  <conditionalFormatting sqref="R148:R156">
    <cfRule type="cellIs" dxfId="7101" priority="882" operator="greaterThan">
      <formula>1</formula>
    </cfRule>
    <cfRule type="cellIs" dxfId="7100" priority="883" operator="lessThan">
      <formula>0.8</formula>
    </cfRule>
  </conditionalFormatting>
  <conditionalFormatting sqref="P148:P156">
    <cfRule type="cellIs" dxfId="7099" priority="881" operator="greaterThan">
      <formula>0</formula>
    </cfRule>
  </conditionalFormatting>
  <conditionalFormatting sqref="Q148:Q156">
    <cfRule type="cellIs" dxfId="7098" priority="879" operator="lessThan">
      <formula>0</formula>
    </cfRule>
  </conditionalFormatting>
  <conditionalFormatting sqref="R148:R156">
    <cfRule type="cellIs" dxfId="7097" priority="877" operator="lessThan">
      <formula>0.8</formula>
    </cfRule>
    <cfRule type="cellIs" dxfId="7096" priority="878" operator="greaterThan">
      <formula>1</formula>
    </cfRule>
  </conditionalFormatting>
  <conditionalFormatting sqref="R148:R156">
    <cfRule type="cellIs" dxfId="7095" priority="875" operator="greaterThan">
      <formula>1</formula>
    </cfRule>
    <cfRule type="cellIs" dxfId="7094" priority="876" operator="lessThan">
      <formula>0.8</formula>
    </cfRule>
  </conditionalFormatting>
  <conditionalFormatting sqref="P148:P156">
    <cfRule type="cellIs" dxfId="7093" priority="874" operator="greaterThan">
      <formula>0</formula>
    </cfRule>
  </conditionalFormatting>
  <conditionalFormatting sqref="Q148:Q156">
    <cfRule type="cellIs" dxfId="7092" priority="873" operator="lessThan">
      <formula>0</formula>
    </cfRule>
  </conditionalFormatting>
  <conditionalFormatting sqref="R148:R156">
    <cfRule type="cellIs" dxfId="7091" priority="871" operator="lessThan">
      <formula>0.8</formula>
    </cfRule>
    <cfRule type="cellIs" dxfId="7090" priority="872" operator="greaterThan">
      <formula>1</formula>
    </cfRule>
  </conditionalFormatting>
  <conditionalFormatting sqref="R148:R156">
    <cfRule type="cellIs" dxfId="7089" priority="869" operator="greaterThan">
      <formula>1</formula>
    </cfRule>
    <cfRule type="cellIs" dxfId="7088" priority="870" operator="lessThan">
      <formula>0.8</formula>
    </cfRule>
  </conditionalFormatting>
  <conditionalFormatting sqref="P148:P156">
    <cfRule type="cellIs" dxfId="7087" priority="868" operator="greaterThan">
      <formula>0</formula>
    </cfRule>
  </conditionalFormatting>
  <conditionalFormatting sqref="Q148:Q156">
    <cfRule type="cellIs" dxfId="7086" priority="867" operator="lessThan">
      <formula>0</formula>
    </cfRule>
  </conditionalFormatting>
  <conditionalFormatting sqref="R148:R156">
    <cfRule type="cellIs" dxfId="7085" priority="865" operator="lessThan">
      <formula>0.8</formula>
    </cfRule>
    <cfRule type="cellIs" dxfId="7084" priority="866" operator="greaterThan">
      <formula>1</formula>
    </cfRule>
  </conditionalFormatting>
  <conditionalFormatting sqref="R148:R156">
    <cfRule type="cellIs" dxfId="7083" priority="863" operator="greaterThan">
      <formula>1</formula>
    </cfRule>
    <cfRule type="cellIs" dxfId="7082" priority="864" operator="lessThan">
      <formula>0.8</formula>
    </cfRule>
  </conditionalFormatting>
  <conditionalFormatting sqref="P148:P156">
    <cfRule type="cellIs" dxfId="7081" priority="862" operator="greaterThan">
      <formula>0</formula>
    </cfRule>
  </conditionalFormatting>
  <conditionalFormatting sqref="Q148:Q156">
    <cfRule type="cellIs" dxfId="7080" priority="861" operator="lessThan">
      <formula>0</formula>
    </cfRule>
  </conditionalFormatting>
  <conditionalFormatting sqref="R148:R156">
    <cfRule type="cellIs" dxfId="7079" priority="859" operator="lessThan">
      <formula>0.8</formula>
    </cfRule>
    <cfRule type="cellIs" dxfId="7078" priority="860" operator="greaterThan">
      <formula>1</formula>
    </cfRule>
  </conditionalFormatting>
  <conditionalFormatting sqref="R148:R156">
    <cfRule type="cellIs" dxfId="7077" priority="857" operator="greaterThan">
      <formula>1</formula>
    </cfRule>
    <cfRule type="cellIs" dxfId="7076" priority="858" operator="lessThan">
      <formula>0.8</formula>
    </cfRule>
  </conditionalFormatting>
  <conditionalFormatting sqref="P148:P156">
    <cfRule type="cellIs" dxfId="7075" priority="856" operator="greaterThan">
      <formula>0</formula>
    </cfRule>
  </conditionalFormatting>
  <conditionalFormatting sqref="Q148:Q156">
    <cfRule type="cellIs" dxfId="7074" priority="855" operator="lessThan">
      <formula>0</formula>
    </cfRule>
  </conditionalFormatting>
  <conditionalFormatting sqref="R148:R156">
    <cfRule type="cellIs" dxfId="7073" priority="853" operator="lessThan">
      <formula>0.8</formula>
    </cfRule>
    <cfRule type="cellIs" dxfId="7072" priority="854" operator="greaterThan">
      <formula>1</formula>
    </cfRule>
  </conditionalFormatting>
  <conditionalFormatting sqref="R148:R156">
    <cfRule type="cellIs" dxfId="7071" priority="851" operator="greaterThan">
      <formula>1</formula>
    </cfRule>
    <cfRule type="cellIs" dxfId="7070" priority="852" operator="lessThan">
      <formula>0.8</formula>
    </cfRule>
  </conditionalFormatting>
  <conditionalFormatting sqref="P148:P156">
    <cfRule type="cellIs" dxfId="7069" priority="850" operator="greaterThan">
      <formula>0</formula>
    </cfRule>
  </conditionalFormatting>
  <conditionalFormatting sqref="Q148:Q156">
    <cfRule type="cellIs" dxfId="7068" priority="849" operator="lessThan">
      <formula>0</formula>
    </cfRule>
  </conditionalFormatting>
  <conditionalFormatting sqref="R148:R156">
    <cfRule type="cellIs" dxfId="7067" priority="847" operator="lessThan">
      <formula>0.8</formula>
    </cfRule>
    <cfRule type="cellIs" dxfId="7066" priority="848" operator="greaterThan">
      <formula>1</formula>
    </cfRule>
  </conditionalFormatting>
  <conditionalFormatting sqref="R148:R156">
    <cfRule type="cellIs" dxfId="7065" priority="845" operator="greaterThan">
      <formula>1</formula>
    </cfRule>
    <cfRule type="cellIs" dxfId="7064" priority="846" operator="lessThan">
      <formula>0.8</formula>
    </cfRule>
  </conditionalFormatting>
  <conditionalFormatting sqref="P148:P156">
    <cfRule type="cellIs" dxfId="7063" priority="844" operator="greaterThan">
      <formula>0</formula>
    </cfRule>
  </conditionalFormatting>
  <conditionalFormatting sqref="Q148:Q156">
    <cfRule type="cellIs" dxfId="7062" priority="843" operator="lessThan">
      <formula>0</formula>
    </cfRule>
  </conditionalFormatting>
  <conditionalFormatting sqref="R148:R156">
    <cfRule type="cellIs" dxfId="7061" priority="841" operator="lessThan">
      <formula>0.8</formula>
    </cfRule>
    <cfRule type="cellIs" dxfId="7060" priority="842" operator="greaterThan">
      <formula>1</formula>
    </cfRule>
  </conditionalFormatting>
  <conditionalFormatting sqref="R148:R156">
    <cfRule type="cellIs" dxfId="7059" priority="839" operator="greaterThan">
      <formula>1</formula>
    </cfRule>
    <cfRule type="cellIs" dxfId="7058" priority="840" operator="lessThan">
      <formula>0.8</formula>
    </cfRule>
  </conditionalFormatting>
  <conditionalFormatting sqref="P148:P156">
    <cfRule type="cellIs" dxfId="7057" priority="838" operator="greaterThan">
      <formula>0</formula>
    </cfRule>
  </conditionalFormatting>
  <conditionalFormatting sqref="P148:P156">
    <cfRule type="cellIs" dxfId="7056" priority="832" operator="greaterThan">
      <formula>0</formula>
    </cfRule>
  </conditionalFormatting>
  <conditionalFormatting sqref="Q148:Q156">
    <cfRule type="cellIs" dxfId="7055" priority="837" operator="lessThan">
      <formula>0</formula>
    </cfRule>
  </conditionalFormatting>
  <conditionalFormatting sqref="R148:R156">
    <cfRule type="cellIs" dxfId="7054" priority="835" operator="lessThan">
      <formula>0.8</formula>
    </cfRule>
    <cfRule type="cellIs" dxfId="7053" priority="836" operator="greaterThan">
      <formula>1</formula>
    </cfRule>
  </conditionalFormatting>
  <conditionalFormatting sqref="R148:R156">
    <cfRule type="cellIs" dxfId="7052" priority="833" operator="greaterThan">
      <formula>1</formula>
    </cfRule>
    <cfRule type="cellIs" dxfId="7051" priority="834" operator="lessThan">
      <formula>0.8</formula>
    </cfRule>
  </conditionalFormatting>
  <conditionalFormatting sqref="P148:P156">
    <cfRule type="cellIs" dxfId="7050" priority="826" operator="greaterThan">
      <formula>0</formula>
    </cfRule>
  </conditionalFormatting>
  <conditionalFormatting sqref="Q148:Q156">
    <cfRule type="cellIs" dxfId="7049" priority="831" operator="lessThan">
      <formula>0</formula>
    </cfRule>
  </conditionalFormatting>
  <conditionalFormatting sqref="R148:R156">
    <cfRule type="cellIs" dxfId="7048" priority="829" operator="lessThan">
      <formula>0.8</formula>
    </cfRule>
    <cfRule type="cellIs" dxfId="7047" priority="830" operator="greaterThan">
      <formula>1</formula>
    </cfRule>
  </conditionalFormatting>
  <conditionalFormatting sqref="R148:R156">
    <cfRule type="cellIs" dxfId="7046" priority="827" operator="greaterThan">
      <formula>1</formula>
    </cfRule>
    <cfRule type="cellIs" dxfId="7045" priority="828" operator="lessThan">
      <formula>0.8</formula>
    </cfRule>
  </conditionalFormatting>
  <conditionalFormatting sqref="R148:R156">
    <cfRule type="cellIs" dxfId="7044" priority="823" operator="lessThan">
      <formula>0.8</formula>
    </cfRule>
    <cfRule type="cellIs" dxfId="7043" priority="824" operator="greaterThan">
      <formula>1</formula>
    </cfRule>
  </conditionalFormatting>
  <conditionalFormatting sqref="R148:R156">
    <cfRule type="cellIs" dxfId="7042" priority="821" operator="greaterThan">
      <formula>1</formula>
    </cfRule>
    <cfRule type="cellIs" dxfId="7041" priority="822" operator="lessThan">
      <formula>0.8</formula>
    </cfRule>
  </conditionalFormatting>
  <conditionalFormatting sqref="P148:P156">
    <cfRule type="cellIs" dxfId="7040" priority="820" operator="greaterThan">
      <formula>0</formula>
    </cfRule>
  </conditionalFormatting>
  <conditionalFormatting sqref="Q148:Q156">
    <cfRule type="cellIs" dxfId="7039" priority="825" operator="lessThan">
      <formula>0</formula>
    </cfRule>
  </conditionalFormatting>
  <conditionalFormatting sqref="Q148:Q156">
    <cfRule type="cellIs" dxfId="7038" priority="819" operator="lessThan">
      <formula>0</formula>
    </cfRule>
  </conditionalFormatting>
  <conditionalFormatting sqref="R148:R156">
    <cfRule type="cellIs" dxfId="7037" priority="817" operator="lessThan">
      <formula>0.8</formula>
    </cfRule>
    <cfRule type="cellIs" dxfId="7036" priority="818" operator="greaterThan">
      <formula>1</formula>
    </cfRule>
  </conditionalFormatting>
  <conditionalFormatting sqref="R148:R156">
    <cfRule type="cellIs" dxfId="7035" priority="815" operator="greaterThan">
      <formula>1</formula>
    </cfRule>
    <cfRule type="cellIs" dxfId="7034" priority="816" operator="lessThan">
      <formula>0.8</formula>
    </cfRule>
  </conditionalFormatting>
  <conditionalFormatting sqref="P148:P156">
    <cfRule type="cellIs" dxfId="7033" priority="814" operator="greaterThan">
      <formula>0</formula>
    </cfRule>
  </conditionalFormatting>
  <conditionalFormatting sqref="P148:P156">
    <cfRule type="cellIs" dxfId="7032" priority="808" operator="greaterThan">
      <formula>0</formula>
    </cfRule>
  </conditionalFormatting>
  <conditionalFormatting sqref="Q148:Q156">
    <cfRule type="cellIs" dxfId="7031" priority="813" operator="lessThan">
      <formula>0</formula>
    </cfRule>
  </conditionalFormatting>
  <conditionalFormatting sqref="R148:R156">
    <cfRule type="cellIs" dxfId="7030" priority="811" operator="lessThan">
      <formula>0.8</formula>
    </cfRule>
    <cfRule type="cellIs" dxfId="7029" priority="812" operator="greaterThan">
      <formula>1</formula>
    </cfRule>
  </conditionalFormatting>
  <conditionalFormatting sqref="R148:R156">
    <cfRule type="cellIs" dxfId="7028" priority="809" operator="greaterThan">
      <formula>1</formula>
    </cfRule>
    <cfRule type="cellIs" dxfId="7027" priority="810" operator="lessThan">
      <formula>0.8</formula>
    </cfRule>
  </conditionalFormatting>
  <conditionalFormatting sqref="P148:P156">
    <cfRule type="cellIs" dxfId="7026" priority="802" operator="greaterThan">
      <formula>0</formula>
    </cfRule>
  </conditionalFormatting>
  <conditionalFormatting sqref="Q148:Q156">
    <cfRule type="cellIs" dxfId="7025" priority="807" operator="lessThan">
      <formula>0</formula>
    </cfRule>
  </conditionalFormatting>
  <conditionalFormatting sqref="R148:R156">
    <cfRule type="cellIs" dxfId="7024" priority="805" operator="lessThan">
      <formula>0.8</formula>
    </cfRule>
    <cfRule type="cellIs" dxfId="7023" priority="806" operator="greaterThan">
      <formula>1</formula>
    </cfRule>
  </conditionalFormatting>
  <conditionalFormatting sqref="R148:R156">
    <cfRule type="cellIs" dxfId="7022" priority="803" operator="greaterThan">
      <formula>1</formula>
    </cfRule>
    <cfRule type="cellIs" dxfId="7021" priority="804" operator="lessThan">
      <formula>0.8</formula>
    </cfRule>
  </conditionalFormatting>
  <conditionalFormatting sqref="R148:R156">
    <cfRule type="cellIs" dxfId="7020" priority="799" operator="lessThan">
      <formula>0.8</formula>
    </cfRule>
    <cfRule type="cellIs" dxfId="7019" priority="800" operator="greaterThan">
      <formula>1</formula>
    </cfRule>
  </conditionalFormatting>
  <conditionalFormatting sqref="R148:R156">
    <cfRule type="cellIs" dxfId="7018" priority="797" operator="greaterThan">
      <formula>1</formula>
    </cfRule>
    <cfRule type="cellIs" dxfId="7017" priority="798" operator="lessThan">
      <formula>0.8</formula>
    </cfRule>
  </conditionalFormatting>
  <conditionalFormatting sqref="P148:P156">
    <cfRule type="cellIs" dxfId="7016" priority="796" operator="greaterThan">
      <formula>0</formula>
    </cfRule>
  </conditionalFormatting>
  <conditionalFormatting sqref="Q148:Q156">
    <cfRule type="cellIs" dxfId="7015" priority="801" operator="lessThan">
      <formula>0</formula>
    </cfRule>
  </conditionalFormatting>
  <conditionalFormatting sqref="P148:P156">
    <cfRule type="cellIs" dxfId="7014" priority="790" operator="greaterThan">
      <formula>0</formula>
    </cfRule>
  </conditionalFormatting>
  <conditionalFormatting sqref="Q148:Q156">
    <cfRule type="cellIs" dxfId="7013" priority="795" operator="lessThan">
      <formula>0</formula>
    </cfRule>
  </conditionalFormatting>
  <conditionalFormatting sqref="R148:R156">
    <cfRule type="cellIs" dxfId="7012" priority="793" operator="lessThan">
      <formula>0.8</formula>
    </cfRule>
    <cfRule type="cellIs" dxfId="7011" priority="794" operator="greaterThan">
      <formula>1</formula>
    </cfRule>
  </conditionalFormatting>
  <conditionalFormatting sqref="R148:R156">
    <cfRule type="cellIs" dxfId="7010" priority="791" operator="greaterThan">
      <formula>1</formula>
    </cfRule>
    <cfRule type="cellIs" dxfId="7009" priority="792" operator="lessThan">
      <formula>0.8</formula>
    </cfRule>
  </conditionalFormatting>
  <conditionalFormatting sqref="R148:R156">
    <cfRule type="cellIs" dxfId="7008" priority="787" operator="lessThan">
      <formula>0.8</formula>
    </cfRule>
    <cfRule type="cellIs" dxfId="7007" priority="788" operator="greaterThan">
      <formula>1</formula>
    </cfRule>
  </conditionalFormatting>
  <conditionalFormatting sqref="R148:R156">
    <cfRule type="cellIs" dxfId="7006" priority="785" operator="greaterThan">
      <formula>1</formula>
    </cfRule>
    <cfRule type="cellIs" dxfId="7005" priority="786" operator="lessThan">
      <formula>0.8</formula>
    </cfRule>
  </conditionalFormatting>
  <conditionalFormatting sqref="P148:P156">
    <cfRule type="cellIs" dxfId="7004" priority="784" operator="greaterThan">
      <formula>0</formula>
    </cfRule>
  </conditionalFormatting>
  <conditionalFormatting sqref="Q148:Q156">
    <cfRule type="cellIs" dxfId="7003" priority="789" operator="lessThan">
      <formula>0</formula>
    </cfRule>
  </conditionalFormatting>
  <conditionalFormatting sqref="R148:R156">
    <cfRule type="cellIs" dxfId="7002" priority="781" operator="lessThan">
      <formula>0.8</formula>
    </cfRule>
    <cfRule type="cellIs" dxfId="7001" priority="782" operator="greaterThan">
      <formula>1</formula>
    </cfRule>
  </conditionalFormatting>
  <conditionalFormatting sqref="R148:R156">
    <cfRule type="cellIs" dxfId="7000" priority="779" operator="greaterThan">
      <formula>1</formula>
    </cfRule>
    <cfRule type="cellIs" dxfId="6999" priority="780" operator="lessThan">
      <formula>0.8</formula>
    </cfRule>
  </conditionalFormatting>
  <conditionalFormatting sqref="P148:P156">
    <cfRule type="cellIs" dxfId="6998" priority="778" operator="greaterThan">
      <formula>0</formula>
    </cfRule>
  </conditionalFormatting>
  <conditionalFormatting sqref="Q148:Q156">
    <cfRule type="cellIs" dxfId="6997" priority="783" operator="lessThan">
      <formula>0</formula>
    </cfRule>
  </conditionalFormatting>
  <conditionalFormatting sqref="Q148:Q156">
    <cfRule type="cellIs" dxfId="6996" priority="777" operator="lessThan">
      <formula>0</formula>
    </cfRule>
  </conditionalFormatting>
  <conditionalFormatting sqref="R148:R156">
    <cfRule type="cellIs" dxfId="6995" priority="775" operator="lessThan">
      <formula>0.8</formula>
    </cfRule>
    <cfRule type="cellIs" dxfId="6994" priority="776" operator="greaterThan">
      <formula>1</formula>
    </cfRule>
  </conditionalFormatting>
  <conditionalFormatting sqref="R148:R156">
    <cfRule type="cellIs" dxfId="6993" priority="773" operator="greaterThan">
      <formula>1</formula>
    </cfRule>
    <cfRule type="cellIs" dxfId="6992" priority="774" operator="lessThan">
      <formula>0.8</formula>
    </cfRule>
  </conditionalFormatting>
  <conditionalFormatting sqref="P148:P156">
    <cfRule type="cellIs" dxfId="6991" priority="772" operator="greaterThan">
      <formula>0</formula>
    </cfRule>
  </conditionalFormatting>
  <conditionalFormatting sqref="Q148:Q156">
    <cfRule type="cellIs" dxfId="6990" priority="766" operator="lessThan">
      <formula>0</formula>
    </cfRule>
  </conditionalFormatting>
  <conditionalFormatting sqref="R148:R156">
    <cfRule type="cellIs" dxfId="6989" priority="770" operator="lessThan">
      <formula>0.8</formula>
    </cfRule>
    <cfRule type="cellIs" dxfId="6988" priority="771" operator="greaterThan">
      <formula>1</formula>
    </cfRule>
  </conditionalFormatting>
  <conditionalFormatting sqref="R148:R156">
    <cfRule type="cellIs" dxfId="6987" priority="768" operator="greaterThan">
      <formula>1</formula>
    </cfRule>
    <cfRule type="cellIs" dxfId="6986" priority="769" operator="lessThan">
      <formula>0.8</formula>
    </cfRule>
  </conditionalFormatting>
  <conditionalFormatting sqref="P148:P156">
    <cfRule type="cellIs" dxfId="6985" priority="767" operator="greaterThan">
      <formula>0</formula>
    </cfRule>
  </conditionalFormatting>
  <conditionalFormatting sqref="Q148:Q156">
    <cfRule type="cellIs" dxfId="6984" priority="765" operator="lessThan">
      <formula>0</formula>
    </cfRule>
  </conditionalFormatting>
  <conditionalFormatting sqref="R148:R156">
    <cfRule type="cellIs" dxfId="6983" priority="763" operator="lessThan">
      <formula>0.8</formula>
    </cfRule>
    <cfRule type="cellIs" dxfId="6982" priority="764" operator="greaterThan">
      <formula>1</formula>
    </cfRule>
  </conditionalFormatting>
  <conditionalFormatting sqref="R148:R156">
    <cfRule type="cellIs" dxfId="6981" priority="761" operator="greaterThan">
      <formula>1</formula>
    </cfRule>
    <cfRule type="cellIs" dxfId="6980" priority="762" operator="lessThan">
      <formula>0.8</formula>
    </cfRule>
  </conditionalFormatting>
  <conditionalFormatting sqref="P148:P156">
    <cfRule type="cellIs" dxfId="6979" priority="760" operator="greaterThan">
      <formula>0</formula>
    </cfRule>
  </conditionalFormatting>
  <conditionalFormatting sqref="Q148:Q156">
    <cfRule type="cellIs" dxfId="6978" priority="759" operator="lessThan">
      <formula>0</formula>
    </cfRule>
  </conditionalFormatting>
  <conditionalFormatting sqref="R148:R156">
    <cfRule type="cellIs" dxfId="6977" priority="757" operator="lessThan">
      <formula>0.8</formula>
    </cfRule>
    <cfRule type="cellIs" dxfId="6976" priority="758" operator="greaterThan">
      <formula>1</formula>
    </cfRule>
  </conditionalFormatting>
  <conditionalFormatting sqref="R148:R156">
    <cfRule type="cellIs" dxfId="6975" priority="755" operator="greaterThan">
      <formula>1</formula>
    </cfRule>
    <cfRule type="cellIs" dxfId="6974" priority="756" operator="lessThan">
      <formula>0.8</formula>
    </cfRule>
  </conditionalFormatting>
  <conditionalFormatting sqref="P148:P156">
    <cfRule type="cellIs" dxfId="6973" priority="754" operator="greaterThan">
      <formula>0</formula>
    </cfRule>
  </conditionalFormatting>
  <conditionalFormatting sqref="Q148:Q156">
    <cfRule type="cellIs" dxfId="6972" priority="753" operator="lessThan">
      <formula>0</formula>
    </cfRule>
  </conditionalFormatting>
  <conditionalFormatting sqref="R148:R156">
    <cfRule type="cellIs" dxfId="6971" priority="751" operator="lessThan">
      <formula>0.8</formula>
    </cfRule>
    <cfRule type="cellIs" dxfId="6970" priority="752" operator="greaterThan">
      <formula>1</formula>
    </cfRule>
  </conditionalFormatting>
  <conditionalFormatting sqref="R148:R156">
    <cfRule type="cellIs" dxfId="6969" priority="749" operator="greaterThan">
      <formula>1</formula>
    </cfRule>
    <cfRule type="cellIs" dxfId="6968" priority="750" operator="lessThan">
      <formula>0.8</formula>
    </cfRule>
  </conditionalFormatting>
  <conditionalFormatting sqref="P148:P156">
    <cfRule type="cellIs" dxfId="6967" priority="748" operator="greaterThan">
      <formula>0</formula>
    </cfRule>
  </conditionalFormatting>
  <conditionalFormatting sqref="Q148:Q156">
    <cfRule type="cellIs" dxfId="6966" priority="747" operator="lessThan">
      <formula>0</formula>
    </cfRule>
  </conditionalFormatting>
  <conditionalFormatting sqref="R148:R156">
    <cfRule type="cellIs" dxfId="6965" priority="745" operator="lessThan">
      <formula>0.8</formula>
    </cfRule>
    <cfRule type="cellIs" dxfId="6964" priority="746" operator="greaterThan">
      <formula>1</formula>
    </cfRule>
  </conditionalFormatting>
  <conditionalFormatting sqref="R148:R156">
    <cfRule type="cellIs" dxfId="6963" priority="743" operator="greaterThan">
      <formula>1</formula>
    </cfRule>
    <cfRule type="cellIs" dxfId="6962" priority="744" operator="lessThan">
      <formula>0.8</formula>
    </cfRule>
  </conditionalFormatting>
  <conditionalFormatting sqref="P148:P156">
    <cfRule type="cellIs" dxfId="6961" priority="742" operator="greaterThan">
      <formula>0</formula>
    </cfRule>
  </conditionalFormatting>
  <conditionalFormatting sqref="Q148:Q156">
    <cfRule type="cellIs" dxfId="6960" priority="741" operator="lessThan">
      <formula>0</formula>
    </cfRule>
  </conditionalFormatting>
  <conditionalFormatting sqref="R148:R156">
    <cfRule type="cellIs" dxfId="6959" priority="739" operator="lessThan">
      <formula>0.8</formula>
    </cfRule>
    <cfRule type="cellIs" dxfId="6958" priority="740" operator="greaterThan">
      <formula>1</formula>
    </cfRule>
  </conditionalFormatting>
  <conditionalFormatting sqref="R148:R156">
    <cfRule type="cellIs" dxfId="6957" priority="737" operator="greaterThan">
      <formula>1</formula>
    </cfRule>
    <cfRule type="cellIs" dxfId="6956" priority="738" operator="lessThan">
      <formula>0.8</formula>
    </cfRule>
  </conditionalFormatting>
  <conditionalFormatting sqref="P148:P156">
    <cfRule type="cellIs" dxfId="6955" priority="736" operator="greaterThan">
      <formula>0</formula>
    </cfRule>
  </conditionalFormatting>
  <conditionalFormatting sqref="P148:P156">
    <cfRule type="cellIs" dxfId="6954" priority="730" operator="greaterThan">
      <formula>0</formula>
    </cfRule>
  </conditionalFormatting>
  <conditionalFormatting sqref="Q148:Q156">
    <cfRule type="cellIs" dxfId="6953" priority="735" operator="lessThan">
      <formula>0</formula>
    </cfRule>
  </conditionalFormatting>
  <conditionalFormatting sqref="R148:R156">
    <cfRule type="cellIs" dxfId="6952" priority="733" operator="lessThan">
      <formula>0.8</formula>
    </cfRule>
    <cfRule type="cellIs" dxfId="6951" priority="734" operator="greaterThan">
      <formula>1</formula>
    </cfRule>
  </conditionalFormatting>
  <conditionalFormatting sqref="R148:R156">
    <cfRule type="cellIs" dxfId="6950" priority="731" operator="greaterThan">
      <formula>1</formula>
    </cfRule>
    <cfRule type="cellIs" dxfId="6949" priority="732" operator="lessThan">
      <formula>0.8</formula>
    </cfRule>
  </conditionalFormatting>
  <conditionalFormatting sqref="P148:P156">
    <cfRule type="cellIs" dxfId="6948" priority="724" operator="greaterThan">
      <formula>0</formula>
    </cfRule>
  </conditionalFormatting>
  <conditionalFormatting sqref="Q148:Q156">
    <cfRule type="cellIs" dxfId="6947" priority="729" operator="lessThan">
      <formula>0</formula>
    </cfRule>
  </conditionalFormatting>
  <conditionalFormatting sqref="R148:R156">
    <cfRule type="cellIs" dxfId="6946" priority="727" operator="lessThan">
      <formula>0.8</formula>
    </cfRule>
    <cfRule type="cellIs" dxfId="6945" priority="728" operator="greaterThan">
      <formula>1</formula>
    </cfRule>
  </conditionalFormatting>
  <conditionalFormatting sqref="R148:R156">
    <cfRule type="cellIs" dxfId="6944" priority="725" operator="greaterThan">
      <formula>1</formula>
    </cfRule>
    <cfRule type="cellIs" dxfId="6943" priority="726" operator="lessThan">
      <formula>0.8</formula>
    </cfRule>
  </conditionalFormatting>
  <conditionalFormatting sqref="R148:R156">
    <cfRule type="cellIs" dxfId="6942" priority="721" operator="lessThan">
      <formula>0.8</formula>
    </cfRule>
    <cfRule type="cellIs" dxfId="6941" priority="722" operator="greaterThan">
      <formula>1</formula>
    </cfRule>
  </conditionalFormatting>
  <conditionalFormatting sqref="R148:R156">
    <cfRule type="cellIs" dxfId="6940" priority="719" operator="greaterThan">
      <formula>1</formula>
    </cfRule>
    <cfRule type="cellIs" dxfId="6939" priority="720" operator="lessThan">
      <formula>0.8</formula>
    </cfRule>
  </conditionalFormatting>
  <conditionalFormatting sqref="P148:P156">
    <cfRule type="cellIs" dxfId="6938" priority="718" operator="greaterThan">
      <formula>0</formula>
    </cfRule>
  </conditionalFormatting>
  <conditionalFormatting sqref="Q148:Q156">
    <cfRule type="cellIs" dxfId="6937" priority="723" operator="lessThan">
      <formula>0</formula>
    </cfRule>
  </conditionalFormatting>
  <conditionalFormatting sqref="P44:P52">
    <cfRule type="cellIs" dxfId="6936" priority="712" operator="greaterThan">
      <formula>0</formula>
    </cfRule>
  </conditionalFormatting>
  <conditionalFormatting sqref="Q44:Q52">
    <cfRule type="cellIs" dxfId="6935" priority="717" operator="lessThan">
      <formula>0</formula>
    </cfRule>
  </conditionalFormatting>
  <conditionalFormatting sqref="R44:R52">
    <cfRule type="cellIs" dxfId="6934" priority="715" operator="lessThan">
      <formula>0.8</formula>
    </cfRule>
    <cfRule type="cellIs" dxfId="6933" priority="716" operator="greaterThan">
      <formula>1</formula>
    </cfRule>
  </conditionalFormatting>
  <conditionalFormatting sqref="R44:R52">
    <cfRule type="cellIs" dxfId="6932" priority="713" operator="greaterThan">
      <formula>1</formula>
    </cfRule>
    <cfRule type="cellIs" dxfId="6931" priority="714" operator="lessThan">
      <formula>0.8</formula>
    </cfRule>
  </conditionalFormatting>
  <conditionalFormatting sqref="Q84:Q91">
    <cfRule type="cellIs" dxfId="6930" priority="711" operator="lessThan">
      <formula>0</formula>
    </cfRule>
  </conditionalFormatting>
  <conditionalFormatting sqref="R84:R91">
    <cfRule type="cellIs" dxfId="6929" priority="709" operator="lessThan">
      <formula>0.8</formula>
    </cfRule>
    <cfRule type="cellIs" dxfId="6928" priority="710" operator="greaterThan">
      <formula>1</formula>
    </cfRule>
  </conditionalFormatting>
  <conditionalFormatting sqref="R84:R91">
    <cfRule type="cellIs" dxfId="6927" priority="707" operator="greaterThan">
      <formula>1</formula>
    </cfRule>
    <cfRule type="cellIs" dxfId="6926" priority="708" operator="lessThan">
      <formula>0.8</formula>
    </cfRule>
  </conditionalFormatting>
  <conditionalFormatting sqref="P84:P91">
    <cfRule type="cellIs" dxfId="6925" priority="706" operator="greaterThan">
      <formula>0</formula>
    </cfRule>
  </conditionalFormatting>
  <conditionalFormatting sqref="Q84:Q91">
    <cfRule type="cellIs" dxfId="6924" priority="705" operator="lessThan">
      <formula>0</formula>
    </cfRule>
  </conditionalFormatting>
  <conditionalFormatting sqref="R84:R91">
    <cfRule type="cellIs" dxfId="6923" priority="703" operator="lessThan">
      <formula>0.8</formula>
    </cfRule>
    <cfRule type="cellIs" dxfId="6922" priority="704" operator="greaterThan">
      <formula>1</formula>
    </cfRule>
  </conditionalFormatting>
  <conditionalFormatting sqref="R84:R91">
    <cfRule type="cellIs" dxfId="6921" priority="701" operator="greaterThan">
      <formula>1</formula>
    </cfRule>
    <cfRule type="cellIs" dxfId="6920" priority="702" operator="lessThan">
      <formula>0.8</formula>
    </cfRule>
  </conditionalFormatting>
  <conditionalFormatting sqref="P84:P91">
    <cfRule type="cellIs" dxfId="6919" priority="700" operator="greaterThan">
      <formula>0</formula>
    </cfRule>
  </conditionalFormatting>
  <conditionalFormatting sqref="Q84:Q91">
    <cfRule type="cellIs" dxfId="6918" priority="699" operator="lessThan">
      <formula>0</formula>
    </cfRule>
  </conditionalFormatting>
  <conditionalFormatting sqref="R84:R91">
    <cfRule type="cellIs" dxfId="6917" priority="697" operator="lessThan">
      <formula>0.8</formula>
    </cfRule>
    <cfRule type="cellIs" dxfId="6916" priority="698" operator="greaterThan">
      <formula>1</formula>
    </cfRule>
  </conditionalFormatting>
  <conditionalFormatting sqref="R84:R91">
    <cfRule type="cellIs" dxfId="6915" priority="695" operator="greaterThan">
      <formula>1</formula>
    </cfRule>
    <cfRule type="cellIs" dxfId="6914" priority="696" operator="lessThan">
      <formula>0.8</formula>
    </cfRule>
  </conditionalFormatting>
  <conditionalFormatting sqref="P84:P91">
    <cfRule type="cellIs" dxfId="6913" priority="694" operator="greaterThan">
      <formula>0</formula>
    </cfRule>
  </conditionalFormatting>
  <conditionalFormatting sqref="Q84:Q91">
    <cfRule type="cellIs" dxfId="6912" priority="693" operator="lessThan">
      <formula>0</formula>
    </cfRule>
  </conditionalFormatting>
  <conditionalFormatting sqref="R84:R91">
    <cfRule type="cellIs" dxfId="6911" priority="691" operator="lessThan">
      <formula>0.8</formula>
    </cfRule>
    <cfRule type="cellIs" dxfId="6910" priority="692" operator="greaterThan">
      <formula>1</formula>
    </cfRule>
  </conditionalFormatting>
  <conditionalFormatting sqref="R84:R91">
    <cfRule type="cellIs" dxfId="6909" priority="689" operator="greaterThan">
      <formula>1</formula>
    </cfRule>
    <cfRule type="cellIs" dxfId="6908" priority="690" operator="lessThan">
      <formula>0.8</formula>
    </cfRule>
  </conditionalFormatting>
  <conditionalFormatting sqref="P84:P91">
    <cfRule type="cellIs" dxfId="6907" priority="688" operator="greaterThan">
      <formula>0</formula>
    </cfRule>
  </conditionalFormatting>
  <conditionalFormatting sqref="P84:P91">
    <cfRule type="cellIs" dxfId="6906" priority="682" operator="greaterThan">
      <formula>0</formula>
    </cfRule>
  </conditionalFormatting>
  <conditionalFormatting sqref="Q84:Q91">
    <cfRule type="cellIs" dxfId="6905" priority="687" operator="lessThan">
      <formula>0</formula>
    </cfRule>
  </conditionalFormatting>
  <conditionalFormatting sqref="R84:R91">
    <cfRule type="cellIs" dxfId="6904" priority="685" operator="lessThan">
      <formula>0.8</formula>
    </cfRule>
    <cfRule type="cellIs" dxfId="6903" priority="686" operator="greaterThan">
      <formula>1</formula>
    </cfRule>
  </conditionalFormatting>
  <conditionalFormatting sqref="R84:R91">
    <cfRule type="cellIs" dxfId="6902" priority="683" operator="greaterThan">
      <formula>1</formula>
    </cfRule>
    <cfRule type="cellIs" dxfId="6901" priority="684" operator="lessThan">
      <formula>0.8</formula>
    </cfRule>
  </conditionalFormatting>
  <conditionalFormatting sqref="P84:P91">
    <cfRule type="cellIs" dxfId="6900" priority="676" operator="greaterThan">
      <formula>0</formula>
    </cfRule>
  </conditionalFormatting>
  <conditionalFormatting sqref="Q84:Q91">
    <cfRule type="cellIs" dxfId="6899" priority="681" operator="lessThan">
      <formula>0</formula>
    </cfRule>
  </conditionalFormatting>
  <conditionalFormatting sqref="R84:R91">
    <cfRule type="cellIs" dxfId="6898" priority="679" operator="lessThan">
      <formula>0.8</formula>
    </cfRule>
    <cfRule type="cellIs" dxfId="6897" priority="680" operator="greaterThan">
      <formula>1</formula>
    </cfRule>
  </conditionalFormatting>
  <conditionalFormatting sqref="R84:R91">
    <cfRule type="cellIs" dxfId="6896" priority="677" operator="greaterThan">
      <formula>1</formula>
    </cfRule>
    <cfRule type="cellIs" dxfId="6895" priority="678" operator="lessThan">
      <formula>0.8</formula>
    </cfRule>
  </conditionalFormatting>
  <conditionalFormatting sqref="R84:R91">
    <cfRule type="cellIs" dxfId="6894" priority="673" operator="lessThan">
      <formula>0.8</formula>
    </cfRule>
    <cfRule type="cellIs" dxfId="6893" priority="674" operator="greaterThan">
      <formula>1</formula>
    </cfRule>
  </conditionalFormatting>
  <conditionalFormatting sqref="R84:R91">
    <cfRule type="cellIs" dxfId="6892" priority="671" operator="greaterThan">
      <formula>1</formula>
    </cfRule>
    <cfRule type="cellIs" dxfId="6891" priority="672" operator="lessThan">
      <formula>0.8</formula>
    </cfRule>
  </conditionalFormatting>
  <conditionalFormatting sqref="P84:P91">
    <cfRule type="cellIs" dxfId="6890" priority="670" operator="greaterThan">
      <formula>0</formula>
    </cfRule>
  </conditionalFormatting>
  <conditionalFormatting sqref="Q84:Q91">
    <cfRule type="cellIs" dxfId="6889" priority="675" operator="lessThan">
      <formula>0</formula>
    </cfRule>
  </conditionalFormatting>
  <conditionalFormatting sqref="Q84:Q91">
    <cfRule type="cellIs" dxfId="6888" priority="669" operator="lessThan">
      <formula>0</formula>
    </cfRule>
  </conditionalFormatting>
  <conditionalFormatting sqref="R84:R91">
    <cfRule type="cellIs" dxfId="6887" priority="667" operator="lessThan">
      <formula>0.8</formula>
    </cfRule>
    <cfRule type="cellIs" dxfId="6886" priority="668" operator="greaterThan">
      <formula>1</formula>
    </cfRule>
  </conditionalFormatting>
  <conditionalFormatting sqref="R84:R91">
    <cfRule type="cellIs" dxfId="6885" priority="665" operator="greaterThan">
      <formula>1</formula>
    </cfRule>
    <cfRule type="cellIs" dxfId="6884" priority="666" operator="lessThan">
      <formula>0.8</formula>
    </cfRule>
  </conditionalFormatting>
  <conditionalFormatting sqref="P84:P91">
    <cfRule type="cellIs" dxfId="6883" priority="664" operator="greaterThan">
      <formula>0</formula>
    </cfRule>
  </conditionalFormatting>
  <conditionalFormatting sqref="P84:P91">
    <cfRule type="cellIs" dxfId="6882" priority="658" operator="greaterThan">
      <formula>0</formula>
    </cfRule>
  </conditionalFormatting>
  <conditionalFormatting sqref="Q84:Q91">
    <cfRule type="cellIs" dxfId="6881" priority="663" operator="lessThan">
      <formula>0</formula>
    </cfRule>
  </conditionalFormatting>
  <conditionalFormatting sqref="R84:R91">
    <cfRule type="cellIs" dxfId="6880" priority="661" operator="lessThan">
      <formula>0.8</formula>
    </cfRule>
    <cfRule type="cellIs" dxfId="6879" priority="662" operator="greaterThan">
      <formula>1</formula>
    </cfRule>
  </conditionalFormatting>
  <conditionalFormatting sqref="R84:R91">
    <cfRule type="cellIs" dxfId="6878" priority="659" operator="greaterThan">
      <formula>1</formula>
    </cfRule>
    <cfRule type="cellIs" dxfId="6877" priority="660" operator="lessThan">
      <formula>0.8</formula>
    </cfRule>
  </conditionalFormatting>
  <conditionalFormatting sqref="P84:P91">
    <cfRule type="cellIs" dxfId="6876" priority="652" operator="greaterThan">
      <formula>0</formula>
    </cfRule>
  </conditionalFormatting>
  <conditionalFormatting sqref="Q84:Q91">
    <cfRule type="cellIs" dxfId="6875" priority="657" operator="lessThan">
      <formula>0</formula>
    </cfRule>
  </conditionalFormatting>
  <conditionalFormatting sqref="R84:R91">
    <cfRule type="cellIs" dxfId="6874" priority="655" operator="lessThan">
      <formula>0.8</formula>
    </cfRule>
    <cfRule type="cellIs" dxfId="6873" priority="656" operator="greaterThan">
      <formula>1</formula>
    </cfRule>
  </conditionalFormatting>
  <conditionalFormatting sqref="R84:R91">
    <cfRule type="cellIs" dxfId="6872" priority="653" operator="greaterThan">
      <formula>1</formula>
    </cfRule>
    <cfRule type="cellIs" dxfId="6871" priority="654" operator="lessThan">
      <formula>0.8</formula>
    </cfRule>
  </conditionalFormatting>
  <conditionalFormatting sqref="R84:R91">
    <cfRule type="cellIs" dxfId="6870" priority="649" operator="lessThan">
      <formula>0.8</formula>
    </cfRule>
    <cfRule type="cellIs" dxfId="6869" priority="650" operator="greaterThan">
      <formula>1</formula>
    </cfRule>
  </conditionalFormatting>
  <conditionalFormatting sqref="R84:R91">
    <cfRule type="cellIs" dxfId="6868" priority="647" operator="greaterThan">
      <formula>1</formula>
    </cfRule>
    <cfRule type="cellIs" dxfId="6867" priority="648" operator="lessThan">
      <formula>0.8</formula>
    </cfRule>
  </conditionalFormatting>
  <conditionalFormatting sqref="P84:P91">
    <cfRule type="cellIs" dxfId="6866" priority="646" operator="greaterThan">
      <formula>0</formula>
    </cfRule>
  </conditionalFormatting>
  <conditionalFormatting sqref="Q84:Q91">
    <cfRule type="cellIs" dxfId="6865" priority="651" operator="lessThan">
      <formula>0</formula>
    </cfRule>
  </conditionalFormatting>
  <conditionalFormatting sqref="P84:P91">
    <cfRule type="cellIs" dxfId="6864" priority="640" operator="greaterThan">
      <formula>0</formula>
    </cfRule>
  </conditionalFormatting>
  <conditionalFormatting sqref="Q84:Q91">
    <cfRule type="cellIs" dxfId="6863" priority="645" operator="lessThan">
      <formula>0</formula>
    </cfRule>
  </conditionalFormatting>
  <conditionalFormatting sqref="R84:R91">
    <cfRule type="cellIs" dxfId="6862" priority="643" operator="lessThan">
      <formula>0.8</formula>
    </cfRule>
    <cfRule type="cellIs" dxfId="6861" priority="644" operator="greaterThan">
      <formula>1</formula>
    </cfRule>
  </conditionalFormatting>
  <conditionalFormatting sqref="R84:R91">
    <cfRule type="cellIs" dxfId="6860" priority="641" operator="greaterThan">
      <formula>1</formula>
    </cfRule>
    <cfRule type="cellIs" dxfId="6859" priority="642" operator="lessThan">
      <formula>0.8</formula>
    </cfRule>
  </conditionalFormatting>
  <conditionalFormatting sqref="R84:R91">
    <cfRule type="cellIs" dxfId="6858" priority="637" operator="lessThan">
      <formula>0.8</formula>
    </cfRule>
    <cfRule type="cellIs" dxfId="6857" priority="638" operator="greaterThan">
      <formula>1</formula>
    </cfRule>
  </conditionalFormatting>
  <conditionalFormatting sqref="R84:R91">
    <cfRule type="cellIs" dxfId="6856" priority="635" operator="greaterThan">
      <formula>1</formula>
    </cfRule>
    <cfRule type="cellIs" dxfId="6855" priority="636" operator="lessThan">
      <formula>0.8</formula>
    </cfRule>
  </conditionalFormatting>
  <conditionalFormatting sqref="P84:P91">
    <cfRule type="cellIs" dxfId="6854" priority="634" operator="greaterThan">
      <formula>0</formula>
    </cfRule>
  </conditionalFormatting>
  <conditionalFormatting sqref="Q84:Q91">
    <cfRule type="cellIs" dxfId="6853" priority="639" operator="lessThan">
      <formula>0</formula>
    </cfRule>
  </conditionalFormatting>
  <conditionalFormatting sqref="R84:R91">
    <cfRule type="cellIs" dxfId="6852" priority="631" operator="lessThan">
      <formula>0.8</formula>
    </cfRule>
    <cfRule type="cellIs" dxfId="6851" priority="632" operator="greaterThan">
      <formula>1</formula>
    </cfRule>
  </conditionalFormatting>
  <conditionalFormatting sqref="R84:R91">
    <cfRule type="cellIs" dxfId="6850" priority="629" operator="greaterThan">
      <formula>1</formula>
    </cfRule>
    <cfRule type="cellIs" dxfId="6849" priority="630" operator="lessThan">
      <formula>0.8</formula>
    </cfRule>
  </conditionalFormatting>
  <conditionalFormatting sqref="P84:P91">
    <cfRule type="cellIs" dxfId="6848" priority="628" operator="greaterThan">
      <formula>0</formula>
    </cfRule>
  </conditionalFormatting>
  <conditionalFormatting sqref="Q84:Q91">
    <cfRule type="cellIs" dxfId="6847" priority="633" operator="lessThan">
      <formula>0</formula>
    </cfRule>
  </conditionalFormatting>
  <conditionalFormatting sqref="Q84:Q91">
    <cfRule type="cellIs" dxfId="6846" priority="627" operator="lessThan">
      <formula>0</formula>
    </cfRule>
  </conditionalFormatting>
  <conditionalFormatting sqref="R84:R91">
    <cfRule type="cellIs" dxfId="6845" priority="625" operator="lessThan">
      <formula>0.8</formula>
    </cfRule>
    <cfRule type="cellIs" dxfId="6844" priority="626" operator="greaterThan">
      <formula>1</formula>
    </cfRule>
  </conditionalFormatting>
  <conditionalFormatting sqref="R84:R91">
    <cfRule type="cellIs" dxfId="6843" priority="623" operator="greaterThan">
      <formula>1</formula>
    </cfRule>
    <cfRule type="cellIs" dxfId="6842" priority="624" operator="lessThan">
      <formula>0.8</formula>
    </cfRule>
  </conditionalFormatting>
  <conditionalFormatting sqref="P84:P91">
    <cfRule type="cellIs" dxfId="6841" priority="622" operator="greaterThan">
      <formula>0</formula>
    </cfRule>
  </conditionalFormatting>
  <conditionalFormatting sqref="Q84:Q91">
    <cfRule type="cellIs" dxfId="6840" priority="616" operator="lessThan">
      <formula>0</formula>
    </cfRule>
  </conditionalFormatting>
  <conditionalFormatting sqref="R84:R91">
    <cfRule type="cellIs" dxfId="6839" priority="620" operator="lessThan">
      <formula>0.8</formula>
    </cfRule>
    <cfRule type="cellIs" dxfId="6838" priority="621" operator="greaterThan">
      <formula>1</formula>
    </cfRule>
  </conditionalFormatting>
  <conditionalFormatting sqref="R84:R91">
    <cfRule type="cellIs" dxfId="6837" priority="618" operator="greaterThan">
      <formula>1</formula>
    </cfRule>
    <cfRule type="cellIs" dxfId="6836" priority="619" operator="lessThan">
      <formula>0.8</formula>
    </cfRule>
  </conditionalFormatting>
  <conditionalFormatting sqref="P84:P91">
    <cfRule type="cellIs" dxfId="6835" priority="617" operator="greaterThan">
      <formula>0</formula>
    </cfRule>
  </conditionalFormatting>
  <conditionalFormatting sqref="Q84:Q91">
    <cfRule type="cellIs" dxfId="6834" priority="615" operator="lessThan">
      <formula>0</formula>
    </cfRule>
  </conditionalFormatting>
  <conditionalFormatting sqref="R84:R91">
    <cfRule type="cellIs" dxfId="6833" priority="613" operator="lessThan">
      <formula>0.8</formula>
    </cfRule>
    <cfRule type="cellIs" dxfId="6832" priority="614" operator="greaterThan">
      <formula>1</formula>
    </cfRule>
  </conditionalFormatting>
  <conditionalFormatting sqref="R84:R91">
    <cfRule type="cellIs" dxfId="6831" priority="611" operator="greaterThan">
      <formula>1</formula>
    </cfRule>
    <cfRule type="cellIs" dxfId="6830" priority="612" operator="lessThan">
      <formula>0.8</formula>
    </cfRule>
  </conditionalFormatting>
  <conditionalFormatting sqref="P84:P91">
    <cfRule type="cellIs" dxfId="6829" priority="610" operator="greaterThan">
      <formula>0</formula>
    </cfRule>
  </conditionalFormatting>
  <conditionalFormatting sqref="Q84:Q91">
    <cfRule type="cellIs" dxfId="6828" priority="609" operator="lessThan">
      <formula>0</formula>
    </cfRule>
  </conditionalFormatting>
  <conditionalFormatting sqref="R84:R91">
    <cfRule type="cellIs" dxfId="6827" priority="607" operator="lessThan">
      <formula>0.8</formula>
    </cfRule>
    <cfRule type="cellIs" dxfId="6826" priority="608" operator="greaterThan">
      <formula>1</formula>
    </cfRule>
  </conditionalFormatting>
  <conditionalFormatting sqref="R84:R91">
    <cfRule type="cellIs" dxfId="6825" priority="605" operator="greaterThan">
      <formula>1</formula>
    </cfRule>
    <cfRule type="cellIs" dxfId="6824" priority="606" operator="lessThan">
      <formula>0.8</formula>
    </cfRule>
  </conditionalFormatting>
  <conditionalFormatting sqref="P84:P91">
    <cfRule type="cellIs" dxfId="6823" priority="604" operator="greaterThan">
      <formula>0</formula>
    </cfRule>
  </conditionalFormatting>
  <conditionalFormatting sqref="Q84:Q91">
    <cfRule type="cellIs" dxfId="6822" priority="603" operator="lessThan">
      <formula>0</formula>
    </cfRule>
  </conditionalFormatting>
  <conditionalFormatting sqref="R84:R91">
    <cfRule type="cellIs" dxfId="6821" priority="601" operator="lessThan">
      <formula>0.8</formula>
    </cfRule>
    <cfRule type="cellIs" dxfId="6820" priority="602" operator="greaterThan">
      <formula>1</formula>
    </cfRule>
  </conditionalFormatting>
  <conditionalFormatting sqref="R84:R91">
    <cfRule type="cellIs" dxfId="6819" priority="599" operator="greaterThan">
      <formula>1</formula>
    </cfRule>
    <cfRule type="cellIs" dxfId="6818" priority="600" operator="lessThan">
      <formula>0.8</formula>
    </cfRule>
  </conditionalFormatting>
  <conditionalFormatting sqref="P84:P91">
    <cfRule type="cellIs" dxfId="6817" priority="598" operator="greaterThan">
      <formula>0</formula>
    </cfRule>
  </conditionalFormatting>
  <conditionalFormatting sqref="Q84:Q91">
    <cfRule type="cellIs" dxfId="6816" priority="597" operator="lessThan">
      <formula>0</formula>
    </cfRule>
  </conditionalFormatting>
  <conditionalFormatting sqref="R84:R91">
    <cfRule type="cellIs" dxfId="6815" priority="595" operator="lessThan">
      <formula>0.8</formula>
    </cfRule>
    <cfRule type="cellIs" dxfId="6814" priority="596" operator="greaterThan">
      <formula>1</formula>
    </cfRule>
  </conditionalFormatting>
  <conditionalFormatting sqref="R84:R91">
    <cfRule type="cellIs" dxfId="6813" priority="593" operator="greaterThan">
      <formula>1</formula>
    </cfRule>
    <cfRule type="cellIs" dxfId="6812" priority="594" operator="lessThan">
      <formula>0.8</formula>
    </cfRule>
  </conditionalFormatting>
  <conditionalFormatting sqref="P84:P91">
    <cfRule type="cellIs" dxfId="6811" priority="592" operator="greaterThan">
      <formula>0</formula>
    </cfRule>
  </conditionalFormatting>
  <conditionalFormatting sqref="Q84:Q91">
    <cfRule type="cellIs" dxfId="6810" priority="591" operator="lessThan">
      <formula>0</formula>
    </cfRule>
  </conditionalFormatting>
  <conditionalFormatting sqref="R84:R91">
    <cfRule type="cellIs" dxfId="6809" priority="589" operator="lessThan">
      <formula>0.8</formula>
    </cfRule>
    <cfRule type="cellIs" dxfId="6808" priority="590" operator="greaterThan">
      <formula>1</formula>
    </cfRule>
  </conditionalFormatting>
  <conditionalFormatting sqref="R84:R91">
    <cfRule type="cellIs" dxfId="6807" priority="587" operator="greaterThan">
      <formula>1</formula>
    </cfRule>
    <cfRule type="cellIs" dxfId="6806" priority="588" operator="lessThan">
      <formula>0.8</formula>
    </cfRule>
  </conditionalFormatting>
  <conditionalFormatting sqref="P84:P91">
    <cfRule type="cellIs" dxfId="6805" priority="586" operator="greaterThan">
      <formula>0</formula>
    </cfRule>
  </conditionalFormatting>
  <conditionalFormatting sqref="P84:P91">
    <cfRule type="cellIs" dxfId="6804" priority="580" operator="greaterThan">
      <formula>0</formula>
    </cfRule>
  </conditionalFormatting>
  <conditionalFormatting sqref="Q84:Q91">
    <cfRule type="cellIs" dxfId="6803" priority="585" operator="lessThan">
      <formula>0</formula>
    </cfRule>
  </conditionalFormatting>
  <conditionalFormatting sqref="R84:R91">
    <cfRule type="cellIs" dxfId="6802" priority="583" operator="lessThan">
      <formula>0.8</formula>
    </cfRule>
    <cfRule type="cellIs" dxfId="6801" priority="584" operator="greaterThan">
      <formula>1</formula>
    </cfRule>
  </conditionalFormatting>
  <conditionalFormatting sqref="R84:R91">
    <cfRule type="cellIs" dxfId="6800" priority="581" operator="greaterThan">
      <formula>1</formula>
    </cfRule>
    <cfRule type="cellIs" dxfId="6799" priority="582" operator="lessThan">
      <formula>0.8</formula>
    </cfRule>
  </conditionalFormatting>
  <conditionalFormatting sqref="P84:P91">
    <cfRule type="cellIs" dxfId="6798" priority="574" operator="greaterThan">
      <formula>0</formula>
    </cfRule>
  </conditionalFormatting>
  <conditionalFormatting sqref="Q84:Q91">
    <cfRule type="cellIs" dxfId="6797" priority="579" operator="lessThan">
      <formula>0</formula>
    </cfRule>
  </conditionalFormatting>
  <conditionalFormatting sqref="R84:R91">
    <cfRule type="cellIs" dxfId="6796" priority="577" operator="lessThan">
      <formula>0.8</formula>
    </cfRule>
    <cfRule type="cellIs" dxfId="6795" priority="578" operator="greaterThan">
      <formula>1</formula>
    </cfRule>
  </conditionalFormatting>
  <conditionalFormatting sqref="R84:R91">
    <cfRule type="cellIs" dxfId="6794" priority="575" operator="greaterThan">
      <formula>1</formula>
    </cfRule>
    <cfRule type="cellIs" dxfId="6793" priority="576" operator="lessThan">
      <formula>0.8</formula>
    </cfRule>
  </conditionalFormatting>
  <conditionalFormatting sqref="R84:R91">
    <cfRule type="cellIs" dxfId="6792" priority="571" operator="lessThan">
      <formula>0.8</formula>
    </cfRule>
    <cfRule type="cellIs" dxfId="6791" priority="572" operator="greaterThan">
      <formula>1</formula>
    </cfRule>
  </conditionalFormatting>
  <conditionalFormatting sqref="R84:R91">
    <cfRule type="cellIs" dxfId="6790" priority="569" operator="greaterThan">
      <formula>1</formula>
    </cfRule>
    <cfRule type="cellIs" dxfId="6789" priority="570" operator="lessThan">
      <formula>0.8</formula>
    </cfRule>
  </conditionalFormatting>
  <conditionalFormatting sqref="P84:P91">
    <cfRule type="cellIs" dxfId="6788" priority="568" operator="greaterThan">
      <formula>0</formula>
    </cfRule>
  </conditionalFormatting>
  <conditionalFormatting sqref="Q84:Q91">
    <cfRule type="cellIs" dxfId="6787" priority="573" operator="lessThan">
      <formula>0</formula>
    </cfRule>
  </conditionalFormatting>
  <conditionalFormatting sqref="Q84:Q91">
    <cfRule type="cellIs" dxfId="6786" priority="567" operator="lessThan">
      <formula>0</formula>
    </cfRule>
  </conditionalFormatting>
  <conditionalFormatting sqref="R84:R91">
    <cfRule type="cellIs" dxfId="6785" priority="565" operator="lessThan">
      <formula>0.8</formula>
    </cfRule>
    <cfRule type="cellIs" dxfId="6784" priority="566" operator="greaterThan">
      <formula>1</formula>
    </cfRule>
  </conditionalFormatting>
  <conditionalFormatting sqref="R84:R91">
    <cfRule type="cellIs" dxfId="6783" priority="563" operator="greaterThan">
      <formula>1</formula>
    </cfRule>
    <cfRule type="cellIs" dxfId="6782" priority="564" operator="lessThan">
      <formula>0.8</formula>
    </cfRule>
  </conditionalFormatting>
  <conditionalFormatting sqref="P84:P91">
    <cfRule type="cellIs" dxfId="6781" priority="562" operator="greaterThan">
      <formula>0</formula>
    </cfRule>
  </conditionalFormatting>
  <conditionalFormatting sqref="Q84:Q91">
    <cfRule type="cellIs" dxfId="6780" priority="561" operator="lessThan">
      <formula>0</formula>
    </cfRule>
  </conditionalFormatting>
  <conditionalFormatting sqref="R84:R91">
    <cfRule type="cellIs" dxfId="6779" priority="559" operator="lessThan">
      <formula>0.8</formula>
    </cfRule>
    <cfRule type="cellIs" dxfId="6778" priority="560" operator="greaterThan">
      <formula>1</formula>
    </cfRule>
  </conditionalFormatting>
  <conditionalFormatting sqref="R84:R91">
    <cfRule type="cellIs" dxfId="6777" priority="557" operator="greaterThan">
      <formula>1</formula>
    </cfRule>
    <cfRule type="cellIs" dxfId="6776" priority="558" operator="lessThan">
      <formula>0.8</formula>
    </cfRule>
  </conditionalFormatting>
  <conditionalFormatting sqref="P84:P91">
    <cfRule type="cellIs" dxfId="6775" priority="556" operator="greaterThan">
      <formula>0</formula>
    </cfRule>
  </conditionalFormatting>
  <conditionalFormatting sqref="Q84:Q91">
    <cfRule type="cellIs" dxfId="6774" priority="555" operator="lessThan">
      <formula>0</formula>
    </cfRule>
  </conditionalFormatting>
  <conditionalFormatting sqref="R84:R91">
    <cfRule type="cellIs" dxfId="6773" priority="553" operator="lessThan">
      <formula>0.8</formula>
    </cfRule>
    <cfRule type="cellIs" dxfId="6772" priority="554" operator="greaterThan">
      <formula>1</formula>
    </cfRule>
  </conditionalFormatting>
  <conditionalFormatting sqref="R84:R91">
    <cfRule type="cellIs" dxfId="6771" priority="551" operator="greaterThan">
      <formula>1</formula>
    </cfRule>
    <cfRule type="cellIs" dxfId="6770" priority="552" operator="lessThan">
      <formula>0.8</formula>
    </cfRule>
  </conditionalFormatting>
  <conditionalFormatting sqref="P84:P91">
    <cfRule type="cellIs" dxfId="6769" priority="550" operator="greaterThan">
      <formula>0</formula>
    </cfRule>
  </conditionalFormatting>
  <conditionalFormatting sqref="Q84:Q91">
    <cfRule type="cellIs" dxfId="6768" priority="549" operator="lessThan">
      <formula>0</formula>
    </cfRule>
  </conditionalFormatting>
  <conditionalFormatting sqref="R84:R91">
    <cfRule type="cellIs" dxfId="6767" priority="547" operator="lessThan">
      <formula>0.8</formula>
    </cfRule>
    <cfRule type="cellIs" dxfId="6766" priority="548" operator="greaterThan">
      <formula>1</formula>
    </cfRule>
  </conditionalFormatting>
  <conditionalFormatting sqref="R84:R91">
    <cfRule type="cellIs" dxfId="6765" priority="545" operator="greaterThan">
      <formula>1</formula>
    </cfRule>
    <cfRule type="cellIs" dxfId="6764" priority="546" operator="lessThan">
      <formula>0.8</formula>
    </cfRule>
  </conditionalFormatting>
  <conditionalFormatting sqref="P84:P91">
    <cfRule type="cellIs" dxfId="6763" priority="544" operator="greaterThan">
      <formula>0</formula>
    </cfRule>
  </conditionalFormatting>
  <conditionalFormatting sqref="P84:P91">
    <cfRule type="cellIs" dxfId="6762" priority="538" operator="greaterThan">
      <formula>0</formula>
    </cfRule>
  </conditionalFormatting>
  <conditionalFormatting sqref="Q84:Q91">
    <cfRule type="cellIs" dxfId="6761" priority="543" operator="lessThan">
      <formula>0</formula>
    </cfRule>
  </conditionalFormatting>
  <conditionalFormatting sqref="R84:R91">
    <cfRule type="cellIs" dxfId="6760" priority="541" operator="lessThan">
      <formula>0.8</formula>
    </cfRule>
    <cfRule type="cellIs" dxfId="6759" priority="542" operator="greaterThan">
      <formula>1</formula>
    </cfRule>
  </conditionalFormatting>
  <conditionalFormatting sqref="R84:R91">
    <cfRule type="cellIs" dxfId="6758" priority="539" operator="greaterThan">
      <formula>1</formula>
    </cfRule>
    <cfRule type="cellIs" dxfId="6757" priority="540" operator="lessThan">
      <formula>0.8</formula>
    </cfRule>
  </conditionalFormatting>
  <conditionalFormatting sqref="P84:P91">
    <cfRule type="cellIs" dxfId="6756" priority="532" operator="greaterThan">
      <formula>0</formula>
    </cfRule>
  </conditionalFormatting>
  <conditionalFormatting sqref="Q84:Q91">
    <cfRule type="cellIs" dxfId="6755" priority="537" operator="lessThan">
      <formula>0</formula>
    </cfRule>
  </conditionalFormatting>
  <conditionalFormatting sqref="R84:R91">
    <cfRule type="cellIs" dxfId="6754" priority="535" operator="lessThan">
      <formula>0.8</formula>
    </cfRule>
    <cfRule type="cellIs" dxfId="6753" priority="536" operator="greaterThan">
      <formula>1</formula>
    </cfRule>
  </conditionalFormatting>
  <conditionalFormatting sqref="R84:R91">
    <cfRule type="cellIs" dxfId="6752" priority="533" operator="greaterThan">
      <formula>1</formula>
    </cfRule>
    <cfRule type="cellIs" dxfId="6751" priority="534" operator="lessThan">
      <formula>0.8</formula>
    </cfRule>
  </conditionalFormatting>
  <conditionalFormatting sqref="R84:R91">
    <cfRule type="cellIs" dxfId="6750" priority="529" operator="lessThan">
      <formula>0.8</formula>
    </cfRule>
    <cfRule type="cellIs" dxfId="6749" priority="530" operator="greaterThan">
      <formula>1</formula>
    </cfRule>
  </conditionalFormatting>
  <conditionalFormatting sqref="R84:R91">
    <cfRule type="cellIs" dxfId="6748" priority="527" operator="greaterThan">
      <formula>1</formula>
    </cfRule>
    <cfRule type="cellIs" dxfId="6747" priority="528" operator="lessThan">
      <formula>0.8</formula>
    </cfRule>
  </conditionalFormatting>
  <conditionalFormatting sqref="P84:P91">
    <cfRule type="cellIs" dxfId="6746" priority="526" operator="greaterThan">
      <formula>0</formula>
    </cfRule>
  </conditionalFormatting>
  <conditionalFormatting sqref="Q84:Q91">
    <cfRule type="cellIs" dxfId="6745" priority="531" operator="lessThan">
      <formula>0</formula>
    </cfRule>
  </conditionalFormatting>
  <conditionalFormatting sqref="Q84:Q91">
    <cfRule type="cellIs" dxfId="6744" priority="525" operator="lessThan">
      <formula>0</formula>
    </cfRule>
  </conditionalFormatting>
  <conditionalFormatting sqref="R84:R91">
    <cfRule type="cellIs" dxfId="6743" priority="523" operator="lessThan">
      <formula>0.8</formula>
    </cfRule>
    <cfRule type="cellIs" dxfId="6742" priority="524" operator="greaterThan">
      <formula>1</formula>
    </cfRule>
  </conditionalFormatting>
  <conditionalFormatting sqref="R84:R91">
    <cfRule type="cellIs" dxfId="6741" priority="521" operator="greaterThan">
      <formula>1</formula>
    </cfRule>
    <cfRule type="cellIs" dxfId="6740" priority="522" operator="lessThan">
      <formula>0.8</formula>
    </cfRule>
  </conditionalFormatting>
  <conditionalFormatting sqref="P84:P91">
    <cfRule type="cellIs" dxfId="6739" priority="520" operator="greaterThan">
      <formula>0</formula>
    </cfRule>
  </conditionalFormatting>
  <conditionalFormatting sqref="P84:P91">
    <cfRule type="cellIs" dxfId="6738" priority="514" operator="greaterThan">
      <formula>0</formula>
    </cfRule>
  </conditionalFormatting>
  <conditionalFormatting sqref="Q84:Q91">
    <cfRule type="cellIs" dxfId="6737" priority="519" operator="lessThan">
      <formula>0</formula>
    </cfRule>
  </conditionalFormatting>
  <conditionalFormatting sqref="R84:R91">
    <cfRule type="cellIs" dxfId="6736" priority="517" operator="lessThan">
      <formula>0.8</formula>
    </cfRule>
    <cfRule type="cellIs" dxfId="6735" priority="518" operator="greaterThan">
      <formula>1</formula>
    </cfRule>
  </conditionalFormatting>
  <conditionalFormatting sqref="R84:R91">
    <cfRule type="cellIs" dxfId="6734" priority="515" operator="greaterThan">
      <formula>1</formula>
    </cfRule>
    <cfRule type="cellIs" dxfId="6733" priority="516" operator="lessThan">
      <formula>0.8</formula>
    </cfRule>
  </conditionalFormatting>
  <conditionalFormatting sqref="P84:P91">
    <cfRule type="cellIs" dxfId="6732" priority="508" operator="greaterThan">
      <formula>0</formula>
    </cfRule>
  </conditionalFormatting>
  <conditionalFormatting sqref="Q84:Q91">
    <cfRule type="cellIs" dxfId="6731" priority="513" operator="lessThan">
      <formula>0</formula>
    </cfRule>
  </conditionalFormatting>
  <conditionalFormatting sqref="R84:R91">
    <cfRule type="cellIs" dxfId="6730" priority="511" operator="lessThan">
      <formula>0.8</formula>
    </cfRule>
    <cfRule type="cellIs" dxfId="6729" priority="512" operator="greaterThan">
      <formula>1</formula>
    </cfRule>
  </conditionalFormatting>
  <conditionalFormatting sqref="R84:R91">
    <cfRule type="cellIs" dxfId="6728" priority="509" operator="greaterThan">
      <formula>1</formula>
    </cfRule>
    <cfRule type="cellIs" dxfId="6727" priority="510" operator="lessThan">
      <formula>0.8</formula>
    </cfRule>
  </conditionalFormatting>
  <conditionalFormatting sqref="R84:R91">
    <cfRule type="cellIs" dxfId="6726" priority="505" operator="lessThan">
      <formula>0.8</formula>
    </cfRule>
    <cfRule type="cellIs" dxfId="6725" priority="506" operator="greaterThan">
      <formula>1</formula>
    </cfRule>
  </conditionalFormatting>
  <conditionalFormatting sqref="R84:R91">
    <cfRule type="cellIs" dxfId="6724" priority="503" operator="greaterThan">
      <formula>1</formula>
    </cfRule>
    <cfRule type="cellIs" dxfId="6723" priority="504" operator="lessThan">
      <formula>0.8</formula>
    </cfRule>
  </conditionalFormatting>
  <conditionalFormatting sqref="P84:P91">
    <cfRule type="cellIs" dxfId="6722" priority="502" operator="greaterThan">
      <formula>0</formula>
    </cfRule>
  </conditionalFormatting>
  <conditionalFormatting sqref="Q84:Q91">
    <cfRule type="cellIs" dxfId="6721" priority="507" operator="lessThan">
      <formula>0</formula>
    </cfRule>
  </conditionalFormatting>
  <conditionalFormatting sqref="P84:P91">
    <cfRule type="cellIs" dxfId="6720" priority="496" operator="greaterThan">
      <formula>0</formula>
    </cfRule>
  </conditionalFormatting>
  <conditionalFormatting sqref="Q84:Q91">
    <cfRule type="cellIs" dxfId="6719" priority="501" operator="lessThan">
      <formula>0</formula>
    </cfRule>
  </conditionalFormatting>
  <conditionalFormatting sqref="R84:R91">
    <cfRule type="cellIs" dxfId="6718" priority="499" operator="lessThan">
      <formula>0.8</formula>
    </cfRule>
    <cfRule type="cellIs" dxfId="6717" priority="500" operator="greaterThan">
      <formula>1</formula>
    </cfRule>
  </conditionalFormatting>
  <conditionalFormatting sqref="R84:R91">
    <cfRule type="cellIs" dxfId="6716" priority="497" operator="greaterThan">
      <formula>1</formula>
    </cfRule>
    <cfRule type="cellIs" dxfId="6715" priority="498" operator="lessThan">
      <formula>0.8</formula>
    </cfRule>
  </conditionalFormatting>
  <conditionalFormatting sqref="R84:R91">
    <cfRule type="cellIs" dxfId="6714" priority="493" operator="lessThan">
      <formula>0.8</formula>
    </cfRule>
    <cfRule type="cellIs" dxfId="6713" priority="494" operator="greaterThan">
      <formula>1</formula>
    </cfRule>
  </conditionalFormatting>
  <conditionalFormatting sqref="R84:R91">
    <cfRule type="cellIs" dxfId="6712" priority="491" operator="greaterThan">
      <formula>1</formula>
    </cfRule>
    <cfRule type="cellIs" dxfId="6711" priority="492" operator="lessThan">
      <formula>0.8</formula>
    </cfRule>
  </conditionalFormatting>
  <conditionalFormatting sqref="P84:P91">
    <cfRule type="cellIs" dxfId="6710" priority="490" operator="greaterThan">
      <formula>0</formula>
    </cfRule>
  </conditionalFormatting>
  <conditionalFormatting sqref="Q84:Q91">
    <cfRule type="cellIs" dxfId="6709" priority="495" operator="lessThan">
      <formula>0</formula>
    </cfRule>
  </conditionalFormatting>
  <conditionalFormatting sqref="R84:R91">
    <cfRule type="cellIs" dxfId="6708" priority="487" operator="lessThan">
      <formula>0.8</formula>
    </cfRule>
    <cfRule type="cellIs" dxfId="6707" priority="488" operator="greaterThan">
      <formula>1</formula>
    </cfRule>
  </conditionalFormatting>
  <conditionalFormatting sqref="R84:R91">
    <cfRule type="cellIs" dxfId="6706" priority="485" operator="greaterThan">
      <formula>1</formula>
    </cfRule>
    <cfRule type="cellIs" dxfId="6705" priority="486" operator="lessThan">
      <formula>0.8</formula>
    </cfRule>
  </conditionalFormatting>
  <conditionalFormatting sqref="P84:P91">
    <cfRule type="cellIs" dxfId="6704" priority="484" operator="greaterThan">
      <formula>0</formula>
    </cfRule>
  </conditionalFormatting>
  <conditionalFormatting sqref="Q84:Q91">
    <cfRule type="cellIs" dxfId="6703" priority="489" operator="lessThan">
      <formula>0</formula>
    </cfRule>
  </conditionalFormatting>
  <conditionalFormatting sqref="Q84:Q91">
    <cfRule type="cellIs" dxfId="6702" priority="483" operator="lessThan">
      <formula>0</formula>
    </cfRule>
  </conditionalFormatting>
  <conditionalFormatting sqref="R84:R91">
    <cfRule type="cellIs" dxfId="6701" priority="481" operator="lessThan">
      <formula>0.8</formula>
    </cfRule>
    <cfRule type="cellIs" dxfId="6700" priority="482" operator="greaterThan">
      <formula>1</formula>
    </cfRule>
  </conditionalFormatting>
  <conditionalFormatting sqref="R84:R91">
    <cfRule type="cellIs" dxfId="6699" priority="479" operator="greaterThan">
      <formula>1</formula>
    </cfRule>
    <cfRule type="cellIs" dxfId="6698" priority="480" operator="lessThan">
      <formula>0.8</formula>
    </cfRule>
  </conditionalFormatting>
  <conditionalFormatting sqref="P84:P91">
    <cfRule type="cellIs" dxfId="6697" priority="478" operator="greaterThan">
      <formula>0</formula>
    </cfRule>
  </conditionalFormatting>
  <conditionalFormatting sqref="Q84:Q91">
    <cfRule type="cellIs" dxfId="6696" priority="472" operator="lessThan">
      <formula>0</formula>
    </cfRule>
  </conditionalFormatting>
  <conditionalFormatting sqref="R84:R91">
    <cfRule type="cellIs" dxfId="6695" priority="476" operator="lessThan">
      <formula>0.8</formula>
    </cfRule>
    <cfRule type="cellIs" dxfId="6694" priority="477" operator="greaterThan">
      <formula>1</formula>
    </cfRule>
  </conditionalFormatting>
  <conditionalFormatting sqref="R84:R91">
    <cfRule type="cellIs" dxfId="6693" priority="474" operator="greaterThan">
      <formula>1</formula>
    </cfRule>
    <cfRule type="cellIs" dxfId="6692" priority="475" operator="lessThan">
      <formula>0.8</formula>
    </cfRule>
  </conditionalFormatting>
  <conditionalFormatting sqref="P84:P91">
    <cfRule type="cellIs" dxfId="6691" priority="473" operator="greaterThan">
      <formula>0</formula>
    </cfRule>
  </conditionalFormatting>
  <conditionalFormatting sqref="Q84:Q91">
    <cfRule type="cellIs" dxfId="6690" priority="471" operator="lessThan">
      <formula>0</formula>
    </cfRule>
  </conditionalFormatting>
  <conditionalFormatting sqref="R84:R91">
    <cfRule type="cellIs" dxfId="6689" priority="469" operator="lessThan">
      <formula>0.8</formula>
    </cfRule>
    <cfRule type="cellIs" dxfId="6688" priority="470" operator="greaterThan">
      <formula>1</formula>
    </cfRule>
  </conditionalFormatting>
  <conditionalFormatting sqref="R84:R91">
    <cfRule type="cellIs" dxfId="6687" priority="467" operator="greaterThan">
      <formula>1</formula>
    </cfRule>
    <cfRule type="cellIs" dxfId="6686" priority="468" operator="lessThan">
      <formula>0.8</formula>
    </cfRule>
  </conditionalFormatting>
  <conditionalFormatting sqref="P84:P91">
    <cfRule type="cellIs" dxfId="6685" priority="466" operator="greaterThan">
      <formula>0</formula>
    </cfRule>
  </conditionalFormatting>
  <conditionalFormatting sqref="Q84:Q91">
    <cfRule type="cellIs" dxfId="6684" priority="465" operator="lessThan">
      <formula>0</formula>
    </cfRule>
  </conditionalFormatting>
  <conditionalFormatting sqref="R84:R91">
    <cfRule type="cellIs" dxfId="6683" priority="463" operator="lessThan">
      <formula>0.8</formula>
    </cfRule>
    <cfRule type="cellIs" dxfId="6682" priority="464" operator="greaterThan">
      <formula>1</formula>
    </cfRule>
  </conditionalFormatting>
  <conditionalFormatting sqref="R84:R91">
    <cfRule type="cellIs" dxfId="6681" priority="461" operator="greaterThan">
      <formula>1</formula>
    </cfRule>
    <cfRule type="cellIs" dxfId="6680" priority="462" operator="lessThan">
      <formula>0.8</formula>
    </cfRule>
  </conditionalFormatting>
  <conditionalFormatting sqref="P84:P91">
    <cfRule type="cellIs" dxfId="6679" priority="460" operator="greaterThan">
      <formula>0</formula>
    </cfRule>
  </conditionalFormatting>
  <conditionalFormatting sqref="Q84:Q91">
    <cfRule type="cellIs" dxfId="6678" priority="459" operator="lessThan">
      <formula>0</formula>
    </cfRule>
  </conditionalFormatting>
  <conditionalFormatting sqref="R84:R91">
    <cfRule type="cellIs" dxfId="6677" priority="457" operator="lessThan">
      <formula>0.8</formula>
    </cfRule>
    <cfRule type="cellIs" dxfId="6676" priority="458" operator="greaterThan">
      <formula>1</formula>
    </cfRule>
  </conditionalFormatting>
  <conditionalFormatting sqref="R84:R91">
    <cfRule type="cellIs" dxfId="6675" priority="455" operator="greaterThan">
      <formula>1</formula>
    </cfRule>
    <cfRule type="cellIs" dxfId="6674" priority="456" operator="lessThan">
      <formula>0.8</formula>
    </cfRule>
  </conditionalFormatting>
  <conditionalFormatting sqref="P84:P91">
    <cfRule type="cellIs" dxfId="6673" priority="454" operator="greaterThan">
      <formula>0</formula>
    </cfRule>
  </conditionalFormatting>
  <conditionalFormatting sqref="Q84:Q91">
    <cfRule type="cellIs" dxfId="6672" priority="453" operator="lessThan">
      <formula>0</formula>
    </cfRule>
  </conditionalFormatting>
  <conditionalFormatting sqref="R84:R91">
    <cfRule type="cellIs" dxfId="6671" priority="451" operator="lessThan">
      <formula>0.8</formula>
    </cfRule>
    <cfRule type="cellIs" dxfId="6670" priority="452" operator="greaterThan">
      <formula>1</formula>
    </cfRule>
  </conditionalFormatting>
  <conditionalFormatting sqref="R84:R91">
    <cfRule type="cellIs" dxfId="6669" priority="449" operator="greaterThan">
      <formula>1</formula>
    </cfRule>
    <cfRule type="cellIs" dxfId="6668" priority="450" operator="lessThan">
      <formula>0.8</formula>
    </cfRule>
  </conditionalFormatting>
  <conditionalFormatting sqref="P84:P91">
    <cfRule type="cellIs" dxfId="6667" priority="448" operator="greaterThan">
      <formula>0</formula>
    </cfRule>
  </conditionalFormatting>
  <conditionalFormatting sqref="Q84:Q91">
    <cfRule type="cellIs" dxfId="6666" priority="447" operator="lessThan">
      <formula>0</formula>
    </cfRule>
  </conditionalFormatting>
  <conditionalFormatting sqref="R84:R91">
    <cfRule type="cellIs" dxfId="6665" priority="445" operator="lessThan">
      <formula>0.8</formula>
    </cfRule>
    <cfRule type="cellIs" dxfId="6664" priority="446" operator="greaterThan">
      <formula>1</formula>
    </cfRule>
  </conditionalFormatting>
  <conditionalFormatting sqref="R84:R91">
    <cfRule type="cellIs" dxfId="6663" priority="443" operator="greaterThan">
      <formula>1</formula>
    </cfRule>
    <cfRule type="cellIs" dxfId="6662" priority="444" operator="lessThan">
      <formula>0.8</formula>
    </cfRule>
  </conditionalFormatting>
  <conditionalFormatting sqref="P84:P91">
    <cfRule type="cellIs" dxfId="6661" priority="442" operator="greaterThan">
      <formula>0</formula>
    </cfRule>
  </conditionalFormatting>
  <conditionalFormatting sqref="P84:P91">
    <cfRule type="cellIs" dxfId="6660" priority="436" operator="greaterThan">
      <formula>0</formula>
    </cfRule>
  </conditionalFormatting>
  <conditionalFormatting sqref="Q84:Q91">
    <cfRule type="cellIs" dxfId="6659" priority="441" operator="lessThan">
      <formula>0</formula>
    </cfRule>
  </conditionalFormatting>
  <conditionalFormatting sqref="R84:R91">
    <cfRule type="cellIs" dxfId="6658" priority="439" operator="lessThan">
      <formula>0.8</formula>
    </cfRule>
    <cfRule type="cellIs" dxfId="6657" priority="440" operator="greaterThan">
      <formula>1</formula>
    </cfRule>
  </conditionalFormatting>
  <conditionalFormatting sqref="R84:R91">
    <cfRule type="cellIs" dxfId="6656" priority="437" operator="greaterThan">
      <formula>1</formula>
    </cfRule>
    <cfRule type="cellIs" dxfId="6655" priority="438" operator="lessThan">
      <formula>0.8</formula>
    </cfRule>
  </conditionalFormatting>
  <conditionalFormatting sqref="P84:P91">
    <cfRule type="cellIs" dxfId="6654" priority="430" operator="greaterThan">
      <formula>0</formula>
    </cfRule>
  </conditionalFormatting>
  <conditionalFormatting sqref="Q84:Q91">
    <cfRule type="cellIs" dxfId="6653" priority="435" operator="lessThan">
      <formula>0</formula>
    </cfRule>
  </conditionalFormatting>
  <conditionalFormatting sqref="R84:R91">
    <cfRule type="cellIs" dxfId="6652" priority="433" operator="lessThan">
      <formula>0.8</formula>
    </cfRule>
    <cfRule type="cellIs" dxfId="6651" priority="434" operator="greaterThan">
      <formula>1</formula>
    </cfRule>
  </conditionalFormatting>
  <conditionalFormatting sqref="R84:R91">
    <cfRule type="cellIs" dxfId="6650" priority="431" operator="greaterThan">
      <formula>1</formula>
    </cfRule>
    <cfRule type="cellIs" dxfId="6649" priority="432" operator="lessThan">
      <formula>0.8</formula>
    </cfRule>
  </conditionalFormatting>
  <conditionalFormatting sqref="R84:R91">
    <cfRule type="cellIs" dxfId="6648" priority="427" operator="lessThan">
      <formula>0.8</formula>
    </cfRule>
    <cfRule type="cellIs" dxfId="6647" priority="428" operator="greaterThan">
      <formula>1</formula>
    </cfRule>
  </conditionalFormatting>
  <conditionalFormatting sqref="R84:R91">
    <cfRule type="cellIs" dxfId="6646" priority="425" operator="greaterThan">
      <formula>1</formula>
    </cfRule>
    <cfRule type="cellIs" dxfId="6645" priority="426" operator="lessThan">
      <formula>0.8</formula>
    </cfRule>
  </conditionalFormatting>
  <conditionalFormatting sqref="P84:P91">
    <cfRule type="cellIs" dxfId="6644" priority="424" operator="greaterThan">
      <formula>0</formula>
    </cfRule>
  </conditionalFormatting>
  <conditionalFormatting sqref="Q84:Q91">
    <cfRule type="cellIs" dxfId="6643" priority="429" operator="lessThan">
      <formula>0</formula>
    </cfRule>
  </conditionalFormatting>
  <conditionalFormatting sqref="Q84:Q91">
    <cfRule type="cellIs" dxfId="6642" priority="418" operator="lessThan">
      <formula>0</formula>
    </cfRule>
  </conditionalFormatting>
  <conditionalFormatting sqref="P84:P91">
    <cfRule type="cellIs" dxfId="6641" priority="419" operator="greaterThan">
      <formula>0</formula>
    </cfRule>
  </conditionalFormatting>
  <conditionalFormatting sqref="R84:R91">
    <cfRule type="cellIs" dxfId="6640" priority="422" operator="lessThan">
      <formula>0.8</formula>
    </cfRule>
    <cfRule type="cellIs" dxfId="6639" priority="423" operator="greaterThan">
      <formula>1</formula>
    </cfRule>
  </conditionalFormatting>
  <conditionalFormatting sqref="R84:R91">
    <cfRule type="cellIs" dxfId="6638" priority="420" operator="greaterThan">
      <formula>1</formula>
    </cfRule>
    <cfRule type="cellIs" dxfId="6637" priority="421" operator="lessThan">
      <formula>0.8</formula>
    </cfRule>
  </conditionalFormatting>
  <conditionalFormatting sqref="Q84:Q91">
    <cfRule type="cellIs" dxfId="6636" priority="412" operator="lessThan">
      <formula>0</formula>
    </cfRule>
  </conditionalFormatting>
  <conditionalFormatting sqref="R84:R91">
    <cfRule type="cellIs" dxfId="6635" priority="416" operator="lessThan">
      <formula>0.8</formula>
    </cfRule>
    <cfRule type="cellIs" dxfId="6634" priority="417" operator="greaterThan">
      <formula>1</formula>
    </cfRule>
  </conditionalFormatting>
  <conditionalFormatting sqref="R84:R91">
    <cfRule type="cellIs" dxfId="6633" priority="414" operator="greaterThan">
      <formula>1</formula>
    </cfRule>
    <cfRule type="cellIs" dxfId="6632" priority="415" operator="lessThan">
      <formula>0.8</formula>
    </cfRule>
  </conditionalFormatting>
  <conditionalFormatting sqref="P84:P91">
    <cfRule type="cellIs" dxfId="6631" priority="413" operator="greaterThan">
      <formula>0</formula>
    </cfRule>
  </conditionalFormatting>
  <conditionalFormatting sqref="Q84:Q91">
    <cfRule type="cellIs" dxfId="6630" priority="411" operator="lessThan">
      <formula>0</formula>
    </cfRule>
  </conditionalFormatting>
  <conditionalFormatting sqref="R84:R91">
    <cfRule type="cellIs" dxfId="6629" priority="409" operator="lessThan">
      <formula>0.8</formula>
    </cfRule>
    <cfRule type="cellIs" dxfId="6628" priority="410" operator="greaterThan">
      <formula>1</formula>
    </cfRule>
  </conditionalFormatting>
  <conditionalFormatting sqref="R84:R91">
    <cfRule type="cellIs" dxfId="6627" priority="407" operator="greaterThan">
      <formula>1</formula>
    </cfRule>
    <cfRule type="cellIs" dxfId="6626" priority="408" operator="lessThan">
      <formula>0.8</formula>
    </cfRule>
  </conditionalFormatting>
  <conditionalFormatting sqref="P84:P91">
    <cfRule type="cellIs" dxfId="6625" priority="406" operator="greaterThan">
      <formula>0</formula>
    </cfRule>
  </conditionalFormatting>
  <conditionalFormatting sqref="Q84:Q91">
    <cfRule type="cellIs" dxfId="6624" priority="405" operator="lessThan">
      <formula>0</formula>
    </cfRule>
  </conditionalFormatting>
  <conditionalFormatting sqref="R84:R91">
    <cfRule type="cellIs" dxfId="6623" priority="403" operator="lessThan">
      <formula>0.8</formula>
    </cfRule>
    <cfRule type="cellIs" dxfId="6622" priority="404" operator="greaterThan">
      <formula>1</formula>
    </cfRule>
  </conditionalFormatting>
  <conditionalFormatting sqref="R84:R91">
    <cfRule type="cellIs" dxfId="6621" priority="401" operator="greaterThan">
      <formula>1</formula>
    </cfRule>
    <cfRule type="cellIs" dxfId="6620" priority="402" operator="lessThan">
      <formula>0.8</formula>
    </cfRule>
  </conditionalFormatting>
  <conditionalFormatting sqref="P84:P91">
    <cfRule type="cellIs" dxfId="6619" priority="400" operator="greaterThan">
      <formula>0</formula>
    </cfRule>
  </conditionalFormatting>
  <conditionalFormatting sqref="Q84:Q91">
    <cfRule type="cellIs" dxfId="6618" priority="399" operator="lessThan">
      <formula>0</formula>
    </cfRule>
  </conditionalFormatting>
  <conditionalFormatting sqref="R84:R91">
    <cfRule type="cellIs" dxfId="6617" priority="397" operator="lessThan">
      <formula>0.8</formula>
    </cfRule>
    <cfRule type="cellIs" dxfId="6616" priority="398" operator="greaterThan">
      <formula>1</formula>
    </cfRule>
  </conditionalFormatting>
  <conditionalFormatting sqref="R84:R91">
    <cfRule type="cellIs" dxfId="6615" priority="395" operator="greaterThan">
      <formula>1</formula>
    </cfRule>
    <cfRule type="cellIs" dxfId="6614" priority="396" operator="lessThan">
      <formula>0.8</formula>
    </cfRule>
  </conditionalFormatting>
  <conditionalFormatting sqref="P84:P91">
    <cfRule type="cellIs" dxfId="6613" priority="394" operator="greaterThan">
      <formula>0</formula>
    </cfRule>
  </conditionalFormatting>
  <conditionalFormatting sqref="Q84:Q91">
    <cfRule type="cellIs" dxfId="6612" priority="393" operator="lessThan">
      <formula>0</formula>
    </cfRule>
  </conditionalFormatting>
  <conditionalFormatting sqref="R84:R91">
    <cfRule type="cellIs" dxfId="6611" priority="391" operator="lessThan">
      <formula>0.8</formula>
    </cfRule>
    <cfRule type="cellIs" dxfId="6610" priority="392" operator="greaterThan">
      <formula>1</formula>
    </cfRule>
  </conditionalFormatting>
  <conditionalFormatting sqref="R84:R91">
    <cfRule type="cellIs" dxfId="6609" priority="389" operator="greaterThan">
      <formula>1</formula>
    </cfRule>
    <cfRule type="cellIs" dxfId="6608" priority="390" operator="lessThan">
      <formula>0.8</formula>
    </cfRule>
  </conditionalFormatting>
  <conditionalFormatting sqref="P84:P91">
    <cfRule type="cellIs" dxfId="6607" priority="388" operator="greaterThan">
      <formula>0</formula>
    </cfRule>
  </conditionalFormatting>
  <conditionalFormatting sqref="Q84:Q91">
    <cfRule type="cellIs" dxfId="6606" priority="387" operator="lessThan">
      <formula>0</formula>
    </cfRule>
  </conditionalFormatting>
  <conditionalFormatting sqref="R84:R91">
    <cfRule type="cellIs" dxfId="6605" priority="385" operator="lessThan">
      <formula>0.8</formula>
    </cfRule>
    <cfRule type="cellIs" dxfId="6604" priority="386" operator="greaterThan">
      <formula>1</formula>
    </cfRule>
  </conditionalFormatting>
  <conditionalFormatting sqref="R84:R91">
    <cfRule type="cellIs" dxfId="6603" priority="383" operator="greaterThan">
      <formula>1</formula>
    </cfRule>
    <cfRule type="cellIs" dxfId="6602" priority="384" operator="lessThan">
      <formula>0.8</formula>
    </cfRule>
  </conditionalFormatting>
  <conditionalFormatting sqref="P84:P91">
    <cfRule type="cellIs" dxfId="6601" priority="382" operator="greaterThan">
      <formula>0</formula>
    </cfRule>
  </conditionalFormatting>
  <conditionalFormatting sqref="Q84:Q91">
    <cfRule type="cellIs" dxfId="6600" priority="381" operator="lessThan">
      <formula>0</formula>
    </cfRule>
  </conditionalFormatting>
  <conditionalFormatting sqref="R84:R91">
    <cfRule type="cellIs" dxfId="6599" priority="379" operator="lessThan">
      <formula>0.8</formula>
    </cfRule>
    <cfRule type="cellIs" dxfId="6598" priority="380" operator="greaterThan">
      <formula>1</formula>
    </cfRule>
  </conditionalFormatting>
  <conditionalFormatting sqref="R84:R91">
    <cfRule type="cellIs" dxfId="6597" priority="377" operator="greaterThan">
      <formula>1</formula>
    </cfRule>
    <cfRule type="cellIs" dxfId="6596" priority="378" operator="lessThan">
      <formula>0.8</formula>
    </cfRule>
  </conditionalFormatting>
  <conditionalFormatting sqref="P84:P91">
    <cfRule type="cellIs" dxfId="6595" priority="376" operator="greaterThan">
      <formula>0</formula>
    </cfRule>
  </conditionalFormatting>
  <conditionalFormatting sqref="Q84:Q91">
    <cfRule type="cellIs" dxfId="6594" priority="375" operator="lessThan">
      <formula>0</formula>
    </cfRule>
  </conditionalFormatting>
  <conditionalFormatting sqref="R84:R91">
    <cfRule type="cellIs" dxfId="6593" priority="373" operator="lessThan">
      <formula>0.8</formula>
    </cfRule>
    <cfRule type="cellIs" dxfId="6592" priority="374" operator="greaterThan">
      <formula>1</formula>
    </cfRule>
  </conditionalFormatting>
  <conditionalFormatting sqref="R84:R91">
    <cfRule type="cellIs" dxfId="6591" priority="371" operator="greaterThan">
      <formula>1</formula>
    </cfRule>
    <cfRule type="cellIs" dxfId="6590" priority="372" operator="lessThan">
      <formula>0.8</formula>
    </cfRule>
  </conditionalFormatting>
  <conditionalFormatting sqref="P84:P91">
    <cfRule type="cellIs" dxfId="6589" priority="370" operator="greaterThan">
      <formula>0</formula>
    </cfRule>
  </conditionalFormatting>
  <conditionalFormatting sqref="P84:P91">
    <cfRule type="cellIs" dxfId="6588" priority="364" operator="greaterThan">
      <formula>0</formula>
    </cfRule>
  </conditionalFormatting>
  <conditionalFormatting sqref="Q84:Q91">
    <cfRule type="cellIs" dxfId="6587" priority="369" operator="lessThan">
      <formula>0</formula>
    </cfRule>
  </conditionalFormatting>
  <conditionalFormatting sqref="R84:R91">
    <cfRule type="cellIs" dxfId="6586" priority="367" operator="lessThan">
      <formula>0.8</formula>
    </cfRule>
    <cfRule type="cellIs" dxfId="6585" priority="368" operator="greaterThan">
      <formula>1</formula>
    </cfRule>
  </conditionalFormatting>
  <conditionalFormatting sqref="R84:R91">
    <cfRule type="cellIs" dxfId="6584" priority="365" operator="greaterThan">
      <formula>1</formula>
    </cfRule>
    <cfRule type="cellIs" dxfId="6583" priority="366" operator="lessThan">
      <formula>0.8</formula>
    </cfRule>
  </conditionalFormatting>
  <conditionalFormatting sqref="P84:P91">
    <cfRule type="cellIs" dxfId="6582" priority="358" operator="greaterThan">
      <formula>0</formula>
    </cfRule>
  </conditionalFormatting>
  <conditionalFormatting sqref="Q84:Q91">
    <cfRule type="cellIs" dxfId="6581" priority="363" operator="lessThan">
      <formula>0</formula>
    </cfRule>
  </conditionalFormatting>
  <conditionalFormatting sqref="R84:R91">
    <cfRule type="cellIs" dxfId="6580" priority="361" operator="lessThan">
      <formula>0.8</formula>
    </cfRule>
    <cfRule type="cellIs" dxfId="6579" priority="362" operator="greaterThan">
      <formula>1</formula>
    </cfRule>
  </conditionalFormatting>
  <conditionalFormatting sqref="R84:R91">
    <cfRule type="cellIs" dxfId="6578" priority="359" operator="greaterThan">
      <formula>1</formula>
    </cfRule>
    <cfRule type="cellIs" dxfId="6577" priority="360" operator="lessThan">
      <formula>0.8</formula>
    </cfRule>
  </conditionalFormatting>
  <conditionalFormatting sqref="R84:R91">
    <cfRule type="cellIs" dxfId="6576" priority="355" operator="lessThan">
      <formula>0.8</formula>
    </cfRule>
    <cfRule type="cellIs" dxfId="6575" priority="356" operator="greaterThan">
      <formula>1</formula>
    </cfRule>
  </conditionalFormatting>
  <conditionalFormatting sqref="R84:R91">
    <cfRule type="cellIs" dxfId="6574" priority="353" operator="greaterThan">
      <formula>1</formula>
    </cfRule>
    <cfRule type="cellIs" dxfId="6573" priority="354" operator="lessThan">
      <formula>0.8</formula>
    </cfRule>
  </conditionalFormatting>
  <conditionalFormatting sqref="P84:P91">
    <cfRule type="cellIs" dxfId="6572" priority="352" operator="greaterThan">
      <formula>0</formula>
    </cfRule>
  </conditionalFormatting>
  <conditionalFormatting sqref="Q84:Q91">
    <cfRule type="cellIs" dxfId="6571" priority="357" operator="lessThan">
      <formula>0</formula>
    </cfRule>
  </conditionalFormatting>
  <conditionalFormatting sqref="Q84:Q91">
    <cfRule type="cellIs" dxfId="6570" priority="351" operator="lessThan">
      <formula>0</formula>
    </cfRule>
  </conditionalFormatting>
  <conditionalFormatting sqref="R84:R91">
    <cfRule type="cellIs" dxfId="6569" priority="349" operator="lessThan">
      <formula>0.8</formula>
    </cfRule>
    <cfRule type="cellIs" dxfId="6568" priority="350" operator="greaterThan">
      <formula>1</formula>
    </cfRule>
  </conditionalFormatting>
  <conditionalFormatting sqref="R84:R91">
    <cfRule type="cellIs" dxfId="6567" priority="347" operator="greaterThan">
      <formula>1</formula>
    </cfRule>
    <cfRule type="cellIs" dxfId="6566" priority="348" operator="lessThan">
      <formula>0.8</formula>
    </cfRule>
  </conditionalFormatting>
  <conditionalFormatting sqref="P84:P91">
    <cfRule type="cellIs" dxfId="6565" priority="346" operator="greaterThan">
      <formula>0</formula>
    </cfRule>
  </conditionalFormatting>
  <conditionalFormatting sqref="P84:P91">
    <cfRule type="cellIs" dxfId="6564" priority="340" operator="greaterThan">
      <formula>0</formula>
    </cfRule>
  </conditionalFormatting>
  <conditionalFormatting sqref="Q84:Q91">
    <cfRule type="cellIs" dxfId="6563" priority="345" operator="lessThan">
      <formula>0</formula>
    </cfRule>
  </conditionalFormatting>
  <conditionalFormatting sqref="R84:R91">
    <cfRule type="cellIs" dxfId="6562" priority="343" operator="lessThan">
      <formula>0.8</formula>
    </cfRule>
    <cfRule type="cellIs" dxfId="6561" priority="344" operator="greaterThan">
      <formula>1</formula>
    </cfRule>
  </conditionalFormatting>
  <conditionalFormatting sqref="R84:R91">
    <cfRule type="cellIs" dxfId="6560" priority="341" operator="greaterThan">
      <formula>1</formula>
    </cfRule>
    <cfRule type="cellIs" dxfId="6559" priority="342" operator="lessThan">
      <formula>0.8</formula>
    </cfRule>
  </conditionalFormatting>
  <conditionalFormatting sqref="P84:P91">
    <cfRule type="cellIs" dxfId="6558" priority="334" operator="greaterThan">
      <formula>0</formula>
    </cfRule>
  </conditionalFormatting>
  <conditionalFormatting sqref="Q84:Q91">
    <cfRule type="cellIs" dxfId="6557" priority="339" operator="lessThan">
      <formula>0</formula>
    </cfRule>
  </conditionalFormatting>
  <conditionalFormatting sqref="R84:R91">
    <cfRule type="cellIs" dxfId="6556" priority="337" operator="lessThan">
      <formula>0.8</formula>
    </cfRule>
    <cfRule type="cellIs" dxfId="6555" priority="338" operator="greaterThan">
      <formula>1</formula>
    </cfRule>
  </conditionalFormatting>
  <conditionalFormatting sqref="R84:R91">
    <cfRule type="cellIs" dxfId="6554" priority="335" operator="greaterThan">
      <formula>1</formula>
    </cfRule>
    <cfRule type="cellIs" dxfId="6553" priority="336" operator="lessThan">
      <formula>0.8</formula>
    </cfRule>
  </conditionalFormatting>
  <conditionalFormatting sqref="R84:R91">
    <cfRule type="cellIs" dxfId="6552" priority="331" operator="lessThan">
      <formula>0.8</formula>
    </cfRule>
    <cfRule type="cellIs" dxfId="6551" priority="332" operator="greaterThan">
      <formula>1</formula>
    </cfRule>
  </conditionalFormatting>
  <conditionalFormatting sqref="R84:R91">
    <cfRule type="cellIs" dxfId="6550" priority="329" operator="greaterThan">
      <formula>1</formula>
    </cfRule>
    <cfRule type="cellIs" dxfId="6549" priority="330" operator="lessThan">
      <formula>0.8</formula>
    </cfRule>
  </conditionalFormatting>
  <conditionalFormatting sqref="P84:P91">
    <cfRule type="cellIs" dxfId="6548" priority="328" operator="greaterThan">
      <formula>0</formula>
    </cfRule>
  </conditionalFormatting>
  <conditionalFormatting sqref="Q84:Q91">
    <cfRule type="cellIs" dxfId="6547" priority="333" operator="lessThan">
      <formula>0</formula>
    </cfRule>
  </conditionalFormatting>
  <conditionalFormatting sqref="P84:P91">
    <cfRule type="cellIs" dxfId="6546" priority="322" operator="greaterThan">
      <formula>0</formula>
    </cfRule>
  </conditionalFormatting>
  <conditionalFormatting sqref="Q84:Q91">
    <cfRule type="cellIs" dxfId="6545" priority="327" operator="lessThan">
      <formula>0</formula>
    </cfRule>
  </conditionalFormatting>
  <conditionalFormatting sqref="R84:R91">
    <cfRule type="cellIs" dxfId="6544" priority="325" operator="lessThan">
      <formula>0.8</formula>
    </cfRule>
    <cfRule type="cellIs" dxfId="6543" priority="326" operator="greaterThan">
      <formula>1</formula>
    </cfRule>
  </conditionalFormatting>
  <conditionalFormatting sqref="R84:R91">
    <cfRule type="cellIs" dxfId="6542" priority="323" operator="greaterThan">
      <formula>1</formula>
    </cfRule>
    <cfRule type="cellIs" dxfId="6541" priority="324" operator="lessThan">
      <formula>0.8</formula>
    </cfRule>
  </conditionalFormatting>
  <conditionalFormatting sqref="R84:R91">
    <cfRule type="cellIs" dxfId="6540" priority="319" operator="lessThan">
      <formula>0.8</formula>
    </cfRule>
    <cfRule type="cellIs" dxfId="6539" priority="320" operator="greaterThan">
      <formula>1</formula>
    </cfRule>
  </conditionalFormatting>
  <conditionalFormatting sqref="R84:R91">
    <cfRule type="cellIs" dxfId="6538" priority="317" operator="greaterThan">
      <formula>1</formula>
    </cfRule>
    <cfRule type="cellIs" dxfId="6537" priority="318" operator="lessThan">
      <formula>0.8</formula>
    </cfRule>
  </conditionalFormatting>
  <conditionalFormatting sqref="P84:P91">
    <cfRule type="cellIs" dxfId="6536" priority="316" operator="greaterThan">
      <formula>0</formula>
    </cfRule>
  </conditionalFormatting>
  <conditionalFormatting sqref="Q84:Q91">
    <cfRule type="cellIs" dxfId="6535" priority="321" operator="lessThan">
      <formula>0</formula>
    </cfRule>
  </conditionalFormatting>
  <conditionalFormatting sqref="R84:R91">
    <cfRule type="cellIs" dxfId="6534" priority="313" operator="lessThan">
      <formula>0.8</formula>
    </cfRule>
    <cfRule type="cellIs" dxfId="6533" priority="314" operator="greaterThan">
      <formula>1</formula>
    </cfRule>
  </conditionalFormatting>
  <conditionalFormatting sqref="R84:R91">
    <cfRule type="cellIs" dxfId="6532" priority="311" operator="greaterThan">
      <formula>1</formula>
    </cfRule>
    <cfRule type="cellIs" dxfId="6531" priority="312" operator="lessThan">
      <formula>0.8</formula>
    </cfRule>
  </conditionalFormatting>
  <conditionalFormatting sqref="P84:P91">
    <cfRule type="cellIs" dxfId="6530" priority="310" operator="greaterThan">
      <formula>0</formula>
    </cfRule>
  </conditionalFormatting>
  <conditionalFormatting sqref="Q84:Q91">
    <cfRule type="cellIs" dxfId="6529" priority="315" operator="lessThan">
      <formula>0</formula>
    </cfRule>
  </conditionalFormatting>
  <conditionalFormatting sqref="Q84:Q91">
    <cfRule type="cellIs" dxfId="6528" priority="309" operator="lessThan">
      <formula>0</formula>
    </cfRule>
  </conditionalFormatting>
  <conditionalFormatting sqref="R84:R91">
    <cfRule type="cellIs" dxfId="6527" priority="307" operator="lessThan">
      <formula>0.8</formula>
    </cfRule>
    <cfRule type="cellIs" dxfId="6526" priority="308" operator="greaterThan">
      <formula>1</formula>
    </cfRule>
  </conditionalFormatting>
  <conditionalFormatting sqref="R84:R91">
    <cfRule type="cellIs" dxfId="6525" priority="305" operator="greaterThan">
      <formula>1</formula>
    </cfRule>
    <cfRule type="cellIs" dxfId="6524" priority="306" operator="lessThan">
      <formula>0.8</formula>
    </cfRule>
  </conditionalFormatting>
  <conditionalFormatting sqref="P84:P91">
    <cfRule type="cellIs" dxfId="6523" priority="304" operator="greaterThan">
      <formula>0</formula>
    </cfRule>
  </conditionalFormatting>
  <conditionalFormatting sqref="Q84:Q91">
    <cfRule type="cellIs" dxfId="6522" priority="298" operator="lessThan">
      <formula>0</formula>
    </cfRule>
  </conditionalFormatting>
  <conditionalFormatting sqref="R84:R91">
    <cfRule type="cellIs" dxfId="6521" priority="302" operator="lessThan">
      <formula>0.8</formula>
    </cfRule>
    <cfRule type="cellIs" dxfId="6520" priority="303" operator="greaterThan">
      <formula>1</formula>
    </cfRule>
  </conditionalFormatting>
  <conditionalFormatting sqref="R84:R91">
    <cfRule type="cellIs" dxfId="6519" priority="300" operator="greaterThan">
      <formula>1</formula>
    </cfRule>
    <cfRule type="cellIs" dxfId="6518" priority="301" operator="lessThan">
      <formula>0.8</formula>
    </cfRule>
  </conditionalFormatting>
  <conditionalFormatting sqref="P84:P91">
    <cfRule type="cellIs" dxfId="6517" priority="299" operator="greaterThan">
      <formula>0</formula>
    </cfRule>
  </conditionalFormatting>
  <conditionalFormatting sqref="Q84:Q91">
    <cfRule type="cellIs" dxfId="6516" priority="297" operator="lessThan">
      <formula>0</formula>
    </cfRule>
  </conditionalFormatting>
  <conditionalFormatting sqref="R84:R91">
    <cfRule type="cellIs" dxfId="6515" priority="295" operator="lessThan">
      <formula>0.8</formula>
    </cfRule>
    <cfRule type="cellIs" dxfId="6514" priority="296" operator="greaterThan">
      <formula>1</formula>
    </cfRule>
  </conditionalFormatting>
  <conditionalFormatting sqref="R84:R91">
    <cfRule type="cellIs" dxfId="6513" priority="293" operator="greaterThan">
      <formula>1</formula>
    </cfRule>
    <cfRule type="cellIs" dxfId="6512" priority="294" operator="lessThan">
      <formula>0.8</formula>
    </cfRule>
  </conditionalFormatting>
  <conditionalFormatting sqref="P84:P91">
    <cfRule type="cellIs" dxfId="6511" priority="292" operator="greaterThan">
      <formula>0</formula>
    </cfRule>
  </conditionalFormatting>
  <conditionalFormatting sqref="Q84:Q91">
    <cfRule type="cellIs" dxfId="6510" priority="291" operator="lessThan">
      <formula>0</formula>
    </cfRule>
  </conditionalFormatting>
  <conditionalFormatting sqref="R84:R91">
    <cfRule type="cellIs" dxfId="6509" priority="289" operator="lessThan">
      <formula>0.8</formula>
    </cfRule>
    <cfRule type="cellIs" dxfId="6508" priority="290" operator="greaterThan">
      <formula>1</formula>
    </cfRule>
  </conditionalFormatting>
  <conditionalFormatting sqref="R84:R91">
    <cfRule type="cellIs" dxfId="6507" priority="287" operator="greaterThan">
      <formula>1</formula>
    </cfRule>
    <cfRule type="cellIs" dxfId="6506" priority="288" operator="lessThan">
      <formula>0.8</formula>
    </cfRule>
  </conditionalFormatting>
  <conditionalFormatting sqref="P84:P91">
    <cfRule type="cellIs" dxfId="6505" priority="286" operator="greaterThan">
      <formula>0</formula>
    </cfRule>
  </conditionalFormatting>
  <conditionalFormatting sqref="Q84:Q91">
    <cfRule type="cellIs" dxfId="6504" priority="285" operator="lessThan">
      <formula>0</formula>
    </cfRule>
  </conditionalFormatting>
  <conditionalFormatting sqref="R84:R91">
    <cfRule type="cellIs" dxfId="6503" priority="283" operator="lessThan">
      <formula>0.8</formula>
    </cfRule>
    <cfRule type="cellIs" dxfId="6502" priority="284" operator="greaterThan">
      <formula>1</formula>
    </cfRule>
  </conditionalFormatting>
  <conditionalFormatting sqref="R84:R91">
    <cfRule type="cellIs" dxfId="6501" priority="281" operator="greaterThan">
      <formula>1</formula>
    </cfRule>
    <cfRule type="cellIs" dxfId="6500" priority="282" operator="lessThan">
      <formula>0.8</formula>
    </cfRule>
  </conditionalFormatting>
  <conditionalFormatting sqref="P84:P91">
    <cfRule type="cellIs" dxfId="6499" priority="280" operator="greaterThan">
      <formula>0</formula>
    </cfRule>
  </conditionalFormatting>
  <conditionalFormatting sqref="Q84:Q91">
    <cfRule type="cellIs" dxfId="6498" priority="279" operator="lessThan">
      <formula>0</formula>
    </cfRule>
  </conditionalFormatting>
  <conditionalFormatting sqref="R84:R91">
    <cfRule type="cellIs" dxfId="6497" priority="277" operator="lessThan">
      <formula>0.8</formula>
    </cfRule>
    <cfRule type="cellIs" dxfId="6496" priority="278" operator="greaterThan">
      <formula>1</formula>
    </cfRule>
  </conditionalFormatting>
  <conditionalFormatting sqref="R84:R91">
    <cfRule type="cellIs" dxfId="6495" priority="275" operator="greaterThan">
      <formula>1</formula>
    </cfRule>
    <cfRule type="cellIs" dxfId="6494" priority="276" operator="lessThan">
      <formula>0.8</formula>
    </cfRule>
  </conditionalFormatting>
  <conditionalFormatting sqref="P84:P91">
    <cfRule type="cellIs" dxfId="6493" priority="274" operator="greaterThan">
      <formula>0</formula>
    </cfRule>
  </conditionalFormatting>
  <conditionalFormatting sqref="Q84:Q91">
    <cfRule type="cellIs" dxfId="6492" priority="273" operator="lessThan">
      <formula>0</formula>
    </cfRule>
  </conditionalFormatting>
  <conditionalFormatting sqref="R84:R91">
    <cfRule type="cellIs" dxfId="6491" priority="271" operator="lessThan">
      <formula>0.8</formula>
    </cfRule>
    <cfRule type="cellIs" dxfId="6490" priority="272" operator="greaterThan">
      <formula>1</formula>
    </cfRule>
  </conditionalFormatting>
  <conditionalFormatting sqref="R84:R91">
    <cfRule type="cellIs" dxfId="6489" priority="269" operator="greaterThan">
      <formula>1</formula>
    </cfRule>
    <cfRule type="cellIs" dxfId="6488" priority="270" operator="lessThan">
      <formula>0.8</formula>
    </cfRule>
  </conditionalFormatting>
  <conditionalFormatting sqref="P84:P91">
    <cfRule type="cellIs" dxfId="6487" priority="268" operator="greaterThan">
      <formula>0</formula>
    </cfRule>
  </conditionalFormatting>
  <conditionalFormatting sqref="P84:P91">
    <cfRule type="cellIs" dxfId="6486" priority="262" operator="greaterThan">
      <formula>0</formula>
    </cfRule>
  </conditionalFormatting>
  <conditionalFormatting sqref="Q84:Q91">
    <cfRule type="cellIs" dxfId="6485" priority="267" operator="lessThan">
      <formula>0</formula>
    </cfRule>
  </conditionalFormatting>
  <conditionalFormatting sqref="R84:R91">
    <cfRule type="cellIs" dxfId="6484" priority="265" operator="lessThan">
      <formula>0.8</formula>
    </cfRule>
    <cfRule type="cellIs" dxfId="6483" priority="266" operator="greaterThan">
      <formula>1</formula>
    </cfRule>
  </conditionalFormatting>
  <conditionalFormatting sqref="R84:R91">
    <cfRule type="cellIs" dxfId="6482" priority="263" operator="greaterThan">
      <formula>1</formula>
    </cfRule>
    <cfRule type="cellIs" dxfId="6481" priority="264" operator="lessThan">
      <formula>0.8</formula>
    </cfRule>
  </conditionalFormatting>
  <conditionalFormatting sqref="P84:P91">
    <cfRule type="cellIs" dxfId="6480" priority="256" operator="greaterThan">
      <formula>0</formula>
    </cfRule>
  </conditionalFormatting>
  <conditionalFormatting sqref="Q84:Q91">
    <cfRule type="cellIs" dxfId="6479" priority="261" operator="lessThan">
      <formula>0</formula>
    </cfRule>
  </conditionalFormatting>
  <conditionalFormatting sqref="R84:R91">
    <cfRule type="cellIs" dxfId="6478" priority="259" operator="lessThan">
      <formula>0.8</formula>
    </cfRule>
    <cfRule type="cellIs" dxfId="6477" priority="260" operator="greaterThan">
      <formula>1</formula>
    </cfRule>
  </conditionalFormatting>
  <conditionalFormatting sqref="R84:R91">
    <cfRule type="cellIs" dxfId="6476" priority="257" operator="greaterThan">
      <formula>1</formula>
    </cfRule>
    <cfRule type="cellIs" dxfId="6475" priority="258" operator="lessThan">
      <formula>0.8</formula>
    </cfRule>
  </conditionalFormatting>
  <conditionalFormatting sqref="R84:R91">
    <cfRule type="cellIs" dxfId="6474" priority="253" operator="lessThan">
      <formula>0.8</formula>
    </cfRule>
    <cfRule type="cellIs" dxfId="6473" priority="254" operator="greaterThan">
      <formula>1</formula>
    </cfRule>
  </conditionalFormatting>
  <conditionalFormatting sqref="R84:R91">
    <cfRule type="cellIs" dxfId="6472" priority="251" operator="greaterThan">
      <formula>1</formula>
    </cfRule>
    <cfRule type="cellIs" dxfId="6471" priority="252" operator="lessThan">
      <formula>0.8</formula>
    </cfRule>
  </conditionalFormatting>
  <conditionalFormatting sqref="P84:P91">
    <cfRule type="cellIs" dxfId="6470" priority="250" operator="greaterThan">
      <formula>0</formula>
    </cfRule>
  </conditionalFormatting>
  <conditionalFormatting sqref="Q84:Q91">
    <cfRule type="cellIs" dxfId="6469" priority="255" operator="lessThan">
      <formula>0</formula>
    </cfRule>
  </conditionalFormatting>
  <conditionalFormatting sqref="Q84:Q91">
    <cfRule type="cellIs" dxfId="6468" priority="249" operator="lessThan">
      <formula>0</formula>
    </cfRule>
  </conditionalFormatting>
  <conditionalFormatting sqref="R84:R91">
    <cfRule type="cellIs" dxfId="6467" priority="247" operator="lessThan">
      <formula>0.8</formula>
    </cfRule>
    <cfRule type="cellIs" dxfId="6466" priority="248" operator="greaterThan">
      <formula>1</formula>
    </cfRule>
  </conditionalFormatting>
  <conditionalFormatting sqref="R84:R91">
    <cfRule type="cellIs" dxfId="6465" priority="245" operator="greaterThan">
      <formula>1</formula>
    </cfRule>
    <cfRule type="cellIs" dxfId="6464" priority="246" operator="lessThan">
      <formula>0.8</formula>
    </cfRule>
  </conditionalFormatting>
  <conditionalFormatting sqref="P84:P91">
    <cfRule type="cellIs" dxfId="6463" priority="244" operator="greaterThan">
      <formula>0</formula>
    </cfRule>
  </conditionalFormatting>
  <conditionalFormatting sqref="Q84:Q91">
    <cfRule type="cellIs" dxfId="6462" priority="243" operator="lessThan">
      <formula>0</formula>
    </cfRule>
  </conditionalFormatting>
  <conditionalFormatting sqref="R84:R91">
    <cfRule type="cellIs" dxfId="6461" priority="241" operator="lessThan">
      <formula>0.8</formula>
    </cfRule>
    <cfRule type="cellIs" dxfId="6460" priority="242" operator="greaterThan">
      <formula>1</formula>
    </cfRule>
  </conditionalFormatting>
  <conditionalFormatting sqref="R84:R91">
    <cfRule type="cellIs" dxfId="6459" priority="239" operator="greaterThan">
      <formula>1</formula>
    </cfRule>
    <cfRule type="cellIs" dxfId="6458" priority="240" operator="lessThan">
      <formula>0.8</formula>
    </cfRule>
  </conditionalFormatting>
  <conditionalFormatting sqref="P84:P91">
    <cfRule type="cellIs" dxfId="6457" priority="238" operator="greaterThan">
      <formula>0</formula>
    </cfRule>
  </conditionalFormatting>
  <conditionalFormatting sqref="Q84:Q91">
    <cfRule type="cellIs" dxfId="6456" priority="237" operator="lessThan">
      <formula>0</formula>
    </cfRule>
  </conditionalFormatting>
  <conditionalFormatting sqref="R84:R91">
    <cfRule type="cellIs" dxfId="6455" priority="235" operator="lessThan">
      <formula>0.8</formula>
    </cfRule>
    <cfRule type="cellIs" dxfId="6454" priority="236" operator="greaterThan">
      <formula>1</formula>
    </cfRule>
  </conditionalFormatting>
  <conditionalFormatting sqref="R84:R91">
    <cfRule type="cellIs" dxfId="6453" priority="233" operator="greaterThan">
      <formula>1</formula>
    </cfRule>
    <cfRule type="cellIs" dxfId="6452" priority="234" operator="lessThan">
      <formula>0.8</formula>
    </cfRule>
  </conditionalFormatting>
  <conditionalFormatting sqref="P84:P91">
    <cfRule type="cellIs" dxfId="6451" priority="232" operator="greaterThan">
      <formula>0</formula>
    </cfRule>
  </conditionalFormatting>
  <conditionalFormatting sqref="Q84:Q91">
    <cfRule type="cellIs" dxfId="6450" priority="231" operator="lessThan">
      <formula>0</formula>
    </cfRule>
  </conditionalFormatting>
  <conditionalFormatting sqref="R84:R91">
    <cfRule type="cellIs" dxfId="6449" priority="229" operator="lessThan">
      <formula>0.8</formula>
    </cfRule>
    <cfRule type="cellIs" dxfId="6448" priority="230" operator="greaterThan">
      <formula>1</formula>
    </cfRule>
  </conditionalFormatting>
  <conditionalFormatting sqref="R84:R91">
    <cfRule type="cellIs" dxfId="6447" priority="227" operator="greaterThan">
      <formula>1</formula>
    </cfRule>
    <cfRule type="cellIs" dxfId="6446" priority="228" operator="lessThan">
      <formula>0.8</formula>
    </cfRule>
  </conditionalFormatting>
  <conditionalFormatting sqref="P84:P91">
    <cfRule type="cellIs" dxfId="6445" priority="226" operator="greaterThan">
      <formula>0</formula>
    </cfRule>
  </conditionalFormatting>
  <conditionalFormatting sqref="P84:P91">
    <cfRule type="cellIs" dxfId="6444" priority="220" operator="greaterThan">
      <formula>0</formula>
    </cfRule>
  </conditionalFormatting>
  <conditionalFormatting sqref="Q84:Q91">
    <cfRule type="cellIs" dxfId="6443" priority="225" operator="lessThan">
      <formula>0</formula>
    </cfRule>
  </conditionalFormatting>
  <conditionalFormatting sqref="R84:R91">
    <cfRule type="cellIs" dxfId="6442" priority="223" operator="lessThan">
      <formula>0.8</formula>
    </cfRule>
    <cfRule type="cellIs" dxfId="6441" priority="224" operator="greaterThan">
      <formula>1</formula>
    </cfRule>
  </conditionalFormatting>
  <conditionalFormatting sqref="R84:R91">
    <cfRule type="cellIs" dxfId="6440" priority="221" operator="greaterThan">
      <formula>1</formula>
    </cfRule>
    <cfRule type="cellIs" dxfId="6439" priority="222" operator="lessThan">
      <formula>0.8</formula>
    </cfRule>
  </conditionalFormatting>
  <conditionalFormatting sqref="P84:P91">
    <cfRule type="cellIs" dxfId="6438" priority="214" operator="greaterThan">
      <formula>0</formula>
    </cfRule>
  </conditionalFormatting>
  <conditionalFormatting sqref="Q84:Q91">
    <cfRule type="cellIs" dxfId="6437" priority="219" operator="lessThan">
      <formula>0</formula>
    </cfRule>
  </conditionalFormatting>
  <conditionalFormatting sqref="R84:R91">
    <cfRule type="cellIs" dxfId="6436" priority="217" operator="lessThan">
      <formula>0.8</formula>
    </cfRule>
    <cfRule type="cellIs" dxfId="6435" priority="218" operator="greaterThan">
      <formula>1</formula>
    </cfRule>
  </conditionalFormatting>
  <conditionalFormatting sqref="R84:R91">
    <cfRule type="cellIs" dxfId="6434" priority="215" operator="greaterThan">
      <formula>1</formula>
    </cfRule>
    <cfRule type="cellIs" dxfId="6433" priority="216" operator="lessThan">
      <formula>0.8</formula>
    </cfRule>
  </conditionalFormatting>
  <conditionalFormatting sqref="R84:R91">
    <cfRule type="cellIs" dxfId="6432" priority="211" operator="lessThan">
      <formula>0.8</formula>
    </cfRule>
    <cfRule type="cellIs" dxfId="6431" priority="212" operator="greaterThan">
      <formula>1</formula>
    </cfRule>
  </conditionalFormatting>
  <conditionalFormatting sqref="R84:R91">
    <cfRule type="cellIs" dxfId="6430" priority="209" operator="greaterThan">
      <formula>1</formula>
    </cfRule>
    <cfRule type="cellIs" dxfId="6429" priority="210" operator="lessThan">
      <formula>0.8</formula>
    </cfRule>
  </conditionalFormatting>
  <conditionalFormatting sqref="P84:P91">
    <cfRule type="cellIs" dxfId="6428" priority="208" operator="greaterThan">
      <formula>0</formula>
    </cfRule>
  </conditionalFormatting>
  <conditionalFormatting sqref="Q84:Q91">
    <cfRule type="cellIs" dxfId="6427" priority="213" operator="lessThan">
      <formula>0</formula>
    </cfRule>
  </conditionalFormatting>
  <conditionalFormatting sqref="Q84:Q91">
    <cfRule type="cellIs" dxfId="6426" priority="207" operator="lessThan">
      <formula>0</formula>
    </cfRule>
  </conditionalFormatting>
  <conditionalFormatting sqref="R84:R91">
    <cfRule type="cellIs" dxfId="6425" priority="205" operator="lessThan">
      <formula>0.8</formula>
    </cfRule>
    <cfRule type="cellIs" dxfId="6424" priority="206" operator="greaterThan">
      <formula>1</formula>
    </cfRule>
  </conditionalFormatting>
  <conditionalFormatting sqref="R84:R91">
    <cfRule type="cellIs" dxfId="6423" priority="203" operator="greaterThan">
      <formula>1</formula>
    </cfRule>
    <cfRule type="cellIs" dxfId="6422" priority="204" operator="lessThan">
      <formula>0.8</formula>
    </cfRule>
  </conditionalFormatting>
  <conditionalFormatting sqref="P84:P91">
    <cfRule type="cellIs" dxfId="6421" priority="202" operator="greaterThan">
      <formula>0</formula>
    </cfRule>
  </conditionalFormatting>
  <conditionalFormatting sqref="P84:P91">
    <cfRule type="cellIs" dxfId="6420" priority="196" operator="greaterThan">
      <formula>0</formula>
    </cfRule>
  </conditionalFormatting>
  <conditionalFormatting sqref="Q84:Q91">
    <cfRule type="cellIs" dxfId="6419" priority="201" operator="lessThan">
      <formula>0</formula>
    </cfRule>
  </conditionalFormatting>
  <conditionalFormatting sqref="R84:R91">
    <cfRule type="cellIs" dxfId="6418" priority="199" operator="lessThan">
      <formula>0.8</formula>
    </cfRule>
    <cfRule type="cellIs" dxfId="6417" priority="200" operator="greaterThan">
      <formula>1</formula>
    </cfRule>
  </conditionalFormatting>
  <conditionalFormatting sqref="R84:R91">
    <cfRule type="cellIs" dxfId="6416" priority="197" operator="greaterThan">
      <formula>1</formula>
    </cfRule>
    <cfRule type="cellIs" dxfId="6415" priority="198" operator="lessThan">
      <formula>0.8</formula>
    </cfRule>
  </conditionalFormatting>
  <conditionalFormatting sqref="P84:P91">
    <cfRule type="cellIs" dxfId="6414" priority="190" operator="greaterThan">
      <formula>0</formula>
    </cfRule>
  </conditionalFormatting>
  <conditionalFormatting sqref="Q84:Q91">
    <cfRule type="cellIs" dxfId="6413" priority="195" operator="lessThan">
      <formula>0</formula>
    </cfRule>
  </conditionalFormatting>
  <conditionalFormatting sqref="R84:R91">
    <cfRule type="cellIs" dxfId="6412" priority="193" operator="lessThan">
      <formula>0.8</formula>
    </cfRule>
    <cfRule type="cellIs" dxfId="6411" priority="194" operator="greaterThan">
      <formula>1</formula>
    </cfRule>
  </conditionalFormatting>
  <conditionalFormatting sqref="R84:R91">
    <cfRule type="cellIs" dxfId="6410" priority="191" operator="greaterThan">
      <formula>1</formula>
    </cfRule>
    <cfRule type="cellIs" dxfId="6409" priority="192" operator="lessThan">
      <formula>0.8</formula>
    </cfRule>
  </conditionalFormatting>
  <conditionalFormatting sqref="R84:R91">
    <cfRule type="cellIs" dxfId="6408" priority="187" operator="lessThan">
      <formula>0.8</formula>
    </cfRule>
    <cfRule type="cellIs" dxfId="6407" priority="188" operator="greaterThan">
      <formula>1</formula>
    </cfRule>
  </conditionalFormatting>
  <conditionalFormatting sqref="R84:R91">
    <cfRule type="cellIs" dxfId="6406" priority="185" operator="greaterThan">
      <formula>1</formula>
    </cfRule>
    <cfRule type="cellIs" dxfId="6405" priority="186" operator="lessThan">
      <formula>0.8</formula>
    </cfRule>
  </conditionalFormatting>
  <conditionalFormatting sqref="P84:P91">
    <cfRule type="cellIs" dxfId="6404" priority="184" operator="greaterThan">
      <formula>0</formula>
    </cfRule>
  </conditionalFormatting>
  <conditionalFormatting sqref="Q84:Q91">
    <cfRule type="cellIs" dxfId="6403" priority="189" operator="lessThan">
      <formula>0</formula>
    </cfRule>
  </conditionalFormatting>
  <conditionalFormatting sqref="P84:P91">
    <cfRule type="cellIs" dxfId="6402" priority="178" operator="greaterThan">
      <formula>0</formula>
    </cfRule>
  </conditionalFormatting>
  <conditionalFormatting sqref="Q84:Q91">
    <cfRule type="cellIs" dxfId="6401" priority="183" operator="lessThan">
      <formula>0</formula>
    </cfRule>
  </conditionalFormatting>
  <conditionalFormatting sqref="R84:R91">
    <cfRule type="cellIs" dxfId="6400" priority="181" operator="lessThan">
      <formula>0.8</formula>
    </cfRule>
    <cfRule type="cellIs" dxfId="6399" priority="182" operator="greaterThan">
      <formula>1</formula>
    </cfRule>
  </conditionalFormatting>
  <conditionalFormatting sqref="R84:R91">
    <cfRule type="cellIs" dxfId="6398" priority="179" operator="greaterThan">
      <formula>1</formula>
    </cfRule>
    <cfRule type="cellIs" dxfId="6397" priority="180" operator="lessThan">
      <formula>0.8</formula>
    </cfRule>
  </conditionalFormatting>
  <conditionalFormatting sqref="R84:R91">
    <cfRule type="cellIs" dxfId="6396" priority="175" operator="lessThan">
      <formula>0.8</formula>
    </cfRule>
    <cfRule type="cellIs" dxfId="6395" priority="176" operator="greaterThan">
      <formula>1</formula>
    </cfRule>
  </conditionalFormatting>
  <conditionalFormatting sqref="R84:R91">
    <cfRule type="cellIs" dxfId="6394" priority="173" operator="greaterThan">
      <formula>1</formula>
    </cfRule>
    <cfRule type="cellIs" dxfId="6393" priority="174" operator="lessThan">
      <formula>0.8</formula>
    </cfRule>
  </conditionalFormatting>
  <conditionalFormatting sqref="P84:P91">
    <cfRule type="cellIs" dxfId="6392" priority="172" operator="greaterThan">
      <formula>0</formula>
    </cfRule>
  </conditionalFormatting>
  <conditionalFormatting sqref="Q84:Q91">
    <cfRule type="cellIs" dxfId="6391" priority="177" operator="lessThan">
      <formula>0</formula>
    </cfRule>
  </conditionalFormatting>
  <conditionalFormatting sqref="R84:R91">
    <cfRule type="cellIs" dxfId="6390" priority="169" operator="lessThan">
      <formula>0.8</formula>
    </cfRule>
    <cfRule type="cellIs" dxfId="6389" priority="170" operator="greaterThan">
      <formula>1</formula>
    </cfRule>
  </conditionalFormatting>
  <conditionalFormatting sqref="R84:R91">
    <cfRule type="cellIs" dxfId="6388" priority="167" operator="greaterThan">
      <formula>1</formula>
    </cfRule>
    <cfRule type="cellIs" dxfId="6387" priority="168" operator="lessThan">
      <formula>0.8</formula>
    </cfRule>
  </conditionalFormatting>
  <conditionalFormatting sqref="P84:P91">
    <cfRule type="cellIs" dxfId="6386" priority="166" operator="greaterThan">
      <formula>0</formula>
    </cfRule>
  </conditionalFormatting>
  <conditionalFormatting sqref="Q84:Q91">
    <cfRule type="cellIs" dxfId="6385" priority="171" operator="lessThan">
      <formula>0</formula>
    </cfRule>
  </conditionalFormatting>
  <conditionalFormatting sqref="Q84:Q91">
    <cfRule type="cellIs" dxfId="6384" priority="165" operator="lessThan">
      <formula>0</formula>
    </cfRule>
  </conditionalFormatting>
  <conditionalFormatting sqref="R84:R91">
    <cfRule type="cellIs" dxfId="6383" priority="163" operator="lessThan">
      <formula>0.8</formula>
    </cfRule>
    <cfRule type="cellIs" dxfId="6382" priority="164" operator="greaterThan">
      <formula>1</formula>
    </cfRule>
  </conditionalFormatting>
  <conditionalFormatting sqref="R84:R91">
    <cfRule type="cellIs" dxfId="6381" priority="161" operator="greaterThan">
      <formula>1</formula>
    </cfRule>
    <cfRule type="cellIs" dxfId="6380" priority="162" operator="lessThan">
      <formula>0.8</formula>
    </cfRule>
  </conditionalFormatting>
  <conditionalFormatting sqref="P84:P91">
    <cfRule type="cellIs" dxfId="6379" priority="160" operator="greaterThan">
      <formula>0</formula>
    </cfRule>
  </conditionalFormatting>
  <conditionalFormatting sqref="Q84:Q91">
    <cfRule type="cellIs" dxfId="6378" priority="154" operator="lessThan">
      <formula>0</formula>
    </cfRule>
  </conditionalFormatting>
  <conditionalFormatting sqref="R84:R91">
    <cfRule type="cellIs" dxfId="6377" priority="158" operator="lessThan">
      <formula>0.8</formula>
    </cfRule>
    <cfRule type="cellIs" dxfId="6376" priority="159" operator="greaterThan">
      <formula>1</formula>
    </cfRule>
  </conditionalFormatting>
  <conditionalFormatting sqref="R84:R91">
    <cfRule type="cellIs" dxfId="6375" priority="156" operator="greaterThan">
      <formula>1</formula>
    </cfRule>
    <cfRule type="cellIs" dxfId="6374" priority="157" operator="lessThan">
      <formula>0.8</formula>
    </cfRule>
  </conditionalFormatting>
  <conditionalFormatting sqref="P84:P91">
    <cfRule type="cellIs" dxfId="6373" priority="155" operator="greaterThan">
      <formula>0</formula>
    </cfRule>
  </conditionalFormatting>
  <conditionalFormatting sqref="Q84:Q91">
    <cfRule type="cellIs" dxfId="6372" priority="153" operator="lessThan">
      <formula>0</formula>
    </cfRule>
  </conditionalFormatting>
  <conditionalFormatting sqref="R84:R91">
    <cfRule type="cellIs" dxfId="6371" priority="151" operator="lessThan">
      <formula>0.8</formula>
    </cfRule>
    <cfRule type="cellIs" dxfId="6370" priority="152" operator="greaterThan">
      <formula>1</formula>
    </cfRule>
  </conditionalFormatting>
  <conditionalFormatting sqref="R84:R91">
    <cfRule type="cellIs" dxfId="6369" priority="149" operator="greaterThan">
      <formula>1</formula>
    </cfRule>
    <cfRule type="cellIs" dxfId="6368" priority="150" operator="lessThan">
      <formula>0.8</formula>
    </cfRule>
  </conditionalFormatting>
  <conditionalFormatting sqref="P84:P91">
    <cfRule type="cellIs" dxfId="6367" priority="148" operator="greaterThan">
      <formula>0</formula>
    </cfRule>
  </conditionalFormatting>
  <conditionalFormatting sqref="Q84:Q91">
    <cfRule type="cellIs" dxfId="6366" priority="147" operator="lessThan">
      <formula>0</formula>
    </cfRule>
  </conditionalFormatting>
  <conditionalFormatting sqref="R84:R91">
    <cfRule type="cellIs" dxfId="6365" priority="145" operator="lessThan">
      <formula>0.8</formula>
    </cfRule>
    <cfRule type="cellIs" dxfId="6364" priority="146" operator="greaterThan">
      <formula>1</formula>
    </cfRule>
  </conditionalFormatting>
  <conditionalFormatting sqref="R84:R91">
    <cfRule type="cellIs" dxfId="6363" priority="143" operator="greaterThan">
      <formula>1</formula>
    </cfRule>
    <cfRule type="cellIs" dxfId="6362" priority="144" operator="lessThan">
      <formula>0.8</formula>
    </cfRule>
  </conditionalFormatting>
  <conditionalFormatting sqref="P84:P91">
    <cfRule type="cellIs" dxfId="6361" priority="142" operator="greaterThan">
      <formula>0</formula>
    </cfRule>
  </conditionalFormatting>
  <conditionalFormatting sqref="Q84:Q91">
    <cfRule type="cellIs" dxfId="6360" priority="141" operator="lessThan">
      <formula>0</formula>
    </cfRule>
  </conditionalFormatting>
  <conditionalFormatting sqref="R84:R91">
    <cfRule type="cellIs" dxfId="6359" priority="139" operator="lessThan">
      <formula>0.8</formula>
    </cfRule>
    <cfRule type="cellIs" dxfId="6358" priority="140" operator="greaterThan">
      <formula>1</formula>
    </cfRule>
  </conditionalFormatting>
  <conditionalFormatting sqref="R84:R91">
    <cfRule type="cellIs" dxfId="6357" priority="137" operator="greaterThan">
      <formula>1</formula>
    </cfRule>
    <cfRule type="cellIs" dxfId="6356" priority="138" operator="lessThan">
      <formula>0.8</formula>
    </cfRule>
  </conditionalFormatting>
  <conditionalFormatting sqref="P84:P91">
    <cfRule type="cellIs" dxfId="6355" priority="136" operator="greaterThan">
      <formula>0</formula>
    </cfRule>
  </conditionalFormatting>
  <conditionalFormatting sqref="Q84:Q91">
    <cfRule type="cellIs" dxfId="6354" priority="135" operator="lessThan">
      <formula>0</formula>
    </cfRule>
  </conditionalFormatting>
  <conditionalFormatting sqref="R84:R91">
    <cfRule type="cellIs" dxfId="6353" priority="133" operator="lessThan">
      <formula>0.8</formula>
    </cfRule>
    <cfRule type="cellIs" dxfId="6352" priority="134" operator="greaterThan">
      <formula>1</formula>
    </cfRule>
  </conditionalFormatting>
  <conditionalFormatting sqref="R84:R91">
    <cfRule type="cellIs" dxfId="6351" priority="131" operator="greaterThan">
      <formula>1</formula>
    </cfRule>
    <cfRule type="cellIs" dxfId="6350" priority="132" operator="lessThan">
      <formula>0.8</formula>
    </cfRule>
  </conditionalFormatting>
  <conditionalFormatting sqref="P84:P91">
    <cfRule type="cellIs" dxfId="6349" priority="130" operator="greaterThan">
      <formula>0</formula>
    </cfRule>
  </conditionalFormatting>
  <conditionalFormatting sqref="Q84:Q91">
    <cfRule type="cellIs" dxfId="6348" priority="129" operator="lessThan">
      <formula>0</formula>
    </cfRule>
  </conditionalFormatting>
  <conditionalFormatting sqref="R84:R91">
    <cfRule type="cellIs" dxfId="6347" priority="127" operator="lessThan">
      <formula>0.8</formula>
    </cfRule>
    <cfRule type="cellIs" dxfId="6346" priority="128" operator="greaterThan">
      <formula>1</formula>
    </cfRule>
  </conditionalFormatting>
  <conditionalFormatting sqref="R84:R91">
    <cfRule type="cellIs" dxfId="6345" priority="125" operator="greaterThan">
      <formula>1</formula>
    </cfRule>
    <cfRule type="cellIs" dxfId="6344" priority="126" operator="lessThan">
      <formula>0.8</formula>
    </cfRule>
  </conditionalFormatting>
  <conditionalFormatting sqref="P84:P91">
    <cfRule type="cellIs" dxfId="6343" priority="124" operator="greaterThan">
      <formula>0</formula>
    </cfRule>
  </conditionalFormatting>
  <conditionalFormatting sqref="P84:P91">
    <cfRule type="cellIs" dxfId="6342" priority="118" operator="greaterThan">
      <formula>0</formula>
    </cfRule>
  </conditionalFormatting>
  <conditionalFormatting sqref="Q84:Q91">
    <cfRule type="cellIs" dxfId="6341" priority="123" operator="lessThan">
      <formula>0</formula>
    </cfRule>
  </conditionalFormatting>
  <conditionalFormatting sqref="R84:R91">
    <cfRule type="cellIs" dxfId="6340" priority="121" operator="lessThan">
      <formula>0.8</formula>
    </cfRule>
    <cfRule type="cellIs" dxfId="6339" priority="122" operator="greaterThan">
      <formula>1</formula>
    </cfRule>
  </conditionalFormatting>
  <conditionalFormatting sqref="R84:R91">
    <cfRule type="cellIs" dxfId="6338" priority="119" operator="greaterThan">
      <formula>1</formula>
    </cfRule>
    <cfRule type="cellIs" dxfId="6337" priority="120" operator="lessThan">
      <formula>0.8</formula>
    </cfRule>
  </conditionalFormatting>
  <conditionalFormatting sqref="P84:P91">
    <cfRule type="cellIs" dxfId="6336" priority="112" operator="greaterThan">
      <formula>0</formula>
    </cfRule>
  </conditionalFormatting>
  <conditionalFormatting sqref="Q84:Q91">
    <cfRule type="cellIs" dxfId="6335" priority="117" operator="lessThan">
      <formula>0</formula>
    </cfRule>
  </conditionalFormatting>
  <conditionalFormatting sqref="R84:R91">
    <cfRule type="cellIs" dxfId="6334" priority="115" operator="lessThan">
      <formula>0.8</formula>
    </cfRule>
    <cfRule type="cellIs" dxfId="6333" priority="116" operator="greaterThan">
      <formula>1</formula>
    </cfRule>
  </conditionalFormatting>
  <conditionalFormatting sqref="R84:R91">
    <cfRule type="cellIs" dxfId="6332" priority="113" operator="greaterThan">
      <formula>1</formula>
    </cfRule>
    <cfRule type="cellIs" dxfId="6331" priority="114" operator="lessThan">
      <formula>0.8</formula>
    </cfRule>
  </conditionalFormatting>
  <conditionalFormatting sqref="R84:R91">
    <cfRule type="cellIs" dxfId="6330" priority="109" operator="lessThan">
      <formula>0.8</formula>
    </cfRule>
    <cfRule type="cellIs" dxfId="6329" priority="110" operator="greaterThan">
      <formula>1</formula>
    </cfRule>
  </conditionalFormatting>
  <conditionalFormatting sqref="R84:R91">
    <cfRule type="cellIs" dxfId="6328" priority="107" operator="greaterThan">
      <formula>1</formula>
    </cfRule>
    <cfRule type="cellIs" dxfId="6327" priority="108" operator="lessThan">
      <formula>0.8</formula>
    </cfRule>
  </conditionalFormatting>
  <conditionalFormatting sqref="P84:P91">
    <cfRule type="cellIs" dxfId="6326" priority="106" operator="greaterThan">
      <formula>0</formula>
    </cfRule>
  </conditionalFormatting>
  <conditionalFormatting sqref="Q84:Q91">
    <cfRule type="cellIs" dxfId="6325" priority="111" operator="lessThan">
      <formula>0</formula>
    </cfRule>
  </conditionalFormatting>
  <conditionalFormatting sqref="Q84:Q91">
    <cfRule type="cellIs" dxfId="6324" priority="100" operator="lessThan">
      <formula>0</formula>
    </cfRule>
  </conditionalFormatting>
  <conditionalFormatting sqref="P84:P91">
    <cfRule type="cellIs" dxfId="6323" priority="101" operator="greaterThan">
      <formula>0</formula>
    </cfRule>
  </conditionalFormatting>
  <conditionalFormatting sqref="R84:R91">
    <cfRule type="cellIs" dxfId="6322" priority="104" operator="lessThan">
      <formula>0.8</formula>
    </cfRule>
    <cfRule type="cellIs" dxfId="6321" priority="105" operator="greaterThan">
      <formula>1</formula>
    </cfRule>
  </conditionalFormatting>
  <conditionalFormatting sqref="R84:R91">
    <cfRule type="cellIs" dxfId="6320" priority="102" operator="greaterThan">
      <formula>1</formula>
    </cfRule>
    <cfRule type="cellIs" dxfId="6319" priority="103" operator="lessThan">
      <formula>0.8</formula>
    </cfRule>
  </conditionalFormatting>
  <conditionalFormatting sqref="Q84:Q91">
    <cfRule type="cellIs" dxfId="6318" priority="94" operator="lessThan">
      <formula>0</formula>
    </cfRule>
  </conditionalFormatting>
  <conditionalFormatting sqref="R84:R91">
    <cfRule type="cellIs" dxfId="6317" priority="98" operator="lessThan">
      <formula>0.8</formula>
    </cfRule>
    <cfRule type="cellIs" dxfId="6316" priority="99" operator="greaterThan">
      <formula>1</formula>
    </cfRule>
  </conditionalFormatting>
  <conditionalFormatting sqref="R84:R91">
    <cfRule type="cellIs" dxfId="6315" priority="96" operator="greaterThan">
      <formula>1</formula>
    </cfRule>
    <cfRule type="cellIs" dxfId="6314" priority="97" operator="lessThan">
      <formula>0.8</formula>
    </cfRule>
  </conditionalFormatting>
  <conditionalFormatting sqref="P84:P91">
    <cfRule type="cellIs" dxfId="6313" priority="95" operator="greaterThan">
      <formula>0</formula>
    </cfRule>
  </conditionalFormatting>
  <conditionalFormatting sqref="Q84:Q91">
    <cfRule type="cellIs" dxfId="6312" priority="93" operator="lessThan">
      <formula>0</formula>
    </cfRule>
  </conditionalFormatting>
  <conditionalFormatting sqref="R84:R91">
    <cfRule type="cellIs" dxfId="6311" priority="91" operator="lessThan">
      <formula>0.8</formula>
    </cfRule>
    <cfRule type="cellIs" dxfId="6310" priority="92" operator="greaterThan">
      <formula>1</formula>
    </cfRule>
  </conditionalFormatting>
  <conditionalFormatting sqref="R84:R91">
    <cfRule type="cellIs" dxfId="6309" priority="89" operator="greaterThan">
      <formula>1</formula>
    </cfRule>
    <cfRule type="cellIs" dxfId="6308" priority="90" operator="lessThan">
      <formula>0.8</formula>
    </cfRule>
  </conditionalFormatting>
  <conditionalFormatting sqref="P84:P91">
    <cfRule type="cellIs" dxfId="6307" priority="88" operator="greaterThan">
      <formula>0</formula>
    </cfRule>
  </conditionalFormatting>
  <conditionalFormatting sqref="Q84:Q91">
    <cfRule type="cellIs" dxfId="6306" priority="87" operator="lessThan">
      <formula>0</formula>
    </cfRule>
  </conditionalFormatting>
  <conditionalFormatting sqref="R84:R91">
    <cfRule type="cellIs" dxfId="6305" priority="85" operator="lessThan">
      <formula>0.8</formula>
    </cfRule>
    <cfRule type="cellIs" dxfId="6304" priority="86" operator="greaterThan">
      <formula>1</formula>
    </cfRule>
  </conditionalFormatting>
  <conditionalFormatting sqref="R84:R91">
    <cfRule type="cellIs" dxfId="6303" priority="83" operator="greaterThan">
      <formula>1</formula>
    </cfRule>
    <cfRule type="cellIs" dxfId="6302" priority="84" operator="lessThan">
      <formula>0.8</formula>
    </cfRule>
  </conditionalFormatting>
  <conditionalFormatting sqref="P84:P91">
    <cfRule type="cellIs" dxfId="6301" priority="82" operator="greaterThan">
      <formula>0</formula>
    </cfRule>
  </conditionalFormatting>
  <conditionalFormatting sqref="Q84:Q91">
    <cfRule type="cellIs" dxfId="6300" priority="81" operator="lessThan">
      <formula>0</formula>
    </cfRule>
  </conditionalFormatting>
  <conditionalFormatting sqref="R84:R91">
    <cfRule type="cellIs" dxfId="6299" priority="79" operator="lessThan">
      <formula>0.8</formula>
    </cfRule>
    <cfRule type="cellIs" dxfId="6298" priority="80" operator="greaterThan">
      <formula>1</formula>
    </cfRule>
  </conditionalFormatting>
  <conditionalFormatting sqref="R84:R91">
    <cfRule type="cellIs" dxfId="6297" priority="77" operator="greaterThan">
      <formula>1</formula>
    </cfRule>
    <cfRule type="cellIs" dxfId="6296" priority="78" operator="lessThan">
      <formula>0.8</formula>
    </cfRule>
  </conditionalFormatting>
  <conditionalFormatting sqref="P84:P91">
    <cfRule type="cellIs" dxfId="6295" priority="76" operator="greaterThan">
      <formula>0</formula>
    </cfRule>
  </conditionalFormatting>
  <conditionalFormatting sqref="Q162:Q167">
    <cfRule type="cellIs" dxfId="6294" priority="75" operator="lessThan">
      <formula>0</formula>
    </cfRule>
  </conditionalFormatting>
  <conditionalFormatting sqref="R162:R167">
    <cfRule type="cellIs" dxfId="6293" priority="73" operator="lessThan">
      <formula>0.8</formula>
    </cfRule>
    <cfRule type="cellIs" dxfId="6292" priority="74" operator="greaterThan">
      <formula>1</formula>
    </cfRule>
  </conditionalFormatting>
  <conditionalFormatting sqref="R162:R167">
    <cfRule type="cellIs" dxfId="6291" priority="71" operator="greaterThan">
      <formula>1</formula>
    </cfRule>
    <cfRule type="cellIs" dxfId="6290" priority="72" operator="lessThan">
      <formula>0.8</formula>
    </cfRule>
  </conditionalFormatting>
  <conditionalFormatting sqref="P162:P167">
    <cfRule type="cellIs" dxfId="6289" priority="70" operator="greaterThan">
      <formula>0</formula>
    </cfRule>
  </conditionalFormatting>
  <conditionalFormatting sqref="P168">
    <cfRule type="cellIs" dxfId="6288" priority="64" operator="greaterThan">
      <formula>0</formula>
    </cfRule>
  </conditionalFormatting>
  <conditionalFormatting sqref="R168">
    <cfRule type="cellIs" dxfId="6287" priority="67" operator="lessThan">
      <formula>0.8</formula>
    </cfRule>
    <cfRule type="cellIs" dxfId="6286" priority="68" operator="greaterThan">
      <formula>1</formula>
    </cfRule>
  </conditionalFormatting>
  <conditionalFormatting sqref="R168">
    <cfRule type="cellIs" dxfId="6285" priority="65" operator="greaterThan">
      <formula>1</formula>
    </cfRule>
    <cfRule type="cellIs" dxfId="6284" priority="66" operator="lessThan">
      <formula>0.8</formula>
    </cfRule>
  </conditionalFormatting>
  <conditionalFormatting sqref="Q168">
    <cfRule type="cellIs" dxfId="6283" priority="69" operator="lessThan">
      <formula>0</formula>
    </cfRule>
  </conditionalFormatting>
  <conditionalFormatting sqref="Q161">
    <cfRule type="cellIs" dxfId="6282" priority="63" operator="lessThan">
      <formula>0</formula>
    </cfRule>
  </conditionalFormatting>
  <conditionalFormatting sqref="R161">
    <cfRule type="cellIs" dxfId="6281" priority="61" operator="lessThan">
      <formula>0.8</formula>
    </cfRule>
    <cfRule type="cellIs" dxfId="6280" priority="62" operator="greaterThan">
      <formula>1</formula>
    </cfRule>
  </conditionalFormatting>
  <conditionalFormatting sqref="R161">
    <cfRule type="cellIs" dxfId="6279" priority="59" operator="greaterThan">
      <formula>1</formula>
    </cfRule>
    <cfRule type="cellIs" dxfId="6278" priority="60" operator="lessThan">
      <formula>0.8</formula>
    </cfRule>
  </conditionalFormatting>
  <conditionalFormatting sqref="P161">
    <cfRule type="cellIs" dxfId="6277" priority="58" operator="greaterThan">
      <formula>0</formula>
    </cfRule>
  </conditionalFormatting>
  <conditionalFormatting sqref="Q162:Q167">
    <cfRule type="cellIs" dxfId="6276" priority="57" operator="lessThan">
      <formula>0</formula>
    </cfRule>
  </conditionalFormatting>
  <conditionalFormatting sqref="R162:R167">
    <cfRule type="cellIs" dxfId="6275" priority="55" operator="lessThan">
      <formula>0.8</formula>
    </cfRule>
    <cfRule type="cellIs" dxfId="6274" priority="56" operator="greaterThan">
      <formula>1</formula>
    </cfRule>
  </conditionalFormatting>
  <conditionalFormatting sqref="R162:R167">
    <cfRule type="cellIs" dxfId="6273" priority="53" operator="greaterThan">
      <formula>1</formula>
    </cfRule>
    <cfRule type="cellIs" dxfId="6272" priority="54" operator="lessThan">
      <formula>0.8</formula>
    </cfRule>
  </conditionalFormatting>
  <conditionalFormatting sqref="P162:P167">
    <cfRule type="cellIs" dxfId="6271" priority="52" operator="greaterThan">
      <formula>0</formula>
    </cfRule>
  </conditionalFormatting>
  <conditionalFormatting sqref="Q162:Q167">
    <cfRule type="cellIs" dxfId="6270" priority="51" operator="lessThan">
      <formula>0</formula>
    </cfRule>
  </conditionalFormatting>
  <conditionalFormatting sqref="R162:R167">
    <cfRule type="cellIs" dxfId="6269" priority="49" operator="lessThan">
      <formula>0.8</formula>
    </cfRule>
    <cfRule type="cellIs" dxfId="6268" priority="50" operator="greaterThan">
      <formula>1</formula>
    </cfRule>
  </conditionalFormatting>
  <conditionalFormatting sqref="R162:R167">
    <cfRule type="cellIs" dxfId="6267" priority="47" operator="greaterThan">
      <formula>1</formula>
    </cfRule>
    <cfRule type="cellIs" dxfId="6266" priority="48" operator="lessThan">
      <formula>0.8</formula>
    </cfRule>
  </conditionalFormatting>
  <conditionalFormatting sqref="P162:P167">
    <cfRule type="cellIs" dxfId="6265" priority="46" operator="greaterThan">
      <formula>0</formula>
    </cfRule>
  </conditionalFormatting>
  <conditionalFormatting sqref="Q168">
    <cfRule type="cellIs" dxfId="6264" priority="45" operator="lessThan">
      <formula>0</formula>
    </cfRule>
  </conditionalFormatting>
  <conditionalFormatting sqref="R168">
    <cfRule type="cellIs" dxfId="6263" priority="43" operator="lessThan">
      <formula>0.8</formula>
    </cfRule>
    <cfRule type="cellIs" dxfId="6262" priority="44" operator="greaterThan">
      <formula>1</formula>
    </cfRule>
  </conditionalFormatting>
  <conditionalFormatting sqref="R168">
    <cfRule type="cellIs" dxfId="6261" priority="41" operator="greaterThan">
      <formula>1</formula>
    </cfRule>
    <cfRule type="cellIs" dxfId="6260" priority="42" operator="lessThan">
      <formula>0.8</formula>
    </cfRule>
  </conditionalFormatting>
  <conditionalFormatting sqref="P168">
    <cfRule type="cellIs" dxfId="6259" priority="40" operator="greaterThan">
      <formula>0</formula>
    </cfRule>
  </conditionalFormatting>
  <conditionalFormatting sqref="Q161">
    <cfRule type="cellIs" dxfId="6258" priority="39" operator="lessThan">
      <formula>0</formula>
    </cfRule>
  </conditionalFormatting>
  <conditionalFormatting sqref="R161">
    <cfRule type="cellIs" dxfId="6257" priority="37" operator="lessThan">
      <formula>0.8</formula>
    </cfRule>
    <cfRule type="cellIs" dxfId="6256" priority="38" operator="greaterThan">
      <formula>1</formula>
    </cfRule>
  </conditionalFormatting>
  <conditionalFormatting sqref="R161">
    <cfRule type="cellIs" dxfId="6255" priority="35" operator="greaterThan">
      <formula>1</formula>
    </cfRule>
    <cfRule type="cellIs" dxfId="6254" priority="36" operator="lessThan">
      <formula>0.8</formula>
    </cfRule>
  </conditionalFormatting>
  <conditionalFormatting sqref="P161">
    <cfRule type="cellIs" dxfId="6253" priority="34" operator="greaterThan">
      <formula>0</formula>
    </cfRule>
  </conditionalFormatting>
  <conditionalFormatting sqref="Q162:Q167">
    <cfRule type="cellIs" dxfId="6252" priority="33" operator="lessThan">
      <formula>0</formula>
    </cfRule>
  </conditionalFormatting>
  <conditionalFormatting sqref="R162:R167">
    <cfRule type="cellIs" dxfId="6251" priority="31" operator="lessThan">
      <formula>0.8</formula>
    </cfRule>
    <cfRule type="cellIs" dxfId="6250" priority="32" operator="greaterThan">
      <formula>1</formula>
    </cfRule>
  </conditionalFormatting>
  <conditionalFormatting sqref="R162:R167">
    <cfRule type="cellIs" dxfId="6249" priority="29" operator="greaterThan">
      <formula>1</formula>
    </cfRule>
    <cfRule type="cellIs" dxfId="6248" priority="30" operator="lessThan">
      <formula>0.8</formula>
    </cfRule>
  </conditionalFormatting>
  <conditionalFormatting sqref="P162:P167">
    <cfRule type="cellIs" dxfId="6247" priority="28" operator="greaterThan">
      <formula>0</formula>
    </cfRule>
  </conditionalFormatting>
  <conditionalFormatting sqref="Q161">
    <cfRule type="cellIs" dxfId="6246" priority="27" operator="lessThan">
      <formula>0</formula>
    </cfRule>
  </conditionalFormatting>
  <conditionalFormatting sqref="R161">
    <cfRule type="cellIs" dxfId="6245" priority="25" operator="lessThan">
      <formula>0.8</formula>
    </cfRule>
    <cfRule type="cellIs" dxfId="6244" priority="26" operator="greaterThan">
      <formula>1</formula>
    </cfRule>
  </conditionalFormatting>
  <conditionalFormatting sqref="R161">
    <cfRule type="cellIs" dxfId="6243" priority="23" operator="greaterThan">
      <formula>1</formula>
    </cfRule>
    <cfRule type="cellIs" dxfId="6242" priority="24" operator="lessThan">
      <formula>0.8</formula>
    </cfRule>
  </conditionalFormatting>
  <conditionalFormatting sqref="P161">
    <cfRule type="cellIs" dxfId="6241" priority="22" operator="greaterThan">
      <formula>0</formula>
    </cfRule>
  </conditionalFormatting>
  <conditionalFormatting sqref="Q162:Q167">
    <cfRule type="cellIs" dxfId="6240" priority="21" operator="lessThan">
      <formula>0</formula>
    </cfRule>
  </conditionalFormatting>
  <conditionalFormatting sqref="R162:R167">
    <cfRule type="cellIs" dxfId="6239" priority="19" operator="lessThan">
      <formula>0.8</formula>
    </cfRule>
    <cfRule type="cellIs" dxfId="6238" priority="20" operator="greaterThan">
      <formula>1</formula>
    </cfRule>
  </conditionalFormatting>
  <conditionalFormatting sqref="R162:R167">
    <cfRule type="cellIs" dxfId="6237" priority="17" operator="greaterThan">
      <formula>1</formula>
    </cfRule>
    <cfRule type="cellIs" dxfId="6236" priority="18" operator="lessThan">
      <formula>0.8</formula>
    </cfRule>
  </conditionalFormatting>
  <conditionalFormatting sqref="P162:P167">
    <cfRule type="cellIs" dxfId="6235" priority="16" operator="greaterThan">
      <formula>0</formula>
    </cfRule>
  </conditionalFormatting>
  <conditionalFormatting sqref="Q161">
    <cfRule type="cellIs" dxfId="6234" priority="15" operator="lessThan">
      <formula>0</formula>
    </cfRule>
  </conditionalFormatting>
  <conditionalFormatting sqref="R161">
    <cfRule type="cellIs" dxfId="6233" priority="13" operator="lessThan">
      <formula>0.8</formula>
    </cfRule>
    <cfRule type="cellIs" dxfId="6232" priority="14" operator="greaterThan">
      <formula>1</formula>
    </cfRule>
  </conditionalFormatting>
  <conditionalFormatting sqref="R161">
    <cfRule type="cellIs" dxfId="6231" priority="11" operator="greaterThan">
      <formula>1</formula>
    </cfRule>
    <cfRule type="cellIs" dxfId="6230" priority="12" operator="lessThan">
      <formula>0.8</formula>
    </cfRule>
  </conditionalFormatting>
  <conditionalFormatting sqref="P161">
    <cfRule type="cellIs" dxfId="6229" priority="10" operator="greaterThan">
      <formula>0</formula>
    </cfRule>
  </conditionalFormatting>
  <conditionalFormatting sqref="P168">
    <cfRule type="cellIs" dxfId="6228" priority="4" operator="greaterThan">
      <formula>0</formula>
    </cfRule>
  </conditionalFormatting>
  <conditionalFormatting sqref="R168">
    <cfRule type="cellIs" dxfId="6227" priority="7" operator="lessThan">
      <formula>0.8</formula>
    </cfRule>
    <cfRule type="cellIs" dxfId="6226" priority="8" operator="greaterThan">
      <formula>1</formula>
    </cfRule>
  </conditionalFormatting>
  <conditionalFormatting sqref="R168">
    <cfRule type="cellIs" dxfId="6225" priority="5" operator="greaterThan">
      <formula>1</formula>
    </cfRule>
    <cfRule type="cellIs" dxfId="6224" priority="6" operator="lessThan">
      <formula>0.8</formula>
    </cfRule>
  </conditionalFormatting>
  <conditionalFormatting sqref="Q168">
    <cfRule type="cellIs" dxfId="6223" priority="9" operator="lessThan">
      <formula>0</formula>
    </cfRule>
  </conditionalFormatting>
  <conditionalFormatting sqref="AF30">
    <cfRule type="cellIs" dxfId="6222" priority="3" operator="lessThan">
      <formula>0</formula>
    </cfRule>
  </conditionalFormatting>
  <conditionalFormatting sqref="AG30">
    <cfRule type="cellIs" dxfId="6221" priority="1" operator="greaterThan">
      <formula>1</formula>
    </cfRule>
    <cfRule type="cellIs" dxfId="622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6"/>
      <c r="D3" s="547" t="s">
        <v>311</v>
      </c>
      <c r="E3" s="548"/>
      <c r="F3" s="537" t="s">
        <v>2</v>
      </c>
      <c r="G3" s="496"/>
      <c r="H3" s="549">
        <v>301061.75</v>
      </c>
      <c r="I3" s="550"/>
      <c r="J3" s="537" t="s">
        <v>3</v>
      </c>
      <c r="K3" s="496"/>
      <c r="L3" s="542">
        <v>9906626.0091257859</v>
      </c>
      <c r="M3" s="543"/>
      <c r="N3" s="374"/>
      <c r="O3" s="374"/>
      <c r="P3" s="374"/>
      <c r="Q3" s="374"/>
    </row>
    <row r="4" spans="2:17" ht="24" customHeight="1">
      <c r="B4" s="537" t="s">
        <v>135</v>
      </c>
      <c r="C4" s="496"/>
      <c r="D4" s="529" t="s">
        <v>135</v>
      </c>
      <c r="E4" s="530"/>
      <c r="F4" s="540" t="s">
        <v>136</v>
      </c>
      <c r="G4" s="541"/>
      <c r="H4" s="540" t="s">
        <v>137</v>
      </c>
      <c r="I4" s="541"/>
      <c r="J4" s="540" t="s">
        <v>138</v>
      </c>
      <c r="K4" s="541"/>
      <c r="L4" s="542" t="s">
        <v>139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140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6"/>
      <c r="C6" s="527"/>
      <c r="D6" s="537" t="s">
        <v>10</v>
      </c>
      <c r="E6" s="496"/>
      <c r="F6" s="538">
        <f>AVERAGE(D13:O13,P13:Q13,D30:E30,G30:H30,J30:M30)</f>
        <v>382.56959678411476</v>
      </c>
      <c r="G6" s="539"/>
      <c r="H6" s="517">
        <f>AVERAGE(D13:P13,Q13)</f>
        <v>139.03793780360891</v>
      </c>
      <c r="I6" s="518"/>
      <c r="J6" s="517">
        <f>AVERAGE(D30:E30,G30:H30)</f>
        <v>736.25</v>
      </c>
      <c r="K6" s="518"/>
      <c r="L6" s="519">
        <f>AVERAGE(J30:M30)</f>
        <v>881.25</v>
      </c>
      <c r="M6" s="520"/>
      <c r="N6" s="521">
        <v>0</v>
      </c>
      <c r="O6" s="506">
        <v>0</v>
      </c>
      <c r="P6" s="522">
        <v>17</v>
      </c>
      <c r="Q6" s="506">
        <v>8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AVERAGE(D14:O14,P14:Q14,D31:E31,J31:M31,G31:H31)</f>
        <v>370.6765819883754</v>
      </c>
      <c r="G7" s="510"/>
      <c r="H7" s="511">
        <f>AVERAGE(D14:P14,Q14)</f>
        <v>126.14662847187586</v>
      </c>
      <c r="I7" s="512"/>
      <c r="J7" s="511">
        <f>AVERAGE(D31:E31,G31:H31)</f>
        <v>708.55397952742919</v>
      </c>
      <c r="K7" s="512"/>
      <c r="L7" s="513">
        <f>AVERAGE(J31:M31)</f>
        <v>888.65402175707027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AVERAGE(D15:O15,P15:Q15,D32:E32,G32:H32,J32:M32)</f>
        <v>0.9198223144780916</v>
      </c>
      <c r="G8" s="516"/>
      <c r="H8" s="515">
        <f>AVERAGE(D15:O15,P15:Q15)</f>
        <v>0.90186463566035535</v>
      </c>
      <c r="I8" s="516"/>
      <c r="J8" s="515">
        <f>AVERAGE(D32:E32,G32:H32)</f>
        <v>0.88863850084575757</v>
      </c>
      <c r="K8" s="516"/>
      <c r="L8" s="515">
        <f>AVERAGE(J32:M32)</f>
        <v>1.0138580039725023</v>
      </c>
      <c r="M8" s="516"/>
      <c r="N8" s="521"/>
      <c r="O8" s="506"/>
      <c r="P8" s="522"/>
      <c r="Q8" s="506"/>
    </row>
    <row r="9" spans="2:17" ht="25.5" customHeight="1" thickBot="1"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</row>
    <row r="10" spans="2:17" ht="30" customHeight="1">
      <c r="B10" s="498" t="s">
        <v>145</v>
      </c>
      <c r="C10" s="500"/>
      <c r="D10" s="501" t="s">
        <v>146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147</v>
      </c>
      <c r="C11" s="504"/>
      <c r="D11" s="375">
        <v>1</v>
      </c>
      <c r="E11" s="375">
        <v>2</v>
      </c>
      <c r="F11" s="375">
        <v>3</v>
      </c>
      <c r="G11" s="375">
        <v>4</v>
      </c>
      <c r="H11" s="375">
        <v>5</v>
      </c>
      <c r="I11" s="375">
        <v>6</v>
      </c>
      <c r="J11" s="375">
        <v>7</v>
      </c>
      <c r="K11" s="375">
        <v>8</v>
      </c>
      <c r="L11" s="375">
        <v>9</v>
      </c>
      <c r="M11" s="375">
        <v>10</v>
      </c>
      <c r="N11" s="375">
        <v>11</v>
      </c>
      <c r="O11" s="375">
        <v>12</v>
      </c>
      <c r="P11" s="375">
        <v>13</v>
      </c>
      <c r="Q11" s="376">
        <v>14</v>
      </c>
    </row>
    <row r="12" spans="2:17" ht="33.9" customHeight="1">
      <c r="B12" s="487"/>
      <c r="C12" s="505"/>
      <c r="D12" s="14" t="s">
        <v>148</v>
      </c>
      <c r="E12" s="375" t="s">
        <v>149</v>
      </c>
      <c r="F12" s="375" t="s">
        <v>150</v>
      </c>
      <c r="G12" s="375" t="s">
        <v>151</v>
      </c>
      <c r="H12" s="14" t="s">
        <v>152</v>
      </c>
      <c r="I12" s="375" t="s">
        <v>153</v>
      </c>
      <c r="J12" s="375" t="s">
        <v>154</v>
      </c>
      <c r="K12" s="375" t="s">
        <v>155</v>
      </c>
      <c r="L12" s="375" t="s">
        <v>156</v>
      </c>
      <c r="M12" s="375" t="s">
        <v>157</v>
      </c>
      <c r="N12" s="375" t="s">
        <v>158</v>
      </c>
      <c r="O12" s="375" t="s">
        <v>159</v>
      </c>
      <c r="P12" s="375" t="s">
        <v>160</v>
      </c>
      <c r="Q12" s="376" t="s">
        <v>13</v>
      </c>
    </row>
    <row r="13" spans="2:17" ht="39.9" customHeight="1">
      <c r="B13" s="489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490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491"/>
      <c r="C15" s="375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7">
        <f t="shared" si="0"/>
        <v>0.92720195959082985</v>
      </c>
      <c r="Q15" s="11">
        <f t="shared" si="0"/>
        <v>0.95549437880565369</v>
      </c>
    </row>
    <row r="16" spans="2:17" ht="22.8" customHeight="1">
      <c r="B16" s="492" t="s">
        <v>164</v>
      </c>
      <c r="C16" s="375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8">
        <v>0.17361111111111113</v>
      </c>
    </row>
    <row r="17" spans="2:23" ht="22.8" customHeight="1">
      <c r="B17" s="493"/>
      <c r="C17" s="375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8">
        <v>0.60416666666666663</v>
      </c>
    </row>
    <row r="18" spans="2:23" ht="22.8" customHeight="1">
      <c r="B18" s="494" t="s">
        <v>14</v>
      </c>
      <c r="C18" s="379" t="s">
        <v>166</v>
      </c>
      <c r="D18" s="380" t="s">
        <v>15</v>
      </c>
      <c r="E18" s="380" t="s">
        <v>15</v>
      </c>
      <c r="F18" s="380" t="s">
        <v>15</v>
      </c>
      <c r="G18" s="380" t="s">
        <v>15</v>
      </c>
      <c r="H18" s="380" t="s">
        <v>15</v>
      </c>
      <c r="I18" s="380" t="s">
        <v>15</v>
      </c>
      <c r="J18" s="380" t="s">
        <v>15</v>
      </c>
      <c r="K18" s="380" t="s">
        <v>15</v>
      </c>
      <c r="L18" s="380" t="s">
        <v>15</v>
      </c>
      <c r="M18" s="380" t="s">
        <v>15</v>
      </c>
      <c r="N18" s="380" t="s">
        <v>15</v>
      </c>
      <c r="O18" s="380" t="s">
        <v>15</v>
      </c>
      <c r="P18" s="380" t="s">
        <v>15</v>
      </c>
      <c r="Q18" s="381"/>
    </row>
    <row r="19" spans="2:23" ht="22.8" customHeight="1">
      <c r="B19" s="495"/>
      <c r="C19" s="379" t="s">
        <v>167</v>
      </c>
      <c r="D19" s="380" t="s">
        <v>15</v>
      </c>
      <c r="E19" s="380" t="s">
        <v>15</v>
      </c>
      <c r="F19" s="380" t="s">
        <v>15</v>
      </c>
      <c r="G19" s="380" t="s">
        <v>15</v>
      </c>
      <c r="H19" s="380" t="s">
        <v>15</v>
      </c>
      <c r="I19" s="380" t="s">
        <v>15</v>
      </c>
      <c r="J19" s="380" t="s">
        <v>15</v>
      </c>
      <c r="K19" s="380" t="s">
        <v>15</v>
      </c>
      <c r="L19" s="380" t="s">
        <v>15</v>
      </c>
      <c r="M19" s="380" t="s">
        <v>15</v>
      </c>
      <c r="N19" s="380" t="s">
        <v>15</v>
      </c>
      <c r="O19" s="380" t="s">
        <v>15</v>
      </c>
      <c r="P19" s="380" t="s">
        <v>15</v>
      </c>
      <c r="Q19" s="381"/>
    </row>
    <row r="20" spans="2:23" ht="22.8" customHeight="1">
      <c r="B20" s="494" t="s">
        <v>16</v>
      </c>
      <c r="C20" s="379" t="s">
        <v>166</v>
      </c>
      <c r="D20" s="380">
        <v>1</v>
      </c>
      <c r="E20" s="380">
        <v>2</v>
      </c>
      <c r="F20" s="380">
        <v>1</v>
      </c>
      <c r="G20" s="380" t="s">
        <v>15</v>
      </c>
      <c r="H20" s="380">
        <v>1</v>
      </c>
      <c r="I20" s="380">
        <v>2</v>
      </c>
      <c r="J20" s="380">
        <v>2</v>
      </c>
      <c r="K20" s="380">
        <v>2</v>
      </c>
      <c r="L20" s="380">
        <v>1</v>
      </c>
      <c r="M20" s="380">
        <v>2</v>
      </c>
      <c r="N20" s="380">
        <v>2</v>
      </c>
      <c r="O20" s="380" t="s">
        <v>15</v>
      </c>
      <c r="P20" s="380">
        <v>1</v>
      </c>
      <c r="Q20" s="381"/>
    </row>
    <row r="21" spans="2:23" ht="22.8" customHeight="1">
      <c r="B21" s="495"/>
      <c r="C21" s="379" t="s">
        <v>168</v>
      </c>
      <c r="D21" s="380" t="s">
        <v>15</v>
      </c>
      <c r="E21" s="380">
        <v>2</v>
      </c>
      <c r="F21" s="380">
        <v>1</v>
      </c>
      <c r="G21" s="380">
        <v>1</v>
      </c>
      <c r="H21" s="380">
        <v>1</v>
      </c>
      <c r="I21" s="380" t="s">
        <v>15</v>
      </c>
      <c r="J21" s="380" t="s">
        <v>15</v>
      </c>
      <c r="K21" s="380">
        <v>2</v>
      </c>
      <c r="L21" s="380" t="s">
        <v>15</v>
      </c>
      <c r="M21" s="380" t="s">
        <v>15</v>
      </c>
      <c r="N21" s="380" t="s">
        <v>15</v>
      </c>
      <c r="O21" s="380" t="s">
        <v>15</v>
      </c>
      <c r="P21" s="380">
        <v>1</v>
      </c>
      <c r="Q21" s="381"/>
    </row>
    <row r="22" spans="2:23" ht="22.8" customHeight="1">
      <c r="B22" s="475" t="s">
        <v>169</v>
      </c>
      <c r="C22" s="496"/>
      <c r="D22" s="382">
        <v>18.5</v>
      </c>
      <c r="E22" s="382">
        <v>17.571428571428573</v>
      </c>
      <c r="F22" s="382">
        <v>15</v>
      </c>
      <c r="G22" s="382">
        <v>6.7142857142857144</v>
      </c>
      <c r="H22" s="382">
        <v>6.666666666666667</v>
      </c>
      <c r="I22" s="382">
        <v>17.333333333333332</v>
      </c>
      <c r="J22" s="382">
        <v>17.666666666666668</v>
      </c>
      <c r="K22" s="382">
        <v>17.399999999999999</v>
      </c>
      <c r="L22" s="382">
        <v>16.111111111111111</v>
      </c>
      <c r="M22" s="382">
        <v>18.222222222222221</v>
      </c>
      <c r="N22" s="382">
        <v>17.333333333333332</v>
      </c>
      <c r="O22" s="382">
        <v>14</v>
      </c>
      <c r="P22" s="382">
        <v>11.333333333333334</v>
      </c>
      <c r="Q22" s="383">
        <v>11.333333333333334</v>
      </c>
    </row>
    <row r="23" spans="2:23" ht="22.8" customHeight="1">
      <c r="B23" s="475" t="s">
        <v>170</v>
      </c>
      <c r="C23" s="49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475" t="s">
        <v>171</v>
      </c>
      <c r="C24" s="49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477" t="s">
        <v>172</v>
      </c>
      <c r="C25" s="49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</row>
    <row r="27" spans="2:23" ht="30" customHeight="1">
      <c r="B27" s="498"/>
      <c r="C27" s="499"/>
      <c r="D27" s="479" t="s">
        <v>173</v>
      </c>
      <c r="E27" s="480"/>
      <c r="F27" s="480"/>
      <c r="G27" s="480"/>
      <c r="H27" s="481"/>
      <c r="I27" s="482" t="s">
        <v>174</v>
      </c>
      <c r="J27" s="483"/>
      <c r="K27" s="483"/>
      <c r="L27" s="483"/>
      <c r="M27" s="484"/>
      <c r="N27" s="374"/>
      <c r="O27" s="374"/>
      <c r="P27" s="374"/>
      <c r="Q27" s="374"/>
    </row>
    <row r="28" spans="2:23" ht="17.25" customHeight="1">
      <c r="B28" s="485" t="s">
        <v>147</v>
      </c>
      <c r="C28" s="486"/>
      <c r="D28" s="384">
        <v>1</v>
      </c>
      <c r="E28" s="442">
        <v>2</v>
      </c>
      <c r="F28" s="375">
        <v>3</v>
      </c>
      <c r="G28" s="375">
        <v>4</v>
      </c>
      <c r="H28" s="376">
        <v>5</v>
      </c>
      <c r="I28" s="384">
        <v>1</v>
      </c>
      <c r="J28" s="375">
        <v>2</v>
      </c>
      <c r="K28" s="375">
        <v>3</v>
      </c>
      <c r="L28" s="375">
        <v>4</v>
      </c>
      <c r="M28" s="376">
        <v>5</v>
      </c>
      <c r="N28" s="374"/>
      <c r="O28" s="374"/>
      <c r="P28" s="374"/>
      <c r="Q28" s="374"/>
    </row>
    <row r="29" spans="2:23" ht="37.5" customHeight="1">
      <c r="B29" s="487"/>
      <c r="C29" s="488"/>
      <c r="D29" s="385" t="s">
        <v>26</v>
      </c>
      <c r="E29" s="386" t="s">
        <v>27</v>
      </c>
      <c r="F29" s="14" t="s">
        <v>28</v>
      </c>
      <c r="G29" s="14" t="s">
        <v>29</v>
      </c>
      <c r="H29" s="387" t="s">
        <v>30</v>
      </c>
      <c r="I29" s="385" t="s">
        <v>31</v>
      </c>
      <c r="J29" s="14" t="s">
        <v>27</v>
      </c>
      <c r="K29" s="14" t="s">
        <v>28</v>
      </c>
      <c r="L29" s="14" t="s">
        <v>29</v>
      </c>
      <c r="M29" s="387" t="s">
        <v>30</v>
      </c>
      <c r="N29" s="374"/>
      <c r="O29" s="374"/>
      <c r="P29" s="374"/>
      <c r="Q29" s="374"/>
    </row>
    <row r="30" spans="2:23" ht="39.9" customHeight="1">
      <c r="B30" s="489" t="s">
        <v>35</v>
      </c>
      <c r="C30" s="388" t="s">
        <v>161</v>
      </c>
      <c r="D30" s="20">
        <v>320</v>
      </c>
      <c r="E30" s="444">
        <v>825</v>
      </c>
      <c r="F30" s="19">
        <v>825</v>
      </c>
      <c r="G30" s="19">
        <v>900</v>
      </c>
      <c r="H30" s="21">
        <v>900</v>
      </c>
      <c r="I30" s="389">
        <v>680</v>
      </c>
      <c r="J30" s="19">
        <v>825</v>
      </c>
      <c r="K30" s="19">
        <v>900</v>
      </c>
      <c r="L30" s="19">
        <v>900</v>
      </c>
      <c r="M30" s="21">
        <v>900</v>
      </c>
      <c r="N30" s="374"/>
      <c r="O30" s="374"/>
      <c r="P30" s="374"/>
      <c r="Q30" s="374"/>
    </row>
    <row r="31" spans="2:23" ht="39.9" customHeight="1">
      <c r="B31" s="490"/>
      <c r="C31" s="388" t="s">
        <v>162</v>
      </c>
      <c r="D31" s="390">
        <v>159.99999999999972</v>
      </c>
      <c r="E31" s="8">
        <v>823.70953428511621</v>
      </c>
      <c r="F31" s="8">
        <v>0</v>
      </c>
      <c r="G31" s="8">
        <v>865.18539452078437</v>
      </c>
      <c r="H31" s="391">
        <v>985.32098930381665</v>
      </c>
      <c r="I31" s="390">
        <v>0</v>
      </c>
      <c r="J31" s="8">
        <v>1047.9999999999952</v>
      </c>
      <c r="K31" s="8">
        <v>712.49999999999932</v>
      </c>
      <c r="L31" s="8">
        <v>912.30866944373372</v>
      </c>
      <c r="M31" s="391">
        <v>881.80741758455281</v>
      </c>
      <c r="N31" s="374"/>
      <c r="O31" s="374"/>
      <c r="P31" s="374"/>
      <c r="Q31" s="374"/>
    </row>
    <row r="32" spans="2:23" ht="39.9" customHeight="1">
      <c r="B32" s="491"/>
      <c r="C32" s="443" t="s">
        <v>163</v>
      </c>
      <c r="D32" s="392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90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4"/>
      <c r="O32" s="374"/>
      <c r="P32" s="374"/>
      <c r="Q32" s="374"/>
    </row>
    <row r="33" spans="2:17" ht="25.8" customHeight="1">
      <c r="B33" s="492" t="s">
        <v>164</v>
      </c>
      <c r="C33" s="443" t="s">
        <v>165</v>
      </c>
      <c r="D33" s="393">
        <v>0.37152777777777773</v>
      </c>
      <c r="E33" s="12">
        <v>0.18055555555555555</v>
      </c>
      <c r="F33" s="12">
        <v>0</v>
      </c>
      <c r="G33" s="12">
        <v>2944.8000000000006</v>
      </c>
      <c r="H33" s="378">
        <v>0.18055555555555555</v>
      </c>
      <c r="I33" s="393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4"/>
      <c r="O33" s="374"/>
      <c r="P33" s="374"/>
      <c r="Q33" s="374"/>
    </row>
    <row r="34" spans="2:17" ht="25.8" customHeight="1">
      <c r="B34" s="493"/>
      <c r="C34" s="443" t="s">
        <v>36</v>
      </c>
      <c r="D34" s="393">
        <v>0.3923611111111111</v>
      </c>
      <c r="E34" s="12">
        <v>0.37083333333333335</v>
      </c>
      <c r="F34" s="12">
        <v>0</v>
      </c>
      <c r="G34" s="12">
        <v>1085.9999999999986</v>
      </c>
      <c r="H34" s="378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4"/>
      <c r="O34" s="374"/>
      <c r="P34" s="374"/>
      <c r="Q34" s="374"/>
    </row>
    <row r="35" spans="2:17" ht="25.8" customHeight="1">
      <c r="B35" s="475" t="s">
        <v>169</v>
      </c>
      <c r="C35" s="476"/>
      <c r="D35" s="394">
        <v>10</v>
      </c>
      <c r="E35" s="395">
        <v>3.5</v>
      </c>
      <c r="F35" s="395">
        <v>0</v>
      </c>
      <c r="G35" s="395">
        <v>3.6666666666666665</v>
      </c>
      <c r="H35" s="396">
        <v>3.25</v>
      </c>
      <c r="I35" s="397">
        <v>0</v>
      </c>
      <c r="J35" s="395">
        <v>3</v>
      </c>
      <c r="K35" s="395">
        <v>3.5</v>
      </c>
      <c r="L35" s="395">
        <v>3.4</v>
      </c>
      <c r="M35" s="383">
        <v>3.4285714285714284</v>
      </c>
      <c r="N35" s="374"/>
      <c r="O35" s="374"/>
      <c r="P35" s="374"/>
      <c r="Q35" s="374"/>
    </row>
    <row r="36" spans="2:17" ht="25.8" customHeight="1">
      <c r="B36" s="475" t="s">
        <v>170</v>
      </c>
      <c r="C36" s="476"/>
      <c r="D36" s="398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9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4"/>
      <c r="O36" s="374"/>
      <c r="P36" s="374"/>
      <c r="Q36" s="374"/>
    </row>
    <row r="37" spans="2:17" ht="25.8" customHeight="1">
      <c r="B37" s="475" t="s">
        <v>171</v>
      </c>
      <c r="C37" s="476"/>
      <c r="D37" s="400"/>
      <c r="E37" s="401"/>
      <c r="F37" s="402"/>
      <c r="G37" s="402"/>
      <c r="H37" s="403"/>
      <c r="I37" s="25"/>
      <c r="J37" s="24"/>
      <c r="K37" s="24"/>
      <c r="L37" s="24"/>
      <c r="M37" s="15"/>
      <c r="N37" s="374"/>
      <c r="O37" s="374"/>
      <c r="P37" s="374"/>
      <c r="Q37" s="374"/>
    </row>
    <row r="38" spans="2:17" ht="25.8" customHeight="1" thickBot="1">
      <c r="B38" s="477" t="s">
        <v>172</v>
      </c>
      <c r="C38" s="478"/>
      <c r="D38" s="26"/>
      <c r="E38" s="404"/>
      <c r="F38" s="17"/>
      <c r="G38" s="16"/>
      <c r="H38" s="18"/>
      <c r="I38" s="26"/>
      <c r="J38" s="16"/>
      <c r="K38" s="16"/>
      <c r="L38" s="16"/>
      <c r="M38" s="18"/>
      <c r="N38" s="374"/>
      <c r="O38" s="374"/>
      <c r="P38" s="374"/>
      <c r="Q38" s="374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219" priority="4" operator="lessThan">
      <formula>0.8</formula>
    </cfRule>
  </conditionalFormatting>
  <conditionalFormatting sqref="J32:L32">
    <cfRule type="cellIs" dxfId="6218" priority="3" operator="lessThan">
      <formula>0.8</formula>
    </cfRule>
  </conditionalFormatting>
  <conditionalFormatting sqref="M32">
    <cfRule type="cellIs" dxfId="6217" priority="2" operator="lessThan">
      <formula>0.8</formula>
    </cfRule>
  </conditionalFormatting>
  <conditionalFormatting sqref="H32">
    <cfRule type="cellIs" dxfId="62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6" hidden="1" customWidth="1"/>
    <col min="4" max="5" width="18.33203125" style="285" customWidth="1"/>
    <col min="6" max="6" width="9.77734375" style="354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5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599" t="s">
        <v>437</v>
      </c>
      <c r="K1" s="600"/>
      <c r="L1" s="601"/>
      <c r="M1" s="599" t="s">
        <v>438</v>
      </c>
      <c r="N1" s="600"/>
      <c r="O1" s="600"/>
      <c r="P1" s="600"/>
      <c r="Q1" s="600"/>
      <c r="R1" s="601"/>
    </row>
    <row r="2" spans="1:18" ht="26.25" customHeight="1" thickBot="1">
      <c r="A2" s="605" t="s">
        <v>439</v>
      </c>
      <c r="B2" s="606"/>
      <c r="C2" s="286"/>
      <c r="D2" s="445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602"/>
      <c r="K2" s="603"/>
      <c r="L2" s="604"/>
      <c r="M2" s="602"/>
      <c r="N2" s="603"/>
      <c r="O2" s="603"/>
      <c r="P2" s="603"/>
      <c r="Q2" s="603"/>
      <c r="R2" s="604"/>
    </row>
    <row r="3" spans="1:18" ht="23.25" customHeight="1">
      <c r="A3" s="607" t="s">
        <v>335</v>
      </c>
      <c r="B3" s="609" t="s">
        <v>441</v>
      </c>
      <c r="C3" s="447"/>
      <c r="D3" s="610" t="s">
        <v>337</v>
      </c>
      <c r="E3" s="610"/>
      <c r="F3" s="611" t="s">
        <v>43</v>
      </c>
      <c r="G3" s="612" t="s">
        <v>442</v>
      </c>
      <c r="H3" s="613" t="s">
        <v>443</v>
      </c>
      <c r="I3" s="614" t="s">
        <v>339</v>
      </c>
      <c r="J3" s="580" t="s">
        <v>343</v>
      </c>
      <c r="K3" s="592" t="s">
        <v>341</v>
      </c>
      <c r="L3" s="594" t="s">
        <v>333</v>
      </c>
      <c r="M3" s="596" t="s">
        <v>48</v>
      </c>
      <c r="N3" s="596"/>
      <c r="O3" s="580" t="s">
        <v>106</v>
      </c>
      <c r="P3" s="597" t="s">
        <v>444</v>
      </c>
      <c r="Q3" s="580" t="s">
        <v>445</v>
      </c>
      <c r="R3" s="580"/>
    </row>
    <row r="4" spans="1:18" ht="15.75" customHeight="1">
      <c r="A4" s="608"/>
      <c r="B4" s="609"/>
      <c r="C4" s="447"/>
      <c r="D4" s="610"/>
      <c r="E4" s="610"/>
      <c r="F4" s="611"/>
      <c r="G4" s="612"/>
      <c r="H4" s="613"/>
      <c r="I4" s="615"/>
      <c r="J4" s="591"/>
      <c r="K4" s="593"/>
      <c r="L4" s="595"/>
      <c r="M4" s="451" t="s">
        <v>50</v>
      </c>
      <c r="N4" s="451" t="s">
        <v>51</v>
      </c>
      <c r="O4" s="591"/>
      <c r="P4" s="598"/>
      <c r="Q4" s="292" t="s">
        <v>446</v>
      </c>
      <c r="R4" s="292" t="s">
        <v>447</v>
      </c>
    </row>
    <row r="5" spans="1:18">
      <c r="A5" s="581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47">
        <v>2055</v>
      </c>
      <c r="H5" s="296">
        <f>F5*G5</f>
        <v>61579.089026915106</v>
      </c>
      <c r="I5" s="449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52">
        <f t="shared" ref="P5:P10" si="2">(N5-M5)*24*60</f>
        <v>99.999999999999972</v>
      </c>
      <c r="Q5" s="301"/>
      <c r="R5" s="301"/>
    </row>
    <row r="6" spans="1:18">
      <c r="A6" s="581"/>
      <c r="B6" s="293">
        <v>0</v>
      </c>
      <c r="C6" s="293"/>
      <c r="D6" s="294" t="s">
        <v>192</v>
      </c>
      <c r="E6" s="294"/>
      <c r="F6" s="295" t="s">
        <v>133</v>
      </c>
      <c r="G6" s="447">
        <v>2379</v>
      </c>
      <c r="H6" s="296">
        <f t="shared" ref="H6:H15" si="3">F6*G6</f>
        <v>0</v>
      </c>
      <c r="I6" s="449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52">
        <f t="shared" si="2"/>
        <v>89.999999999999957</v>
      </c>
      <c r="Q6" s="292"/>
      <c r="R6" s="292"/>
    </row>
    <row r="7" spans="1:18">
      <c r="A7" s="581"/>
      <c r="B7" s="293">
        <v>0</v>
      </c>
      <c r="C7" s="293"/>
      <c r="D7" s="294" t="s">
        <v>193</v>
      </c>
      <c r="E7" s="294"/>
      <c r="F7" s="295" t="s">
        <v>133</v>
      </c>
      <c r="G7" s="447">
        <v>2258</v>
      </c>
      <c r="H7" s="296">
        <f t="shared" si="3"/>
        <v>0</v>
      </c>
      <c r="I7" s="449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52">
        <f t="shared" si="2"/>
        <v>85.000000000000014</v>
      </c>
      <c r="Q7" s="301"/>
      <c r="R7" s="301"/>
    </row>
    <row r="8" spans="1:18">
      <c r="A8" s="581"/>
      <c r="B8" s="293" t="s">
        <v>134</v>
      </c>
      <c r="C8" s="293"/>
      <c r="D8" s="294" t="s">
        <v>194</v>
      </c>
      <c r="E8" s="294"/>
      <c r="F8" s="295">
        <v>36.450000000000003</v>
      </c>
      <c r="G8" s="447">
        <v>1951</v>
      </c>
      <c r="H8" s="296">
        <f t="shared" si="3"/>
        <v>71113.950000000012</v>
      </c>
      <c r="I8" s="449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52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581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49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52">
        <f t="shared" si="2"/>
        <v>79.999999999999872</v>
      </c>
      <c r="Q9" s="301"/>
      <c r="R9" s="301"/>
    </row>
    <row r="10" spans="1:18">
      <c r="A10" s="581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49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52">
        <f t="shared" si="2"/>
        <v>74.999999999999886</v>
      </c>
      <c r="Q10" s="301"/>
      <c r="R10" s="301"/>
    </row>
    <row r="11" spans="1:18">
      <c r="A11" s="581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49"/>
      <c r="J11" s="297"/>
      <c r="K11" s="298"/>
      <c r="L11" s="299"/>
      <c r="M11" s="300"/>
      <c r="N11" s="300"/>
      <c r="O11" s="292"/>
      <c r="P11" s="452"/>
      <c r="Q11" s="301"/>
      <c r="R11" s="301"/>
    </row>
    <row r="12" spans="1:18">
      <c r="A12" s="582"/>
      <c r="B12" s="293">
        <v>0</v>
      </c>
      <c r="C12" s="448"/>
      <c r="D12" s="294"/>
      <c r="E12" s="294"/>
      <c r="F12" s="295" t="s">
        <v>133</v>
      </c>
      <c r="G12" s="446"/>
      <c r="H12" s="296">
        <f t="shared" si="3"/>
        <v>0</v>
      </c>
      <c r="I12" s="449"/>
      <c r="J12" s="297"/>
      <c r="K12" s="298"/>
      <c r="L12" s="299"/>
      <c r="M12" s="300"/>
      <c r="N12" s="300"/>
      <c r="O12" s="292"/>
      <c r="P12" s="452"/>
      <c r="Q12" s="301"/>
      <c r="R12" s="292"/>
    </row>
    <row r="13" spans="1:18">
      <c r="A13" s="582"/>
      <c r="B13" s="293">
        <v>0</v>
      </c>
      <c r="C13" s="293"/>
      <c r="D13" s="453"/>
      <c r="E13" s="454"/>
      <c r="F13" s="295" t="s">
        <v>133</v>
      </c>
      <c r="G13" s="302"/>
      <c r="H13" s="296">
        <f t="shared" si="3"/>
        <v>0</v>
      </c>
      <c r="I13" s="449"/>
      <c r="J13" s="297"/>
      <c r="K13" s="298"/>
      <c r="L13" s="299"/>
      <c r="M13" s="300"/>
      <c r="N13" s="300"/>
      <c r="O13" s="292"/>
      <c r="P13" s="452"/>
      <c r="Q13" s="292"/>
      <c r="R13" s="292"/>
    </row>
    <row r="14" spans="1:18">
      <c r="A14" s="582"/>
      <c r="B14" s="293">
        <v>0</v>
      </c>
      <c r="C14" s="293"/>
      <c r="D14" s="453"/>
      <c r="E14" s="454"/>
      <c r="F14" s="295" t="s">
        <v>133</v>
      </c>
      <c r="G14" s="302"/>
      <c r="H14" s="296">
        <f t="shared" si="3"/>
        <v>0</v>
      </c>
      <c r="I14" s="449"/>
      <c r="J14" s="297"/>
      <c r="K14" s="298"/>
      <c r="L14" s="299"/>
      <c r="M14" s="300"/>
      <c r="N14" s="300"/>
      <c r="O14" s="292"/>
      <c r="P14" s="452"/>
      <c r="Q14" s="292"/>
      <c r="R14" s="292"/>
    </row>
    <row r="15" spans="1:18">
      <c r="A15" s="582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49"/>
      <c r="J15" s="297"/>
      <c r="K15" s="298"/>
      <c r="L15" s="299"/>
      <c r="M15" s="300"/>
      <c r="N15" s="300"/>
      <c r="O15" s="292"/>
      <c r="P15" s="452"/>
      <c r="Q15" s="292"/>
      <c r="R15" s="292"/>
    </row>
    <row r="16" spans="1:18" ht="15.75" customHeight="1">
      <c r="A16" s="583"/>
      <c r="B16" s="293">
        <v>0</v>
      </c>
      <c r="C16" s="304" t="s">
        <v>450</v>
      </c>
      <c r="D16" s="567" t="s">
        <v>371</v>
      </c>
      <c r="E16" s="567"/>
      <c r="F16" s="305"/>
      <c r="G16" s="306"/>
      <c r="H16" s="307"/>
      <c r="I16" s="308"/>
      <c r="J16" s="309">
        <f>AVERAGE(J5:J15)</f>
        <v>11.333333333333334</v>
      </c>
      <c r="K16" s="309">
        <f>AVERAGE(K5:K15)</f>
        <v>1577.7970588235303</v>
      </c>
      <c r="L16" s="310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584" t="s">
        <v>451</v>
      </c>
      <c r="B17" s="293" t="s">
        <v>134</v>
      </c>
      <c r="C17" s="448"/>
      <c r="D17" s="587" t="s">
        <v>180</v>
      </c>
      <c r="E17" s="588"/>
      <c r="F17" s="295">
        <v>25.64</v>
      </c>
      <c r="G17" s="447">
        <v>800</v>
      </c>
      <c r="H17" s="311">
        <f t="shared" ref="H17:H23" si="4">F17*G17</f>
        <v>20512</v>
      </c>
      <c r="I17" s="312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52">
        <f>(N17-M17)*24*60</f>
        <v>30.000000000000053</v>
      </c>
      <c r="Q17" s="292"/>
      <c r="R17" s="292"/>
    </row>
    <row r="18" spans="1:18" ht="15.75" customHeight="1">
      <c r="A18" s="584"/>
      <c r="B18" s="293">
        <v>0</v>
      </c>
      <c r="C18" s="448"/>
      <c r="D18" s="589"/>
      <c r="E18" s="590"/>
      <c r="F18" s="295" t="s">
        <v>133</v>
      </c>
      <c r="G18" s="446"/>
      <c r="H18" s="296">
        <f t="shared" si="4"/>
        <v>0</v>
      </c>
      <c r="I18" s="449"/>
      <c r="J18" s="297"/>
      <c r="K18" s="298"/>
      <c r="L18" s="299"/>
      <c r="M18" s="300"/>
      <c r="N18" s="300"/>
      <c r="O18" s="292"/>
      <c r="P18" s="452"/>
      <c r="Q18" s="301"/>
      <c r="R18" s="301"/>
    </row>
    <row r="19" spans="1:18" ht="15.75" customHeight="1">
      <c r="A19" s="584"/>
      <c r="B19" s="293">
        <v>0</v>
      </c>
      <c r="C19" s="448"/>
      <c r="D19" s="589"/>
      <c r="E19" s="590"/>
      <c r="F19" s="295" t="s">
        <v>133</v>
      </c>
      <c r="G19" s="446"/>
      <c r="H19" s="296">
        <f t="shared" si="4"/>
        <v>0</v>
      </c>
      <c r="I19" s="449"/>
      <c r="J19" s="297"/>
      <c r="K19" s="298"/>
      <c r="L19" s="299"/>
      <c r="M19" s="300"/>
      <c r="N19" s="300"/>
      <c r="O19" s="292"/>
      <c r="P19" s="452"/>
      <c r="Q19" s="301"/>
      <c r="R19" s="301"/>
    </row>
    <row r="20" spans="1:18" ht="15.75" customHeight="1">
      <c r="A20" s="585"/>
      <c r="B20" s="293">
        <v>0</v>
      </c>
      <c r="C20" s="448"/>
      <c r="D20" s="313"/>
      <c r="E20" s="454"/>
      <c r="F20" s="295" t="s">
        <v>133</v>
      </c>
      <c r="G20" s="446"/>
      <c r="H20" s="296">
        <f t="shared" si="4"/>
        <v>0</v>
      </c>
      <c r="I20" s="449"/>
      <c r="J20" s="297"/>
      <c r="K20" s="298"/>
      <c r="L20" s="299"/>
      <c r="M20" s="300"/>
      <c r="N20" s="300"/>
      <c r="O20" s="292"/>
      <c r="P20" s="452"/>
      <c r="Q20" s="292"/>
      <c r="R20" s="292"/>
    </row>
    <row r="21" spans="1:18" ht="15.75" customHeight="1">
      <c r="A21" s="585"/>
      <c r="B21" s="293">
        <v>0</v>
      </c>
      <c r="C21" s="448"/>
      <c r="D21" s="313"/>
      <c r="E21" s="454"/>
      <c r="F21" s="295" t="s">
        <v>133</v>
      </c>
      <c r="G21" s="446"/>
      <c r="H21" s="296">
        <f t="shared" si="4"/>
        <v>0</v>
      </c>
      <c r="I21" s="449"/>
      <c r="J21" s="297"/>
      <c r="K21" s="298"/>
      <c r="L21" s="299"/>
      <c r="M21" s="300"/>
      <c r="N21" s="300"/>
      <c r="O21" s="292"/>
      <c r="P21" s="452"/>
      <c r="Q21" s="292"/>
      <c r="R21" s="292"/>
    </row>
    <row r="22" spans="1:18" ht="15.75" customHeight="1">
      <c r="A22" s="585"/>
      <c r="B22" s="293">
        <v>0</v>
      </c>
      <c r="C22" s="448"/>
      <c r="D22" s="313"/>
      <c r="E22" s="454"/>
      <c r="F22" s="295" t="s">
        <v>133</v>
      </c>
      <c r="G22" s="446"/>
      <c r="H22" s="296">
        <f t="shared" si="4"/>
        <v>0</v>
      </c>
      <c r="I22" s="449"/>
      <c r="J22" s="297"/>
      <c r="K22" s="298"/>
      <c r="L22" s="299"/>
      <c r="M22" s="300"/>
      <c r="N22" s="300"/>
      <c r="O22" s="292"/>
      <c r="P22" s="452"/>
      <c r="Q22" s="292"/>
      <c r="R22" s="292"/>
    </row>
    <row r="23" spans="1:18" ht="15.75" customHeight="1">
      <c r="A23" s="585"/>
      <c r="B23" s="293">
        <v>0</v>
      </c>
      <c r="C23" s="448"/>
      <c r="D23" s="313"/>
      <c r="E23" s="454"/>
      <c r="F23" s="295" t="s">
        <v>133</v>
      </c>
      <c r="G23" s="446"/>
      <c r="H23" s="296">
        <f t="shared" si="4"/>
        <v>0</v>
      </c>
      <c r="I23" s="449"/>
      <c r="J23" s="297"/>
      <c r="K23" s="298"/>
      <c r="L23" s="299"/>
      <c r="M23" s="300"/>
      <c r="N23" s="300"/>
      <c r="O23" s="292"/>
      <c r="P23" s="452"/>
      <c r="Q23" s="292"/>
      <c r="R23" s="292"/>
    </row>
    <row r="24" spans="1:18" ht="17.399999999999999" customHeight="1">
      <c r="A24" s="586"/>
      <c r="B24" s="293">
        <v>0</v>
      </c>
      <c r="C24" s="6" t="s">
        <v>452</v>
      </c>
      <c r="D24" s="567" t="s">
        <v>371</v>
      </c>
      <c r="E24" s="567"/>
      <c r="F24" s="305"/>
      <c r="G24" s="314"/>
      <c r="H24" s="307"/>
      <c r="I24" s="308"/>
      <c r="J24" s="309">
        <f>AVERAGE(J17:J23)</f>
        <v>10</v>
      </c>
      <c r="K24" s="309">
        <f>AVERAGE(K17:K23)</f>
        <v>1599.999999999997</v>
      </c>
      <c r="L24" s="310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571" t="s">
        <v>453</v>
      </c>
      <c r="B25" s="293" t="s">
        <v>131</v>
      </c>
      <c r="C25" s="315"/>
      <c r="D25" s="317" t="s">
        <v>454</v>
      </c>
      <c r="E25" s="316"/>
      <c r="F25" s="295">
        <v>15.03</v>
      </c>
      <c r="G25" s="447">
        <v>1248</v>
      </c>
      <c r="H25" s="296">
        <f t="shared" ref="H25:H37" si="6">F25*G25</f>
        <v>18757.439999999999</v>
      </c>
      <c r="I25" s="449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52">
        <f t="shared" ref="P25:P28" si="9">(N25-M25)*24*60</f>
        <v>26.999999999999986</v>
      </c>
      <c r="Q25" s="301"/>
      <c r="R25" s="301"/>
    </row>
    <row r="26" spans="1:18">
      <c r="A26" s="571"/>
      <c r="B26" s="293" t="s">
        <v>131</v>
      </c>
      <c r="C26" s="315"/>
      <c r="D26" s="313" t="s">
        <v>107</v>
      </c>
      <c r="E26" s="318"/>
      <c r="F26" s="295">
        <v>18.18</v>
      </c>
      <c r="G26" s="447">
        <v>3246</v>
      </c>
      <c r="H26" s="296">
        <f t="shared" si="6"/>
        <v>59012.28</v>
      </c>
      <c r="I26" s="449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52">
        <f t="shared" si="9"/>
        <v>70.000000000000028</v>
      </c>
      <c r="Q26" s="301"/>
      <c r="R26" s="301"/>
    </row>
    <row r="27" spans="1:18">
      <c r="A27" s="571"/>
      <c r="B27" s="293" t="s">
        <v>131</v>
      </c>
      <c r="C27" s="315"/>
      <c r="D27" s="317" t="s">
        <v>109</v>
      </c>
      <c r="E27" s="318"/>
      <c r="F27" s="295">
        <v>18.53</v>
      </c>
      <c r="G27" s="447">
        <v>1971</v>
      </c>
      <c r="H27" s="296">
        <f t="shared" si="6"/>
        <v>36522.630000000005</v>
      </c>
      <c r="I27" s="449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52">
        <f t="shared" si="9"/>
        <v>42.999999999999929</v>
      </c>
      <c r="Q27" s="301"/>
      <c r="R27" s="301"/>
    </row>
    <row r="28" spans="1:18">
      <c r="A28" s="571"/>
      <c r="B28" s="293" t="s">
        <v>131</v>
      </c>
      <c r="C28" s="448"/>
      <c r="D28" s="313" t="s">
        <v>455</v>
      </c>
      <c r="E28" s="318"/>
      <c r="F28" s="295">
        <v>24.93</v>
      </c>
      <c r="G28" s="447">
        <v>3660</v>
      </c>
      <c r="H28" s="296">
        <f t="shared" si="6"/>
        <v>91243.8</v>
      </c>
      <c r="I28" s="449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52">
        <f t="shared" si="9"/>
        <v>73.999999999999972</v>
      </c>
      <c r="Q28" s="301"/>
      <c r="R28" s="301"/>
    </row>
    <row r="29" spans="1:18">
      <c r="A29" s="571"/>
      <c r="B29" s="293">
        <v>0</v>
      </c>
      <c r="C29" s="447"/>
      <c r="D29" s="317"/>
      <c r="E29" s="318"/>
      <c r="F29" s="295" t="s">
        <v>133</v>
      </c>
      <c r="G29" s="447"/>
      <c r="H29" s="296">
        <f t="shared" si="6"/>
        <v>0</v>
      </c>
      <c r="I29" s="449"/>
      <c r="J29" s="297"/>
      <c r="K29" s="298"/>
      <c r="L29" s="299"/>
      <c r="M29" s="300"/>
      <c r="N29" s="300"/>
      <c r="O29" s="292"/>
      <c r="P29" s="452"/>
      <c r="Q29" s="301"/>
      <c r="R29" s="301"/>
    </row>
    <row r="30" spans="1:18">
      <c r="A30" s="571"/>
      <c r="B30" s="293">
        <v>0</v>
      </c>
      <c r="C30" s="447"/>
      <c r="D30" s="319"/>
      <c r="E30" s="318"/>
      <c r="F30" s="295" t="s">
        <v>133</v>
      </c>
      <c r="G30" s="447"/>
      <c r="H30" s="296">
        <f t="shared" si="6"/>
        <v>0</v>
      </c>
      <c r="I30" s="449"/>
      <c r="J30" s="297"/>
      <c r="K30" s="298"/>
      <c r="L30" s="299"/>
      <c r="M30" s="300"/>
      <c r="N30" s="300"/>
      <c r="O30" s="292"/>
      <c r="P30" s="452"/>
      <c r="Q30" s="301"/>
      <c r="R30" s="301"/>
    </row>
    <row r="31" spans="1:18" ht="15.75" customHeight="1">
      <c r="A31" s="571"/>
      <c r="B31" s="293">
        <v>0</v>
      </c>
      <c r="C31" s="448"/>
      <c r="D31" s="313"/>
      <c r="E31" s="318"/>
      <c r="F31" s="295" t="s">
        <v>133</v>
      </c>
      <c r="G31" s="447"/>
      <c r="H31" s="296">
        <f t="shared" si="6"/>
        <v>0</v>
      </c>
      <c r="I31" s="449"/>
      <c r="J31" s="297"/>
      <c r="K31" s="298"/>
      <c r="L31" s="299"/>
      <c r="M31" s="300"/>
      <c r="N31" s="300"/>
      <c r="O31" s="292"/>
      <c r="P31" s="452"/>
      <c r="Q31" s="301"/>
      <c r="R31" s="301"/>
    </row>
    <row r="32" spans="1:18">
      <c r="A32" s="571"/>
      <c r="B32" s="293">
        <v>0</v>
      </c>
      <c r="C32" s="448"/>
      <c r="D32" s="313"/>
      <c r="E32" s="454"/>
      <c r="F32" s="295" t="s">
        <v>133</v>
      </c>
      <c r="G32" s="447"/>
      <c r="H32" s="296">
        <f t="shared" si="6"/>
        <v>0</v>
      </c>
      <c r="I32" s="449"/>
      <c r="J32" s="297"/>
      <c r="K32" s="298"/>
      <c r="L32" s="299"/>
      <c r="M32" s="300"/>
      <c r="N32" s="300"/>
      <c r="O32" s="292"/>
      <c r="P32" s="452"/>
      <c r="Q32" s="301"/>
      <c r="R32" s="301"/>
    </row>
    <row r="33" spans="1:18">
      <c r="A33" s="571"/>
      <c r="B33" s="293">
        <v>0</v>
      </c>
      <c r="C33" s="447"/>
      <c r="D33" s="317"/>
      <c r="E33" s="318"/>
      <c r="F33" s="295" t="s">
        <v>133</v>
      </c>
      <c r="G33" s="447"/>
      <c r="H33" s="296">
        <f t="shared" si="6"/>
        <v>0</v>
      </c>
      <c r="I33" s="449"/>
      <c r="J33" s="297"/>
      <c r="K33" s="298"/>
      <c r="L33" s="299"/>
      <c r="M33" s="300"/>
      <c r="N33" s="300"/>
      <c r="O33" s="292"/>
      <c r="P33" s="452"/>
      <c r="Q33" s="301"/>
      <c r="R33" s="301"/>
    </row>
    <row r="34" spans="1:18">
      <c r="A34" s="571"/>
      <c r="B34" s="293">
        <v>0</v>
      </c>
      <c r="C34" s="315"/>
      <c r="D34" s="317"/>
      <c r="E34" s="318"/>
      <c r="F34" s="295" t="s">
        <v>133</v>
      </c>
      <c r="G34" s="320"/>
      <c r="H34" s="296">
        <f t="shared" si="6"/>
        <v>0</v>
      </c>
      <c r="I34" s="449"/>
      <c r="J34" s="297"/>
      <c r="K34" s="298"/>
      <c r="L34" s="299"/>
      <c r="M34" s="300"/>
      <c r="N34" s="300"/>
      <c r="O34" s="292"/>
      <c r="P34" s="452"/>
      <c r="Q34" s="301"/>
      <c r="R34" s="301"/>
    </row>
    <row r="35" spans="1:18">
      <c r="A35" s="571"/>
      <c r="B35" s="293">
        <v>0</v>
      </c>
      <c r="C35" s="315"/>
      <c r="D35" s="317"/>
      <c r="E35" s="318"/>
      <c r="F35" s="295" t="s">
        <v>133</v>
      </c>
      <c r="G35" s="320"/>
      <c r="H35" s="296">
        <f t="shared" si="6"/>
        <v>0</v>
      </c>
      <c r="I35" s="449"/>
      <c r="J35" s="297"/>
      <c r="K35" s="298"/>
      <c r="L35" s="299"/>
      <c r="M35" s="300"/>
      <c r="N35" s="300"/>
      <c r="O35" s="292"/>
      <c r="P35" s="452"/>
      <c r="Q35" s="301"/>
      <c r="R35" s="301"/>
    </row>
    <row r="36" spans="1:18">
      <c r="A36" s="571"/>
      <c r="B36" s="293">
        <v>0</v>
      </c>
      <c r="C36" s="315"/>
      <c r="D36" s="317"/>
      <c r="E36" s="317"/>
      <c r="F36" s="295" t="s">
        <v>133</v>
      </c>
      <c r="G36" s="320"/>
      <c r="H36" s="296">
        <f t="shared" si="6"/>
        <v>0</v>
      </c>
      <c r="I36" s="449"/>
      <c r="J36" s="297"/>
      <c r="K36" s="298"/>
      <c r="L36" s="299"/>
      <c r="M36" s="300"/>
      <c r="N36" s="300"/>
      <c r="O36" s="292"/>
      <c r="P36" s="452"/>
      <c r="Q36" s="301"/>
      <c r="R36" s="301"/>
    </row>
    <row r="37" spans="1:18">
      <c r="A37" s="571"/>
      <c r="B37" s="293">
        <v>0</v>
      </c>
      <c r="C37" s="315"/>
      <c r="D37" s="316"/>
      <c r="E37" s="316"/>
      <c r="F37" s="295" t="s">
        <v>133</v>
      </c>
      <c r="G37" s="320"/>
      <c r="H37" s="296">
        <f t="shared" si="6"/>
        <v>0</v>
      </c>
      <c r="I37" s="449"/>
      <c r="J37" s="297"/>
      <c r="K37" s="298"/>
      <c r="L37" s="299"/>
      <c r="M37" s="300"/>
      <c r="N37" s="300"/>
      <c r="O37" s="292"/>
      <c r="P37" s="452"/>
      <c r="Q37" s="301"/>
      <c r="R37" s="301"/>
    </row>
    <row r="38" spans="1:18" ht="17.399999999999999" customHeight="1">
      <c r="A38" s="572"/>
      <c r="B38" s="293">
        <v>0</v>
      </c>
      <c r="C38" s="6" t="s">
        <v>27</v>
      </c>
      <c r="D38" s="562" t="s">
        <v>108</v>
      </c>
      <c r="E38" s="562"/>
      <c r="F38" s="305"/>
      <c r="G38" s="321"/>
      <c r="H38" s="307"/>
      <c r="I38" s="308"/>
      <c r="J38" s="309">
        <f>AVERAGE(J25:J37)</f>
        <v>3.5</v>
      </c>
      <c r="K38" s="309">
        <f>AVERAGE(K25:K37)</f>
        <v>2818.354793331539</v>
      </c>
      <c r="L38" s="310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573" t="s">
        <v>456</v>
      </c>
      <c r="B39" s="293">
        <v>0</v>
      </c>
      <c r="C39" s="448"/>
      <c r="D39" s="316"/>
      <c r="E39" s="454"/>
      <c r="F39" s="295" t="s">
        <v>133</v>
      </c>
      <c r="G39" s="447"/>
      <c r="H39" s="296">
        <f t="shared" ref="H39:H47" si="10">F39*G39</f>
        <v>0</v>
      </c>
      <c r="I39" s="449"/>
      <c r="J39" s="297"/>
      <c r="K39" s="298"/>
      <c r="L39" s="299"/>
      <c r="M39" s="300"/>
      <c r="N39" s="300"/>
      <c r="O39" s="292"/>
      <c r="P39" s="322"/>
      <c r="Q39" s="301"/>
      <c r="R39" s="301"/>
    </row>
    <row r="40" spans="1:18">
      <c r="A40" s="574"/>
      <c r="B40" s="293">
        <v>0</v>
      </c>
      <c r="C40" s="448"/>
      <c r="D40" s="316"/>
      <c r="E40" s="454"/>
      <c r="F40" s="295" t="s">
        <v>133</v>
      </c>
      <c r="G40" s="447"/>
      <c r="H40" s="296">
        <f t="shared" si="10"/>
        <v>0</v>
      </c>
      <c r="I40" s="449"/>
      <c r="J40" s="297"/>
      <c r="K40" s="298"/>
      <c r="L40" s="299"/>
      <c r="M40" s="300"/>
      <c r="N40" s="300"/>
      <c r="O40" s="292"/>
      <c r="P40" s="322"/>
      <c r="Q40" s="301"/>
      <c r="R40" s="301"/>
    </row>
    <row r="41" spans="1:18">
      <c r="A41" s="574"/>
      <c r="B41" s="293">
        <v>0</v>
      </c>
      <c r="C41" s="448"/>
      <c r="D41" s="316"/>
      <c r="E41" s="454"/>
      <c r="F41" s="295" t="s">
        <v>133</v>
      </c>
      <c r="G41" s="447"/>
      <c r="H41" s="296">
        <f t="shared" si="10"/>
        <v>0</v>
      </c>
      <c r="I41" s="449"/>
      <c r="J41" s="297"/>
      <c r="K41" s="298"/>
      <c r="L41" s="299"/>
      <c r="M41" s="300"/>
      <c r="N41" s="300"/>
      <c r="O41" s="292"/>
      <c r="P41" s="322"/>
      <c r="Q41" s="301"/>
      <c r="R41" s="301"/>
    </row>
    <row r="42" spans="1:18">
      <c r="A42" s="574"/>
      <c r="B42" s="293">
        <v>0</v>
      </c>
      <c r="C42" s="448"/>
      <c r="D42" s="334"/>
      <c r="E42" s="454"/>
      <c r="F42" s="295" t="s">
        <v>133</v>
      </c>
      <c r="G42" s="447"/>
      <c r="H42" s="296">
        <f t="shared" si="10"/>
        <v>0</v>
      </c>
      <c r="I42" s="449"/>
      <c r="J42" s="297"/>
      <c r="K42" s="298"/>
      <c r="L42" s="299"/>
      <c r="M42" s="300"/>
      <c r="N42" s="300"/>
      <c r="O42" s="292"/>
      <c r="P42" s="322"/>
      <c r="Q42" s="301"/>
      <c r="R42" s="301"/>
    </row>
    <row r="43" spans="1:18" ht="15.75" customHeight="1">
      <c r="A43" s="574"/>
      <c r="B43" s="293">
        <v>0</v>
      </c>
      <c r="C43" s="448"/>
      <c r="D43" s="317"/>
      <c r="E43" s="454"/>
      <c r="F43" s="295" t="s">
        <v>133</v>
      </c>
      <c r="G43" s="447"/>
      <c r="H43" s="296">
        <f t="shared" si="10"/>
        <v>0</v>
      </c>
      <c r="I43" s="449"/>
      <c r="J43" s="297"/>
      <c r="K43" s="298"/>
      <c r="L43" s="299"/>
      <c r="M43" s="300"/>
      <c r="N43" s="300"/>
      <c r="O43" s="292"/>
      <c r="P43" s="452"/>
      <c r="Q43" s="301"/>
      <c r="R43" s="301"/>
    </row>
    <row r="44" spans="1:18">
      <c r="A44" s="574"/>
      <c r="B44" s="293">
        <v>0</v>
      </c>
      <c r="C44" s="448"/>
      <c r="D44" s="317"/>
      <c r="E44" s="323"/>
      <c r="F44" s="295" t="s">
        <v>133</v>
      </c>
      <c r="G44" s="324"/>
      <c r="H44" s="325">
        <f t="shared" si="10"/>
        <v>0</v>
      </c>
      <c r="I44" s="450"/>
      <c r="J44" s="297"/>
      <c r="K44" s="298"/>
      <c r="L44" s="299"/>
      <c r="M44" s="300"/>
      <c r="N44" s="300"/>
      <c r="O44" s="292"/>
      <c r="P44" s="452"/>
      <c r="Q44" s="301"/>
      <c r="R44" s="301"/>
    </row>
    <row r="45" spans="1:18">
      <c r="A45" s="574"/>
      <c r="B45" s="293">
        <v>0</v>
      </c>
      <c r="C45" s="448"/>
      <c r="D45" s="317"/>
      <c r="E45" s="318"/>
      <c r="F45" s="295" t="s">
        <v>133</v>
      </c>
      <c r="G45" s="447"/>
      <c r="H45" s="296">
        <f t="shared" si="10"/>
        <v>0</v>
      </c>
      <c r="I45" s="449"/>
      <c r="J45" s="297"/>
      <c r="K45" s="298"/>
      <c r="L45" s="299"/>
      <c r="M45" s="300"/>
      <c r="N45" s="300"/>
      <c r="O45" s="292"/>
      <c r="P45" s="452"/>
      <c r="Q45" s="301"/>
      <c r="R45" s="301"/>
    </row>
    <row r="46" spans="1:18">
      <c r="A46" s="574"/>
      <c r="B46" s="293">
        <v>0</v>
      </c>
      <c r="C46" s="448"/>
      <c r="D46" s="333"/>
      <c r="E46" s="323"/>
      <c r="F46" s="295" t="s">
        <v>133</v>
      </c>
      <c r="G46" s="324"/>
      <c r="H46" s="325">
        <f t="shared" si="10"/>
        <v>0</v>
      </c>
      <c r="I46" s="450"/>
      <c r="J46" s="297"/>
      <c r="K46" s="298"/>
      <c r="L46" s="299"/>
      <c r="M46" s="300"/>
      <c r="N46" s="300"/>
      <c r="O46" s="292"/>
      <c r="P46" s="452"/>
      <c r="Q46" s="301"/>
      <c r="R46" s="301"/>
    </row>
    <row r="47" spans="1:18">
      <c r="A47" s="574"/>
      <c r="B47" s="293">
        <v>0</v>
      </c>
      <c r="C47" s="448"/>
      <c r="D47" s="316"/>
      <c r="E47" s="318"/>
      <c r="F47" s="295" t="s">
        <v>133</v>
      </c>
      <c r="G47" s="447"/>
      <c r="H47" s="296">
        <f t="shared" si="10"/>
        <v>0</v>
      </c>
      <c r="I47" s="449"/>
      <c r="J47" s="297"/>
      <c r="K47" s="298"/>
      <c r="L47" s="299"/>
      <c r="M47" s="300"/>
      <c r="N47" s="300"/>
      <c r="O47" s="292"/>
      <c r="P47" s="452"/>
      <c r="Q47" s="301"/>
      <c r="R47" s="301"/>
    </row>
    <row r="48" spans="1:18">
      <c r="A48" s="575"/>
      <c r="B48" s="293">
        <v>0</v>
      </c>
      <c r="C48" s="447"/>
      <c r="D48" s="333"/>
      <c r="E48" s="372"/>
      <c r="F48" s="295" t="s">
        <v>133</v>
      </c>
      <c r="G48" s="447"/>
      <c r="H48" s="296"/>
      <c r="I48" s="449"/>
      <c r="J48" s="297"/>
      <c r="K48" s="298"/>
      <c r="L48" s="299"/>
      <c r="M48" s="300"/>
      <c r="N48" s="300"/>
      <c r="O48" s="292"/>
      <c r="P48" s="452"/>
      <c r="Q48" s="301"/>
      <c r="R48" s="301"/>
    </row>
    <row r="49" spans="1:18">
      <c r="A49" s="575"/>
      <c r="B49" s="293">
        <v>0</v>
      </c>
      <c r="C49" s="447"/>
      <c r="D49" s="326"/>
      <c r="E49" s="327"/>
      <c r="F49" s="295" t="s">
        <v>133</v>
      </c>
      <c r="G49" s="292"/>
      <c r="H49" s="325">
        <f>F49*G49</f>
        <v>0</v>
      </c>
      <c r="I49" s="452"/>
      <c r="J49" s="297"/>
      <c r="K49" s="298"/>
      <c r="L49" s="299"/>
      <c r="M49" s="300"/>
      <c r="N49" s="300"/>
      <c r="O49" s="292"/>
      <c r="P49" s="452"/>
      <c r="Q49" s="301"/>
      <c r="R49" s="301"/>
    </row>
    <row r="50" spans="1:18">
      <c r="A50" s="575"/>
      <c r="B50" s="293">
        <v>0</v>
      </c>
      <c r="C50" s="447"/>
      <c r="D50" s="326"/>
      <c r="E50" s="327"/>
      <c r="F50" s="295" t="s">
        <v>133</v>
      </c>
      <c r="G50" s="292"/>
      <c r="H50" s="325">
        <f>F50*G50</f>
        <v>0</v>
      </c>
      <c r="I50" s="452"/>
      <c r="J50" s="297"/>
      <c r="K50" s="298"/>
      <c r="L50" s="299"/>
      <c r="M50" s="300"/>
      <c r="N50" s="300"/>
      <c r="O50" s="292"/>
      <c r="P50" s="452"/>
      <c r="Q50" s="301"/>
      <c r="R50" s="301"/>
    </row>
    <row r="51" spans="1:18" ht="15.75" customHeight="1">
      <c r="A51" s="576"/>
      <c r="B51" s="293">
        <v>0</v>
      </c>
      <c r="C51" s="6" t="s">
        <v>28</v>
      </c>
      <c r="D51" s="567" t="s">
        <v>371</v>
      </c>
      <c r="E51" s="567"/>
      <c r="F51" s="305"/>
      <c r="G51" s="310"/>
      <c r="H51" s="328"/>
      <c r="I51" s="329"/>
      <c r="J51" s="309"/>
      <c r="K51" s="309"/>
      <c r="L51" s="310"/>
      <c r="M51" s="330"/>
      <c r="N51" s="300"/>
      <c r="O51" s="298"/>
      <c r="P51" s="298"/>
      <c r="Q51" s="299"/>
      <c r="R51" s="299"/>
    </row>
    <row r="52" spans="1:18" ht="15.6" customHeight="1">
      <c r="A52" s="577" t="s">
        <v>457</v>
      </c>
      <c r="B52" s="293" t="s">
        <v>131</v>
      </c>
      <c r="C52" s="448"/>
      <c r="D52" s="316" t="s">
        <v>114</v>
      </c>
      <c r="E52" s="331"/>
      <c r="F52" s="295">
        <v>18.18</v>
      </c>
      <c r="G52" s="447">
        <v>1068</v>
      </c>
      <c r="H52" s="296">
        <f>F52*G52</f>
        <v>19416.239999999998</v>
      </c>
      <c r="I52" s="449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52">
        <f>(N52-M52)*24*60</f>
        <v>21.000000000000085</v>
      </c>
      <c r="Q52" s="301"/>
      <c r="R52" s="301"/>
    </row>
    <row r="53" spans="1:18" ht="15.6" customHeight="1">
      <c r="A53" s="578"/>
      <c r="B53" s="293" t="s">
        <v>131</v>
      </c>
      <c r="C53" s="448"/>
      <c r="D53" s="316" t="s">
        <v>110</v>
      </c>
      <c r="E53" s="332"/>
      <c r="F53" s="295">
        <v>25.03</v>
      </c>
      <c r="G53" s="302">
        <v>760</v>
      </c>
      <c r="H53" s="296">
        <f t="shared" ref="H53:H116" si="11">F53*G53</f>
        <v>19022.8</v>
      </c>
      <c r="I53" s="449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52">
        <f t="shared" ref="P53:P57" si="14">(N53-M53)*24*60</f>
        <v>15.000000000000027</v>
      </c>
      <c r="Q53" s="301"/>
      <c r="R53" s="301"/>
    </row>
    <row r="54" spans="1:18" ht="15.6" customHeight="1">
      <c r="A54" s="578"/>
      <c r="B54" s="293" t="s">
        <v>131</v>
      </c>
      <c r="C54" s="448"/>
      <c r="D54" s="316" t="s">
        <v>111</v>
      </c>
      <c r="E54" s="454"/>
      <c r="F54" s="295">
        <v>24.82</v>
      </c>
      <c r="G54" s="302">
        <v>1004</v>
      </c>
      <c r="H54" s="296">
        <f t="shared" si="11"/>
        <v>24919.279999999999</v>
      </c>
      <c r="I54" s="449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52">
        <f t="shared" si="14"/>
        <v>18.999999999999932</v>
      </c>
      <c r="Q54" s="301"/>
      <c r="R54" s="301"/>
    </row>
    <row r="55" spans="1:18" ht="15.6" customHeight="1">
      <c r="A55" s="578"/>
      <c r="B55" s="293" t="s">
        <v>131</v>
      </c>
      <c r="C55" s="448"/>
      <c r="D55" s="316" t="s">
        <v>112</v>
      </c>
      <c r="E55" s="318"/>
      <c r="F55" s="295">
        <v>30</v>
      </c>
      <c r="G55" s="302">
        <v>1545</v>
      </c>
      <c r="H55" s="296">
        <f t="shared" si="11"/>
        <v>46350</v>
      </c>
      <c r="I55" s="449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52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578"/>
      <c r="B56" s="293" t="s">
        <v>131</v>
      </c>
      <c r="C56" s="448"/>
      <c r="D56" s="317" t="s">
        <v>458</v>
      </c>
      <c r="E56" s="318"/>
      <c r="F56" s="295">
        <v>23.72</v>
      </c>
      <c r="G56" s="302">
        <v>1227</v>
      </c>
      <c r="H56" s="296">
        <f t="shared" si="11"/>
        <v>29104.44</v>
      </c>
      <c r="I56" s="449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52">
        <f t="shared" si="14"/>
        <v>24.999999999999993</v>
      </c>
      <c r="Q56" s="301"/>
      <c r="R56" s="301"/>
    </row>
    <row r="57" spans="1:18" ht="15.75" customHeight="1">
      <c r="A57" s="578"/>
      <c r="B57" s="293" t="s">
        <v>131</v>
      </c>
      <c r="C57" s="6" t="s">
        <v>31</v>
      </c>
      <c r="D57" s="316" t="s">
        <v>459</v>
      </c>
      <c r="E57" s="318"/>
      <c r="F57" s="295">
        <v>17.07</v>
      </c>
      <c r="G57" s="302">
        <v>2715</v>
      </c>
      <c r="H57" s="296">
        <f t="shared" si="11"/>
        <v>46345.05</v>
      </c>
      <c r="I57" s="449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52">
        <f t="shared" si="14"/>
        <v>50.000000000000064</v>
      </c>
      <c r="Q57" s="301"/>
      <c r="R57" s="301"/>
    </row>
    <row r="58" spans="1:18" ht="15.6" customHeight="1">
      <c r="A58" s="578"/>
      <c r="B58" s="293">
        <v>0</v>
      </c>
      <c r="C58" s="335"/>
      <c r="D58" s="316"/>
      <c r="E58" s="318"/>
      <c r="F58" s="295" t="s">
        <v>133</v>
      </c>
      <c r="G58" s="336"/>
      <c r="H58" s="296">
        <f t="shared" si="11"/>
        <v>0</v>
      </c>
      <c r="I58" s="449"/>
      <c r="J58" s="297"/>
      <c r="K58" s="298"/>
      <c r="L58" s="299"/>
      <c r="M58" s="300"/>
      <c r="N58" s="300"/>
      <c r="O58" s="298"/>
      <c r="P58" s="452"/>
      <c r="Q58" s="301"/>
      <c r="R58" s="301"/>
    </row>
    <row r="59" spans="1:18" ht="15.6" customHeight="1">
      <c r="A59" s="578"/>
      <c r="B59" s="293">
        <v>0</v>
      </c>
      <c r="C59" s="448"/>
      <c r="D59" s="333"/>
      <c r="E59" s="318"/>
      <c r="F59" s="295" t="s">
        <v>133</v>
      </c>
      <c r="G59" s="302"/>
      <c r="H59" s="296">
        <f t="shared" si="11"/>
        <v>0</v>
      </c>
      <c r="I59" s="449"/>
      <c r="J59" s="297"/>
      <c r="K59" s="298"/>
      <c r="L59" s="299"/>
      <c r="M59" s="300"/>
      <c r="N59" s="300"/>
      <c r="O59" s="298"/>
      <c r="P59" s="452"/>
      <c r="Q59" s="301"/>
      <c r="R59" s="301"/>
    </row>
    <row r="60" spans="1:18" ht="15.6" customHeight="1">
      <c r="A60" s="578"/>
      <c r="B60" s="293">
        <v>0</v>
      </c>
      <c r="C60" s="448"/>
      <c r="D60" s="334"/>
      <c r="E60" s="337"/>
      <c r="F60" s="295" t="s">
        <v>133</v>
      </c>
      <c r="G60" s="302"/>
      <c r="H60" s="296">
        <f t="shared" si="11"/>
        <v>0</v>
      </c>
      <c r="I60" s="449"/>
      <c r="J60" s="297"/>
      <c r="K60" s="298"/>
      <c r="L60" s="299"/>
      <c r="M60" s="300"/>
      <c r="N60" s="300"/>
      <c r="O60" s="298"/>
      <c r="P60" s="452"/>
      <c r="Q60" s="301"/>
      <c r="R60" s="301"/>
    </row>
    <row r="61" spans="1:18" ht="15.6" customHeight="1">
      <c r="A61" s="578"/>
      <c r="B61" s="293">
        <v>0</v>
      </c>
      <c r="C61" s="448"/>
      <c r="D61" s="316"/>
      <c r="E61" s="318"/>
      <c r="F61" s="295" t="s">
        <v>133</v>
      </c>
      <c r="G61" s="302"/>
      <c r="H61" s="296">
        <f t="shared" si="11"/>
        <v>0</v>
      </c>
      <c r="I61" s="449"/>
      <c r="J61" s="297"/>
      <c r="K61" s="298"/>
      <c r="L61" s="299"/>
      <c r="M61" s="300"/>
      <c r="N61" s="300"/>
      <c r="O61" s="298"/>
      <c r="P61" s="452"/>
      <c r="Q61" s="301"/>
      <c r="R61" s="301"/>
    </row>
    <row r="62" spans="1:18" ht="15.6" customHeight="1">
      <c r="A62" s="578"/>
      <c r="B62" s="293">
        <v>0</v>
      </c>
      <c r="C62" s="448"/>
      <c r="D62" s="333"/>
      <c r="E62" s="338"/>
      <c r="F62" s="295" t="s">
        <v>133</v>
      </c>
      <c r="G62" s="302"/>
      <c r="H62" s="296">
        <f t="shared" si="11"/>
        <v>0</v>
      </c>
      <c r="I62" s="449"/>
      <c r="J62" s="297"/>
      <c r="K62" s="298"/>
      <c r="L62" s="299"/>
      <c r="M62" s="300"/>
      <c r="N62" s="300"/>
      <c r="O62" s="298"/>
      <c r="P62" s="452"/>
      <c r="Q62" s="301"/>
      <c r="R62" s="301"/>
    </row>
    <row r="63" spans="1:18" ht="15.6" customHeight="1">
      <c r="A63" s="578"/>
      <c r="B63" s="293">
        <v>0</v>
      </c>
      <c r="C63" s="335"/>
      <c r="D63" s="339"/>
      <c r="E63" s="337"/>
      <c r="F63" s="295" t="s">
        <v>133</v>
      </c>
      <c r="G63" s="302"/>
      <c r="H63" s="296">
        <f t="shared" si="11"/>
        <v>0</v>
      </c>
      <c r="I63" s="450"/>
      <c r="J63" s="297"/>
      <c r="K63" s="298"/>
      <c r="L63" s="299"/>
      <c r="M63" s="300"/>
      <c r="N63" s="300"/>
      <c r="O63" s="292"/>
      <c r="P63" s="452"/>
      <c r="Q63" s="301"/>
      <c r="R63" s="301"/>
    </row>
    <row r="64" spans="1:18" ht="15.75" customHeight="1">
      <c r="A64" s="579"/>
      <c r="B64" s="293">
        <v>0</v>
      </c>
      <c r="C64" s="6" t="s">
        <v>460</v>
      </c>
      <c r="D64" s="567" t="s">
        <v>371</v>
      </c>
      <c r="E64" s="567"/>
      <c r="F64" s="305"/>
      <c r="G64" s="310"/>
      <c r="H64" s="328"/>
      <c r="I64" s="329"/>
      <c r="J64" s="309">
        <f>AVERAGE(J52:J63)</f>
        <v>3.6666666666666665</v>
      </c>
      <c r="K64" s="309">
        <f>AVERAGE(K52:K63)</f>
        <v>3110.2177685593292</v>
      </c>
      <c r="L64" s="310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564" t="s">
        <v>461</v>
      </c>
      <c r="B65" s="293" t="s">
        <v>131</v>
      </c>
      <c r="C65" s="448"/>
      <c r="D65" s="317" t="s">
        <v>462</v>
      </c>
      <c r="E65" s="331"/>
      <c r="F65" s="295">
        <v>22.281818181818181</v>
      </c>
      <c r="G65" s="447">
        <v>719</v>
      </c>
      <c r="H65" s="296">
        <f>F65*G65</f>
        <v>16020.627272727272</v>
      </c>
      <c r="I65" s="449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52">
        <f>(N65-M65)*24*60</f>
        <v>13.999999999999989</v>
      </c>
      <c r="Q65" s="301"/>
      <c r="R65" s="301"/>
    </row>
    <row r="66" spans="1:18" ht="15.6" customHeight="1">
      <c r="A66" s="565"/>
      <c r="B66" s="293" t="s">
        <v>131</v>
      </c>
      <c r="C66" s="448"/>
      <c r="D66" s="317" t="s">
        <v>115</v>
      </c>
      <c r="E66" s="332"/>
      <c r="F66" s="295">
        <v>18.18</v>
      </c>
      <c r="G66" s="302">
        <v>1623</v>
      </c>
      <c r="H66" s="296">
        <f t="shared" ref="H66:H74" si="17">F66*G66</f>
        <v>29506.14</v>
      </c>
      <c r="I66" s="449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52">
        <f t="shared" ref="P66:P72" si="18">(N66-M66)*24*60</f>
        <v>30.999999999999972</v>
      </c>
      <c r="Q66" s="301"/>
      <c r="R66" s="301"/>
    </row>
    <row r="67" spans="1:18" ht="15.6" customHeight="1">
      <c r="A67" s="565"/>
      <c r="B67" s="293" t="s">
        <v>131</v>
      </c>
      <c r="C67" s="448"/>
      <c r="D67" s="333" t="s">
        <v>463</v>
      </c>
      <c r="E67" s="318"/>
      <c r="F67" s="295">
        <v>17.890909090909091</v>
      </c>
      <c r="G67" s="302">
        <v>1874</v>
      </c>
      <c r="H67" s="296">
        <f t="shared" si="17"/>
        <v>33527.563636363637</v>
      </c>
      <c r="I67" s="449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52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565"/>
      <c r="B68" s="293" t="s">
        <v>131</v>
      </c>
      <c r="C68" s="448"/>
      <c r="D68" s="333" t="s">
        <v>116</v>
      </c>
      <c r="E68" s="318"/>
      <c r="F68" s="295">
        <v>14.285714285714283</v>
      </c>
      <c r="G68" s="302">
        <v>4864</v>
      </c>
      <c r="H68" s="296">
        <f t="shared" si="17"/>
        <v>69485.714285714275</v>
      </c>
      <c r="I68" s="449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52">
        <f t="shared" si="18"/>
        <v>92</v>
      </c>
      <c r="Q68" s="301"/>
      <c r="R68" s="301"/>
    </row>
    <row r="69" spans="1:18" ht="15.6" customHeight="1">
      <c r="A69" s="565"/>
      <c r="B69" s="293" t="s">
        <v>131</v>
      </c>
      <c r="C69" s="448"/>
      <c r="D69" s="317" t="s">
        <v>464</v>
      </c>
      <c r="E69" s="318"/>
      <c r="F69" s="295">
        <v>16.66</v>
      </c>
      <c r="G69" s="302">
        <v>3191</v>
      </c>
      <c r="H69" s="296">
        <f t="shared" si="17"/>
        <v>53162.06</v>
      </c>
      <c r="I69" s="449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52">
        <f t="shared" si="18"/>
        <v>60.000000000000028</v>
      </c>
      <c r="Q69" s="301"/>
      <c r="R69" s="301"/>
    </row>
    <row r="70" spans="1:18" ht="15.75" customHeight="1">
      <c r="A70" s="565"/>
      <c r="B70" s="293" t="s">
        <v>131</v>
      </c>
      <c r="C70" s="6" t="s">
        <v>31</v>
      </c>
      <c r="D70" s="334" t="s">
        <v>113</v>
      </c>
      <c r="E70" s="318"/>
      <c r="F70" s="295">
        <v>14.03</v>
      </c>
      <c r="G70" s="302">
        <v>3132</v>
      </c>
      <c r="H70" s="296">
        <f t="shared" si="17"/>
        <v>43941.96</v>
      </c>
      <c r="I70" s="449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52">
        <f t="shared" si="18"/>
        <v>58.99999999999995</v>
      </c>
      <c r="Q70" s="301"/>
      <c r="R70" s="301"/>
    </row>
    <row r="71" spans="1:18" ht="15.6" customHeight="1">
      <c r="A71" s="565"/>
      <c r="B71" s="293" t="s">
        <v>131</v>
      </c>
      <c r="C71" s="335"/>
      <c r="D71" s="333" t="s">
        <v>465</v>
      </c>
      <c r="E71" s="318"/>
      <c r="F71" s="295">
        <v>25.2</v>
      </c>
      <c r="G71" s="336">
        <v>1257</v>
      </c>
      <c r="H71" s="296">
        <f t="shared" si="17"/>
        <v>31676.399999999998</v>
      </c>
      <c r="I71" s="449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52">
        <f t="shared" si="18"/>
        <v>24.000000000000075</v>
      </c>
      <c r="Q71" s="301"/>
      <c r="R71" s="301"/>
    </row>
    <row r="72" spans="1:18" ht="15.6" customHeight="1">
      <c r="A72" s="565"/>
      <c r="B72" s="293" t="s">
        <v>131</v>
      </c>
      <c r="C72" s="448"/>
      <c r="D72" s="333" t="s">
        <v>466</v>
      </c>
      <c r="E72" s="318"/>
      <c r="F72" s="295">
        <v>20.72</v>
      </c>
      <c r="G72" s="302">
        <v>3179</v>
      </c>
      <c r="H72" s="296">
        <f t="shared" si="17"/>
        <v>65868.87999999999</v>
      </c>
      <c r="I72" s="449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52">
        <f t="shared" si="18"/>
        <v>59.999999999999943</v>
      </c>
      <c r="Q72" s="301"/>
      <c r="R72" s="301"/>
    </row>
    <row r="73" spans="1:18" ht="15.6" customHeight="1">
      <c r="A73" s="565"/>
      <c r="B73" s="293">
        <v>0</v>
      </c>
      <c r="C73" s="448"/>
      <c r="D73" s="333"/>
      <c r="E73" s="318"/>
      <c r="F73" s="295" t="s">
        <v>133</v>
      </c>
      <c r="G73" s="302"/>
      <c r="H73" s="296">
        <f t="shared" si="17"/>
        <v>0</v>
      </c>
      <c r="I73" s="449"/>
      <c r="J73" s="297"/>
      <c r="K73" s="298"/>
      <c r="L73" s="299"/>
      <c r="M73" s="300"/>
      <c r="N73" s="300"/>
      <c r="O73" s="298"/>
      <c r="P73" s="452"/>
      <c r="Q73" s="301"/>
      <c r="R73" s="301"/>
    </row>
    <row r="74" spans="1:18" ht="15.6" customHeight="1">
      <c r="A74" s="565"/>
      <c r="B74" s="293">
        <v>0</v>
      </c>
      <c r="C74" s="448"/>
      <c r="D74" s="333"/>
      <c r="E74" s="318"/>
      <c r="F74" s="295" t="s">
        <v>133</v>
      </c>
      <c r="G74" s="302"/>
      <c r="H74" s="296">
        <f t="shared" si="17"/>
        <v>0</v>
      </c>
      <c r="I74" s="449"/>
      <c r="J74" s="297"/>
      <c r="K74" s="298"/>
      <c r="L74" s="299"/>
      <c r="M74" s="300"/>
      <c r="N74" s="300"/>
      <c r="O74" s="298"/>
      <c r="P74" s="452"/>
      <c r="Q74" s="301"/>
      <c r="R74" s="301"/>
    </row>
    <row r="75" spans="1:18" ht="15.75" customHeight="1">
      <c r="A75" s="566"/>
      <c r="B75" s="293">
        <v>0</v>
      </c>
      <c r="C75" s="6" t="s">
        <v>467</v>
      </c>
      <c r="D75" s="567" t="s">
        <v>371</v>
      </c>
      <c r="E75" s="567"/>
      <c r="F75" s="305"/>
      <c r="G75" s="310"/>
      <c r="H75" s="328"/>
      <c r="I75" s="329"/>
      <c r="J75" s="309">
        <f>AVERAGE(J65:J74)</f>
        <v>3.25</v>
      </c>
      <c r="K75" s="309">
        <f>AVERAGE(K65:K74)</f>
        <v>3151.9763607685923</v>
      </c>
      <c r="L75" s="310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568" t="s">
        <v>117</v>
      </c>
      <c r="B76" s="293">
        <v>0</v>
      </c>
      <c r="C76" s="304"/>
      <c r="D76" s="569"/>
      <c r="E76" s="570"/>
      <c r="F76" s="295" t="s">
        <v>133</v>
      </c>
      <c r="G76" s="340"/>
      <c r="H76" s="311">
        <f t="shared" si="11"/>
        <v>0</v>
      </c>
      <c r="I76" s="312"/>
      <c r="J76" s="297">
        <v>0</v>
      </c>
      <c r="K76" s="298">
        <v>0</v>
      </c>
      <c r="L76" s="299">
        <v>0</v>
      </c>
      <c r="M76" s="300"/>
      <c r="N76" s="300"/>
      <c r="O76" s="292"/>
      <c r="P76" s="452"/>
      <c r="Q76" s="301"/>
      <c r="R76" s="301"/>
    </row>
    <row r="77" spans="1:18">
      <c r="A77" s="568"/>
      <c r="B77" s="293">
        <v>0</v>
      </c>
      <c r="C77" s="304"/>
      <c r="D77" s="569"/>
      <c r="E77" s="570"/>
      <c r="F77" s="295" t="s">
        <v>133</v>
      </c>
      <c r="G77" s="447"/>
      <c r="H77" s="296">
        <f t="shared" si="11"/>
        <v>0</v>
      </c>
      <c r="I77" s="449"/>
      <c r="J77" s="297"/>
      <c r="K77" s="298"/>
      <c r="L77" s="299"/>
      <c r="M77" s="300"/>
      <c r="N77" s="300"/>
      <c r="O77" s="292"/>
      <c r="P77" s="452"/>
      <c r="Q77" s="292"/>
      <c r="R77" s="292"/>
    </row>
    <row r="78" spans="1:18">
      <c r="A78" s="568"/>
      <c r="B78" s="293">
        <v>0</v>
      </c>
      <c r="C78" s="304"/>
      <c r="D78" s="455"/>
      <c r="E78" s="455"/>
      <c r="F78" s="295" t="s">
        <v>133</v>
      </c>
      <c r="G78" s="320"/>
      <c r="H78" s="296">
        <f t="shared" si="11"/>
        <v>0</v>
      </c>
      <c r="I78" s="449"/>
      <c r="J78" s="297"/>
      <c r="K78" s="298"/>
      <c r="L78" s="299"/>
      <c r="M78" s="300"/>
      <c r="N78" s="300"/>
      <c r="O78" s="292"/>
      <c r="P78" s="452"/>
      <c r="Q78" s="292"/>
      <c r="R78" s="292"/>
    </row>
    <row r="79" spans="1:18">
      <c r="A79" s="568"/>
      <c r="B79" s="293">
        <v>0</v>
      </c>
      <c r="C79" s="304"/>
      <c r="D79" s="455"/>
      <c r="E79" s="455"/>
      <c r="F79" s="295" t="s">
        <v>133</v>
      </c>
      <c r="G79" s="320"/>
      <c r="H79" s="296">
        <f t="shared" si="11"/>
        <v>0</v>
      </c>
      <c r="I79" s="449"/>
      <c r="J79" s="297"/>
      <c r="K79" s="298"/>
      <c r="L79" s="299"/>
      <c r="M79" s="300"/>
      <c r="N79" s="300"/>
      <c r="O79" s="292"/>
      <c r="P79" s="452"/>
      <c r="Q79" s="292"/>
      <c r="R79" s="292"/>
    </row>
    <row r="80" spans="1:18">
      <c r="A80" s="568"/>
      <c r="B80" s="293">
        <v>0</v>
      </c>
      <c r="C80" s="304"/>
      <c r="D80" s="455"/>
      <c r="E80" s="455"/>
      <c r="F80" s="295" t="s">
        <v>133</v>
      </c>
      <c r="G80" s="320"/>
      <c r="H80" s="296">
        <f t="shared" si="11"/>
        <v>0</v>
      </c>
      <c r="I80" s="449"/>
      <c r="J80" s="297"/>
      <c r="K80" s="298"/>
      <c r="L80" s="299"/>
      <c r="M80" s="300"/>
      <c r="N80" s="300"/>
      <c r="O80" s="292"/>
      <c r="P80" s="452"/>
      <c r="Q80" s="292"/>
      <c r="R80" s="292"/>
    </row>
    <row r="81" spans="1:18" ht="15.75" customHeight="1">
      <c r="A81" s="568"/>
      <c r="B81" s="293">
        <v>0</v>
      </c>
      <c r="C81" s="6" t="s">
        <v>31</v>
      </c>
      <c r="D81" s="562" t="s">
        <v>371</v>
      </c>
      <c r="E81" s="562"/>
      <c r="F81" s="305"/>
      <c r="G81" s="341"/>
      <c r="H81" s="307"/>
      <c r="I81" s="308"/>
      <c r="J81" s="309">
        <f>AVERAGE(J76:J80)</f>
        <v>0</v>
      </c>
      <c r="K81" s="309">
        <f>AVERAGE(K76:K80)</f>
        <v>0</v>
      </c>
      <c r="L81" s="310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553" t="s">
        <v>468</v>
      </c>
      <c r="B82" s="293" t="s">
        <v>131</v>
      </c>
      <c r="C82" s="315"/>
      <c r="D82" s="316" t="s">
        <v>469</v>
      </c>
      <c r="E82" s="342"/>
      <c r="F82" s="295">
        <v>17.22</v>
      </c>
      <c r="G82" s="320">
        <v>1048</v>
      </c>
      <c r="H82" s="343">
        <f t="shared" ref="H82:H90" si="19">F82*G82</f>
        <v>18046.559999999998</v>
      </c>
      <c r="I82" s="449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52">
        <f t="shared" ref="P82" si="22">(N82-M82)*24*60</f>
        <v>20.000000000000089</v>
      </c>
      <c r="Q82" s="301"/>
      <c r="R82" s="301"/>
    </row>
    <row r="83" spans="1:18">
      <c r="A83" s="554"/>
      <c r="B83" s="293">
        <v>0</v>
      </c>
      <c r="C83" s="315"/>
      <c r="D83" s="333"/>
      <c r="E83" s="342"/>
      <c r="F83" s="295" t="s">
        <v>133</v>
      </c>
      <c r="G83" s="320"/>
      <c r="H83" s="343">
        <f t="shared" si="19"/>
        <v>0</v>
      </c>
      <c r="I83" s="449"/>
      <c r="J83" s="297"/>
      <c r="K83" s="298"/>
      <c r="L83" s="299"/>
      <c r="M83" s="300"/>
      <c r="N83" s="300"/>
      <c r="O83" s="298"/>
      <c r="P83" s="452"/>
      <c r="Q83" s="301"/>
      <c r="R83" s="301"/>
    </row>
    <row r="84" spans="1:18">
      <c r="A84" s="554"/>
      <c r="B84" s="293">
        <v>0</v>
      </c>
      <c r="C84" s="315"/>
      <c r="D84" s="316"/>
      <c r="E84" s="342"/>
      <c r="F84" s="295" t="s">
        <v>133</v>
      </c>
      <c r="G84" s="320"/>
      <c r="H84" s="343">
        <f t="shared" si="19"/>
        <v>0</v>
      </c>
      <c r="I84" s="449"/>
      <c r="J84" s="297"/>
      <c r="K84" s="298"/>
      <c r="L84" s="299"/>
      <c r="M84" s="300"/>
      <c r="N84" s="300"/>
      <c r="O84" s="298"/>
      <c r="P84" s="322"/>
      <c r="Q84" s="301"/>
      <c r="R84" s="301"/>
    </row>
    <row r="85" spans="1:18">
      <c r="A85" s="554"/>
      <c r="B85" s="293">
        <v>0</v>
      </c>
      <c r="C85" s="315"/>
      <c r="D85" s="316"/>
      <c r="E85" s="342"/>
      <c r="F85" s="295" t="s">
        <v>133</v>
      </c>
      <c r="G85" s="320"/>
      <c r="H85" s="344">
        <f t="shared" si="19"/>
        <v>0</v>
      </c>
      <c r="I85" s="449"/>
      <c r="J85" s="297"/>
      <c r="K85" s="298"/>
      <c r="L85" s="299"/>
      <c r="M85" s="300"/>
      <c r="N85" s="300"/>
      <c r="O85" s="298"/>
      <c r="P85" s="322"/>
      <c r="Q85" s="292"/>
      <c r="R85" s="292"/>
    </row>
    <row r="86" spans="1:18">
      <c r="A86" s="554"/>
      <c r="B86" s="293">
        <v>0</v>
      </c>
      <c r="C86" s="315"/>
      <c r="D86" s="316"/>
      <c r="E86" s="342"/>
      <c r="F86" s="295" t="s">
        <v>133</v>
      </c>
      <c r="G86" s="447"/>
      <c r="H86" s="344">
        <f t="shared" si="19"/>
        <v>0</v>
      </c>
      <c r="I86" s="449"/>
      <c r="J86" s="297"/>
      <c r="K86" s="298"/>
      <c r="L86" s="299"/>
      <c r="M86" s="300"/>
      <c r="N86" s="345"/>
      <c r="O86" s="292"/>
      <c r="P86" s="322"/>
      <c r="Q86" s="292"/>
      <c r="R86" s="292"/>
    </row>
    <row r="87" spans="1:18">
      <c r="A87" s="554"/>
      <c r="B87" s="293"/>
      <c r="C87" s="315"/>
      <c r="D87" s="316"/>
      <c r="E87" s="342"/>
      <c r="F87" s="295" t="s">
        <v>133</v>
      </c>
      <c r="G87" s="447"/>
      <c r="H87" s="344">
        <f t="shared" si="19"/>
        <v>0</v>
      </c>
      <c r="I87" s="449"/>
      <c r="J87" s="297"/>
      <c r="K87" s="298"/>
      <c r="L87" s="299"/>
      <c r="M87" s="300"/>
      <c r="N87" s="345"/>
      <c r="O87" s="292"/>
      <c r="P87" s="322"/>
      <c r="Q87" s="292"/>
      <c r="R87" s="292"/>
    </row>
    <row r="88" spans="1:18">
      <c r="A88" s="554"/>
      <c r="B88" s="293">
        <v>0</v>
      </c>
      <c r="C88" s="315"/>
      <c r="D88" s="316"/>
      <c r="E88" s="342"/>
      <c r="F88" s="295" t="s">
        <v>133</v>
      </c>
      <c r="G88" s="447"/>
      <c r="H88" s="344">
        <f t="shared" si="19"/>
        <v>0</v>
      </c>
      <c r="I88" s="449"/>
      <c r="J88" s="297"/>
      <c r="K88" s="298"/>
      <c r="L88" s="299"/>
      <c r="M88" s="300"/>
      <c r="N88" s="345"/>
      <c r="O88" s="292"/>
      <c r="P88" s="322"/>
      <c r="Q88" s="292"/>
      <c r="R88" s="292"/>
    </row>
    <row r="89" spans="1:18">
      <c r="A89" s="554"/>
      <c r="B89" s="293">
        <v>0</v>
      </c>
      <c r="C89" s="315"/>
      <c r="D89" s="316"/>
      <c r="E89" s="342"/>
      <c r="F89" s="295" t="s">
        <v>133</v>
      </c>
      <c r="G89" s="447"/>
      <c r="H89" s="344">
        <f t="shared" si="19"/>
        <v>0</v>
      </c>
      <c r="I89" s="449"/>
      <c r="J89" s="297"/>
      <c r="K89" s="298"/>
      <c r="L89" s="299"/>
      <c r="M89" s="300"/>
      <c r="N89" s="345"/>
      <c r="O89" s="292"/>
      <c r="P89" s="322"/>
      <c r="Q89" s="292"/>
      <c r="R89" s="292"/>
    </row>
    <row r="90" spans="1:18">
      <c r="A90" s="554"/>
      <c r="B90" s="293">
        <v>0</v>
      </c>
      <c r="C90" s="315"/>
      <c r="D90" s="316"/>
      <c r="E90" s="342"/>
      <c r="F90" s="295" t="s">
        <v>133</v>
      </c>
      <c r="G90" s="447"/>
      <c r="H90" s="344">
        <f t="shared" si="19"/>
        <v>0</v>
      </c>
      <c r="I90" s="449"/>
      <c r="J90" s="297"/>
      <c r="K90" s="298"/>
      <c r="L90" s="299"/>
      <c r="M90" s="300"/>
      <c r="N90" s="345"/>
      <c r="O90" s="292"/>
      <c r="P90" s="322"/>
      <c r="Q90" s="292"/>
      <c r="R90" s="292"/>
    </row>
    <row r="91" spans="1:18" ht="17.399999999999999" customHeight="1">
      <c r="A91" s="554"/>
      <c r="B91" s="293">
        <v>0</v>
      </c>
      <c r="C91" s="6" t="s">
        <v>453</v>
      </c>
      <c r="D91" s="555" t="s">
        <v>371</v>
      </c>
      <c r="E91" s="555"/>
      <c r="F91" s="305"/>
      <c r="G91" s="346"/>
      <c r="H91" s="347"/>
      <c r="I91" s="308"/>
      <c r="J91" s="309">
        <f>AVERAGE(J82:J90)</f>
        <v>3</v>
      </c>
      <c r="K91" s="309">
        <f>AVERAGE(K82:K90)</f>
        <v>3143.9999999999859</v>
      </c>
      <c r="L91" s="310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556" t="s">
        <v>470</v>
      </c>
      <c r="B92" s="293" t="s">
        <v>131</v>
      </c>
      <c r="C92" s="304"/>
      <c r="D92" s="348" t="s">
        <v>471</v>
      </c>
      <c r="E92" s="342"/>
      <c r="F92" s="295">
        <v>24.54</v>
      </c>
      <c r="G92" s="447">
        <v>1609</v>
      </c>
      <c r="H92" s="296">
        <f t="shared" ref="H92:H99" si="23">F92*G92</f>
        <v>39484.86</v>
      </c>
      <c r="I92" s="449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52">
        <f>(N92-M92)*24*60</f>
        <v>40.000000000000014</v>
      </c>
      <c r="Q92" s="301"/>
      <c r="R92" s="301"/>
    </row>
    <row r="93" spans="1:18">
      <c r="A93" s="557"/>
      <c r="B93" s="293" t="s">
        <v>131</v>
      </c>
      <c r="C93" s="304"/>
      <c r="D93" s="316" t="s">
        <v>472</v>
      </c>
      <c r="E93" s="337"/>
      <c r="F93" s="295">
        <v>23.27</v>
      </c>
      <c r="G93" s="302">
        <v>1241</v>
      </c>
      <c r="H93" s="296">
        <f t="shared" si="23"/>
        <v>28878.07</v>
      </c>
      <c r="I93" s="449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52">
        <f>(N93-M93)*24*60</f>
        <v>30.000000000000053</v>
      </c>
      <c r="Q93" s="301"/>
      <c r="R93" s="301"/>
    </row>
    <row r="94" spans="1:18">
      <c r="A94" s="557"/>
      <c r="B94" s="293">
        <v>0</v>
      </c>
      <c r="C94" s="304"/>
      <c r="D94" s="316"/>
      <c r="E94" s="337"/>
      <c r="F94" s="295" t="s">
        <v>133</v>
      </c>
      <c r="G94" s="302"/>
      <c r="H94" s="296">
        <f t="shared" si="23"/>
        <v>0</v>
      </c>
      <c r="I94" s="449"/>
      <c r="J94" s="297"/>
      <c r="K94" s="298"/>
      <c r="L94" s="299"/>
      <c r="M94" s="300"/>
      <c r="N94" s="300"/>
      <c r="O94" s="292"/>
      <c r="P94" s="452"/>
      <c r="Q94" s="301"/>
      <c r="R94" s="301"/>
    </row>
    <row r="95" spans="1:18">
      <c r="A95" s="558"/>
      <c r="B95" s="293">
        <v>0</v>
      </c>
      <c r="C95" s="304"/>
      <c r="D95" s="316"/>
      <c r="E95" s="337"/>
      <c r="F95" s="295" t="s">
        <v>133</v>
      </c>
      <c r="G95" s="302"/>
      <c r="H95" s="296">
        <f t="shared" si="23"/>
        <v>0</v>
      </c>
      <c r="I95" s="449"/>
      <c r="J95" s="297"/>
      <c r="K95" s="298"/>
      <c r="L95" s="299"/>
      <c r="M95" s="300"/>
      <c r="N95" s="300"/>
      <c r="O95" s="292"/>
      <c r="P95" s="452"/>
      <c r="Q95" s="301"/>
      <c r="R95" s="301"/>
    </row>
    <row r="96" spans="1:18">
      <c r="A96" s="558"/>
      <c r="B96" s="293">
        <v>0</v>
      </c>
      <c r="C96" s="304"/>
      <c r="D96" s="316"/>
      <c r="E96" s="337"/>
      <c r="F96" s="295" t="s">
        <v>133</v>
      </c>
      <c r="G96" s="302"/>
      <c r="H96" s="296">
        <f t="shared" si="23"/>
        <v>0</v>
      </c>
      <c r="I96" s="449"/>
      <c r="J96" s="297"/>
      <c r="K96" s="298"/>
      <c r="L96" s="299"/>
      <c r="M96" s="300"/>
      <c r="N96" s="300"/>
      <c r="O96" s="292"/>
      <c r="P96" s="452"/>
      <c r="Q96" s="301"/>
      <c r="R96" s="301"/>
    </row>
    <row r="97" spans="1:18">
      <c r="A97" s="558"/>
      <c r="B97" s="293">
        <v>0</v>
      </c>
      <c r="C97" s="304"/>
      <c r="D97" s="316"/>
      <c r="E97" s="337"/>
      <c r="F97" s="295" t="s">
        <v>133</v>
      </c>
      <c r="G97" s="302"/>
      <c r="H97" s="296">
        <f t="shared" si="23"/>
        <v>0</v>
      </c>
      <c r="I97" s="449"/>
      <c r="J97" s="297"/>
      <c r="K97" s="298"/>
      <c r="L97" s="299"/>
      <c r="M97" s="300"/>
      <c r="N97" s="300"/>
      <c r="O97" s="292"/>
      <c r="P97" s="452"/>
      <c r="Q97" s="301"/>
      <c r="R97" s="301"/>
    </row>
    <row r="98" spans="1:18">
      <c r="A98" s="558"/>
      <c r="B98" s="293">
        <v>0</v>
      </c>
      <c r="C98" s="304"/>
      <c r="D98" s="316"/>
      <c r="E98" s="337"/>
      <c r="F98" s="295" t="s">
        <v>133</v>
      </c>
      <c r="G98" s="302"/>
      <c r="H98" s="296">
        <f t="shared" si="23"/>
        <v>0</v>
      </c>
      <c r="I98" s="449"/>
      <c r="J98" s="297"/>
      <c r="K98" s="298"/>
      <c r="L98" s="299"/>
      <c r="M98" s="300"/>
      <c r="N98" s="300"/>
      <c r="O98" s="292"/>
      <c r="P98" s="452"/>
      <c r="Q98" s="301"/>
      <c r="R98" s="301"/>
    </row>
    <row r="99" spans="1:18">
      <c r="A99" s="558"/>
      <c r="B99" s="293">
        <v>0</v>
      </c>
      <c r="C99" s="304"/>
      <c r="D99" s="316"/>
      <c r="E99" s="337"/>
      <c r="F99" s="295" t="s">
        <v>133</v>
      </c>
      <c r="G99" s="302"/>
      <c r="H99" s="296">
        <f t="shared" si="23"/>
        <v>0</v>
      </c>
      <c r="I99" s="449"/>
      <c r="J99" s="297"/>
      <c r="K99" s="298"/>
      <c r="L99" s="299"/>
      <c r="M99" s="300"/>
      <c r="N99" s="300"/>
      <c r="O99" s="292"/>
      <c r="P99" s="452"/>
      <c r="Q99" s="301"/>
      <c r="R99" s="301"/>
    </row>
    <row r="100" spans="1:18" ht="15.75" customHeight="1">
      <c r="A100" s="558"/>
      <c r="B100" s="293">
        <v>0</v>
      </c>
      <c r="C100" s="6" t="s">
        <v>473</v>
      </c>
      <c r="D100" s="559" t="s">
        <v>371</v>
      </c>
      <c r="E100" s="560"/>
      <c r="F100" s="305"/>
      <c r="G100" s="306"/>
      <c r="H100" s="349"/>
      <c r="I100" s="308"/>
      <c r="J100" s="309">
        <f>AVERAGE(J92:J99)</f>
        <v>3.5</v>
      </c>
      <c r="K100" s="309">
        <f>AVERAGE(K92:K99)</f>
        <v>2447.7499999999973</v>
      </c>
      <c r="L100" s="310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561" t="s">
        <v>474</v>
      </c>
      <c r="B101" s="293" t="s">
        <v>131</v>
      </c>
      <c r="C101" s="6"/>
      <c r="D101" s="337" t="s">
        <v>122</v>
      </c>
      <c r="E101" s="350"/>
      <c r="F101" s="295">
        <v>25.03</v>
      </c>
      <c r="G101" s="447">
        <v>1241</v>
      </c>
      <c r="H101" s="296">
        <f t="shared" ref="H101:H110" si="26">F101*G101</f>
        <v>31062.230000000003</v>
      </c>
      <c r="I101" s="449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561"/>
      <c r="B102" s="293" t="s">
        <v>131</v>
      </c>
      <c r="C102" s="6"/>
      <c r="D102" s="316" t="s">
        <v>123</v>
      </c>
      <c r="E102" s="350"/>
      <c r="F102" s="295">
        <v>24.82</v>
      </c>
      <c r="G102" s="447">
        <v>1974</v>
      </c>
      <c r="H102" s="296">
        <f t="shared" si="26"/>
        <v>48994.68</v>
      </c>
      <c r="I102" s="449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561"/>
      <c r="B103" s="293" t="s">
        <v>131</v>
      </c>
      <c r="C103" s="6"/>
      <c r="D103" s="316" t="s">
        <v>475</v>
      </c>
      <c r="E103" s="316"/>
      <c r="F103" s="295">
        <v>30</v>
      </c>
      <c r="G103" s="447">
        <v>2115</v>
      </c>
      <c r="H103" s="296">
        <f t="shared" si="26"/>
        <v>63450</v>
      </c>
      <c r="I103" s="449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561"/>
      <c r="B104" s="293" t="s">
        <v>131</v>
      </c>
      <c r="C104" s="6"/>
      <c r="D104" s="333" t="s">
        <v>124</v>
      </c>
      <c r="E104" s="337"/>
      <c r="F104" s="295">
        <v>28.57</v>
      </c>
      <c r="G104" s="447">
        <v>3292</v>
      </c>
      <c r="H104" s="296">
        <f t="shared" si="26"/>
        <v>94052.44</v>
      </c>
      <c r="I104" s="449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561"/>
      <c r="B105" s="293" t="s">
        <v>131</v>
      </c>
      <c r="C105" s="6"/>
      <c r="D105" s="316" t="s">
        <v>125</v>
      </c>
      <c r="E105" s="333"/>
      <c r="F105" s="295">
        <v>14.285714285714283</v>
      </c>
      <c r="G105" s="447">
        <v>9308</v>
      </c>
      <c r="H105" s="296">
        <f t="shared" si="26"/>
        <v>132971.42857142855</v>
      </c>
      <c r="I105" s="449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561"/>
      <c r="B106" s="293">
        <v>0</v>
      </c>
      <c r="C106" s="6"/>
      <c r="D106" s="316"/>
      <c r="E106" s="350"/>
      <c r="F106" s="295" t="s">
        <v>133</v>
      </c>
      <c r="G106" s="302"/>
      <c r="H106" s="296">
        <f t="shared" si="26"/>
        <v>0</v>
      </c>
      <c r="I106" s="44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561"/>
      <c r="B107" s="293">
        <v>0</v>
      </c>
      <c r="C107" s="6"/>
      <c r="D107" s="316"/>
      <c r="E107" s="333"/>
      <c r="F107" s="295" t="s">
        <v>133</v>
      </c>
      <c r="G107" s="447"/>
      <c r="H107" s="296">
        <f t="shared" si="26"/>
        <v>0</v>
      </c>
      <c r="I107" s="44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561"/>
      <c r="B108" s="293">
        <v>0</v>
      </c>
      <c r="C108" s="6"/>
      <c r="D108" s="316"/>
      <c r="E108" s="333"/>
      <c r="F108" s="295" t="s">
        <v>133</v>
      </c>
      <c r="G108" s="447"/>
      <c r="H108" s="296">
        <f t="shared" si="26"/>
        <v>0</v>
      </c>
      <c r="I108" s="44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561"/>
      <c r="B109" s="293">
        <v>0</v>
      </c>
      <c r="C109" s="304"/>
      <c r="D109" s="316"/>
      <c r="E109" s="333"/>
      <c r="F109" s="295" t="s">
        <v>133</v>
      </c>
      <c r="G109" s="447"/>
      <c r="H109" s="296">
        <f t="shared" si="26"/>
        <v>0</v>
      </c>
      <c r="I109" s="44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561"/>
      <c r="B110" s="293">
        <v>0</v>
      </c>
      <c r="C110" s="304"/>
      <c r="D110" s="316"/>
      <c r="E110" s="333"/>
      <c r="F110" s="295" t="s">
        <v>133</v>
      </c>
      <c r="G110" s="447"/>
      <c r="H110" s="296">
        <f t="shared" si="26"/>
        <v>0</v>
      </c>
      <c r="I110" s="44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561"/>
      <c r="B111" s="293">
        <v>0</v>
      </c>
      <c r="C111" s="6" t="s">
        <v>460</v>
      </c>
      <c r="D111" s="562" t="s">
        <v>371</v>
      </c>
      <c r="E111" s="563"/>
      <c r="F111" s="351"/>
      <c r="G111" s="352"/>
      <c r="H111" s="307"/>
      <c r="I111" s="308"/>
      <c r="J111" s="309">
        <f>AVERAGE(J101:J110)</f>
        <v>3.4</v>
      </c>
      <c r="K111" s="309">
        <f>AVERAGE(K101:K110)</f>
        <v>3033.8960083312004</v>
      </c>
      <c r="L111" s="310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551" t="s">
        <v>476</v>
      </c>
      <c r="B112" s="293" t="s">
        <v>131</v>
      </c>
      <c r="C112" s="6"/>
      <c r="D112" s="333" t="s">
        <v>119</v>
      </c>
      <c r="E112" s="353"/>
      <c r="F112" s="295">
        <v>16.7</v>
      </c>
      <c r="G112" s="447">
        <v>1608</v>
      </c>
      <c r="H112" s="343">
        <f t="shared" si="11"/>
        <v>26853.599999999999</v>
      </c>
      <c r="I112" s="449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52">
        <f t="shared" ref="P112:P118" si="32">(N112-M112)*24*60</f>
        <v>29.999999999999893</v>
      </c>
      <c r="Q112" s="292"/>
      <c r="R112" s="292"/>
    </row>
    <row r="113" spans="1:18">
      <c r="A113" s="551"/>
      <c r="B113" s="293" t="s">
        <v>131</v>
      </c>
      <c r="C113" s="315"/>
      <c r="D113" s="455" t="s">
        <v>126</v>
      </c>
      <c r="E113" s="455"/>
      <c r="F113" s="295">
        <v>18.18</v>
      </c>
      <c r="G113" s="447">
        <v>1062</v>
      </c>
      <c r="H113" s="343">
        <f t="shared" si="11"/>
        <v>19307.16</v>
      </c>
      <c r="I113" s="449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52">
        <f t="shared" si="32"/>
        <v>24.999999999999751</v>
      </c>
      <c r="Q113" s="301"/>
      <c r="R113" s="301"/>
    </row>
    <row r="114" spans="1:18">
      <c r="A114" s="551"/>
      <c r="B114" s="293" t="s">
        <v>131</v>
      </c>
      <c r="C114" s="315"/>
      <c r="D114" s="455" t="s">
        <v>477</v>
      </c>
      <c r="E114" s="316"/>
      <c r="F114" s="295">
        <v>18.18</v>
      </c>
      <c r="G114" s="447">
        <v>1195</v>
      </c>
      <c r="H114" s="343">
        <f t="shared" si="11"/>
        <v>21725.1</v>
      </c>
      <c r="I114" s="449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52">
        <f t="shared" si="32"/>
        <v>24.999999999999751</v>
      </c>
      <c r="Q114" s="301"/>
      <c r="R114" s="301"/>
    </row>
    <row r="115" spans="1:18">
      <c r="A115" s="551"/>
      <c r="B115" s="293" t="s">
        <v>131</v>
      </c>
      <c r="C115" s="315"/>
      <c r="D115" s="316" t="s">
        <v>118</v>
      </c>
      <c r="E115" s="337"/>
      <c r="F115" s="295">
        <v>16.66</v>
      </c>
      <c r="G115" s="447">
        <v>6165</v>
      </c>
      <c r="H115" s="343">
        <f t="shared" si="11"/>
        <v>102708.9</v>
      </c>
      <c r="I115" s="449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52">
        <f t="shared" si="32"/>
        <v>119.99999999999989</v>
      </c>
      <c r="Q115" s="301"/>
      <c r="R115" s="301"/>
    </row>
    <row r="116" spans="1:18">
      <c r="A116" s="551"/>
      <c r="B116" s="293" t="s">
        <v>131</v>
      </c>
      <c r="C116" s="315"/>
      <c r="D116" s="316" t="s">
        <v>120</v>
      </c>
      <c r="E116" s="333"/>
      <c r="F116" s="295">
        <v>22.281818181818181</v>
      </c>
      <c r="G116" s="447">
        <v>1150</v>
      </c>
      <c r="H116" s="343">
        <f t="shared" si="11"/>
        <v>25624.090909090908</v>
      </c>
      <c r="I116" s="449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5">
        <v>0.93402777777777779</v>
      </c>
      <c r="O116" s="292">
        <v>20</v>
      </c>
      <c r="P116" s="452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551"/>
      <c r="B117" s="293" t="s">
        <v>131</v>
      </c>
      <c r="C117" s="315"/>
      <c r="D117" s="316" t="s">
        <v>121</v>
      </c>
      <c r="E117" s="332"/>
      <c r="F117" s="295">
        <v>17.890909090909091</v>
      </c>
      <c r="G117" s="447">
        <v>4103</v>
      </c>
      <c r="H117" s="343">
        <f t="shared" ref="H117:H123" si="33">F117*G117</f>
        <v>73406.399999999994</v>
      </c>
      <c r="I117" s="449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52">
        <f t="shared" si="32"/>
        <v>79.999999998835847</v>
      </c>
      <c r="Q117" s="301"/>
      <c r="R117" s="301"/>
    </row>
    <row r="118" spans="1:18">
      <c r="A118" s="551"/>
      <c r="B118" s="293" t="s">
        <v>131</v>
      </c>
      <c r="C118" s="315"/>
      <c r="D118" s="316" t="s">
        <v>478</v>
      </c>
      <c r="E118" s="332"/>
      <c r="F118" s="295">
        <v>14.03</v>
      </c>
      <c r="G118" s="447">
        <v>6637</v>
      </c>
      <c r="H118" s="343">
        <f t="shared" si="33"/>
        <v>93117.11</v>
      </c>
      <c r="I118" s="449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52">
        <f t="shared" si="32"/>
        <v>129.99999999999997</v>
      </c>
      <c r="Q118" s="301"/>
      <c r="R118" s="301"/>
    </row>
    <row r="119" spans="1:18">
      <c r="A119" s="551"/>
      <c r="B119" s="293">
        <v>0</v>
      </c>
      <c r="C119" s="315"/>
      <c r="D119" s="333"/>
      <c r="E119" s="332"/>
      <c r="F119" s="295" t="s">
        <v>133</v>
      </c>
      <c r="G119" s="447"/>
      <c r="H119" s="343">
        <f t="shared" si="33"/>
        <v>0</v>
      </c>
      <c r="I119" s="449"/>
      <c r="J119" s="297"/>
      <c r="K119" s="298"/>
      <c r="L119" s="299"/>
      <c r="M119" s="300"/>
      <c r="N119" s="300"/>
      <c r="O119" s="292"/>
      <c r="P119" s="452"/>
      <c r="Q119" s="301"/>
      <c r="R119" s="301"/>
    </row>
    <row r="120" spans="1:18">
      <c r="A120" s="551"/>
      <c r="B120" s="293">
        <v>0</v>
      </c>
      <c r="C120" s="315"/>
      <c r="D120" s="333"/>
      <c r="E120" s="332"/>
      <c r="F120" s="295" t="s">
        <v>133</v>
      </c>
      <c r="G120" s="447"/>
      <c r="H120" s="343">
        <f t="shared" si="33"/>
        <v>0</v>
      </c>
      <c r="I120" s="449"/>
      <c r="J120" s="297"/>
      <c r="K120" s="298"/>
      <c r="L120" s="299"/>
      <c r="M120" s="300"/>
      <c r="N120" s="300"/>
      <c r="O120" s="292"/>
      <c r="P120" s="452"/>
      <c r="Q120" s="301"/>
      <c r="R120" s="301"/>
    </row>
    <row r="121" spans="1:18">
      <c r="A121" s="551"/>
      <c r="B121" s="293">
        <v>0</v>
      </c>
      <c r="C121" s="315"/>
      <c r="D121" s="333"/>
      <c r="E121" s="332"/>
      <c r="F121" s="295" t="s">
        <v>133</v>
      </c>
      <c r="G121" s="447"/>
      <c r="H121" s="343">
        <f t="shared" si="33"/>
        <v>0</v>
      </c>
      <c r="I121" s="449"/>
      <c r="J121" s="297"/>
      <c r="K121" s="298"/>
      <c r="L121" s="299"/>
      <c r="M121" s="300"/>
      <c r="N121" s="300"/>
      <c r="O121" s="292"/>
      <c r="P121" s="452"/>
      <c r="Q121" s="301"/>
      <c r="R121" s="301"/>
    </row>
    <row r="122" spans="1:18" ht="15.6" customHeight="1">
      <c r="A122" s="551"/>
      <c r="B122" s="293">
        <v>0</v>
      </c>
      <c r="C122" s="315"/>
      <c r="D122" s="333"/>
      <c r="E122" s="332"/>
      <c r="F122" s="295" t="s">
        <v>133</v>
      </c>
      <c r="G122" s="447"/>
      <c r="H122" s="343">
        <f t="shared" si="33"/>
        <v>0</v>
      </c>
      <c r="I122" s="449"/>
      <c r="J122" s="297"/>
      <c r="K122" s="298"/>
      <c r="L122" s="299"/>
      <c r="M122" s="300"/>
      <c r="N122" s="300"/>
      <c r="O122" s="292"/>
      <c r="P122" s="452"/>
      <c r="Q122" s="301"/>
      <c r="R122" s="301"/>
    </row>
    <row r="123" spans="1:18">
      <c r="A123" s="551"/>
      <c r="B123" s="293">
        <v>0</v>
      </c>
      <c r="C123" s="315"/>
      <c r="D123" s="333"/>
      <c r="E123" s="332"/>
      <c r="F123" s="295" t="s">
        <v>133</v>
      </c>
      <c r="G123" s="447"/>
      <c r="H123" s="343">
        <f t="shared" si="33"/>
        <v>0</v>
      </c>
      <c r="I123" s="449"/>
      <c r="J123" s="297"/>
      <c r="K123" s="298"/>
      <c r="L123" s="299"/>
      <c r="M123" s="300"/>
      <c r="N123" s="300"/>
      <c r="O123" s="292"/>
      <c r="P123" s="452"/>
      <c r="Q123" s="301"/>
      <c r="R123" s="301"/>
    </row>
    <row r="124" spans="1:18" ht="17.399999999999999" customHeight="1">
      <c r="A124" s="551"/>
      <c r="B124" s="304">
        <v>0</v>
      </c>
      <c r="C124" s="6" t="s">
        <v>467</v>
      </c>
      <c r="D124" s="552" t="s">
        <v>371</v>
      </c>
      <c r="E124" s="552"/>
      <c r="F124" s="305"/>
      <c r="G124" s="346"/>
      <c r="H124" s="347"/>
      <c r="I124" s="308"/>
      <c r="J124" s="309">
        <f>AVERAGE(J112:J123)</f>
        <v>3.4285714285714284</v>
      </c>
      <c r="K124" s="309">
        <f>AVERAGE(K112:K123)</f>
        <v>2945.1115384679442</v>
      </c>
      <c r="L124" s="310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5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59" t="s">
        <v>316</v>
      </c>
      <c r="E1" s="29">
        <f>SUM(G5:G173)</f>
        <v>204950.75000000003</v>
      </c>
      <c r="F1" s="460" t="s">
        <v>3</v>
      </c>
      <c r="G1" s="30">
        <f>SUM(H5:H173)</f>
        <v>8062185.7254235456</v>
      </c>
      <c r="H1" s="456" t="s">
        <v>37</v>
      </c>
      <c r="I1" s="31">
        <f>M17+M30+M43+M56+M69+M82+M95+M108+M121+M134+M147+M160+M173</f>
        <v>193.85238095238097</v>
      </c>
      <c r="J1" s="684" t="s">
        <v>38</v>
      </c>
      <c r="K1" s="684"/>
      <c r="L1" s="684"/>
      <c r="M1" s="684" t="s">
        <v>39</v>
      </c>
      <c r="N1" s="684"/>
      <c r="O1" s="684"/>
      <c r="P1" s="684" t="s">
        <v>318</v>
      </c>
      <c r="Q1" s="684"/>
      <c r="R1" s="684"/>
      <c r="S1" s="684"/>
      <c r="T1" s="684" t="s">
        <v>320</v>
      </c>
      <c r="U1" s="684"/>
      <c r="V1" s="684"/>
      <c r="W1" s="684"/>
      <c r="X1" s="684"/>
      <c r="Y1" s="684"/>
      <c r="Z1" s="32" t="s">
        <v>322</v>
      </c>
      <c r="AA1" s="32" t="s">
        <v>324</v>
      </c>
      <c r="AB1" s="685" t="s">
        <v>326</v>
      </c>
      <c r="AC1" s="686"/>
      <c r="AD1" s="32" t="s">
        <v>322</v>
      </c>
      <c r="AE1" s="32" t="s">
        <v>328</v>
      </c>
      <c r="AF1" s="684" t="s">
        <v>330</v>
      </c>
      <c r="AG1" s="689"/>
      <c r="AH1" s="689"/>
    </row>
    <row r="2" spans="1:34" ht="26.25" customHeight="1">
      <c r="A2" s="683" t="s">
        <v>331</v>
      </c>
      <c r="B2" s="683"/>
      <c r="C2" s="459"/>
      <c r="D2" s="459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56" t="s">
        <v>41</v>
      </c>
      <c r="I2" s="456">
        <f>COUNT(I5:I173)</f>
        <v>16</v>
      </c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684"/>
      <c r="X2" s="684"/>
      <c r="Y2" s="68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87"/>
      <c r="AC2" s="688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689"/>
      <c r="AG2" s="689"/>
      <c r="AH2" s="689"/>
    </row>
    <row r="3" spans="1:34" ht="30.6" customHeight="1">
      <c r="A3" s="616" t="s">
        <v>335</v>
      </c>
      <c r="B3" s="616" t="s">
        <v>42</v>
      </c>
      <c r="C3" s="681"/>
      <c r="D3" s="616" t="s">
        <v>337</v>
      </c>
      <c r="E3" s="616"/>
      <c r="F3" s="681" t="s">
        <v>43</v>
      </c>
      <c r="G3" s="675" t="s">
        <v>44</v>
      </c>
      <c r="H3" s="681" t="s">
        <v>45</v>
      </c>
      <c r="I3" s="677" t="s">
        <v>339</v>
      </c>
      <c r="J3" s="680" t="s">
        <v>46</v>
      </c>
      <c r="K3" s="670" t="s">
        <v>47</v>
      </c>
      <c r="L3" s="651" t="s">
        <v>35</v>
      </c>
      <c r="M3" s="675" t="s">
        <v>46</v>
      </c>
      <c r="N3" s="670" t="s">
        <v>341</v>
      </c>
      <c r="O3" s="651" t="s">
        <v>333</v>
      </c>
      <c r="P3" s="680" t="s">
        <v>343</v>
      </c>
      <c r="Q3" s="651" t="s">
        <v>333</v>
      </c>
      <c r="R3" s="671" t="s">
        <v>345</v>
      </c>
      <c r="S3" s="647" t="s">
        <v>347</v>
      </c>
      <c r="T3" s="675" t="s">
        <v>48</v>
      </c>
      <c r="U3" s="675"/>
      <c r="V3" s="676" t="s">
        <v>49</v>
      </c>
      <c r="W3" s="677" t="s">
        <v>349</v>
      </c>
      <c r="X3" s="675" t="s">
        <v>351</v>
      </c>
      <c r="Y3" s="675"/>
      <c r="Z3" s="678" t="s">
        <v>352</v>
      </c>
      <c r="AA3" s="679"/>
      <c r="AB3" s="666" t="s">
        <v>354</v>
      </c>
      <c r="AC3" s="667"/>
      <c r="AD3" s="668" t="s">
        <v>355</v>
      </c>
      <c r="AE3" s="669"/>
      <c r="AF3" s="670" t="s">
        <v>356</v>
      </c>
      <c r="AG3" s="671" t="s">
        <v>357</v>
      </c>
      <c r="AH3" s="647" t="s">
        <v>358</v>
      </c>
    </row>
    <row r="4" spans="1:34" ht="30.6" customHeight="1">
      <c r="A4" s="681"/>
      <c r="B4" s="616"/>
      <c r="C4" s="682"/>
      <c r="D4" s="616"/>
      <c r="E4" s="616"/>
      <c r="F4" s="682"/>
      <c r="G4" s="675"/>
      <c r="H4" s="682"/>
      <c r="I4" s="677"/>
      <c r="J4" s="680"/>
      <c r="K4" s="670"/>
      <c r="L4" s="651"/>
      <c r="M4" s="675"/>
      <c r="N4" s="670"/>
      <c r="O4" s="651"/>
      <c r="P4" s="680"/>
      <c r="Q4" s="651"/>
      <c r="R4" s="671"/>
      <c r="S4" s="647"/>
      <c r="T4" s="466" t="s">
        <v>50</v>
      </c>
      <c r="U4" s="466" t="s">
        <v>51</v>
      </c>
      <c r="V4" s="675"/>
      <c r="W4" s="677"/>
      <c r="X4" s="460" t="s">
        <v>360</v>
      </c>
      <c r="Y4" s="460" t="s">
        <v>36</v>
      </c>
      <c r="Z4" s="466" t="s">
        <v>361</v>
      </c>
      <c r="AA4" s="466" t="s">
        <v>362</v>
      </c>
      <c r="AB4" s="667"/>
      <c r="AC4" s="667"/>
      <c r="AD4" s="466" t="s">
        <v>363</v>
      </c>
      <c r="AE4" s="39" t="s">
        <v>364</v>
      </c>
      <c r="AF4" s="670"/>
      <c r="AG4" s="671"/>
      <c r="AH4" s="647"/>
    </row>
    <row r="5" spans="1:34" ht="18.75" customHeight="1">
      <c r="A5" s="672" t="s">
        <v>366</v>
      </c>
      <c r="B5" s="40" t="s">
        <v>127</v>
      </c>
      <c r="C5" s="41"/>
      <c r="D5" s="42" t="s">
        <v>52</v>
      </c>
      <c r="E5" s="43"/>
      <c r="F5" s="357">
        <v>37.83</v>
      </c>
      <c r="G5" s="44">
        <v>5558</v>
      </c>
      <c r="H5" s="45">
        <f t="shared" ref="H5:H16" si="0">F5*G5</f>
        <v>210259.13999999998</v>
      </c>
      <c r="I5" s="457"/>
      <c r="J5" s="46">
        <v>20</v>
      </c>
      <c r="K5" s="44">
        <v>2400</v>
      </c>
      <c r="L5" s="47">
        <v>120</v>
      </c>
      <c r="M5" s="458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64">
        <f t="shared" ref="R5:R12" si="5">O5/L5</f>
        <v>0.99964028776978409</v>
      </c>
      <c r="S5" s="635">
        <f>R17</f>
        <v>0.93651466735657452</v>
      </c>
      <c r="T5" s="89">
        <v>0.25</v>
      </c>
      <c r="U5" s="89">
        <v>0.34652777777777777</v>
      </c>
      <c r="V5" s="460">
        <v>5</v>
      </c>
      <c r="W5" s="457">
        <f>(U5-T5)*24*60</f>
        <v>139</v>
      </c>
      <c r="X5" s="460"/>
      <c r="Y5" s="460"/>
      <c r="Z5" s="51"/>
      <c r="AA5" s="51"/>
      <c r="AB5" s="616"/>
      <c r="AC5" s="616"/>
      <c r="AD5" s="52"/>
      <c r="AE5" s="52"/>
      <c r="AF5" s="48">
        <f t="shared" ref="AF5:AF70" si="6">N5-K5</f>
        <v>-0.86330935251817209</v>
      </c>
      <c r="AG5" s="464">
        <f t="shared" ref="AG5:AG70" si="7">N5/K5</f>
        <v>0.99964028776978409</v>
      </c>
      <c r="AH5" s="635">
        <f>AG17</f>
        <v>0.95135747980332375</v>
      </c>
    </row>
    <row r="6" spans="1:34" ht="19.2" customHeight="1">
      <c r="A6" s="673"/>
      <c r="B6" s="40" t="s">
        <v>127</v>
      </c>
      <c r="C6" s="41"/>
      <c r="D6" s="42" t="s">
        <v>188</v>
      </c>
      <c r="E6" s="43"/>
      <c r="F6" s="357">
        <v>38.99</v>
      </c>
      <c r="G6" s="44">
        <v>1843</v>
      </c>
      <c r="H6" s="45">
        <f t="shared" si="0"/>
        <v>71858.570000000007</v>
      </c>
      <c r="I6" s="457"/>
      <c r="J6" s="46">
        <v>17</v>
      </c>
      <c r="K6" s="44">
        <v>2700</v>
      </c>
      <c r="L6" s="47">
        <v>158.8235294117647</v>
      </c>
      <c r="M6" s="458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64">
        <f t="shared" si="5"/>
        <v>0.91012345679012363</v>
      </c>
      <c r="S6" s="635"/>
      <c r="T6" s="89">
        <v>0.36249999999999999</v>
      </c>
      <c r="U6" s="89">
        <v>0.39374999999999999</v>
      </c>
      <c r="V6" s="460">
        <v>23</v>
      </c>
      <c r="W6" s="457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616"/>
      <c r="AC6" s="616"/>
      <c r="AD6" s="474"/>
      <c r="AE6" s="474"/>
      <c r="AF6" s="48">
        <f t="shared" si="6"/>
        <v>-242.66666666666652</v>
      </c>
      <c r="AG6" s="464">
        <f t="shared" si="7"/>
        <v>0.91012345679012352</v>
      </c>
      <c r="AH6" s="635"/>
    </row>
    <row r="7" spans="1:34" ht="19.2" customHeight="1">
      <c r="A7" s="673"/>
      <c r="B7" s="40" t="s">
        <v>127</v>
      </c>
      <c r="C7" s="41"/>
      <c r="D7" s="42" t="s">
        <v>184</v>
      </c>
      <c r="E7" s="43"/>
      <c r="F7" s="357">
        <v>28.86</v>
      </c>
      <c r="G7" s="44">
        <v>2224</v>
      </c>
      <c r="H7" s="45">
        <f t="shared" si="0"/>
        <v>64184.639999999999</v>
      </c>
      <c r="I7" s="457"/>
      <c r="J7" s="46">
        <v>17</v>
      </c>
      <c r="K7" s="44">
        <v>2700</v>
      </c>
      <c r="L7" s="47">
        <v>158.8235294117647</v>
      </c>
      <c r="M7" s="458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64">
        <f t="shared" si="5"/>
        <v>0.89858585858585793</v>
      </c>
      <c r="S7" s="635"/>
      <c r="T7" s="89">
        <v>0.39791666666666664</v>
      </c>
      <c r="U7" s="89">
        <v>0.43611111111111112</v>
      </c>
      <c r="V7" s="460">
        <v>6</v>
      </c>
      <c r="W7" s="457">
        <f t="shared" si="8"/>
        <v>55.000000000000043</v>
      </c>
      <c r="X7" s="53"/>
      <c r="Y7" s="53"/>
      <c r="Z7" s="54"/>
      <c r="AA7" s="54"/>
      <c r="AB7" s="616"/>
      <c r="AC7" s="616"/>
      <c r="AD7" s="474"/>
      <c r="AE7" s="474"/>
      <c r="AF7" s="48">
        <f t="shared" si="6"/>
        <v>-273.8181818181838</v>
      </c>
      <c r="AG7" s="464">
        <f t="shared" si="7"/>
        <v>0.89858585858585782</v>
      </c>
      <c r="AH7" s="635"/>
    </row>
    <row r="8" spans="1:34" ht="19.2" customHeight="1">
      <c r="A8" s="673"/>
      <c r="B8" s="40" t="s">
        <v>127</v>
      </c>
      <c r="C8" s="41"/>
      <c r="D8" s="42" t="s">
        <v>53</v>
      </c>
      <c r="E8" s="43"/>
      <c r="F8" s="357">
        <v>31.11</v>
      </c>
      <c r="G8" s="44">
        <v>3553</v>
      </c>
      <c r="H8" s="45">
        <f t="shared" si="0"/>
        <v>110533.83</v>
      </c>
      <c r="I8" s="457"/>
      <c r="J8" s="46">
        <v>18</v>
      </c>
      <c r="K8" s="44">
        <v>2700</v>
      </c>
      <c r="L8" s="47">
        <v>150</v>
      </c>
      <c r="M8" s="458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64">
        <f t="shared" si="5"/>
        <v>0.93499999999999961</v>
      </c>
      <c r="S8" s="635"/>
      <c r="T8" s="89">
        <v>0.44097222222222221</v>
      </c>
      <c r="U8" s="89">
        <v>0.49652777777777779</v>
      </c>
      <c r="V8" s="460">
        <v>7</v>
      </c>
      <c r="W8" s="457">
        <f t="shared" si="8"/>
        <v>80.000000000000028</v>
      </c>
      <c r="X8" s="53"/>
      <c r="Y8" s="53"/>
      <c r="Z8" s="54"/>
      <c r="AA8" s="54"/>
      <c r="AB8" s="616"/>
      <c r="AC8" s="616"/>
      <c r="AD8" s="474"/>
      <c r="AE8" s="474"/>
      <c r="AF8" s="48">
        <f t="shared" si="6"/>
        <v>-35.250000000000909</v>
      </c>
      <c r="AG8" s="464">
        <f t="shared" si="7"/>
        <v>0.98694444444444407</v>
      </c>
      <c r="AH8" s="635"/>
    </row>
    <row r="9" spans="1:34" ht="19.2" customHeight="1">
      <c r="A9" s="673"/>
      <c r="B9" s="40" t="s">
        <v>127</v>
      </c>
      <c r="C9" s="55"/>
      <c r="D9" s="42" t="s">
        <v>209</v>
      </c>
      <c r="E9" s="56"/>
      <c r="F9" s="357">
        <v>35.89</v>
      </c>
      <c r="G9" s="57">
        <v>2858</v>
      </c>
      <c r="H9" s="45">
        <f t="shared" si="0"/>
        <v>102573.62</v>
      </c>
      <c r="I9" s="474"/>
      <c r="J9" s="46">
        <v>17</v>
      </c>
      <c r="K9" s="44">
        <v>2700</v>
      </c>
      <c r="L9" s="47">
        <v>158.8235294117647</v>
      </c>
      <c r="M9" s="458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64">
        <f t="shared" si="5"/>
        <v>0.93398692810457395</v>
      </c>
      <c r="S9" s="635"/>
      <c r="T9" s="89">
        <v>0.53680555555555554</v>
      </c>
      <c r="U9" s="89">
        <v>0.58402777777777781</v>
      </c>
      <c r="V9" s="460">
        <v>5</v>
      </c>
      <c r="W9" s="457">
        <f t="shared" si="8"/>
        <v>68.000000000000085</v>
      </c>
      <c r="X9" s="53"/>
      <c r="Y9" s="53"/>
      <c r="Z9" s="54"/>
      <c r="AA9" s="54"/>
      <c r="AB9" s="616"/>
      <c r="AC9" s="616"/>
      <c r="AD9" s="474"/>
      <c r="AE9" s="474"/>
      <c r="AF9" s="48">
        <f t="shared" si="6"/>
        <v>-178.23529411765048</v>
      </c>
      <c r="AG9" s="464">
        <f t="shared" si="7"/>
        <v>0.93398692810457384</v>
      </c>
      <c r="AH9" s="635"/>
    </row>
    <row r="10" spans="1:34" ht="19.2" customHeight="1">
      <c r="A10" s="674"/>
      <c r="B10" s="40" t="s">
        <v>127</v>
      </c>
      <c r="C10" s="41"/>
      <c r="D10" s="42" t="s">
        <v>205</v>
      </c>
      <c r="E10" s="43"/>
      <c r="F10" s="357">
        <v>46.93</v>
      </c>
      <c r="G10" s="44">
        <v>1526</v>
      </c>
      <c r="H10" s="45">
        <f t="shared" si="0"/>
        <v>71615.179999999993</v>
      </c>
      <c r="I10" s="457"/>
      <c r="J10" s="46">
        <v>18</v>
      </c>
      <c r="K10" s="44">
        <v>2400</v>
      </c>
      <c r="L10" s="47">
        <v>133.33333333333334</v>
      </c>
      <c r="M10" s="458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64">
        <f t="shared" si="5"/>
        <v>0.93048780487804827</v>
      </c>
      <c r="S10" s="638"/>
      <c r="T10" s="89">
        <v>0.58888888888888891</v>
      </c>
      <c r="U10" s="89">
        <v>0.61736111111111114</v>
      </c>
      <c r="V10" s="460">
        <v>7</v>
      </c>
      <c r="W10" s="457">
        <f t="shared" si="8"/>
        <v>41.000000000000014</v>
      </c>
      <c r="X10" s="53"/>
      <c r="Y10" s="53"/>
      <c r="Z10" s="54"/>
      <c r="AA10" s="54"/>
      <c r="AB10" s="616"/>
      <c r="AC10" s="616"/>
      <c r="AD10" s="474">
        <v>1</v>
      </c>
      <c r="AE10" s="474"/>
      <c r="AF10" s="48">
        <f t="shared" si="6"/>
        <v>-166.82926829268399</v>
      </c>
      <c r="AG10" s="464">
        <f t="shared" si="7"/>
        <v>0.93048780487804839</v>
      </c>
      <c r="AH10" s="638"/>
    </row>
    <row r="11" spans="1:34" ht="19.2" customHeight="1">
      <c r="A11" s="674"/>
      <c r="B11" s="40" t="s">
        <v>127</v>
      </c>
      <c r="C11" s="41"/>
      <c r="D11" s="42" t="s">
        <v>367</v>
      </c>
      <c r="E11" s="43"/>
      <c r="F11" s="357">
        <v>43.96</v>
      </c>
      <c r="G11" s="44">
        <v>4594</v>
      </c>
      <c r="H11" s="45">
        <f t="shared" si="0"/>
        <v>201952.24</v>
      </c>
      <c r="I11" s="457"/>
      <c r="J11" s="46">
        <v>20</v>
      </c>
      <c r="K11" s="44">
        <v>2400</v>
      </c>
      <c r="L11" s="47">
        <v>120</v>
      </c>
      <c r="M11" s="458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64">
        <f t="shared" si="5"/>
        <v>0.98162393162393113</v>
      </c>
      <c r="S11" s="638"/>
      <c r="T11" s="89">
        <v>0.6333333333333333</v>
      </c>
      <c r="U11" s="89">
        <v>0.71458333333333335</v>
      </c>
      <c r="V11" s="460">
        <v>23</v>
      </c>
      <c r="W11" s="457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616"/>
      <c r="AC11" s="616"/>
      <c r="AD11" s="474"/>
      <c r="AE11" s="474"/>
      <c r="AF11" s="48">
        <f t="shared" si="6"/>
        <v>-44.102564102565339</v>
      </c>
      <c r="AG11" s="464">
        <f t="shared" si="7"/>
        <v>0.98162393162393113</v>
      </c>
      <c r="AH11" s="638"/>
    </row>
    <row r="12" spans="1:34" ht="19.2" customHeight="1">
      <c r="A12" s="674"/>
      <c r="B12" s="40" t="s">
        <v>127</v>
      </c>
      <c r="C12" s="41"/>
      <c r="D12" s="59" t="s">
        <v>55</v>
      </c>
      <c r="E12" s="43"/>
      <c r="F12" s="357">
        <v>37.799999999999997</v>
      </c>
      <c r="G12" s="44">
        <v>1888.3200000000002</v>
      </c>
      <c r="H12" s="45">
        <f t="shared" si="0"/>
        <v>71378.495999999999</v>
      </c>
      <c r="I12" s="457">
        <v>1</v>
      </c>
      <c r="J12" s="46">
        <v>19</v>
      </c>
      <c r="K12" s="44">
        <v>2700</v>
      </c>
      <c r="L12" s="47">
        <v>142.10526315789474</v>
      </c>
      <c r="M12" s="458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64">
        <f t="shared" si="5"/>
        <v>0.92708217054263564</v>
      </c>
      <c r="S12" s="638"/>
      <c r="T12" s="89">
        <v>0.71944444444444444</v>
      </c>
      <c r="U12" s="89">
        <v>0.74930555555555556</v>
      </c>
      <c r="V12" s="460">
        <v>7</v>
      </c>
      <c r="W12" s="457">
        <f t="shared" si="8"/>
        <v>43.000000000000007</v>
      </c>
      <c r="X12" s="53"/>
      <c r="Y12" s="53"/>
      <c r="Z12" s="54"/>
      <c r="AA12" s="54"/>
      <c r="AB12" s="616"/>
      <c r="AC12" s="616"/>
      <c r="AD12" s="474"/>
      <c r="AE12" s="474"/>
      <c r="AF12" s="48">
        <f t="shared" si="6"/>
        <v>-65.134883720930247</v>
      </c>
      <c r="AG12" s="464">
        <f t="shared" si="7"/>
        <v>0.97587596899224804</v>
      </c>
      <c r="AH12" s="638"/>
    </row>
    <row r="13" spans="1:34" ht="19.2" customHeight="1">
      <c r="A13" s="674"/>
      <c r="B13" s="40">
        <v>0</v>
      </c>
      <c r="C13" s="58"/>
      <c r="D13" s="59"/>
      <c r="E13" s="60"/>
      <c r="F13" s="357" t="s">
        <v>133</v>
      </c>
      <c r="G13" s="61"/>
      <c r="H13" s="45">
        <f t="shared" si="0"/>
        <v>0</v>
      </c>
      <c r="I13" s="461"/>
      <c r="J13" s="46"/>
      <c r="K13" s="44"/>
      <c r="L13" s="47"/>
      <c r="M13" s="62"/>
      <c r="N13" s="44"/>
      <c r="O13" s="47"/>
      <c r="P13" s="48"/>
      <c r="Q13" s="49"/>
      <c r="R13" s="464"/>
      <c r="S13" s="638"/>
      <c r="T13" s="89"/>
      <c r="U13" s="89"/>
      <c r="V13" s="461"/>
      <c r="W13" s="457">
        <f t="shared" si="8"/>
        <v>0</v>
      </c>
      <c r="X13" s="64"/>
      <c r="Y13" s="64"/>
      <c r="Z13" s="54"/>
      <c r="AA13" s="54"/>
      <c r="AB13" s="616"/>
      <c r="AC13" s="616"/>
      <c r="AD13" s="474"/>
      <c r="AE13" s="474"/>
      <c r="AF13" s="48">
        <f t="shared" si="6"/>
        <v>0</v>
      </c>
      <c r="AG13" s="464" t="e">
        <f t="shared" si="7"/>
        <v>#DIV/0!</v>
      </c>
      <c r="AH13" s="638"/>
    </row>
    <row r="14" spans="1:34" ht="19.2" customHeight="1">
      <c r="A14" s="674"/>
      <c r="B14" s="40">
        <v>0</v>
      </c>
      <c r="C14" s="66"/>
      <c r="D14" s="42"/>
      <c r="E14" s="43"/>
      <c r="F14" s="357" t="s">
        <v>133</v>
      </c>
      <c r="G14" s="61"/>
      <c r="H14" s="45">
        <f t="shared" si="0"/>
        <v>0</v>
      </c>
      <c r="I14" s="461"/>
      <c r="J14" s="46"/>
      <c r="K14" s="44"/>
      <c r="L14" s="47"/>
      <c r="M14" s="62"/>
      <c r="N14" s="44"/>
      <c r="O14" s="47"/>
      <c r="P14" s="48"/>
      <c r="Q14" s="49"/>
      <c r="R14" s="464"/>
      <c r="S14" s="638"/>
      <c r="T14" s="89"/>
      <c r="U14" s="89"/>
      <c r="V14" s="461"/>
      <c r="W14" s="457">
        <f t="shared" si="8"/>
        <v>0</v>
      </c>
      <c r="X14" s="64"/>
      <c r="Y14" s="64"/>
      <c r="Z14" s="54"/>
      <c r="AA14" s="54"/>
      <c r="AB14" s="616"/>
      <c r="AC14" s="616"/>
      <c r="AD14" s="474"/>
      <c r="AE14" s="474"/>
      <c r="AF14" s="65"/>
      <c r="AG14" s="464" t="e">
        <f t="shared" si="7"/>
        <v>#DIV/0!</v>
      </c>
      <c r="AH14" s="638"/>
    </row>
    <row r="15" spans="1:34" ht="19.2" customHeight="1">
      <c r="A15" s="674"/>
      <c r="B15" s="67">
        <v>0</v>
      </c>
      <c r="C15" s="58"/>
      <c r="D15" s="59"/>
      <c r="E15" s="60"/>
      <c r="F15" s="357" t="s">
        <v>133</v>
      </c>
      <c r="G15" s="61"/>
      <c r="H15" s="45">
        <f t="shared" si="0"/>
        <v>0</v>
      </c>
      <c r="I15" s="461"/>
      <c r="J15" s="46"/>
      <c r="K15" s="44"/>
      <c r="L15" s="47"/>
      <c r="M15" s="62"/>
      <c r="N15" s="68"/>
      <c r="O15" s="47"/>
      <c r="P15" s="48"/>
      <c r="Q15" s="49"/>
      <c r="R15" s="464"/>
      <c r="S15" s="638"/>
      <c r="T15" s="89"/>
      <c r="U15" s="89"/>
      <c r="V15" s="461"/>
      <c r="W15" s="457">
        <f t="shared" si="8"/>
        <v>0</v>
      </c>
      <c r="X15" s="64"/>
      <c r="Y15" s="64"/>
      <c r="Z15" s="54"/>
      <c r="AA15" s="54"/>
      <c r="AB15" s="616"/>
      <c r="AC15" s="616"/>
      <c r="AD15" s="474"/>
      <c r="AE15" s="474"/>
      <c r="AF15" s="65"/>
      <c r="AG15" s="464" t="e">
        <f t="shared" si="7"/>
        <v>#DIV/0!</v>
      </c>
      <c r="AH15" s="638"/>
    </row>
    <row r="16" spans="1:34" ht="19.2" customHeight="1">
      <c r="A16" s="674"/>
      <c r="B16" s="67">
        <v>0</v>
      </c>
      <c r="C16" s="58"/>
      <c r="D16" s="59"/>
      <c r="E16" s="60"/>
      <c r="F16" s="357" t="s">
        <v>133</v>
      </c>
      <c r="G16" s="61"/>
      <c r="H16" s="45">
        <f t="shared" si="0"/>
        <v>0</v>
      </c>
      <c r="I16" s="461"/>
      <c r="J16" s="46"/>
      <c r="K16" s="44"/>
      <c r="L16" s="47"/>
      <c r="M16" s="62"/>
      <c r="N16" s="68"/>
      <c r="O16" s="47"/>
      <c r="P16" s="48"/>
      <c r="Q16" s="49"/>
      <c r="R16" s="464"/>
      <c r="S16" s="638"/>
      <c r="T16" s="89"/>
      <c r="U16" s="89"/>
      <c r="V16" s="461"/>
      <c r="W16" s="457">
        <f t="shared" si="8"/>
        <v>0</v>
      </c>
      <c r="X16" s="64"/>
      <c r="Y16" s="64"/>
      <c r="Z16" s="54"/>
      <c r="AA16" s="54"/>
      <c r="AB16" s="616"/>
      <c r="AC16" s="616"/>
      <c r="AD16" s="474"/>
      <c r="AE16" s="474"/>
      <c r="AF16" s="65"/>
      <c r="AG16" s="464" t="e">
        <f t="shared" si="7"/>
        <v>#DIV/0!</v>
      </c>
      <c r="AH16" s="638"/>
    </row>
    <row r="17" spans="1:34" ht="19.2" customHeight="1">
      <c r="A17" s="674"/>
      <c r="B17" s="69">
        <v>0</v>
      </c>
      <c r="C17" s="69" t="s">
        <v>369</v>
      </c>
      <c r="D17" s="622" t="s">
        <v>371</v>
      </c>
      <c r="E17" s="622"/>
      <c r="F17" s="358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J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638"/>
      <c r="T17" s="89"/>
      <c r="U17" s="89"/>
      <c r="V17" s="461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16"/>
      <c r="AC17" s="616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65">
        <f t="shared" si="7"/>
        <v>0.95135747980332375</v>
      </c>
      <c r="AH17" s="638"/>
    </row>
    <row r="18" spans="1:34" ht="19.2" customHeight="1">
      <c r="A18" s="619" t="s">
        <v>373</v>
      </c>
      <c r="B18" s="80" t="s">
        <v>127</v>
      </c>
      <c r="C18" s="81"/>
      <c r="D18" s="82" t="s">
        <v>60</v>
      </c>
      <c r="E18" s="83"/>
      <c r="F18" s="359">
        <v>36.86</v>
      </c>
      <c r="G18" s="57">
        <v>5021.25</v>
      </c>
      <c r="H18" s="84">
        <f t="shared" ref="H18:H29" si="12">F18*G18</f>
        <v>185083.27499999999</v>
      </c>
      <c r="I18" s="474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67">
        <f t="shared" ref="R18:R24" si="15">O18/L18</f>
        <v>0.92307380373073833</v>
      </c>
      <c r="S18" s="620">
        <f>R30</f>
        <v>0.89593127341000323</v>
      </c>
      <c r="T18" s="89">
        <v>0.16666666666666666</v>
      </c>
      <c r="U18" s="89">
        <v>0.26180555555555551</v>
      </c>
      <c r="V18" s="474">
        <v>5</v>
      </c>
      <c r="W18" s="90">
        <f>(U18-T18)*24*60</f>
        <v>136.99999999999994</v>
      </c>
      <c r="X18" s="86"/>
      <c r="Y18" s="86"/>
      <c r="Z18" s="54"/>
      <c r="AA18" s="54"/>
      <c r="AB18" s="616"/>
      <c r="AC18" s="616"/>
      <c r="AD18" s="474"/>
      <c r="AE18" s="474"/>
      <c r="AF18" s="91">
        <f t="shared" si="6"/>
        <v>-50.912408759123537</v>
      </c>
      <c r="AG18" s="92">
        <f t="shared" si="7"/>
        <v>0.97737226277372291</v>
      </c>
      <c r="AH18" s="662">
        <f>AG30</f>
        <v>0.94370014313616779</v>
      </c>
    </row>
    <row r="19" spans="1:34" ht="19.2" customHeight="1">
      <c r="A19" s="619"/>
      <c r="B19" s="471" t="s">
        <v>129</v>
      </c>
      <c r="C19" s="470"/>
      <c r="D19" s="82" t="s">
        <v>62</v>
      </c>
      <c r="E19" s="83"/>
      <c r="F19" s="357">
        <v>38.39</v>
      </c>
      <c r="G19" s="57">
        <v>1508.65</v>
      </c>
      <c r="H19" s="84">
        <f t="shared" si="12"/>
        <v>57917.073500000006</v>
      </c>
      <c r="I19" s="474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67">
        <f t="shared" si="15"/>
        <v>0.81366856033366886</v>
      </c>
      <c r="S19" s="620"/>
      <c r="T19" s="89">
        <v>0.27777777777777773</v>
      </c>
      <c r="U19" s="89">
        <v>0.32222222222222219</v>
      </c>
      <c r="V19" s="474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616"/>
      <c r="AC19" s="616"/>
      <c r="AD19" s="474"/>
      <c r="AE19" s="474"/>
      <c r="AF19" s="48">
        <f t="shared" si="6"/>
        <v>-221.64062500000023</v>
      </c>
      <c r="AG19" s="464">
        <f t="shared" si="7"/>
        <v>0.86452284535452306</v>
      </c>
      <c r="AH19" s="663"/>
    </row>
    <row r="20" spans="1:34" ht="19.2" customHeight="1">
      <c r="A20" s="619"/>
      <c r="B20" s="471" t="s">
        <v>129</v>
      </c>
      <c r="C20" s="55"/>
      <c r="D20" s="42" t="s">
        <v>186</v>
      </c>
      <c r="E20" s="83"/>
      <c r="F20" s="357">
        <v>56.43</v>
      </c>
      <c r="G20" s="57">
        <v>1373.45</v>
      </c>
      <c r="H20" s="84">
        <f t="shared" si="12"/>
        <v>77503.783500000005</v>
      </c>
      <c r="I20" s="474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67">
        <f t="shared" si="15"/>
        <v>0.87637886340977034</v>
      </c>
      <c r="S20" s="620"/>
      <c r="T20" s="89">
        <v>0.32708333333333328</v>
      </c>
      <c r="U20" s="89">
        <v>0.36805555555555552</v>
      </c>
      <c r="V20" s="474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616"/>
      <c r="AC20" s="616"/>
      <c r="AD20" s="474"/>
      <c r="AE20" s="474"/>
      <c r="AF20" s="91">
        <f t="shared" si="6"/>
        <v>-103.27118644067855</v>
      </c>
      <c r="AG20" s="92">
        <f t="shared" si="7"/>
        <v>0.93115254237288092</v>
      </c>
      <c r="AH20" s="663"/>
    </row>
    <row r="21" spans="1:34" ht="19.2" customHeight="1">
      <c r="A21" s="619"/>
      <c r="B21" s="471" t="s">
        <v>130</v>
      </c>
      <c r="C21" s="97"/>
      <c r="D21" s="98" t="s">
        <v>61</v>
      </c>
      <c r="E21" s="43"/>
      <c r="F21" s="357">
        <v>43.14</v>
      </c>
      <c r="G21" s="44">
        <v>1331.8500000000001</v>
      </c>
      <c r="H21" s="84">
        <f t="shared" si="12"/>
        <v>57456.009000000005</v>
      </c>
      <c r="I21" s="460"/>
      <c r="J21" s="93">
        <v>16</v>
      </c>
      <c r="K21" s="44">
        <v>1440</v>
      </c>
      <c r="L21" s="47">
        <v>90</v>
      </c>
      <c r="M21" s="458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67">
        <f t="shared" si="15"/>
        <v>0.91630546955624326</v>
      </c>
      <c r="S21" s="620"/>
      <c r="T21" s="89">
        <v>0.37291666666666662</v>
      </c>
      <c r="U21" s="89">
        <v>0.41249999999999998</v>
      </c>
      <c r="V21" s="474">
        <v>7</v>
      </c>
      <c r="W21" s="90">
        <f t="shared" si="16"/>
        <v>57.000000000000036</v>
      </c>
      <c r="X21" s="96"/>
      <c r="Y21" s="96"/>
      <c r="Z21" s="54"/>
      <c r="AA21" s="54"/>
      <c r="AB21" s="616"/>
      <c r="AC21" s="616"/>
      <c r="AD21" s="474"/>
      <c r="AE21" s="474"/>
      <c r="AF21" s="48">
        <f t="shared" si="6"/>
        <v>-38.052631578947967</v>
      </c>
      <c r="AG21" s="464">
        <f t="shared" si="7"/>
        <v>0.9735745614035084</v>
      </c>
      <c r="AH21" s="664"/>
    </row>
    <row r="22" spans="1:34" ht="19.2" customHeight="1">
      <c r="A22" s="619"/>
      <c r="B22" s="471" t="s">
        <v>129</v>
      </c>
      <c r="C22" s="97"/>
      <c r="D22" s="42" t="s">
        <v>210</v>
      </c>
      <c r="E22" s="43"/>
      <c r="F22" s="357">
        <v>44.3</v>
      </c>
      <c r="G22" s="44">
        <v>2497.9500000000003</v>
      </c>
      <c r="H22" s="84">
        <f t="shared" si="12"/>
        <v>110659.18500000001</v>
      </c>
      <c r="I22" s="460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67">
        <f t="shared" si="15"/>
        <v>0.88943551641465091</v>
      </c>
      <c r="S22" s="620"/>
      <c r="T22" s="89">
        <v>0.42777777777777776</v>
      </c>
      <c r="U22" s="89">
        <v>0.49930555555555556</v>
      </c>
      <c r="V22" s="474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616"/>
      <c r="AC22" s="616"/>
      <c r="AD22" s="474"/>
      <c r="AE22" s="474"/>
      <c r="AF22" s="91">
        <f t="shared" si="6"/>
        <v>-180.88349514563129</v>
      </c>
      <c r="AG22" s="92">
        <f t="shared" si="7"/>
        <v>0.8894355164146508</v>
      </c>
      <c r="AH22" s="664"/>
    </row>
    <row r="23" spans="1:34" ht="19.2" customHeight="1">
      <c r="A23" s="619"/>
      <c r="B23" s="471" t="s">
        <v>127</v>
      </c>
      <c r="C23" s="97"/>
      <c r="D23" s="42" t="s">
        <v>54</v>
      </c>
      <c r="E23" s="43"/>
      <c r="F23" s="357">
        <v>38.479999999999997</v>
      </c>
      <c r="G23" s="44">
        <v>5122</v>
      </c>
      <c r="H23" s="84">
        <f t="shared" si="12"/>
        <v>197094.56</v>
      </c>
      <c r="I23" s="460">
        <v>1</v>
      </c>
      <c r="J23" s="93">
        <v>18</v>
      </c>
      <c r="K23" s="44">
        <v>2700</v>
      </c>
      <c r="L23" s="47">
        <v>150</v>
      </c>
      <c r="M23" s="458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67">
        <f t="shared" si="15"/>
        <v>0.92163742690058448</v>
      </c>
      <c r="S23" s="620"/>
      <c r="T23" s="89">
        <v>0.5395833333333333</v>
      </c>
      <c r="U23" s="89">
        <v>0.62083333333333335</v>
      </c>
      <c r="V23" s="474">
        <v>5</v>
      </c>
      <c r="W23" s="90">
        <f t="shared" si="16"/>
        <v>117.00000000000006</v>
      </c>
      <c r="X23" s="96"/>
      <c r="Y23" s="96"/>
      <c r="Z23" s="54"/>
      <c r="AA23" s="54"/>
      <c r="AB23" s="616"/>
      <c r="AC23" s="616"/>
      <c r="AD23" s="474">
        <v>1</v>
      </c>
      <c r="AE23" s="474">
        <v>1</v>
      </c>
      <c r="AF23" s="48">
        <f t="shared" si="6"/>
        <v>-73.333333333334394</v>
      </c>
      <c r="AG23" s="464">
        <f t="shared" si="7"/>
        <v>0.9728395061728391</v>
      </c>
      <c r="AH23" s="664"/>
    </row>
    <row r="24" spans="1:34" ht="19.2" customHeight="1">
      <c r="A24" s="619"/>
      <c r="B24" s="471" t="s">
        <v>127</v>
      </c>
      <c r="C24" s="81"/>
      <c r="D24" s="82" t="s">
        <v>60</v>
      </c>
      <c r="E24" s="83"/>
      <c r="F24" s="357">
        <v>36.86</v>
      </c>
      <c r="G24" s="57">
        <v>2703.75</v>
      </c>
      <c r="H24" s="84">
        <f t="shared" si="12"/>
        <v>99660.224999999991</v>
      </c>
      <c r="I24" s="46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67">
        <f t="shared" si="15"/>
        <v>0.90792592592592536</v>
      </c>
      <c r="S24" s="620"/>
      <c r="T24" s="89">
        <v>0.63611111111111107</v>
      </c>
      <c r="U24" s="89">
        <v>0.68819444444444444</v>
      </c>
      <c r="V24" s="474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616"/>
      <c r="AC24" s="616"/>
      <c r="AD24" s="474">
        <v>1</v>
      </c>
      <c r="AE24" s="474">
        <v>1</v>
      </c>
      <c r="AF24" s="91">
        <f t="shared" si="6"/>
        <v>-87.000000000001364</v>
      </c>
      <c r="AG24" s="92">
        <f t="shared" si="7"/>
        <v>0.96133333333333271</v>
      </c>
      <c r="AH24" s="664"/>
    </row>
    <row r="25" spans="1:34" ht="19.2" customHeight="1">
      <c r="A25" s="619"/>
      <c r="B25" s="471">
        <v>0</v>
      </c>
      <c r="C25" s="81"/>
      <c r="D25" s="82"/>
      <c r="E25" s="83"/>
      <c r="F25" s="357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67"/>
      <c r="S25" s="620"/>
      <c r="T25" s="89"/>
      <c r="U25" s="89"/>
      <c r="V25" s="474"/>
      <c r="W25" s="90">
        <f t="shared" si="16"/>
        <v>0</v>
      </c>
      <c r="X25" s="474"/>
      <c r="Y25" s="474"/>
      <c r="Z25" s="54"/>
      <c r="AA25" s="54"/>
      <c r="AB25" s="616"/>
      <c r="AC25" s="616"/>
      <c r="AD25" s="474"/>
      <c r="AE25" s="474"/>
      <c r="AF25" s="48">
        <f t="shared" si="6"/>
        <v>0</v>
      </c>
      <c r="AG25" s="464" t="e">
        <f t="shared" si="7"/>
        <v>#DIV/0!</v>
      </c>
      <c r="AH25" s="664"/>
    </row>
    <row r="26" spans="1:34" ht="19.2" customHeight="1">
      <c r="A26" s="619"/>
      <c r="B26" s="471">
        <v>0</v>
      </c>
      <c r="C26" s="81"/>
      <c r="D26" s="82"/>
      <c r="E26" s="83"/>
      <c r="F26" s="357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67"/>
      <c r="S26" s="620"/>
      <c r="T26" s="89"/>
      <c r="U26" s="89"/>
      <c r="V26" s="474"/>
      <c r="W26" s="90">
        <f t="shared" si="16"/>
        <v>0</v>
      </c>
      <c r="X26" s="474"/>
      <c r="Y26" s="474"/>
      <c r="Z26" s="54"/>
      <c r="AA26" s="54"/>
      <c r="AB26" s="616"/>
      <c r="AC26" s="616"/>
      <c r="AD26" s="474"/>
      <c r="AE26" s="474"/>
      <c r="AF26" s="91">
        <f t="shared" si="6"/>
        <v>0</v>
      </c>
      <c r="AG26" s="92" t="e">
        <f t="shared" si="7"/>
        <v>#DIV/0!</v>
      </c>
      <c r="AH26" s="664"/>
    </row>
    <row r="27" spans="1:34" ht="19.2" customHeight="1">
      <c r="A27" s="619"/>
      <c r="B27" s="80">
        <v>0</v>
      </c>
      <c r="C27" s="81"/>
      <c r="D27" s="82"/>
      <c r="E27" s="83"/>
      <c r="F27" s="360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67"/>
      <c r="S27" s="620"/>
      <c r="T27" s="89"/>
      <c r="U27" s="89"/>
      <c r="V27" s="474"/>
      <c r="W27" s="90">
        <f t="shared" si="16"/>
        <v>0</v>
      </c>
      <c r="X27" s="474"/>
      <c r="Y27" s="474"/>
      <c r="Z27" s="54"/>
      <c r="AA27" s="54"/>
      <c r="AB27" s="616"/>
      <c r="AC27" s="616"/>
      <c r="AD27" s="474"/>
      <c r="AE27" s="474"/>
      <c r="AF27" s="48">
        <f t="shared" si="6"/>
        <v>0</v>
      </c>
      <c r="AG27" s="464" t="e">
        <f t="shared" si="7"/>
        <v>#DIV/0!</v>
      </c>
      <c r="AH27" s="664"/>
    </row>
    <row r="28" spans="1:34" ht="19.2" customHeight="1">
      <c r="A28" s="619"/>
      <c r="B28" s="80">
        <v>0</v>
      </c>
      <c r="C28" s="81"/>
      <c r="D28" s="82"/>
      <c r="E28" s="83"/>
      <c r="F28" s="360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67"/>
      <c r="S28" s="620"/>
      <c r="T28" s="89"/>
      <c r="U28" s="89"/>
      <c r="V28" s="474"/>
      <c r="W28" s="90">
        <f t="shared" si="16"/>
        <v>0</v>
      </c>
      <c r="X28" s="474"/>
      <c r="Y28" s="474"/>
      <c r="Z28" s="54"/>
      <c r="AA28" s="54"/>
      <c r="AB28" s="616"/>
      <c r="AC28" s="616"/>
      <c r="AD28" s="474"/>
      <c r="AE28" s="474"/>
      <c r="AF28" s="91">
        <f t="shared" si="6"/>
        <v>0</v>
      </c>
      <c r="AG28" s="92" t="e">
        <f t="shared" si="7"/>
        <v>#DIV/0!</v>
      </c>
      <c r="AH28" s="664"/>
    </row>
    <row r="29" spans="1:34" ht="19.2" customHeight="1">
      <c r="A29" s="619"/>
      <c r="B29" s="80">
        <v>0</v>
      </c>
      <c r="C29" s="81"/>
      <c r="D29" s="82"/>
      <c r="E29" s="83"/>
      <c r="F29" s="360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7"/>
      <c r="S29" s="620"/>
      <c r="T29" s="89"/>
      <c r="U29" s="89"/>
      <c r="V29" s="474"/>
      <c r="W29" s="90">
        <f t="shared" si="16"/>
        <v>0</v>
      </c>
      <c r="X29" s="474"/>
      <c r="Y29" s="474"/>
      <c r="Z29" s="54"/>
      <c r="AA29" s="54"/>
      <c r="AB29" s="616"/>
      <c r="AC29" s="616"/>
      <c r="AD29" s="474"/>
      <c r="AE29" s="474"/>
      <c r="AF29" s="48">
        <f t="shared" si="6"/>
        <v>0</v>
      </c>
      <c r="AG29" s="464"/>
      <c r="AH29" s="664"/>
    </row>
    <row r="30" spans="1:34" ht="19.2" customHeight="1">
      <c r="A30" s="619"/>
      <c r="B30" s="99">
        <v>0</v>
      </c>
      <c r="C30" s="100" t="s">
        <v>375</v>
      </c>
      <c r="D30" s="661" t="s">
        <v>376</v>
      </c>
      <c r="E30" s="661"/>
      <c r="F30" s="361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J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62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16"/>
      <c r="AC30" s="616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665"/>
    </row>
    <row r="31" spans="1:34" ht="19.2" customHeight="1">
      <c r="A31" s="659" t="s">
        <v>378</v>
      </c>
      <c r="B31" s="110" t="s">
        <v>130</v>
      </c>
      <c r="C31" s="66"/>
      <c r="D31" s="42" t="s">
        <v>201</v>
      </c>
      <c r="E31" s="111"/>
      <c r="F31" s="362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68">
        <f t="shared" si="20"/>
        <v>0.71259782608695665</v>
      </c>
      <c r="S31" s="660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616"/>
      <c r="AC31" s="616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637">
        <f>AG43</f>
        <v>0.84791968090788683</v>
      </c>
    </row>
    <row r="32" spans="1:34" ht="19.2" customHeight="1">
      <c r="A32" s="650"/>
      <c r="B32" s="121" t="s">
        <v>131</v>
      </c>
      <c r="C32" s="122"/>
      <c r="D32" s="42" t="s">
        <v>63</v>
      </c>
      <c r="E32" s="43"/>
      <c r="F32" s="357">
        <v>35.33</v>
      </c>
      <c r="G32" s="134">
        <v>2310</v>
      </c>
      <c r="H32" s="84">
        <f t="shared" si="22"/>
        <v>81612.3</v>
      </c>
      <c r="I32" s="457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64">
        <f t="shared" si="20"/>
        <v>0.89642593814272942</v>
      </c>
      <c r="S32" s="620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616"/>
      <c r="AC32" s="616"/>
      <c r="AD32" s="474"/>
      <c r="AE32" s="474">
        <v>1</v>
      </c>
      <c r="AF32" s="48">
        <f t="shared" si="6"/>
        <v>-219.36986301369916</v>
      </c>
      <c r="AG32" s="464">
        <f t="shared" si="7"/>
        <v>0.89642593814272942</v>
      </c>
      <c r="AH32" s="635"/>
    </row>
    <row r="33" spans="1:34" ht="19.2" customHeight="1">
      <c r="A33" s="650"/>
      <c r="B33" s="121" t="s">
        <v>131</v>
      </c>
      <c r="C33" s="474"/>
      <c r="D33" s="42" t="s">
        <v>94</v>
      </c>
      <c r="E33" s="83"/>
      <c r="F33" s="357">
        <v>34.229999999999997</v>
      </c>
      <c r="G33" s="134">
        <v>1919</v>
      </c>
      <c r="H33" s="84">
        <f t="shared" si="22"/>
        <v>65687.37</v>
      </c>
      <c r="I33" s="474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64">
        <f t="shared" si="20"/>
        <v>0.89119026610319063</v>
      </c>
      <c r="S33" s="620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616"/>
      <c r="AC33" s="616"/>
      <c r="AD33" s="474"/>
      <c r="AE33" s="474"/>
      <c r="AF33" s="48">
        <f t="shared" si="6"/>
        <v>-230.4590163934422</v>
      </c>
      <c r="AG33" s="125">
        <f t="shared" si="7"/>
        <v>0.89119026610319063</v>
      </c>
      <c r="AH33" s="635"/>
    </row>
    <row r="34" spans="1:34" ht="19.2" customHeight="1">
      <c r="A34" s="650"/>
      <c r="B34" s="121" t="s">
        <v>132</v>
      </c>
      <c r="C34" s="126"/>
      <c r="D34" s="147" t="s">
        <v>144</v>
      </c>
      <c r="E34" s="83"/>
      <c r="F34" s="357">
        <v>54.09</v>
      </c>
      <c r="G34" s="137">
        <v>589.6</v>
      </c>
      <c r="H34" s="84">
        <f t="shared" si="22"/>
        <v>31891.464000000004</v>
      </c>
      <c r="I34" s="474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64">
        <f t="shared" si="20"/>
        <v>0.84228571428571497</v>
      </c>
      <c r="S34" s="620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616"/>
      <c r="AC34" s="616"/>
      <c r="AD34" s="474"/>
      <c r="AE34" s="474"/>
      <c r="AF34" s="48">
        <f t="shared" si="6"/>
        <v>-236.57142857142753</v>
      </c>
      <c r="AG34" s="125">
        <f t="shared" si="7"/>
        <v>0.84228571428571497</v>
      </c>
      <c r="AH34" s="635"/>
    </row>
    <row r="35" spans="1:34" ht="19.2" customHeight="1">
      <c r="A35" s="650"/>
      <c r="B35" s="121" t="s">
        <v>129</v>
      </c>
      <c r="C35" s="41"/>
      <c r="D35" s="150" t="s">
        <v>189</v>
      </c>
      <c r="E35" s="43"/>
      <c r="F35" s="357">
        <v>56.43</v>
      </c>
      <c r="G35" s="137">
        <v>2053</v>
      </c>
      <c r="H35" s="84">
        <f t="shared" si="22"/>
        <v>115850.79</v>
      </c>
      <c r="I35" s="460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64">
        <f t="shared" si="20"/>
        <v>0.79256208982113008</v>
      </c>
      <c r="S35" s="620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616"/>
      <c r="AC35" s="616"/>
      <c r="AD35" s="474">
        <v>1</v>
      </c>
      <c r="AE35" s="474"/>
      <c r="AF35" s="116">
        <f t="shared" si="6"/>
        <v>-339.36842105263122</v>
      </c>
      <c r="AG35" s="120">
        <f t="shared" si="7"/>
        <v>0.79256208982113008</v>
      </c>
      <c r="AH35" s="638"/>
    </row>
    <row r="36" spans="1:34" ht="19.2" customHeight="1">
      <c r="A36" s="650"/>
      <c r="B36" s="121" t="s">
        <v>129</v>
      </c>
      <c r="C36" s="128"/>
      <c r="D36" s="150" t="s">
        <v>179</v>
      </c>
      <c r="E36" s="83"/>
      <c r="F36" s="357">
        <v>49.91</v>
      </c>
      <c r="G36" s="134">
        <v>2812.55</v>
      </c>
      <c r="H36" s="84">
        <f t="shared" si="22"/>
        <v>140374.37049999999</v>
      </c>
      <c r="I36" s="474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64">
        <f t="shared" si="20"/>
        <v>0.88584251968503924</v>
      </c>
      <c r="S36" s="620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616"/>
      <c r="AC36" s="616"/>
      <c r="AD36" s="474"/>
      <c r="AE36" s="474"/>
      <c r="AF36" s="48">
        <f t="shared" si="6"/>
        <v>-171.23622047244112</v>
      </c>
      <c r="AG36" s="464">
        <f t="shared" si="7"/>
        <v>0.88584251968503924</v>
      </c>
      <c r="AH36" s="638"/>
    </row>
    <row r="37" spans="1:34" ht="19.2" customHeight="1">
      <c r="A37" s="650"/>
      <c r="B37" s="121" t="s">
        <v>127</v>
      </c>
      <c r="C37" s="128"/>
      <c r="D37" s="150" t="s">
        <v>55</v>
      </c>
      <c r="E37" s="83"/>
      <c r="F37" s="357">
        <v>37.799999999999997</v>
      </c>
      <c r="G37" s="134">
        <v>4855.6799999999994</v>
      </c>
      <c r="H37" s="84">
        <f t="shared" si="22"/>
        <v>183544.70399999997</v>
      </c>
      <c r="I37" s="474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64">
        <f t="shared" si="20"/>
        <v>0.89176859504132178</v>
      </c>
      <c r="S37" s="620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616"/>
      <c r="AC37" s="616"/>
      <c r="AD37" s="474"/>
      <c r="AE37" s="474"/>
      <c r="AF37" s="48">
        <f t="shared" si="6"/>
        <v>-292.22479338843095</v>
      </c>
      <c r="AG37" s="125">
        <f t="shared" si="7"/>
        <v>0.89176859504132189</v>
      </c>
      <c r="AH37" s="638"/>
    </row>
    <row r="38" spans="1:34" ht="19.2" customHeight="1">
      <c r="A38" s="650"/>
      <c r="B38" s="121">
        <v>0</v>
      </c>
      <c r="C38" s="128"/>
      <c r="D38" s="150"/>
      <c r="E38" s="83"/>
      <c r="F38" s="357" t="s">
        <v>133</v>
      </c>
      <c r="G38" s="134"/>
      <c r="H38" s="84">
        <f t="shared" si="22"/>
        <v>0</v>
      </c>
      <c r="I38" s="474"/>
      <c r="J38" s="46"/>
      <c r="K38" s="44"/>
      <c r="L38" s="47"/>
      <c r="M38" s="149"/>
      <c r="N38" s="44"/>
      <c r="O38" s="47"/>
      <c r="P38" s="116"/>
      <c r="Q38" s="49"/>
      <c r="R38" s="464"/>
      <c r="S38" s="62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616"/>
      <c r="AC38" s="616"/>
      <c r="AD38" s="474"/>
      <c r="AE38" s="474"/>
      <c r="AF38" s="48">
        <f t="shared" si="6"/>
        <v>0</v>
      </c>
      <c r="AG38" s="125" t="e">
        <f t="shared" si="7"/>
        <v>#DIV/0!</v>
      </c>
      <c r="AH38" s="638"/>
    </row>
    <row r="39" spans="1:34" ht="19.2" customHeight="1">
      <c r="A39" s="650"/>
      <c r="B39" s="121">
        <v>0</v>
      </c>
      <c r="C39" s="126"/>
      <c r="D39" s="42"/>
      <c r="E39" s="43"/>
      <c r="F39" s="357" t="s">
        <v>133</v>
      </c>
      <c r="G39" s="57"/>
      <c r="H39" s="84">
        <f t="shared" si="22"/>
        <v>0</v>
      </c>
      <c r="I39" s="474"/>
      <c r="J39" s="46"/>
      <c r="K39" s="44"/>
      <c r="L39" s="47"/>
      <c r="M39" s="463"/>
      <c r="N39" s="44"/>
      <c r="O39" s="47"/>
      <c r="P39" s="116"/>
      <c r="Q39" s="49"/>
      <c r="R39" s="464"/>
      <c r="S39" s="620"/>
      <c r="T39" s="89"/>
      <c r="U39" s="89"/>
      <c r="V39" s="474"/>
      <c r="W39" s="90">
        <f t="shared" si="25"/>
        <v>0</v>
      </c>
      <c r="X39" s="123"/>
      <c r="Y39" s="123"/>
      <c r="Z39" s="124"/>
      <c r="AA39" s="124"/>
      <c r="AB39" s="616"/>
      <c r="AC39" s="616"/>
      <c r="AD39" s="474"/>
      <c r="AE39" s="474"/>
      <c r="AF39" s="116">
        <f t="shared" si="6"/>
        <v>0</v>
      </c>
      <c r="AG39" s="120" t="e">
        <f t="shared" si="7"/>
        <v>#DIV/0!</v>
      </c>
      <c r="AH39" s="638"/>
    </row>
    <row r="40" spans="1:34" ht="19.2" customHeight="1">
      <c r="A40" s="650"/>
      <c r="B40" s="130">
        <v>0</v>
      </c>
      <c r="C40" s="97"/>
      <c r="D40" s="42"/>
      <c r="E40" s="43"/>
      <c r="F40" s="357" t="s">
        <v>133</v>
      </c>
      <c r="G40" s="44"/>
      <c r="H40" s="84">
        <f t="shared" si="22"/>
        <v>0</v>
      </c>
      <c r="I40" s="460"/>
      <c r="J40" s="46"/>
      <c r="K40" s="44"/>
      <c r="L40" s="47"/>
      <c r="M40" s="458"/>
      <c r="N40" s="44"/>
      <c r="O40" s="47"/>
      <c r="P40" s="116"/>
      <c r="Q40" s="49"/>
      <c r="R40" s="464"/>
      <c r="S40" s="620"/>
      <c r="T40" s="89"/>
      <c r="U40" s="89"/>
      <c r="V40" s="474"/>
      <c r="W40" s="90">
        <f t="shared" si="25"/>
        <v>0</v>
      </c>
      <c r="X40" s="123"/>
      <c r="Y40" s="123"/>
      <c r="Z40" s="124"/>
      <c r="AA40" s="124"/>
      <c r="AB40" s="616"/>
      <c r="AC40" s="616"/>
      <c r="AD40" s="474"/>
      <c r="AE40" s="474"/>
      <c r="AF40" s="48">
        <f t="shared" si="6"/>
        <v>0</v>
      </c>
      <c r="AG40" s="464" t="e">
        <f t="shared" si="7"/>
        <v>#DIV/0!</v>
      </c>
      <c r="AH40" s="638"/>
    </row>
    <row r="41" spans="1:34" ht="19.2" customHeight="1">
      <c r="A41" s="650"/>
      <c r="B41" s="474">
        <v>0</v>
      </c>
      <c r="C41" s="55"/>
      <c r="D41" s="82"/>
      <c r="E41" s="83"/>
      <c r="F41" s="357" t="s">
        <v>133</v>
      </c>
      <c r="G41" s="57"/>
      <c r="H41" s="84"/>
      <c r="I41" s="474"/>
      <c r="J41" s="87"/>
      <c r="K41" s="57"/>
      <c r="L41" s="86"/>
      <c r="M41" s="463"/>
      <c r="N41" s="57"/>
      <c r="O41" s="86"/>
      <c r="P41" s="54"/>
      <c r="Q41" s="88"/>
      <c r="R41" s="467"/>
      <c r="S41" s="620"/>
      <c r="T41" s="89"/>
      <c r="U41" s="89"/>
      <c r="V41" s="474"/>
      <c r="W41" s="90">
        <f t="shared" si="25"/>
        <v>0</v>
      </c>
      <c r="X41" s="123"/>
      <c r="Y41" s="123"/>
      <c r="Z41" s="124"/>
      <c r="AA41" s="124"/>
      <c r="AB41" s="616"/>
      <c r="AC41" s="616"/>
      <c r="AD41" s="474"/>
      <c r="AE41" s="474"/>
      <c r="AF41" s="48"/>
      <c r="AG41" s="129"/>
      <c r="AH41" s="638"/>
    </row>
    <row r="42" spans="1:34" ht="19.2" customHeight="1">
      <c r="A42" s="650"/>
      <c r="B42" s="474">
        <v>0</v>
      </c>
      <c r="C42" s="55"/>
      <c r="D42" s="82"/>
      <c r="E42" s="83"/>
      <c r="F42" s="363" t="s">
        <v>133</v>
      </c>
      <c r="G42" s="57"/>
      <c r="H42" s="84">
        <f>F42*G42</f>
        <v>0</v>
      </c>
      <c r="I42" s="474"/>
      <c r="J42" s="87"/>
      <c r="K42" s="57"/>
      <c r="L42" s="86"/>
      <c r="M42" s="463"/>
      <c r="N42" s="57"/>
      <c r="O42" s="86"/>
      <c r="P42" s="54"/>
      <c r="Q42" s="88"/>
      <c r="R42" s="467"/>
      <c r="S42" s="620"/>
      <c r="T42" s="89"/>
      <c r="U42" s="89"/>
      <c r="V42" s="474"/>
      <c r="W42" s="90">
        <f t="shared" si="25"/>
        <v>0</v>
      </c>
      <c r="X42" s="123"/>
      <c r="Y42" s="123"/>
      <c r="Z42" s="124"/>
      <c r="AA42" s="124"/>
      <c r="AB42" s="616"/>
      <c r="AC42" s="616"/>
      <c r="AD42" s="474"/>
      <c r="AE42" s="474"/>
      <c r="AF42" s="48"/>
      <c r="AG42" s="129"/>
      <c r="AH42" s="638"/>
    </row>
    <row r="43" spans="1:34" ht="19.2" customHeight="1">
      <c r="A43" s="650"/>
      <c r="B43" s="121">
        <v>0</v>
      </c>
      <c r="C43" s="100" t="s">
        <v>380</v>
      </c>
      <c r="D43" s="617" t="s">
        <v>376</v>
      </c>
      <c r="E43" s="617"/>
      <c r="F43" s="361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J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620"/>
      <c r="T43" s="89"/>
      <c r="U43" s="89"/>
      <c r="V43" s="474"/>
      <c r="W43" s="474"/>
      <c r="X43" s="123"/>
      <c r="Y43" s="123"/>
      <c r="Z43" s="132">
        <f>SUM(Z31:Z42)</f>
        <v>0</v>
      </c>
      <c r="AA43" s="132">
        <f>SUM(AA31:AA42)</f>
        <v>0</v>
      </c>
      <c r="AB43" s="616"/>
      <c r="AC43" s="616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65">
        <f t="shared" si="7"/>
        <v>0.84791968090788683</v>
      </c>
      <c r="AH43" s="638"/>
    </row>
    <row r="44" spans="1:34" s="145" customFormat="1" ht="19.2" customHeight="1">
      <c r="A44" s="655" t="s">
        <v>382</v>
      </c>
      <c r="B44" s="97" t="s">
        <v>130</v>
      </c>
      <c r="C44" s="133"/>
      <c r="D44" s="164" t="s">
        <v>200</v>
      </c>
      <c r="E44" s="43"/>
      <c r="F44" s="364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635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616"/>
      <c r="AC44" s="616"/>
      <c r="AD44" s="474"/>
      <c r="AE44" s="474"/>
      <c r="AF44" s="144">
        <f t="shared" si="28"/>
        <v>-441.71428571428555</v>
      </c>
      <c r="AG44" s="469">
        <f t="shared" si="7"/>
        <v>0.77914285714285725</v>
      </c>
      <c r="AH44" s="658">
        <f>AG56</f>
        <v>0.96175301478038921</v>
      </c>
    </row>
    <row r="45" spans="1:34" s="145" customFormat="1" ht="19.2" customHeight="1">
      <c r="A45" s="656"/>
      <c r="B45" s="97" t="s">
        <v>131</v>
      </c>
      <c r="C45" s="133"/>
      <c r="D45" s="42" t="s">
        <v>76</v>
      </c>
      <c r="E45" s="43"/>
      <c r="F45" s="364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635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616"/>
      <c r="AC45" s="616"/>
      <c r="AD45" s="474"/>
      <c r="AE45" s="474"/>
      <c r="AF45" s="144">
        <f t="shared" si="28"/>
        <v>150.76923076923049</v>
      </c>
      <c r="AG45" s="469">
        <f t="shared" si="7"/>
        <v>1.0753846153846152</v>
      </c>
      <c r="AH45" s="658"/>
    </row>
    <row r="46" spans="1:34" s="145" customFormat="1" ht="19.2" customHeight="1">
      <c r="A46" s="656"/>
      <c r="B46" s="97" t="s">
        <v>131</v>
      </c>
      <c r="C46" s="133"/>
      <c r="D46" s="42" t="s">
        <v>77</v>
      </c>
      <c r="E46" s="43"/>
      <c r="F46" s="364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635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616"/>
      <c r="AC46" s="616"/>
      <c r="AD46" s="474"/>
      <c r="AE46" s="474"/>
      <c r="AF46" s="144">
        <f t="shared" si="28"/>
        <v>103.74999999999955</v>
      </c>
      <c r="AG46" s="469">
        <f t="shared" si="7"/>
        <v>1.0518749999999997</v>
      </c>
      <c r="AH46" s="658"/>
    </row>
    <row r="47" spans="1:34" s="145" customFormat="1" ht="19.2" customHeight="1">
      <c r="A47" s="656"/>
      <c r="B47" s="97" t="s">
        <v>130</v>
      </c>
      <c r="C47" s="133"/>
      <c r="D47" s="42" t="s">
        <v>67</v>
      </c>
      <c r="E47" s="148"/>
      <c r="F47" s="364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635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616"/>
      <c r="AC47" s="616"/>
      <c r="AD47" s="474"/>
      <c r="AE47" s="474"/>
      <c r="AF47" s="144">
        <f t="shared" si="28"/>
        <v>-52.105263157894342</v>
      </c>
      <c r="AG47" s="469">
        <f t="shared" si="7"/>
        <v>0.96526315789473716</v>
      </c>
      <c r="AH47" s="658"/>
    </row>
    <row r="48" spans="1:34" s="145" customFormat="1" ht="19.2" customHeight="1">
      <c r="A48" s="656"/>
      <c r="B48" s="97" t="s">
        <v>130</v>
      </c>
      <c r="C48" s="133"/>
      <c r="D48" s="42" t="s">
        <v>178</v>
      </c>
      <c r="E48" s="148"/>
      <c r="F48" s="364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635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616"/>
      <c r="AC48" s="616"/>
      <c r="AD48" s="474"/>
      <c r="AE48" s="474"/>
      <c r="AF48" s="144">
        <f t="shared" si="28"/>
        <v>-52.207792207791726</v>
      </c>
      <c r="AG48" s="469">
        <f t="shared" si="7"/>
        <v>0.96519480519480549</v>
      </c>
      <c r="AH48" s="658"/>
    </row>
    <row r="49" spans="1:34" s="145" customFormat="1" ht="19.2" customHeight="1">
      <c r="A49" s="656"/>
      <c r="B49" s="97" t="s">
        <v>132</v>
      </c>
      <c r="C49" s="133"/>
      <c r="D49" s="42" t="s">
        <v>66</v>
      </c>
      <c r="E49" s="148"/>
      <c r="F49" s="364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635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616"/>
      <c r="AC49" s="616"/>
      <c r="AD49" s="474"/>
      <c r="AE49" s="474"/>
      <c r="AF49" s="144">
        <f t="shared" si="28"/>
        <v>-88.114772727272566</v>
      </c>
      <c r="AG49" s="469">
        <f t="shared" si="7"/>
        <v>0.94125681818181828</v>
      </c>
      <c r="AH49" s="658"/>
    </row>
    <row r="50" spans="1:34" s="145" customFormat="1" ht="19.2" customHeight="1">
      <c r="A50" s="656"/>
      <c r="B50" s="97" t="s">
        <v>132</v>
      </c>
      <c r="C50" s="133"/>
      <c r="D50" s="42" t="s">
        <v>66</v>
      </c>
      <c r="E50" s="148"/>
      <c r="F50" s="364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635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616"/>
      <c r="AC50" s="616"/>
      <c r="AD50" s="474"/>
      <c r="AE50" s="474">
        <v>1</v>
      </c>
      <c r="AF50" s="144">
        <f t="shared" si="28"/>
        <v>-79.340939597314673</v>
      </c>
      <c r="AG50" s="469">
        <f t="shared" si="7"/>
        <v>0.94710604026845691</v>
      </c>
      <c r="AH50" s="658"/>
    </row>
    <row r="51" spans="1:34" s="145" customFormat="1" ht="19.2" customHeight="1">
      <c r="A51" s="656"/>
      <c r="B51" s="97">
        <v>0</v>
      </c>
      <c r="C51" s="133"/>
      <c r="D51" s="150"/>
      <c r="E51" s="148"/>
      <c r="F51" s="364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35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616"/>
      <c r="AC51" s="616"/>
      <c r="AD51" s="474"/>
      <c r="AE51" s="474"/>
      <c r="AF51" s="144">
        <f t="shared" si="28"/>
        <v>0</v>
      </c>
      <c r="AG51" s="469" t="e">
        <f t="shared" si="7"/>
        <v>#DIV/0!</v>
      </c>
      <c r="AH51" s="658"/>
    </row>
    <row r="52" spans="1:34" s="145" customFormat="1" ht="19.2" customHeight="1">
      <c r="A52" s="656"/>
      <c r="B52" s="97">
        <v>0</v>
      </c>
      <c r="C52" s="133"/>
      <c r="D52" s="150"/>
      <c r="E52" s="148"/>
      <c r="F52" s="364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35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16"/>
      <c r="AC52" s="616"/>
      <c r="AD52" s="474"/>
      <c r="AE52" s="474"/>
      <c r="AF52" s="144">
        <f t="shared" si="28"/>
        <v>0</v>
      </c>
      <c r="AG52" s="469" t="e">
        <f t="shared" si="7"/>
        <v>#DIV/0!</v>
      </c>
      <c r="AH52" s="658"/>
    </row>
    <row r="53" spans="1:34" s="145" customFormat="1" ht="19.2" customHeight="1">
      <c r="A53" s="656"/>
      <c r="B53" s="97">
        <v>0</v>
      </c>
      <c r="C53" s="133"/>
      <c r="D53" s="150"/>
      <c r="E53" s="148"/>
      <c r="F53" s="364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7"/>
      <c r="S53" s="635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16"/>
      <c r="AC53" s="616"/>
      <c r="AD53" s="474"/>
      <c r="AE53" s="474"/>
      <c r="AF53" s="144">
        <f t="shared" si="28"/>
        <v>0</v>
      </c>
      <c r="AG53" s="469" t="e">
        <f t="shared" si="7"/>
        <v>#DIV/0!</v>
      </c>
      <c r="AH53" s="658"/>
    </row>
    <row r="54" spans="1:34" s="145" customFormat="1" ht="19.2" customHeight="1">
      <c r="A54" s="656"/>
      <c r="B54" s="156">
        <v>0</v>
      </c>
      <c r="C54" s="133"/>
      <c r="D54" s="150"/>
      <c r="E54" s="148"/>
      <c r="F54" s="365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7"/>
      <c r="S54" s="635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16"/>
      <c r="AC54" s="616"/>
      <c r="AD54" s="474"/>
      <c r="AE54" s="474"/>
      <c r="AF54" s="144">
        <f t="shared" si="28"/>
        <v>0</v>
      </c>
      <c r="AG54" s="469" t="e">
        <f t="shared" si="7"/>
        <v>#DIV/0!</v>
      </c>
      <c r="AH54" s="658"/>
    </row>
    <row r="55" spans="1:34" s="145" customFormat="1" ht="19.2" customHeight="1">
      <c r="A55" s="656"/>
      <c r="B55" s="156">
        <v>0</v>
      </c>
      <c r="C55" s="133"/>
      <c r="D55" s="150"/>
      <c r="E55" s="148"/>
      <c r="F55" s="365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7"/>
      <c r="S55" s="635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16"/>
      <c r="AC55" s="616"/>
      <c r="AD55" s="474"/>
      <c r="AE55" s="474"/>
      <c r="AF55" s="144"/>
      <c r="AG55" s="469"/>
      <c r="AH55" s="658"/>
    </row>
    <row r="56" spans="1:34" ht="19.2" customHeight="1">
      <c r="A56" s="657"/>
      <c r="B56" s="157">
        <v>0</v>
      </c>
      <c r="C56" s="268" t="s">
        <v>384</v>
      </c>
      <c r="D56" s="654" t="s">
        <v>376</v>
      </c>
      <c r="E56" s="617"/>
      <c r="F56" s="361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J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635"/>
      <c r="T56" s="160"/>
      <c r="U56" s="160"/>
      <c r="V56" s="462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16"/>
      <c r="AC56" s="616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67">
        <f>N56/K56</f>
        <v>0.96175301478038921</v>
      </c>
      <c r="AH56" s="658"/>
    </row>
    <row r="57" spans="1:34" ht="19.2" customHeight="1">
      <c r="A57" s="649" t="s">
        <v>386</v>
      </c>
      <c r="B57" s="121" t="s">
        <v>130</v>
      </c>
      <c r="C57" s="121"/>
      <c r="D57" s="42" t="s">
        <v>68</v>
      </c>
      <c r="E57" s="43"/>
      <c r="F57" s="357">
        <v>28.26</v>
      </c>
      <c r="G57" s="57">
        <v>1192</v>
      </c>
      <c r="H57" s="84">
        <f t="shared" ref="H57:H66" si="37">F57*G57</f>
        <v>33685.919999999998</v>
      </c>
      <c r="I57" s="474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64">
        <f t="shared" si="36"/>
        <v>0.97306122448979626</v>
      </c>
      <c r="S57" s="635">
        <f>R69</f>
        <v>0.96975117248135645</v>
      </c>
      <c r="T57" s="50">
        <v>0.125</v>
      </c>
      <c r="U57" s="50">
        <v>0.15902777777777777</v>
      </c>
      <c r="V57" s="460">
        <v>5</v>
      </c>
      <c r="W57" s="457">
        <f>(U57-T57)*24*60</f>
        <v>48.999999999999986</v>
      </c>
      <c r="X57" s="53"/>
      <c r="Y57" s="53"/>
      <c r="Z57" s="54"/>
      <c r="AA57" s="54"/>
      <c r="AB57" s="616"/>
      <c r="AC57" s="616"/>
      <c r="AD57" s="474"/>
      <c r="AE57" s="474"/>
      <c r="AF57" s="48">
        <f t="shared" si="6"/>
        <v>-40.408163265305575</v>
      </c>
      <c r="AG57" s="468">
        <f t="shared" si="7"/>
        <v>0.97306122448979626</v>
      </c>
      <c r="AH57" s="637">
        <f>AG69</f>
        <v>0.97005476076435349</v>
      </c>
    </row>
    <row r="58" spans="1:34" ht="19.2" customHeight="1">
      <c r="A58" s="650"/>
      <c r="B58" s="121" t="s">
        <v>130</v>
      </c>
      <c r="C58" s="474"/>
      <c r="D58" s="42" t="s">
        <v>69</v>
      </c>
      <c r="E58" s="43"/>
      <c r="F58" s="357">
        <v>27.88</v>
      </c>
      <c r="G58" s="44">
        <v>3516</v>
      </c>
      <c r="H58" s="45">
        <f t="shared" si="37"/>
        <v>98026.08</v>
      </c>
      <c r="I58" s="460"/>
      <c r="J58" s="46">
        <v>7</v>
      </c>
      <c r="K58" s="44">
        <v>1500</v>
      </c>
      <c r="L58" s="86">
        <v>214.28571428571428</v>
      </c>
      <c r="M58" s="458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64">
        <f t="shared" si="36"/>
        <v>0.97666666666666635</v>
      </c>
      <c r="S58" s="635"/>
      <c r="T58" s="50">
        <v>0.16458333333333333</v>
      </c>
      <c r="U58" s="50">
        <v>0.26458333333333334</v>
      </c>
      <c r="V58" s="460">
        <v>8</v>
      </c>
      <c r="W58" s="457">
        <f>(U58-T58)*24*60</f>
        <v>144.00000000000003</v>
      </c>
      <c r="X58" s="53"/>
      <c r="Y58" s="53"/>
      <c r="Z58" s="54"/>
      <c r="AA58" s="54"/>
      <c r="AB58" s="652"/>
      <c r="AC58" s="653"/>
      <c r="AD58" s="474"/>
      <c r="AE58" s="474"/>
      <c r="AF58" s="48">
        <f t="shared" si="6"/>
        <v>-35.000000000000455</v>
      </c>
      <c r="AG58" s="464">
        <f t="shared" si="7"/>
        <v>0.97666666666666635</v>
      </c>
      <c r="AH58" s="635"/>
    </row>
    <row r="59" spans="1:34" ht="19.2" customHeight="1">
      <c r="A59" s="650"/>
      <c r="B59" s="121" t="s">
        <v>130</v>
      </c>
      <c r="C59" s="474"/>
      <c r="D59" s="42" t="s">
        <v>70</v>
      </c>
      <c r="E59" s="43"/>
      <c r="F59" s="357">
        <v>28</v>
      </c>
      <c r="G59" s="44">
        <v>3363</v>
      </c>
      <c r="H59" s="45">
        <f t="shared" si="37"/>
        <v>94164</v>
      </c>
      <c r="I59" s="460"/>
      <c r="J59" s="46">
        <v>7</v>
      </c>
      <c r="K59" s="44">
        <v>1500</v>
      </c>
      <c r="L59" s="86">
        <v>214.28571428571428</v>
      </c>
      <c r="M59" s="458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64">
        <f t="shared" si="36"/>
        <v>0.97478260869565225</v>
      </c>
      <c r="S59" s="635"/>
      <c r="T59" s="50">
        <v>0.28194444444444444</v>
      </c>
      <c r="U59" s="50">
        <v>0.37777777777777777</v>
      </c>
      <c r="V59" s="142">
        <v>25</v>
      </c>
      <c r="W59" s="457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616"/>
      <c r="AC59" s="616"/>
      <c r="AD59" s="474"/>
      <c r="AE59" s="474"/>
      <c r="AF59" s="48">
        <f t="shared" si="6"/>
        <v>-37.826086956521749</v>
      </c>
      <c r="AG59" s="464">
        <f t="shared" si="7"/>
        <v>0.97478260869565214</v>
      </c>
      <c r="AH59" s="635"/>
    </row>
    <row r="60" spans="1:34" ht="19.2" customHeight="1">
      <c r="A60" s="650"/>
      <c r="B60" s="121" t="s">
        <v>130</v>
      </c>
      <c r="C60" s="474"/>
      <c r="D60" s="42" t="s">
        <v>387</v>
      </c>
      <c r="E60" s="43"/>
      <c r="F60" s="357">
        <v>28.47</v>
      </c>
      <c r="G60" s="44">
        <v>2369.75</v>
      </c>
      <c r="H60" s="45">
        <f t="shared" si="37"/>
        <v>67466.782500000001</v>
      </c>
      <c r="I60" s="460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64">
        <f t="shared" si="36"/>
        <v>0.96724489795918411</v>
      </c>
      <c r="S60" s="635"/>
      <c r="T60" s="50">
        <v>0.39513888888888887</v>
      </c>
      <c r="U60" s="50">
        <v>0.46319444444444441</v>
      </c>
      <c r="V60" s="142">
        <v>25</v>
      </c>
      <c r="W60" s="457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616"/>
      <c r="AC60" s="616"/>
      <c r="AD60" s="474">
        <v>1</v>
      </c>
      <c r="AE60" s="474">
        <v>1</v>
      </c>
      <c r="AF60" s="48">
        <f t="shared" si="6"/>
        <v>-49.132653061223891</v>
      </c>
      <c r="AG60" s="468">
        <f t="shared" si="7"/>
        <v>0.96724489795918411</v>
      </c>
      <c r="AH60" s="635"/>
    </row>
    <row r="61" spans="1:34" ht="19.2" customHeight="1">
      <c r="A61" s="650"/>
      <c r="B61" s="121" t="s">
        <v>132</v>
      </c>
      <c r="C61" s="474"/>
      <c r="D61" s="42" t="s">
        <v>66</v>
      </c>
      <c r="E61" s="43"/>
      <c r="F61" s="357">
        <v>10.09</v>
      </c>
      <c r="G61" s="44">
        <v>4448.3099999999995</v>
      </c>
      <c r="H61" s="45">
        <f t="shared" si="37"/>
        <v>44883.447899999992</v>
      </c>
      <c r="I61" s="460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64">
        <f t="shared" si="36"/>
        <v>0.96702391304347801</v>
      </c>
      <c r="S61" s="635"/>
      <c r="T61" s="50">
        <v>0.50347222222222221</v>
      </c>
      <c r="U61" s="50">
        <v>0.63124999999999998</v>
      </c>
      <c r="V61" s="142">
        <v>5</v>
      </c>
      <c r="W61" s="457">
        <f t="shared" si="42"/>
        <v>184</v>
      </c>
      <c r="X61" s="53"/>
      <c r="Y61" s="53"/>
      <c r="Z61" s="54"/>
      <c r="AA61" s="54"/>
      <c r="AB61" s="616"/>
      <c r="AC61" s="616"/>
      <c r="AD61" s="474"/>
      <c r="AE61" s="474"/>
      <c r="AF61" s="48">
        <f t="shared" si="6"/>
        <v>-49.464130434782874</v>
      </c>
      <c r="AG61" s="464">
        <f t="shared" si="7"/>
        <v>0.96702391304347812</v>
      </c>
      <c r="AH61" s="635"/>
    </row>
    <row r="62" spans="1:34" ht="19.2" customHeight="1">
      <c r="A62" s="650"/>
      <c r="B62" s="121" t="s">
        <v>132</v>
      </c>
      <c r="C62" s="474"/>
      <c r="D62" s="42" t="s">
        <v>66</v>
      </c>
      <c r="E62" s="43"/>
      <c r="F62" s="357">
        <v>10.09</v>
      </c>
      <c r="G62" s="134">
        <v>3221.19</v>
      </c>
      <c r="H62" s="45">
        <f t="shared" si="37"/>
        <v>32501.807100000002</v>
      </c>
      <c r="I62" s="460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64">
        <f t="shared" si="36"/>
        <v>0.96154925373134337</v>
      </c>
      <c r="S62" s="635"/>
      <c r="T62" s="166">
        <v>0.64861111111111114</v>
      </c>
      <c r="U62" s="166">
        <v>0.7416666666666667</v>
      </c>
      <c r="V62" s="142">
        <v>25</v>
      </c>
      <c r="W62" s="457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616"/>
      <c r="AC62" s="616"/>
      <c r="AD62" s="474"/>
      <c r="AE62" s="474"/>
      <c r="AF62" s="48">
        <f t="shared" si="6"/>
        <v>-57.676119402985023</v>
      </c>
      <c r="AG62" s="464">
        <f t="shared" si="7"/>
        <v>0.96154925373134337</v>
      </c>
      <c r="AH62" s="635"/>
    </row>
    <row r="63" spans="1:34" ht="19.2" customHeight="1">
      <c r="A63" s="650"/>
      <c r="B63" s="121">
        <v>0</v>
      </c>
      <c r="C63" s="474"/>
      <c r="D63" s="42"/>
      <c r="E63" s="43"/>
      <c r="F63" s="357" t="s">
        <v>133</v>
      </c>
      <c r="G63" s="134"/>
      <c r="H63" s="45">
        <f t="shared" si="37"/>
        <v>0</v>
      </c>
      <c r="I63" s="460"/>
      <c r="J63" s="46"/>
      <c r="K63" s="44"/>
      <c r="L63" s="86"/>
      <c r="M63" s="62"/>
      <c r="N63" s="44"/>
      <c r="O63" s="47"/>
      <c r="P63" s="165"/>
      <c r="Q63" s="49"/>
      <c r="R63" s="464"/>
      <c r="S63" s="635"/>
      <c r="T63" s="166"/>
      <c r="U63" s="166"/>
      <c r="V63" s="142"/>
      <c r="W63" s="457">
        <f t="shared" si="42"/>
        <v>0</v>
      </c>
      <c r="X63" s="53"/>
      <c r="Y63" s="53"/>
      <c r="Z63" s="54"/>
      <c r="AA63" s="54"/>
      <c r="AB63" s="616"/>
      <c r="AC63" s="616"/>
      <c r="AD63" s="474"/>
      <c r="AE63" s="474"/>
      <c r="AF63" s="48">
        <f t="shared" si="6"/>
        <v>0</v>
      </c>
      <c r="AG63" s="468" t="e">
        <f t="shared" si="7"/>
        <v>#DIV/0!</v>
      </c>
      <c r="AH63" s="635"/>
    </row>
    <row r="64" spans="1:34" ht="19.2" customHeight="1">
      <c r="A64" s="651"/>
      <c r="B64" s="163">
        <v>0</v>
      </c>
      <c r="C64" s="408"/>
      <c r="D64" s="42"/>
      <c r="E64" s="43"/>
      <c r="F64" s="357" t="s">
        <v>133</v>
      </c>
      <c r="G64" s="134"/>
      <c r="H64" s="45">
        <f t="shared" si="37"/>
        <v>0</v>
      </c>
      <c r="I64" s="460"/>
      <c r="J64" s="167"/>
      <c r="K64" s="61"/>
      <c r="L64" s="86"/>
      <c r="M64" s="62"/>
      <c r="N64" s="44"/>
      <c r="O64" s="47"/>
      <c r="P64" s="165"/>
      <c r="Q64" s="49"/>
      <c r="R64" s="464"/>
      <c r="S64" s="635"/>
      <c r="T64" s="166"/>
      <c r="U64" s="166"/>
      <c r="V64" s="142"/>
      <c r="W64" s="457">
        <f t="shared" si="42"/>
        <v>0</v>
      </c>
      <c r="X64" s="460"/>
      <c r="Y64" s="460"/>
      <c r="Z64" s="54"/>
      <c r="AA64" s="54"/>
      <c r="AB64" s="616"/>
      <c r="AC64" s="616"/>
      <c r="AD64" s="474"/>
      <c r="AE64" s="474"/>
      <c r="AF64" s="48">
        <f t="shared" si="6"/>
        <v>0</v>
      </c>
      <c r="AG64" s="464" t="e">
        <f t="shared" si="7"/>
        <v>#DIV/0!</v>
      </c>
      <c r="AH64" s="635"/>
    </row>
    <row r="65" spans="1:34" ht="19.2" customHeight="1">
      <c r="A65" s="651"/>
      <c r="B65" s="97">
        <v>0</v>
      </c>
      <c r="C65" s="470"/>
      <c r="D65" s="42"/>
      <c r="E65" s="43"/>
      <c r="F65" s="357" t="s">
        <v>133</v>
      </c>
      <c r="G65" s="134"/>
      <c r="H65" s="45">
        <f t="shared" si="37"/>
        <v>0</v>
      </c>
      <c r="I65" s="460"/>
      <c r="J65" s="167"/>
      <c r="K65" s="61"/>
      <c r="L65" s="86"/>
      <c r="M65" s="62"/>
      <c r="N65" s="61"/>
      <c r="O65" s="77"/>
      <c r="P65" s="48"/>
      <c r="Q65" s="49"/>
      <c r="R65" s="464"/>
      <c r="S65" s="635"/>
      <c r="T65" s="166"/>
      <c r="U65" s="166"/>
      <c r="V65" s="142"/>
      <c r="W65" s="457">
        <f t="shared" si="42"/>
        <v>0</v>
      </c>
      <c r="X65" s="460"/>
      <c r="Y65" s="460"/>
      <c r="Z65" s="54"/>
      <c r="AA65" s="54"/>
      <c r="AB65" s="616"/>
      <c r="AC65" s="616"/>
      <c r="AD65" s="474"/>
      <c r="AE65" s="474"/>
      <c r="AF65" s="48">
        <f t="shared" si="6"/>
        <v>0</v>
      </c>
      <c r="AG65" s="464" t="e">
        <f t="shared" si="7"/>
        <v>#DIV/0!</v>
      </c>
      <c r="AH65" s="635"/>
    </row>
    <row r="66" spans="1:34" ht="19.2" customHeight="1">
      <c r="A66" s="651"/>
      <c r="B66" s="97">
        <v>0</v>
      </c>
      <c r="C66" s="470"/>
      <c r="D66" s="42"/>
      <c r="E66" s="43"/>
      <c r="F66" s="357" t="s">
        <v>133</v>
      </c>
      <c r="G66" s="134"/>
      <c r="H66" s="45">
        <f t="shared" si="37"/>
        <v>0</v>
      </c>
      <c r="I66" s="460"/>
      <c r="J66" s="167"/>
      <c r="K66" s="61"/>
      <c r="L66" s="86"/>
      <c r="M66" s="62"/>
      <c r="N66" s="61"/>
      <c r="O66" s="77"/>
      <c r="P66" s="48"/>
      <c r="Q66" s="49"/>
      <c r="R66" s="464"/>
      <c r="S66" s="635"/>
      <c r="T66" s="166"/>
      <c r="U66" s="166"/>
      <c r="V66" s="142"/>
      <c r="W66" s="457">
        <f t="shared" si="42"/>
        <v>0</v>
      </c>
      <c r="X66" s="460"/>
      <c r="Y66" s="460"/>
      <c r="Z66" s="54"/>
      <c r="AA66" s="54"/>
      <c r="AB66" s="616"/>
      <c r="AC66" s="616"/>
      <c r="AD66" s="474"/>
      <c r="AE66" s="474"/>
      <c r="AF66" s="48">
        <f t="shared" si="6"/>
        <v>0</v>
      </c>
      <c r="AG66" s="468" t="e">
        <f t="shared" si="7"/>
        <v>#DIV/0!</v>
      </c>
      <c r="AH66" s="635"/>
    </row>
    <row r="67" spans="1:34" ht="19.2" customHeight="1">
      <c r="A67" s="651"/>
      <c r="B67" s="97">
        <v>0</v>
      </c>
      <c r="C67" s="470"/>
      <c r="D67" s="42"/>
      <c r="E67" s="43"/>
      <c r="F67" s="357" t="s">
        <v>133</v>
      </c>
      <c r="G67" s="134"/>
      <c r="H67" s="45">
        <f>F67*G67</f>
        <v>0</v>
      </c>
      <c r="I67" s="460"/>
      <c r="J67" s="167"/>
      <c r="K67" s="61"/>
      <c r="L67" s="86"/>
      <c r="M67" s="62"/>
      <c r="N67" s="61"/>
      <c r="O67" s="77"/>
      <c r="P67" s="48"/>
      <c r="Q67" s="49"/>
      <c r="R67" s="464"/>
      <c r="S67" s="635"/>
      <c r="T67" s="166"/>
      <c r="U67" s="166"/>
      <c r="V67" s="142"/>
      <c r="W67" s="457">
        <f t="shared" si="42"/>
        <v>0</v>
      </c>
      <c r="X67" s="460"/>
      <c r="Y67" s="460"/>
      <c r="Z67" s="54"/>
      <c r="AA67" s="54"/>
      <c r="AB67" s="616"/>
      <c r="AC67" s="616"/>
      <c r="AD67" s="474"/>
      <c r="AE67" s="474"/>
      <c r="AF67" s="48">
        <f t="shared" si="6"/>
        <v>0</v>
      </c>
      <c r="AG67" s="464" t="e">
        <f t="shared" si="7"/>
        <v>#DIV/0!</v>
      </c>
      <c r="AH67" s="635"/>
    </row>
    <row r="68" spans="1:34" ht="19.2" customHeight="1">
      <c r="A68" s="651"/>
      <c r="B68" s="460">
        <v>0</v>
      </c>
      <c r="C68" s="470"/>
      <c r="D68" s="42"/>
      <c r="E68" s="43"/>
      <c r="F68" s="364" t="s">
        <v>133</v>
      </c>
      <c r="G68" s="134"/>
      <c r="H68" s="45">
        <f>F68*G68</f>
        <v>0</v>
      </c>
      <c r="I68" s="460"/>
      <c r="J68" s="167"/>
      <c r="K68" s="61"/>
      <c r="L68" s="86"/>
      <c r="M68" s="62"/>
      <c r="N68" s="61"/>
      <c r="O68" s="77"/>
      <c r="P68" s="48"/>
      <c r="Q68" s="49"/>
      <c r="R68" s="464"/>
      <c r="S68" s="635"/>
      <c r="T68" s="166"/>
      <c r="U68" s="166"/>
      <c r="V68" s="142"/>
      <c r="W68" s="457">
        <f t="shared" si="42"/>
        <v>0</v>
      </c>
      <c r="X68" s="460"/>
      <c r="Y68" s="460"/>
      <c r="Z68" s="54"/>
      <c r="AA68" s="54"/>
      <c r="AB68" s="616"/>
      <c r="AC68" s="616"/>
      <c r="AD68" s="474"/>
      <c r="AE68" s="474"/>
      <c r="AF68" s="48"/>
      <c r="AG68" s="464"/>
      <c r="AH68" s="635"/>
    </row>
    <row r="69" spans="1:34" ht="19.2" customHeight="1">
      <c r="A69" s="651"/>
      <c r="B69" s="168">
        <v>0</v>
      </c>
      <c r="C69" s="6" t="s">
        <v>389</v>
      </c>
      <c r="D69" s="617" t="s">
        <v>376</v>
      </c>
      <c r="E69" s="617"/>
      <c r="F69" s="366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J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635"/>
      <c r="T69" s="141"/>
      <c r="U69" s="141"/>
      <c r="V69" s="44"/>
      <c r="W69" s="457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16"/>
      <c r="AC69" s="616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64">
        <f t="shared" si="7"/>
        <v>0.97005476076435349</v>
      </c>
      <c r="AH69" s="635"/>
    </row>
    <row r="70" spans="1:34" ht="19.2" customHeight="1">
      <c r="A70" s="647" t="s">
        <v>391</v>
      </c>
      <c r="B70" s="460" t="s">
        <v>129</v>
      </c>
      <c r="C70" s="97"/>
      <c r="D70" s="42" t="s">
        <v>197</v>
      </c>
      <c r="E70" s="43"/>
      <c r="F70" s="357">
        <v>62.13</v>
      </c>
      <c r="G70" s="57">
        <v>1964</v>
      </c>
      <c r="H70" s="45">
        <f>F70*G70</f>
        <v>122023.32</v>
      </c>
      <c r="I70" s="460"/>
      <c r="J70" s="46">
        <v>14</v>
      </c>
      <c r="K70" s="44">
        <v>1500</v>
      </c>
      <c r="L70" s="47">
        <v>107.14285714285714</v>
      </c>
      <c r="M70" s="458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64">
        <f t="shared" si="44"/>
        <v>0.93523809523809498</v>
      </c>
      <c r="S70" s="635">
        <f>R82</f>
        <v>0.92037006774700181</v>
      </c>
      <c r="T70" s="50">
        <v>0.25</v>
      </c>
      <c r="U70" s="50">
        <v>0.30833333333333335</v>
      </c>
      <c r="V70" s="460">
        <v>5</v>
      </c>
      <c r="W70" s="457">
        <f>(U70-T70)*24*60</f>
        <v>84.000000000000028</v>
      </c>
      <c r="X70" s="460"/>
      <c r="Y70" s="460"/>
      <c r="Z70" s="54"/>
      <c r="AA70" s="54"/>
      <c r="AB70" s="616"/>
      <c r="AC70" s="616"/>
      <c r="AD70" s="474"/>
      <c r="AE70" s="474"/>
      <c r="AF70" s="48">
        <f t="shared" si="6"/>
        <v>-97.142857142857565</v>
      </c>
      <c r="AG70" s="464">
        <f t="shared" si="7"/>
        <v>0.93523809523809498</v>
      </c>
      <c r="AH70" s="635">
        <f>AG82</f>
        <v>0.92981028160122969</v>
      </c>
    </row>
    <row r="71" spans="1:34" ht="19.2" customHeight="1">
      <c r="A71" s="647"/>
      <c r="B71" s="460" t="s">
        <v>128</v>
      </c>
      <c r="C71" s="41"/>
      <c r="D71" s="173" t="s">
        <v>71</v>
      </c>
      <c r="E71" s="43"/>
      <c r="F71" s="357">
        <v>47.65</v>
      </c>
      <c r="G71" s="44">
        <v>1587.1200000000001</v>
      </c>
      <c r="H71" s="45">
        <f>F71*G71</f>
        <v>75626.267999999996</v>
      </c>
      <c r="I71" s="460"/>
      <c r="J71" s="46">
        <v>18</v>
      </c>
      <c r="K71" s="174">
        <v>1440</v>
      </c>
      <c r="L71" s="47">
        <v>80</v>
      </c>
      <c r="M71" s="463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64">
        <f t="shared" si="44"/>
        <v>0.93140845070422562</v>
      </c>
      <c r="S71" s="635"/>
      <c r="T71" s="50">
        <v>0.31319444444444444</v>
      </c>
      <c r="U71" s="50">
        <v>0.36249999999999999</v>
      </c>
      <c r="V71" s="460">
        <v>7</v>
      </c>
      <c r="W71" s="457">
        <f t="shared" ref="W71:W81" si="49">(U71-T71)*24*60</f>
        <v>70.999999999999986</v>
      </c>
      <c r="X71" s="53"/>
      <c r="Y71" s="53"/>
      <c r="Z71" s="54"/>
      <c r="AA71" s="54"/>
      <c r="AB71" s="616"/>
      <c r="AC71" s="616"/>
      <c r="AD71" s="474"/>
      <c r="AE71" s="474"/>
      <c r="AF71" s="48">
        <f>N71-K71</f>
        <v>-98.77183098591513</v>
      </c>
      <c r="AG71" s="464">
        <f>N71/K71</f>
        <v>0.93140845070422562</v>
      </c>
      <c r="AH71" s="635"/>
    </row>
    <row r="72" spans="1:34" ht="19.2" customHeight="1">
      <c r="A72" s="647"/>
      <c r="B72" s="460" t="s">
        <v>128</v>
      </c>
      <c r="C72" s="66"/>
      <c r="D72" s="173" t="s">
        <v>72</v>
      </c>
      <c r="E72" s="43"/>
      <c r="F72" s="357">
        <v>53.36</v>
      </c>
      <c r="G72" s="44">
        <v>4075.5</v>
      </c>
      <c r="H72" s="45">
        <f t="shared" ref="H72:H80" si="50">F72*G72</f>
        <v>217468.68</v>
      </c>
      <c r="I72" s="460"/>
      <c r="J72" s="87">
        <v>19</v>
      </c>
      <c r="K72" s="57">
        <v>1440</v>
      </c>
      <c r="L72" s="86">
        <v>75.78947368421052</v>
      </c>
      <c r="M72" s="458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64">
        <f t="shared" si="44"/>
        <v>0.93819060773480667</v>
      </c>
      <c r="S72" s="635"/>
      <c r="T72" s="50">
        <v>0.37847222222222221</v>
      </c>
      <c r="U72" s="50">
        <v>0.50416666666666665</v>
      </c>
      <c r="V72" s="460">
        <v>23</v>
      </c>
      <c r="W72" s="457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616"/>
      <c r="AC72" s="616"/>
      <c r="AD72" s="474">
        <v>2</v>
      </c>
      <c r="AE72" s="474"/>
      <c r="AF72" s="48">
        <f>N72-K72</f>
        <v>-89.005524861878484</v>
      </c>
      <c r="AG72" s="464">
        <f>N72/K72</f>
        <v>0.93819060773480656</v>
      </c>
      <c r="AH72" s="635"/>
    </row>
    <row r="73" spans="1:34" ht="19.2" customHeight="1">
      <c r="A73" s="647"/>
      <c r="B73" s="460" t="s">
        <v>128</v>
      </c>
      <c r="C73" s="175"/>
      <c r="D73" s="176" t="s">
        <v>73</v>
      </c>
      <c r="E73" s="177"/>
      <c r="F73" s="357">
        <v>53.76</v>
      </c>
      <c r="G73" s="44">
        <v>2772</v>
      </c>
      <c r="H73" s="45">
        <f t="shared" si="50"/>
        <v>149022.72</v>
      </c>
      <c r="I73" s="474"/>
      <c r="J73" s="178">
        <v>16</v>
      </c>
      <c r="K73" s="179">
        <v>1440</v>
      </c>
      <c r="L73" s="86">
        <v>90</v>
      </c>
      <c r="M73" s="463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64">
        <f t="shared" si="44"/>
        <v>0.86274509803921551</v>
      </c>
      <c r="S73" s="635"/>
      <c r="T73" s="50">
        <v>0.5444444444444444</v>
      </c>
      <c r="U73" s="50">
        <v>0.63194444444444442</v>
      </c>
      <c r="V73" s="460">
        <v>5</v>
      </c>
      <c r="W73" s="457">
        <f t="shared" si="49"/>
        <v>126.00000000000003</v>
      </c>
      <c r="X73" s="180"/>
      <c r="Y73" s="180"/>
      <c r="Z73" s="124"/>
      <c r="AA73" s="124"/>
      <c r="AB73" s="616"/>
      <c r="AC73" s="616"/>
      <c r="AD73" s="474"/>
      <c r="AE73" s="474"/>
      <c r="AF73" s="48">
        <f>N73-K73</f>
        <v>-120.00000000000023</v>
      </c>
      <c r="AG73" s="464">
        <f>N73/K73</f>
        <v>0.91666666666666652</v>
      </c>
      <c r="AH73" s="635"/>
    </row>
    <row r="74" spans="1:34" ht="19.2" customHeight="1">
      <c r="A74" s="647"/>
      <c r="B74" s="460" t="s">
        <v>128</v>
      </c>
      <c r="C74" s="175"/>
      <c r="D74" s="176" t="s">
        <v>74</v>
      </c>
      <c r="E74" s="177"/>
      <c r="F74" s="357">
        <v>47.51</v>
      </c>
      <c r="G74" s="44">
        <v>1994</v>
      </c>
      <c r="H74" s="45">
        <f t="shared" si="50"/>
        <v>94734.94</v>
      </c>
      <c r="I74" s="460"/>
      <c r="J74" s="46">
        <v>17</v>
      </c>
      <c r="K74" s="174">
        <v>1440</v>
      </c>
      <c r="L74" s="47">
        <v>84.705882352941174</v>
      </c>
      <c r="M74" s="458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64">
        <f t="shared" si="44"/>
        <v>0.93352059925093633</v>
      </c>
      <c r="S74" s="635"/>
      <c r="T74" s="50">
        <v>0.64722222222222214</v>
      </c>
      <c r="U74" s="50">
        <v>0.7090277777777777</v>
      </c>
      <c r="V74" s="460">
        <v>22</v>
      </c>
      <c r="W74" s="457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616"/>
      <c r="AC74" s="616"/>
      <c r="AD74" s="474"/>
      <c r="AE74" s="474"/>
      <c r="AF74" s="48">
        <f t="shared" ref="AF74:AF80" si="51">N74-K74</f>
        <v>-95.730337078651701</v>
      </c>
      <c r="AG74" s="464">
        <f t="shared" ref="AG74:AG80" si="52">N74/K74</f>
        <v>0.93352059925093633</v>
      </c>
      <c r="AH74" s="635"/>
    </row>
    <row r="75" spans="1:34" ht="19.2" customHeight="1">
      <c r="A75" s="647"/>
      <c r="B75" s="460" t="s">
        <v>128</v>
      </c>
      <c r="C75" s="66"/>
      <c r="D75" s="173" t="s">
        <v>72</v>
      </c>
      <c r="E75" s="43"/>
      <c r="F75" s="357">
        <v>53.36</v>
      </c>
      <c r="G75" s="57">
        <v>2194.5</v>
      </c>
      <c r="H75" s="45">
        <f t="shared" si="50"/>
        <v>117098.52</v>
      </c>
      <c r="I75" s="460">
        <v>1</v>
      </c>
      <c r="J75" s="87">
        <v>19</v>
      </c>
      <c r="K75" s="57">
        <v>1440</v>
      </c>
      <c r="L75" s="86">
        <v>75.78947368421052</v>
      </c>
      <c r="M75" s="458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64">
        <f t="shared" si="44"/>
        <v>0.92361111111111138</v>
      </c>
      <c r="S75" s="635"/>
      <c r="T75" s="50">
        <v>0.7138888888888888</v>
      </c>
      <c r="U75" s="50">
        <v>0.78263888888888877</v>
      </c>
      <c r="V75" s="460">
        <v>7</v>
      </c>
      <c r="W75" s="457">
        <f t="shared" si="49"/>
        <v>98.999999999999972</v>
      </c>
      <c r="X75" s="180"/>
      <c r="Y75" s="180"/>
      <c r="Z75" s="124"/>
      <c r="AA75" s="124"/>
      <c r="AB75" s="616"/>
      <c r="AC75" s="616"/>
      <c r="AD75" s="474"/>
      <c r="AE75" s="474"/>
      <c r="AF75" s="48">
        <f t="shared" si="51"/>
        <v>-109.99999999999977</v>
      </c>
      <c r="AG75" s="464">
        <f t="shared" si="52"/>
        <v>0.92361111111111127</v>
      </c>
      <c r="AH75" s="635"/>
    </row>
    <row r="76" spans="1:34" ht="19.2" customHeight="1">
      <c r="A76" s="647"/>
      <c r="B76" s="460">
        <v>0</v>
      </c>
      <c r="C76" s="175"/>
      <c r="D76" s="176"/>
      <c r="E76" s="177"/>
      <c r="F76" s="357" t="s">
        <v>133</v>
      </c>
      <c r="G76" s="174"/>
      <c r="H76" s="45">
        <f t="shared" si="50"/>
        <v>0</v>
      </c>
      <c r="I76" s="460"/>
      <c r="J76" s="178"/>
      <c r="K76" s="179"/>
      <c r="L76" s="86"/>
      <c r="M76" s="463"/>
      <c r="N76" s="44"/>
      <c r="O76" s="47"/>
      <c r="P76" s="48"/>
      <c r="Q76" s="49"/>
      <c r="R76" s="464"/>
      <c r="S76" s="635"/>
      <c r="T76" s="50"/>
      <c r="U76" s="50"/>
      <c r="V76" s="460" t="s">
        <v>15</v>
      </c>
      <c r="W76" s="457">
        <f t="shared" si="49"/>
        <v>0</v>
      </c>
      <c r="X76" s="180"/>
      <c r="Y76" s="180"/>
      <c r="Z76" s="124"/>
      <c r="AA76" s="124"/>
      <c r="AB76" s="616"/>
      <c r="AC76" s="616"/>
      <c r="AD76" s="474"/>
      <c r="AE76" s="474"/>
      <c r="AF76" s="48">
        <f t="shared" si="51"/>
        <v>0</v>
      </c>
      <c r="AG76" s="464" t="e">
        <f t="shared" si="52"/>
        <v>#DIV/0!</v>
      </c>
      <c r="AH76" s="635"/>
    </row>
    <row r="77" spans="1:34" ht="19.2" customHeight="1">
      <c r="A77" s="647"/>
      <c r="B77" s="460">
        <v>0</v>
      </c>
      <c r="C77" s="470"/>
      <c r="D77" s="42"/>
      <c r="E77" s="43"/>
      <c r="F77" s="357" t="s">
        <v>133</v>
      </c>
      <c r="G77" s="174"/>
      <c r="H77" s="45">
        <f t="shared" si="50"/>
        <v>0</v>
      </c>
      <c r="I77" s="474"/>
      <c r="J77" s="46"/>
      <c r="K77" s="174"/>
      <c r="L77" s="47"/>
      <c r="M77" s="463"/>
      <c r="N77" s="44"/>
      <c r="O77" s="47"/>
      <c r="P77" s="48"/>
      <c r="Q77" s="49"/>
      <c r="R77" s="464"/>
      <c r="S77" s="635"/>
      <c r="T77" s="50"/>
      <c r="U77" s="50"/>
      <c r="V77" s="460"/>
      <c r="W77" s="457">
        <f t="shared" si="49"/>
        <v>0</v>
      </c>
      <c r="X77" s="180"/>
      <c r="Y77" s="180"/>
      <c r="Z77" s="124"/>
      <c r="AA77" s="124"/>
      <c r="AB77" s="616"/>
      <c r="AC77" s="616"/>
      <c r="AD77" s="474"/>
      <c r="AE77" s="474"/>
      <c r="AF77" s="48">
        <f t="shared" si="51"/>
        <v>0</v>
      </c>
      <c r="AG77" s="464" t="e">
        <f t="shared" si="52"/>
        <v>#DIV/0!</v>
      </c>
      <c r="AH77" s="635"/>
    </row>
    <row r="78" spans="1:34" ht="19.2" customHeight="1">
      <c r="A78" s="647"/>
      <c r="B78" s="460">
        <v>0</v>
      </c>
      <c r="C78" s="470"/>
      <c r="D78" s="42"/>
      <c r="E78" s="43"/>
      <c r="F78" s="357" t="s">
        <v>133</v>
      </c>
      <c r="G78" s="57"/>
      <c r="H78" s="45">
        <f t="shared" si="50"/>
        <v>0</v>
      </c>
      <c r="I78" s="474"/>
      <c r="J78" s="87"/>
      <c r="K78" s="57"/>
      <c r="L78" s="86"/>
      <c r="M78" s="463"/>
      <c r="N78" s="44"/>
      <c r="O78" s="47"/>
      <c r="P78" s="48"/>
      <c r="Q78" s="49"/>
      <c r="R78" s="464"/>
      <c r="S78" s="635"/>
      <c r="T78" s="50"/>
      <c r="U78" s="50"/>
      <c r="V78" s="460"/>
      <c r="W78" s="457">
        <f t="shared" si="49"/>
        <v>0</v>
      </c>
      <c r="X78" s="180"/>
      <c r="Y78" s="180"/>
      <c r="Z78" s="124"/>
      <c r="AA78" s="124"/>
      <c r="AB78" s="616"/>
      <c r="AC78" s="616"/>
      <c r="AD78" s="474"/>
      <c r="AE78" s="474"/>
      <c r="AF78" s="48">
        <f t="shared" si="51"/>
        <v>0</v>
      </c>
      <c r="AG78" s="464" t="e">
        <f t="shared" si="52"/>
        <v>#DIV/0!</v>
      </c>
      <c r="AH78" s="635"/>
    </row>
    <row r="79" spans="1:34" ht="19.2" customHeight="1">
      <c r="A79" s="647"/>
      <c r="B79" s="460">
        <v>0</v>
      </c>
      <c r="C79" s="175"/>
      <c r="D79" s="176"/>
      <c r="E79" s="177"/>
      <c r="F79" s="357" t="s">
        <v>133</v>
      </c>
      <c r="G79" s="57"/>
      <c r="H79" s="45">
        <f t="shared" si="50"/>
        <v>0</v>
      </c>
      <c r="I79" s="474"/>
      <c r="J79" s="87"/>
      <c r="K79" s="57"/>
      <c r="L79" s="86"/>
      <c r="M79" s="463"/>
      <c r="N79" s="57"/>
      <c r="O79" s="181"/>
      <c r="P79" s="108"/>
      <c r="Q79" s="182"/>
      <c r="R79" s="109"/>
      <c r="S79" s="635"/>
      <c r="T79" s="50"/>
      <c r="U79" s="50"/>
      <c r="V79" s="460"/>
      <c r="W79" s="457">
        <f t="shared" si="49"/>
        <v>0</v>
      </c>
      <c r="X79" s="180"/>
      <c r="Y79" s="180"/>
      <c r="Z79" s="124"/>
      <c r="AA79" s="124"/>
      <c r="AB79" s="616"/>
      <c r="AC79" s="616"/>
      <c r="AD79" s="474"/>
      <c r="AE79" s="474"/>
      <c r="AF79" s="48">
        <f t="shared" si="51"/>
        <v>0</v>
      </c>
      <c r="AG79" s="464" t="e">
        <f t="shared" si="52"/>
        <v>#DIV/0!</v>
      </c>
      <c r="AH79" s="635"/>
    </row>
    <row r="80" spans="1:34" ht="19.2" customHeight="1">
      <c r="A80" s="647"/>
      <c r="B80" s="460">
        <v>0</v>
      </c>
      <c r="C80" s="470"/>
      <c r="D80" s="42"/>
      <c r="E80" s="43"/>
      <c r="F80" s="357"/>
      <c r="G80" s="57"/>
      <c r="H80" s="45">
        <f t="shared" si="50"/>
        <v>0</v>
      </c>
      <c r="I80" s="474"/>
      <c r="J80" s="87"/>
      <c r="K80" s="57"/>
      <c r="L80" s="86"/>
      <c r="M80" s="463"/>
      <c r="N80" s="57"/>
      <c r="O80" s="183"/>
      <c r="P80" s="54"/>
      <c r="Q80" s="88"/>
      <c r="R80" s="473"/>
      <c r="S80" s="635"/>
      <c r="T80" s="50"/>
      <c r="U80" s="50"/>
      <c r="V80" s="460"/>
      <c r="W80" s="457">
        <f t="shared" si="49"/>
        <v>0</v>
      </c>
      <c r="X80" s="180"/>
      <c r="Y80" s="180"/>
      <c r="Z80" s="124"/>
      <c r="AA80" s="124"/>
      <c r="AB80" s="616"/>
      <c r="AC80" s="616"/>
      <c r="AD80" s="474"/>
      <c r="AE80" s="474"/>
      <c r="AF80" s="48">
        <f t="shared" si="51"/>
        <v>0</v>
      </c>
      <c r="AG80" s="464" t="e">
        <f t="shared" si="52"/>
        <v>#DIV/0!</v>
      </c>
      <c r="AH80" s="635"/>
    </row>
    <row r="81" spans="1:34" ht="19.2" customHeight="1">
      <c r="A81" s="647"/>
      <c r="B81" s="460">
        <v>0</v>
      </c>
      <c r="C81" s="470"/>
      <c r="D81" s="42"/>
      <c r="E81" s="43"/>
      <c r="F81" s="364"/>
      <c r="G81" s="57"/>
      <c r="H81" s="84"/>
      <c r="I81" s="474"/>
      <c r="J81" s="87"/>
      <c r="K81" s="57"/>
      <c r="L81" s="86"/>
      <c r="M81" s="463"/>
      <c r="N81" s="57"/>
      <c r="O81" s="183"/>
      <c r="P81" s="54"/>
      <c r="Q81" s="88"/>
      <c r="R81" s="473"/>
      <c r="S81" s="635"/>
      <c r="T81" s="50"/>
      <c r="U81" s="50"/>
      <c r="V81" s="460"/>
      <c r="W81" s="457">
        <f t="shared" si="49"/>
        <v>0</v>
      </c>
      <c r="X81" s="180"/>
      <c r="Y81" s="180"/>
      <c r="Z81" s="124"/>
      <c r="AA81" s="124"/>
      <c r="AB81" s="616"/>
      <c r="AC81" s="616"/>
      <c r="AD81" s="474"/>
      <c r="AE81" s="474"/>
      <c r="AF81" s="48"/>
      <c r="AG81" s="125"/>
      <c r="AH81" s="635"/>
    </row>
    <row r="82" spans="1:34" ht="19.2" customHeight="1">
      <c r="A82" s="648"/>
      <c r="B82" s="168">
        <v>0</v>
      </c>
      <c r="C82" s="100" t="s">
        <v>393</v>
      </c>
      <c r="D82" s="617" t="s">
        <v>376</v>
      </c>
      <c r="E82" s="617"/>
      <c r="F82" s="367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J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635"/>
      <c r="T82" s="50"/>
      <c r="U82" s="50"/>
      <c r="V82" s="460"/>
      <c r="W82" s="44"/>
      <c r="X82" s="47"/>
      <c r="Y82" s="47"/>
      <c r="Z82" s="106">
        <f>SUM(Z70:Z81)</f>
        <v>0</v>
      </c>
      <c r="AA82" s="106">
        <f>SUM(AA70:AA81)</f>
        <v>0</v>
      </c>
      <c r="AB82" s="616"/>
      <c r="AC82" s="616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64">
        <f>N82/K82</f>
        <v>0.92981028160122969</v>
      </c>
      <c r="AH82" s="635"/>
    </row>
    <row r="83" spans="1:34" ht="19.2" customHeight="1">
      <c r="A83" s="645" t="s">
        <v>395</v>
      </c>
      <c r="B83" s="110" t="s">
        <v>129</v>
      </c>
      <c r="C83" s="66"/>
      <c r="D83" s="373" t="s">
        <v>206</v>
      </c>
      <c r="E83" s="43"/>
      <c r="F83" s="364">
        <v>50.67</v>
      </c>
      <c r="G83" s="57">
        <v>1931.58</v>
      </c>
      <c r="H83" s="84">
        <f t="shared" ref="H83:H94" si="54">F83*G83</f>
        <v>97873.158599999995</v>
      </c>
      <c r="I83" s="474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635">
        <f>R95</f>
        <v>0.87583216628166416</v>
      </c>
      <c r="T83" s="50">
        <v>0.33333333333333331</v>
      </c>
      <c r="U83" s="50">
        <v>0.39097222222222222</v>
      </c>
      <c r="V83" s="460">
        <v>5</v>
      </c>
      <c r="W83" s="457">
        <f t="shared" ref="W83:W93" si="60">(U83-T83)*24*60</f>
        <v>83.000000000000028</v>
      </c>
      <c r="X83" s="53"/>
      <c r="Y83" s="53"/>
      <c r="Z83" s="54"/>
      <c r="AA83" s="54"/>
      <c r="AB83" s="616"/>
      <c r="AC83" s="616"/>
      <c r="AD83" s="474"/>
      <c r="AE83" s="474"/>
      <c r="AF83" s="48">
        <f t="shared" ref="AF83:AF173" si="61">N83-K83</f>
        <v>-103.67710843373538</v>
      </c>
      <c r="AG83" s="464">
        <f t="shared" ref="AG83:AG173" si="62">N83/K83</f>
        <v>0.9308819277108431</v>
      </c>
      <c r="AH83" s="635">
        <f>AG95</f>
        <v>0.88709816706482281</v>
      </c>
    </row>
    <row r="84" spans="1:34" ht="19.2" customHeight="1">
      <c r="A84" s="646"/>
      <c r="B84" s="110" t="s">
        <v>128</v>
      </c>
      <c r="C84" s="470"/>
      <c r="D84" s="186" t="s">
        <v>185</v>
      </c>
      <c r="E84" s="43"/>
      <c r="F84" s="364">
        <v>61.02</v>
      </c>
      <c r="G84" s="44">
        <v>2481</v>
      </c>
      <c r="H84" s="84">
        <f t="shared" si="54"/>
        <v>151390.62</v>
      </c>
      <c r="I84" s="460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635"/>
      <c r="T84" s="50">
        <v>0.40694444444444444</v>
      </c>
      <c r="U84" s="50">
        <v>0.48194444444444445</v>
      </c>
      <c r="V84" s="460">
        <v>23</v>
      </c>
      <c r="W84" s="457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616"/>
      <c r="AC84" s="616"/>
      <c r="AD84" s="474"/>
      <c r="AE84" s="474"/>
      <c r="AF84" s="48">
        <f t="shared" si="61"/>
        <v>-61.66666666666697</v>
      </c>
      <c r="AG84" s="464">
        <f t="shared" si="62"/>
        <v>0.95717592592592571</v>
      </c>
      <c r="AH84" s="635"/>
    </row>
    <row r="85" spans="1:34" ht="19.2" customHeight="1">
      <c r="A85" s="646"/>
      <c r="B85" s="110" t="s">
        <v>132</v>
      </c>
      <c r="C85" s="122"/>
      <c r="D85" s="186" t="s">
        <v>190</v>
      </c>
      <c r="E85" s="43"/>
      <c r="F85" s="364">
        <v>54.09</v>
      </c>
      <c r="G85" s="44">
        <v>1144</v>
      </c>
      <c r="H85" s="84">
        <f t="shared" si="54"/>
        <v>61878.960000000006</v>
      </c>
      <c r="I85" s="460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635"/>
      <c r="T85" s="50">
        <v>0.52222222222222225</v>
      </c>
      <c r="U85" s="50">
        <v>0.56597222222222221</v>
      </c>
      <c r="V85" s="460">
        <v>5</v>
      </c>
      <c r="W85" s="457">
        <f t="shared" si="60"/>
        <v>62.999999999999936</v>
      </c>
      <c r="X85" s="53"/>
      <c r="Y85" s="53"/>
      <c r="Z85" s="54"/>
      <c r="AA85" s="54"/>
      <c r="AB85" s="616"/>
      <c r="AC85" s="616"/>
      <c r="AD85" s="474"/>
      <c r="AE85" s="474"/>
      <c r="AF85" s="48">
        <f t="shared" si="61"/>
        <v>-210.47619047618946</v>
      </c>
      <c r="AG85" s="464">
        <f t="shared" si="62"/>
        <v>0.83809523809523889</v>
      </c>
      <c r="AH85" s="635"/>
    </row>
    <row r="86" spans="1:34" ht="19.2" customHeight="1">
      <c r="A86" s="646"/>
      <c r="B86" s="110" t="s">
        <v>128</v>
      </c>
      <c r="C86" s="97"/>
      <c r="D86" s="186" t="s">
        <v>203</v>
      </c>
      <c r="E86" s="43"/>
      <c r="F86" s="364">
        <v>61.09</v>
      </c>
      <c r="G86" s="44">
        <v>2156</v>
      </c>
      <c r="H86" s="84">
        <f t="shared" si="54"/>
        <v>131710.04</v>
      </c>
      <c r="I86" s="460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635"/>
      <c r="T86" s="50">
        <v>0.5708333333333333</v>
      </c>
      <c r="U86" s="50">
        <v>0.64097222222222217</v>
      </c>
      <c r="V86" s="460">
        <v>7</v>
      </c>
      <c r="W86" s="457">
        <f t="shared" si="60"/>
        <v>100.99999999999996</v>
      </c>
      <c r="X86" s="53"/>
      <c r="Y86" s="53"/>
      <c r="Z86" s="54"/>
      <c r="AA86" s="54"/>
      <c r="AB86" s="616"/>
      <c r="AC86" s="616"/>
      <c r="AD86" s="474"/>
      <c r="AE86" s="474"/>
      <c r="AF86" s="48">
        <f t="shared" si="61"/>
        <v>-159.20792079207877</v>
      </c>
      <c r="AG86" s="464">
        <f t="shared" si="62"/>
        <v>0.88943894389438971</v>
      </c>
      <c r="AH86" s="635"/>
    </row>
    <row r="87" spans="1:34" ht="19.2" customHeight="1">
      <c r="A87" s="646"/>
      <c r="B87" s="110" t="s">
        <v>129</v>
      </c>
      <c r="C87" s="97"/>
      <c r="D87" s="186" t="s">
        <v>62</v>
      </c>
      <c r="E87" s="43"/>
      <c r="F87" s="364">
        <v>38.39</v>
      </c>
      <c r="G87" s="44">
        <v>812.34999999999991</v>
      </c>
      <c r="H87" s="84">
        <f t="shared" si="54"/>
        <v>31186.116499999996</v>
      </c>
      <c r="I87" s="460"/>
      <c r="J87" s="87">
        <v>16</v>
      </c>
      <c r="K87" s="57">
        <v>1636</v>
      </c>
      <c r="L87" s="86">
        <v>102.25</v>
      </c>
      <c r="M87" s="463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635"/>
      <c r="T87" s="50">
        <v>0.65624999999999989</v>
      </c>
      <c r="U87" s="50">
        <v>0.68124999999999991</v>
      </c>
      <c r="V87" s="460">
        <v>22</v>
      </c>
      <c r="W87" s="457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616"/>
      <c r="AC87" s="616"/>
      <c r="AD87" s="474">
        <v>1</v>
      </c>
      <c r="AE87" s="474"/>
      <c r="AF87" s="48">
        <f t="shared" si="61"/>
        <v>-282.08333333333439</v>
      </c>
      <c r="AG87" s="464">
        <f t="shared" si="62"/>
        <v>0.82757742461287631</v>
      </c>
      <c r="AH87" s="635"/>
    </row>
    <row r="88" spans="1:34" ht="19.2" customHeight="1">
      <c r="A88" s="646"/>
      <c r="B88" s="110" t="s">
        <v>129</v>
      </c>
      <c r="C88" s="470"/>
      <c r="D88" s="186" t="s">
        <v>186</v>
      </c>
      <c r="E88" s="43"/>
      <c r="F88" s="364">
        <v>56.43</v>
      </c>
      <c r="G88" s="57">
        <v>739.55</v>
      </c>
      <c r="H88" s="84">
        <f t="shared" si="54"/>
        <v>41732.806499999999</v>
      </c>
      <c r="I88" s="460">
        <v>1</v>
      </c>
      <c r="J88" s="87">
        <v>16</v>
      </c>
      <c r="K88" s="57">
        <v>1500</v>
      </c>
      <c r="L88" s="86">
        <v>93.75</v>
      </c>
      <c r="M88" s="463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635"/>
      <c r="T88" s="50">
        <v>0.68541666666666656</v>
      </c>
      <c r="U88" s="50">
        <v>0.70833333333333326</v>
      </c>
      <c r="V88" s="460">
        <v>6</v>
      </c>
      <c r="W88" s="457">
        <f t="shared" si="60"/>
        <v>33.000000000000043</v>
      </c>
      <c r="X88" s="53"/>
      <c r="Y88" s="53"/>
      <c r="Z88" s="54"/>
      <c r="AA88" s="54"/>
      <c r="AB88" s="616"/>
      <c r="AC88" s="616"/>
      <c r="AD88" s="474"/>
      <c r="AE88" s="474"/>
      <c r="AF88" s="48">
        <f t="shared" si="61"/>
        <v>-155.36363636363808</v>
      </c>
      <c r="AG88" s="464">
        <f t="shared" si="62"/>
        <v>0.89642424242424124</v>
      </c>
      <c r="AH88" s="635"/>
    </row>
    <row r="89" spans="1:34" ht="19.2" customHeight="1">
      <c r="A89" s="646"/>
      <c r="B89" s="110" t="s">
        <v>130</v>
      </c>
      <c r="C89" s="470"/>
      <c r="D89" s="42" t="s">
        <v>61</v>
      </c>
      <c r="E89" s="43"/>
      <c r="F89" s="364">
        <v>43.14</v>
      </c>
      <c r="G89" s="114">
        <v>717.15</v>
      </c>
      <c r="H89" s="84">
        <f t="shared" si="54"/>
        <v>30937.850999999999</v>
      </c>
      <c r="I89" s="460">
        <v>1</v>
      </c>
      <c r="J89" s="87">
        <v>16</v>
      </c>
      <c r="K89" s="57">
        <v>1440</v>
      </c>
      <c r="L89" s="86">
        <v>90</v>
      </c>
      <c r="M89" s="463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635"/>
      <c r="T89" s="50">
        <v>0.71319444444444435</v>
      </c>
      <c r="U89" s="50">
        <v>0.73541666666666661</v>
      </c>
      <c r="V89" s="460">
        <v>7</v>
      </c>
      <c r="W89" s="457">
        <f t="shared" si="60"/>
        <v>32.000000000000043</v>
      </c>
      <c r="X89" s="53"/>
      <c r="Y89" s="53"/>
      <c r="Z89" s="54"/>
      <c r="AA89" s="54"/>
      <c r="AB89" s="616"/>
      <c r="AC89" s="616"/>
      <c r="AD89" s="474"/>
      <c r="AE89" s="474"/>
      <c r="AF89" s="48">
        <f t="shared" si="61"/>
        <v>-95.343750000001819</v>
      </c>
      <c r="AG89" s="464">
        <f t="shared" si="62"/>
        <v>0.93378906249999871</v>
      </c>
      <c r="AH89" s="635"/>
    </row>
    <row r="90" spans="1:34" ht="19.2" customHeight="1">
      <c r="A90" s="646"/>
      <c r="B90" s="110" t="s">
        <v>129</v>
      </c>
      <c r="C90" s="470"/>
      <c r="D90" s="42" t="s">
        <v>210</v>
      </c>
      <c r="E90" s="43"/>
      <c r="F90" s="364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63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635"/>
      <c r="T90" s="50">
        <v>0.7402777777777777</v>
      </c>
      <c r="U90" s="50">
        <v>0.76874999999999993</v>
      </c>
      <c r="V90" s="460">
        <v>7</v>
      </c>
      <c r="W90" s="457">
        <f t="shared" si="60"/>
        <v>41.000000000000014</v>
      </c>
      <c r="X90" s="188"/>
      <c r="Y90" s="188"/>
      <c r="Z90" s="54"/>
      <c r="AA90" s="54"/>
      <c r="AB90" s="616"/>
      <c r="AC90" s="616"/>
      <c r="AD90" s="474">
        <v>1</v>
      </c>
      <c r="AE90" s="474"/>
      <c r="AF90" s="48">
        <f t="shared" si="61"/>
        <v>-230.02439024390287</v>
      </c>
      <c r="AG90" s="464">
        <f t="shared" si="62"/>
        <v>0.85939829447194205</v>
      </c>
      <c r="AH90" s="635"/>
    </row>
    <row r="91" spans="1:34" ht="19.2" customHeight="1">
      <c r="A91" s="646"/>
      <c r="B91" s="110" t="s">
        <v>127</v>
      </c>
      <c r="C91" s="470"/>
      <c r="D91" s="42" t="s">
        <v>52</v>
      </c>
      <c r="E91" s="43"/>
      <c r="F91" s="364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63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638"/>
      <c r="T91" s="50">
        <v>0.77430555555555547</v>
      </c>
      <c r="U91" s="50">
        <v>0.82986111111111116</v>
      </c>
      <c r="V91" s="460">
        <v>8</v>
      </c>
      <c r="W91" s="457">
        <f t="shared" si="60"/>
        <v>80.000000000000199</v>
      </c>
      <c r="X91" s="115"/>
      <c r="Y91" s="115"/>
      <c r="Z91" s="54"/>
      <c r="AA91" s="54"/>
      <c r="AB91" s="616"/>
      <c r="AC91" s="616"/>
      <c r="AD91" s="474"/>
      <c r="AE91" s="474"/>
      <c r="AF91" s="48">
        <f t="shared" si="61"/>
        <v>-315.75000000000546</v>
      </c>
      <c r="AG91" s="464">
        <f t="shared" si="62"/>
        <v>0.86843749999999775</v>
      </c>
      <c r="AH91" s="638"/>
    </row>
    <row r="92" spans="1:34" ht="19.2" customHeight="1">
      <c r="A92" s="646"/>
      <c r="B92" s="110">
        <v>0</v>
      </c>
      <c r="C92" s="470"/>
      <c r="D92" s="42"/>
      <c r="E92" s="43"/>
      <c r="F92" s="364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72"/>
      <c r="S92" s="638"/>
      <c r="T92" s="50"/>
      <c r="U92" s="50"/>
      <c r="V92" s="460"/>
      <c r="W92" s="457">
        <f t="shared" si="60"/>
        <v>0</v>
      </c>
      <c r="X92" s="180"/>
      <c r="Y92" s="180"/>
      <c r="Z92" s="124"/>
      <c r="AA92" s="124"/>
      <c r="AB92" s="616"/>
      <c r="AC92" s="616"/>
      <c r="AD92" s="474"/>
      <c r="AE92" s="474"/>
      <c r="AF92" s="48">
        <f t="shared" si="61"/>
        <v>0</v>
      </c>
      <c r="AG92" s="464" t="e">
        <f t="shared" si="62"/>
        <v>#DIV/0!</v>
      </c>
      <c r="AH92" s="638"/>
    </row>
    <row r="93" spans="1:34" ht="19.2" customHeight="1">
      <c r="A93" s="646"/>
      <c r="B93" s="461">
        <v>0</v>
      </c>
      <c r="C93" s="195"/>
      <c r="D93" s="59"/>
      <c r="E93" s="60"/>
      <c r="F93" s="364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67"/>
      <c r="S93" s="644"/>
      <c r="T93" s="63"/>
      <c r="U93" s="63"/>
      <c r="V93" s="461"/>
      <c r="W93" s="457">
        <f t="shared" si="60"/>
        <v>0</v>
      </c>
      <c r="X93" s="197"/>
      <c r="Y93" s="197"/>
      <c r="Z93" s="124"/>
      <c r="AA93" s="124"/>
      <c r="AB93" s="616"/>
      <c r="AC93" s="616"/>
      <c r="AD93" s="474"/>
      <c r="AE93" s="474"/>
      <c r="AF93" s="48">
        <f t="shared" si="61"/>
        <v>0</v>
      </c>
      <c r="AG93" s="464" t="e">
        <f t="shared" si="62"/>
        <v>#DIV/0!</v>
      </c>
      <c r="AH93" s="638"/>
    </row>
    <row r="94" spans="1:34" ht="19.2" customHeight="1">
      <c r="A94" s="646"/>
      <c r="B94" s="461">
        <v>0</v>
      </c>
      <c r="C94" s="195"/>
      <c r="D94" s="42"/>
      <c r="E94" s="43"/>
      <c r="F94" s="364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7"/>
      <c r="S94" s="644"/>
      <c r="T94" s="63"/>
      <c r="U94" s="63"/>
      <c r="V94" s="461"/>
      <c r="W94" s="457">
        <f>(U94-T94)*24*60</f>
        <v>0</v>
      </c>
      <c r="X94" s="197"/>
      <c r="Y94" s="197"/>
      <c r="Z94" s="124"/>
      <c r="AA94" s="124"/>
      <c r="AB94" s="616"/>
      <c r="AC94" s="616"/>
      <c r="AD94" s="474"/>
      <c r="AE94" s="474"/>
      <c r="AF94" s="48">
        <f t="shared" si="61"/>
        <v>0</v>
      </c>
      <c r="AG94" s="464" t="e">
        <f t="shared" si="62"/>
        <v>#DIV/0!</v>
      </c>
      <c r="AH94" s="638"/>
    </row>
    <row r="95" spans="1:34" ht="19.2" customHeight="1">
      <c r="A95" s="646"/>
      <c r="B95" s="200">
        <v>0</v>
      </c>
      <c r="C95" s="100" t="s">
        <v>397</v>
      </c>
      <c r="D95" s="617" t="s">
        <v>376</v>
      </c>
      <c r="E95" s="617"/>
      <c r="F95" s="358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J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63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16"/>
      <c r="AC95" s="616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65">
        <f t="shared" si="62"/>
        <v>0.88709816706482281</v>
      </c>
      <c r="AH95" s="638"/>
    </row>
    <row r="96" spans="1:34" ht="19.2" customHeight="1">
      <c r="A96" s="643" t="s">
        <v>399</v>
      </c>
      <c r="B96" s="460" t="s">
        <v>130</v>
      </c>
      <c r="C96" s="97"/>
      <c r="D96" s="42" t="s">
        <v>211</v>
      </c>
      <c r="E96" s="43"/>
      <c r="F96" s="357">
        <v>29.46</v>
      </c>
      <c r="G96" s="44">
        <v>2047</v>
      </c>
      <c r="H96" s="45">
        <f t="shared" ref="H96:H105" si="65">F96*G96</f>
        <v>60304.62</v>
      </c>
      <c r="I96" s="460"/>
      <c r="J96" s="46">
        <v>16</v>
      </c>
      <c r="K96" s="44">
        <v>1440</v>
      </c>
      <c r="L96" s="47">
        <v>90</v>
      </c>
      <c r="M96" s="458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64">
        <f t="shared" ref="R96:R105" si="69">O96/L96</f>
        <v>0.78973765432098764</v>
      </c>
      <c r="S96" s="635">
        <f>R108</f>
        <v>0.84863163833858657</v>
      </c>
      <c r="T96" s="89">
        <v>0.33333333333333331</v>
      </c>
      <c r="U96" s="89">
        <v>0.40833333333333333</v>
      </c>
      <c r="V96" s="474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616"/>
      <c r="AC96" s="616"/>
      <c r="AD96" s="474">
        <v>1</v>
      </c>
      <c r="AE96" s="474">
        <v>2</v>
      </c>
      <c r="AF96" s="54">
        <f t="shared" si="61"/>
        <v>-302.77777777777783</v>
      </c>
      <c r="AG96" s="467">
        <f t="shared" si="62"/>
        <v>0.78973765432098764</v>
      </c>
      <c r="AH96" s="620">
        <f>AG108</f>
        <v>0.83429151189334128</v>
      </c>
    </row>
    <row r="97" spans="1:34" s="215" customFormat="1" ht="19.2" customHeight="1">
      <c r="A97" s="643"/>
      <c r="B97" s="460" t="s">
        <v>130</v>
      </c>
      <c r="C97" s="207"/>
      <c r="D97" s="208" t="s">
        <v>65</v>
      </c>
      <c r="E97" s="56"/>
      <c r="F97" s="368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64">
        <f t="shared" si="69"/>
        <v>0.9574603174603179</v>
      </c>
      <c r="S97" s="635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616"/>
      <c r="AC97" s="616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620"/>
    </row>
    <row r="98" spans="1:34" s="218" customFormat="1" ht="19.2" customHeight="1">
      <c r="A98" s="643"/>
      <c r="B98" s="460" t="s">
        <v>128</v>
      </c>
      <c r="C98" s="55"/>
      <c r="D98" s="42" t="s">
        <v>177</v>
      </c>
      <c r="E98" s="83"/>
      <c r="F98" s="368">
        <v>77.349999999999994</v>
      </c>
      <c r="G98" s="57">
        <v>466</v>
      </c>
      <c r="H98" s="210">
        <f t="shared" si="65"/>
        <v>36045.1</v>
      </c>
      <c r="I98" s="474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64">
        <f t="shared" si="69"/>
        <v>0.81981481481481266</v>
      </c>
      <c r="S98" s="635"/>
      <c r="T98" s="89">
        <v>0.54791666666666661</v>
      </c>
      <c r="U98" s="89">
        <v>0.56527777777777777</v>
      </c>
      <c r="V98" s="474">
        <v>5</v>
      </c>
      <c r="W98" s="90">
        <f t="shared" si="70"/>
        <v>25.000000000000071</v>
      </c>
      <c r="X98" s="216"/>
      <c r="Y98" s="216"/>
      <c r="Z98" s="217"/>
      <c r="AA98" s="217"/>
      <c r="AB98" s="616"/>
      <c r="AC98" s="616"/>
      <c r="AD98" s="474"/>
      <c r="AE98" s="474"/>
      <c r="AF98" s="54">
        <f t="shared" si="61"/>
        <v>-321.60000000000309</v>
      </c>
      <c r="AG98" s="467">
        <f t="shared" si="62"/>
        <v>0.77666666666666451</v>
      </c>
      <c r="AH98" s="620"/>
    </row>
    <row r="99" spans="1:34" ht="19.2" customHeight="1">
      <c r="A99" s="643"/>
      <c r="B99" s="460" t="s">
        <v>128</v>
      </c>
      <c r="C99" s="81"/>
      <c r="D99" s="82" t="s">
        <v>58</v>
      </c>
      <c r="E99" s="83"/>
      <c r="F99" s="368">
        <v>77.34</v>
      </c>
      <c r="G99" s="57">
        <v>1006</v>
      </c>
      <c r="H99" s="210">
        <f t="shared" si="65"/>
        <v>77804.040000000008</v>
      </c>
      <c r="I99" s="474"/>
      <c r="J99" s="46">
        <v>18</v>
      </c>
      <c r="K99" s="44">
        <v>1440</v>
      </c>
      <c r="L99" s="47">
        <v>80</v>
      </c>
      <c r="M99" s="458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64">
        <f t="shared" si="69"/>
        <v>0.87326388888888928</v>
      </c>
      <c r="S99" s="635"/>
      <c r="T99" s="89">
        <v>0.56944444444444442</v>
      </c>
      <c r="U99" s="89">
        <v>0.60277777777777775</v>
      </c>
      <c r="V99" s="474">
        <v>6</v>
      </c>
      <c r="W99" s="90">
        <f t="shared" si="70"/>
        <v>47.999999999999986</v>
      </c>
      <c r="X99" s="180"/>
      <c r="Y99" s="180"/>
      <c r="Z99" s="124"/>
      <c r="AA99" s="124"/>
      <c r="AB99" s="616"/>
      <c r="AC99" s="616"/>
      <c r="AD99" s="474"/>
      <c r="AE99" s="474"/>
      <c r="AF99" s="213">
        <f t="shared" si="61"/>
        <v>-182.49999999999955</v>
      </c>
      <c r="AG99" s="214">
        <f t="shared" si="62"/>
        <v>0.87326388888888917</v>
      </c>
      <c r="AH99" s="620"/>
    </row>
    <row r="100" spans="1:34" s="218" customFormat="1" ht="19.2" customHeight="1">
      <c r="A100" s="643"/>
      <c r="B100" s="460" t="s">
        <v>128</v>
      </c>
      <c r="C100" s="55"/>
      <c r="D100" s="42" t="s">
        <v>57</v>
      </c>
      <c r="E100" s="83"/>
      <c r="F100" s="368">
        <v>71.55</v>
      </c>
      <c r="G100" s="57">
        <v>848</v>
      </c>
      <c r="H100" s="210">
        <f t="shared" si="65"/>
        <v>60674.399999999994</v>
      </c>
      <c r="I100" s="474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64">
        <f t="shared" si="69"/>
        <v>0.89601127058201968</v>
      </c>
      <c r="S100" s="635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616"/>
      <c r="AC100" s="616"/>
      <c r="AD100" s="474">
        <v>1</v>
      </c>
      <c r="AE100" s="474"/>
      <c r="AF100" s="54">
        <f t="shared" si="61"/>
        <v>-144.02439024390287</v>
      </c>
      <c r="AG100" s="467">
        <f t="shared" si="62"/>
        <v>0.89601127058201957</v>
      </c>
      <c r="AH100" s="620"/>
    </row>
    <row r="101" spans="1:34" s="218" customFormat="1" ht="19.2" customHeight="1">
      <c r="A101" s="643"/>
      <c r="B101" s="460" t="s">
        <v>128</v>
      </c>
      <c r="C101" s="55"/>
      <c r="D101" s="82" t="s">
        <v>56</v>
      </c>
      <c r="E101" s="83"/>
      <c r="F101" s="368">
        <v>59.34</v>
      </c>
      <c r="G101" s="57">
        <v>740</v>
      </c>
      <c r="H101" s="210">
        <f t="shared" si="65"/>
        <v>43911.600000000006</v>
      </c>
      <c r="I101" s="474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64">
        <f t="shared" si="69"/>
        <v>0.88095238095238004</v>
      </c>
      <c r="S101" s="635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616"/>
      <c r="AC101" s="616"/>
      <c r="AD101" s="474"/>
      <c r="AE101" s="474"/>
      <c r="AF101" s="213">
        <f t="shared" si="61"/>
        <v>-171.4285714285727</v>
      </c>
      <c r="AG101" s="214">
        <f t="shared" si="62"/>
        <v>0.88095238095238004</v>
      </c>
      <c r="AH101" s="620"/>
    </row>
    <row r="102" spans="1:34" s="218" customFormat="1" ht="19.2" customHeight="1">
      <c r="A102" s="643"/>
      <c r="B102" s="460" t="s">
        <v>132</v>
      </c>
      <c r="C102" s="175"/>
      <c r="D102" s="176" t="s">
        <v>80</v>
      </c>
      <c r="E102" s="177"/>
      <c r="F102" s="368">
        <v>51.75</v>
      </c>
      <c r="G102" s="57">
        <v>919</v>
      </c>
      <c r="H102" s="210">
        <f t="shared" si="65"/>
        <v>47558.25</v>
      </c>
      <c r="I102" s="460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64">
        <f t="shared" si="69"/>
        <v>0.83545454545454556</v>
      </c>
      <c r="S102" s="635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616"/>
      <c r="AC102" s="616"/>
      <c r="AD102" s="474"/>
      <c r="AE102" s="474"/>
      <c r="AF102" s="54">
        <f t="shared" si="61"/>
        <v>-246.81818181818176</v>
      </c>
      <c r="AG102" s="467">
        <f t="shared" si="62"/>
        <v>0.83545454545454545</v>
      </c>
      <c r="AH102" s="620"/>
    </row>
    <row r="103" spans="1:34" s="218" customFormat="1" ht="19.2" customHeight="1">
      <c r="A103" s="643"/>
      <c r="B103" s="460" t="s">
        <v>128</v>
      </c>
      <c r="C103" s="221"/>
      <c r="D103" s="82" t="s">
        <v>71</v>
      </c>
      <c r="E103" s="83"/>
      <c r="F103" s="368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64">
        <f t="shared" si="69"/>
        <v>0.8644444444444439</v>
      </c>
      <c r="S103" s="635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616"/>
      <c r="AC103" s="616"/>
      <c r="AD103" s="474"/>
      <c r="AE103" s="474"/>
      <c r="AF103" s="54">
        <f t="shared" si="61"/>
        <v>-195.20000000000095</v>
      </c>
      <c r="AG103" s="467">
        <f t="shared" si="62"/>
        <v>0.86444444444444379</v>
      </c>
      <c r="AH103" s="620"/>
    </row>
    <row r="104" spans="1:34" s="218" customFormat="1" ht="19.2" customHeight="1">
      <c r="A104" s="643"/>
      <c r="B104" s="460" t="s">
        <v>130</v>
      </c>
      <c r="C104" s="223"/>
      <c r="D104" s="82" t="s">
        <v>201</v>
      </c>
      <c r="E104" s="83"/>
      <c r="F104" s="368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64">
        <f t="shared" si="69"/>
        <v>0.75108510638297876</v>
      </c>
      <c r="S104" s="638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616"/>
      <c r="AC104" s="616"/>
      <c r="AD104" s="474"/>
      <c r="AE104" s="474"/>
      <c r="AF104" s="213">
        <f t="shared" si="61"/>
        <v>-497.82978723404267</v>
      </c>
      <c r="AG104" s="214">
        <f t="shared" si="62"/>
        <v>0.75108510638297865</v>
      </c>
      <c r="AH104" s="620"/>
    </row>
    <row r="105" spans="1:34" s="218" customFormat="1" ht="19.2" customHeight="1">
      <c r="A105" s="643"/>
      <c r="B105" s="460" t="s">
        <v>130</v>
      </c>
      <c r="C105" s="223"/>
      <c r="D105" s="82" t="s">
        <v>65</v>
      </c>
      <c r="E105" s="83"/>
      <c r="F105" s="368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64">
        <f t="shared" si="69"/>
        <v>0.94066276803118987</v>
      </c>
      <c r="S105" s="638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616"/>
      <c r="AC105" s="616"/>
      <c r="AD105" s="474"/>
      <c r="AE105" s="474"/>
      <c r="AF105" s="54">
        <f t="shared" si="61"/>
        <v>-230.10526315789366</v>
      </c>
      <c r="AG105" s="467">
        <f t="shared" si="62"/>
        <v>0.8465964912280709</v>
      </c>
      <c r="AH105" s="620"/>
    </row>
    <row r="106" spans="1:34" s="218" customFormat="1" ht="19.2" customHeight="1">
      <c r="A106" s="643"/>
      <c r="B106" s="221">
        <v>0</v>
      </c>
      <c r="C106" s="223"/>
      <c r="D106" s="82"/>
      <c r="E106" s="83"/>
      <c r="F106" s="357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67"/>
      <c r="S106" s="644"/>
      <c r="T106" s="211"/>
      <c r="U106" s="211"/>
      <c r="V106" s="212"/>
      <c r="W106" s="90"/>
      <c r="X106" s="220"/>
      <c r="Y106" s="220"/>
      <c r="Z106" s="217"/>
      <c r="AA106" s="217"/>
      <c r="AB106" s="616"/>
      <c r="AC106" s="616"/>
      <c r="AD106" s="474"/>
      <c r="AE106" s="474"/>
      <c r="AF106" s="54">
        <f t="shared" si="61"/>
        <v>0</v>
      </c>
      <c r="AG106" s="467" t="e">
        <f t="shared" si="62"/>
        <v>#DIV/0!</v>
      </c>
      <c r="AH106" s="620"/>
    </row>
    <row r="107" spans="1:34" s="218" customFormat="1" ht="19.2" customHeight="1">
      <c r="A107" s="643"/>
      <c r="B107" s="221">
        <v>0</v>
      </c>
      <c r="C107" s="223"/>
      <c r="D107" s="82"/>
      <c r="E107" s="83"/>
      <c r="F107" s="357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7"/>
      <c r="S107" s="64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16"/>
      <c r="AC107" s="616"/>
      <c r="AD107" s="474"/>
      <c r="AE107" s="474"/>
      <c r="AF107" s="217"/>
      <c r="AG107" s="467"/>
      <c r="AH107" s="620"/>
    </row>
    <row r="108" spans="1:34" ht="19.2" customHeight="1">
      <c r="A108" s="643"/>
      <c r="B108" s="110">
        <v>0</v>
      </c>
      <c r="C108" s="100" t="s">
        <v>401</v>
      </c>
      <c r="D108" s="617" t="s">
        <v>376</v>
      </c>
      <c r="E108" s="617"/>
      <c r="F108" s="369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J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63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16"/>
      <c r="AC108" s="616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67">
        <f t="shared" si="62"/>
        <v>0.83429151189334128</v>
      </c>
      <c r="AH108" s="620"/>
    </row>
    <row r="109" spans="1:34" ht="19.2" customHeight="1">
      <c r="A109" s="639" t="s">
        <v>403</v>
      </c>
      <c r="B109" s="460" t="s">
        <v>132</v>
      </c>
      <c r="C109" s="470"/>
      <c r="D109" s="405" t="s">
        <v>79</v>
      </c>
      <c r="E109" s="43"/>
      <c r="F109" s="357">
        <v>56.43</v>
      </c>
      <c r="G109" s="44">
        <v>961</v>
      </c>
      <c r="H109" s="45">
        <f t="shared" ref="H109:H119" si="75">F109*G109</f>
        <v>54229.23</v>
      </c>
      <c r="I109" s="460"/>
      <c r="J109" s="46">
        <v>18</v>
      </c>
      <c r="K109" s="44">
        <v>1500</v>
      </c>
      <c r="L109" s="47">
        <v>83.333333333333329</v>
      </c>
      <c r="M109" s="458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64">
        <f t="shared" si="74"/>
        <v>0.87363636363636377</v>
      </c>
      <c r="S109" s="642">
        <f>R121</f>
        <v>0.89678192542255886</v>
      </c>
      <c r="T109" s="226">
        <v>0.5</v>
      </c>
      <c r="U109" s="226">
        <v>0.53055555555555556</v>
      </c>
      <c r="V109" s="227">
        <v>5</v>
      </c>
      <c r="W109" s="457">
        <f t="shared" si="70"/>
        <v>44</v>
      </c>
      <c r="X109" s="53"/>
      <c r="Y109" s="53"/>
      <c r="Z109" s="54"/>
      <c r="AA109" s="54"/>
      <c r="AB109" s="616"/>
      <c r="AC109" s="616"/>
      <c r="AD109" s="474"/>
      <c r="AE109" s="474"/>
      <c r="AF109" s="48">
        <f t="shared" si="61"/>
        <v>-189.5454545454545</v>
      </c>
      <c r="AG109" s="125">
        <f t="shared" si="62"/>
        <v>0.87363636363636366</v>
      </c>
      <c r="AH109" s="620">
        <f>AG121</f>
        <v>0.89208354212189567</v>
      </c>
    </row>
    <row r="110" spans="1:34" ht="19.2" customHeight="1">
      <c r="A110" s="640"/>
      <c r="B110" s="460" t="s">
        <v>128</v>
      </c>
      <c r="C110" s="175"/>
      <c r="D110" s="42" t="s">
        <v>59</v>
      </c>
      <c r="E110" s="177"/>
      <c r="F110" s="357">
        <v>59.54</v>
      </c>
      <c r="G110" s="174">
        <v>1490</v>
      </c>
      <c r="H110" s="45">
        <f t="shared" si="75"/>
        <v>88714.6</v>
      </c>
      <c r="I110" s="460"/>
      <c r="J110" s="46">
        <v>18</v>
      </c>
      <c r="K110" s="44">
        <v>1385</v>
      </c>
      <c r="L110" s="47">
        <v>76.944444444444443</v>
      </c>
      <c r="M110" s="458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64">
        <f t="shared" si="74"/>
        <v>0.92212480660134</v>
      </c>
      <c r="S110" s="631"/>
      <c r="T110" s="226">
        <v>0.53541666666666665</v>
      </c>
      <c r="U110" s="226">
        <v>0.58402777777777781</v>
      </c>
      <c r="V110" s="227">
        <v>7</v>
      </c>
      <c r="W110" s="457">
        <f t="shared" si="70"/>
        <v>70.000000000000071</v>
      </c>
      <c r="X110" s="188"/>
      <c r="Y110" s="188"/>
      <c r="Z110" s="54"/>
      <c r="AA110" s="54"/>
      <c r="AB110" s="616"/>
      <c r="AC110" s="616"/>
      <c r="AD110" s="474"/>
      <c r="AE110" s="474"/>
      <c r="AF110" s="48">
        <f t="shared" si="61"/>
        <v>-107.85714285714425</v>
      </c>
      <c r="AG110" s="125">
        <f t="shared" si="62"/>
        <v>0.92212480660133989</v>
      </c>
      <c r="AH110" s="620"/>
    </row>
    <row r="111" spans="1:34" ht="19.2" customHeight="1">
      <c r="A111" s="640"/>
      <c r="B111" s="460" t="s">
        <v>132</v>
      </c>
      <c r="C111" s="175"/>
      <c r="D111" s="176" t="s">
        <v>175</v>
      </c>
      <c r="E111" s="177"/>
      <c r="F111" s="357">
        <v>50.67</v>
      </c>
      <c r="G111" s="57">
        <v>1619</v>
      </c>
      <c r="H111" s="45">
        <f t="shared" si="75"/>
        <v>82034.73</v>
      </c>
      <c r="I111" s="474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64">
        <f t="shared" si="74"/>
        <v>0.92514285714285627</v>
      </c>
      <c r="S111" s="631"/>
      <c r="T111" s="226">
        <v>0.60000000000000009</v>
      </c>
      <c r="U111" s="226">
        <v>0.64861111111111125</v>
      </c>
      <c r="V111" s="227">
        <v>23</v>
      </c>
      <c r="W111" s="457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616"/>
      <c r="AC111" s="616"/>
      <c r="AD111" s="474">
        <v>1</v>
      </c>
      <c r="AE111" s="474"/>
      <c r="AF111" s="48">
        <f t="shared" si="61"/>
        <v>-112.28571428571558</v>
      </c>
      <c r="AG111" s="125">
        <f t="shared" si="62"/>
        <v>0.92514285714285627</v>
      </c>
      <c r="AH111" s="620"/>
    </row>
    <row r="112" spans="1:34" ht="19.2" customHeight="1">
      <c r="A112" s="640"/>
      <c r="B112" s="460" t="s">
        <v>130</v>
      </c>
      <c r="C112" s="175"/>
      <c r="D112" s="176" t="s">
        <v>387</v>
      </c>
      <c r="E112" s="83"/>
      <c r="F112" s="357">
        <v>28.47</v>
      </c>
      <c r="G112" s="57">
        <v>2369.75</v>
      </c>
      <c r="H112" s="45">
        <f t="shared" si="75"/>
        <v>67466.782500000001</v>
      </c>
      <c r="I112" s="474"/>
      <c r="J112" s="46">
        <v>12</v>
      </c>
      <c r="K112" s="44">
        <v>1500</v>
      </c>
      <c r="L112" s="47">
        <v>125</v>
      </c>
      <c r="M112" s="458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64">
        <f t="shared" si="74"/>
        <v>0.96724489795918411</v>
      </c>
      <c r="S112" s="631"/>
      <c r="T112" s="226">
        <v>0.65347222222222234</v>
      </c>
      <c r="U112" s="226">
        <v>0.72152777777777788</v>
      </c>
      <c r="V112" s="227">
        <v>7</v>
      </c>
      <c r="W112" s="457">
        <f t="shared" si="70"/>
        <v>97.999999999999972</v>
      </c>
      <c r="X112" s="216"/>
      <c r="Y112" s="216"/>
      <c r="Z112" s="54"/>
      <c r="AA112" s="54"/>
      <c r="AB112" s="616"/>
      <c r="AC112" s="616"/>
      <c r="AD112" s="474"/>
      <c r="AE112" s="474"/>
      <c r="AF112" s="48">
        <f t="shared" si="61"/>
        <v>-49.132653061223891</v>
      </c>
      <c r="AG112" s="125">
        <f t="shared" si="62"/>
        <v>0.96724489795918411</v>
      </c>
      <c r="AH112" s="620"/>
    </row>
    <row r="113" spans="1:34" s="218" customFormat="1" ht="19.2" customHeight="1">
      <c r="A113" s="640"/>
      <c r="B113" s="460" t="s">
        <v>131</v>
      </c>
      <c r="C113" s="175"/>
      <c r="D113" s="176" t="s">
        <v>191</v>
      </c>
      <c r="E113" s="83"/>
      <c r="F113" s="357">
        <v>28.57</v>
      </c>
      <c r="G113" s="57">
        <v>1675</v>
      </c>
      <c r="H113" s="45">
        <f t="shared" si="75"/>
        <v>47854.75</v>
      </c>
      <c r="I113" s="474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64">
        <f t="shared" si="74"/>
        <v>0.97101449275362206</v>
      </c>
      <c r="S113" s="631"/>
      <c r="T113" s="226">
        <v>0.76180555555555562</v>
      </c>
      <c r="U113" s="226">
        <v>0.80972222222222234</v>
      </c>
      <c r="V113" s="227">
        <v>5</v>
      </c>
      <c r="W113" s="457">
        <f t="shared" si="70"/>
        <v>69.000000000000071</v>
      </c>
      <c r="X113" s="216"/>
      <c r="Y113" s="216"/>
      <c r="Z113" s="217"/>
      <c r="AA113" s="217"/>
      <c r="AB113" s="616"/>
      <c r="AC113" s="616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620"/>
    </row>
    <row r="114" spans="1:34" s="218" customFormat="1" ht="19.2" customHeight="1">
      <c r="A114" s="640"/>
      <c r="B114" s="460" t="s">
        <v>131</v>
      </c>
      <c r="C114" s="175"/>
      <c r="D114" s="176" t="s">
        <v>176</v>
      </c>
      <c r="E114" s="43"/>
      <c r="F114" s="357">
        <v>20.420000000000002</v>
      </c>
      <c r="G114" s="44">
        <v>522</v>
      </c>
      <c r="H114" s="45">
        <f t="shared" si="75"/>
        <v>10659.240000000002</v>
      </c>
      <c r="I114" s="474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64">
        <f t="shared" si="74"/>
        <v>0.80307692307692091</v>
      </c>
      <c r="S114" s="631"/>
      <c r="T114" s="226">
        <v>0.81319444444444455</v>
      </c>
      <c r="U114" s="226">
        <v>0.83125000000000016</v>
      </c>
      <c r="V114" s="227">
        <v>5</v>
      </c>
      <c r="W114" s="457">
        <f t="shared" si="70"/>
        <v>26.000000000000068</v>
      </c>
      <c r="X114" s="216"/>
      <c r="Y114" s="216"/>
      <c r="Z114" s="217"/>
      <c r="AA114" s="217"/>
      <c r="AB114" s="616"/>
      <c r="AC114" s="616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620"/>
    </row>
    <row r="115" spans="1:34" s="218" customFormat="1" ht="19.2" customHeight="1">
      <c r="A115" s="640"/>
      <c r="B115" s="460" t="s">
        <v>132</v>
      </c>
      <c r="C115" s="175"/>
      <c r="D115" s="82" t="s">
        <v>142</v>
      </c>
      <c r="E115" s="83"/>
      <c r="F115" s="357">
        <v>44.98</v>
      </c>
      <c r="G115" s="229">
        <v>1169</v>
      </c>
      <c r="H115" s="45">
        <f t="shared" si="75"/>
        <v>52581.619999999995</v>
      </c>
      <c r="I115" s="474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64">
        <f t="shared" si="74"/>
        <v>0.83500000000000074</v>
      </c>
      <c r="S115" s="631"/>
      <c r="T115" s="226">
        <v>0.83472222222222237</v>
      </c>
      <c r="U115" s="226">
        <v>0.87361111111111123</v>
      </c>
      <c r="V115" s="227">
        <v>5</v>
      </c>
      <c r="W115" s="457">
        <f t="shared" si="70"/>
        <v>55.999999999999957</v>
      </c>
      <c r="X115" s="216"/>
      <c r="Y115" s="216"/>
      <c r="Z115" s="217"/>
      <c r="AA115" s="217"/>
      <c r="AB115" s="616"/>
      <c r="AC115" s="616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620"/>
    </row>
    <row r="116" spans="1:34" s="218" customFormat="1" ht="19.2" customHeight="1">
      <c r="A116" s="640"/>
      <c r="B116" s="460" t="s">
        <v>132</v>
      </c>
      <c r="C116" s="55"/>
      <c r="D116" s="82" t="s">
        <v>75</v>
      </c>
      <c r="E116" s="83"/>
      <c r="F116" s="357">
        <v>53.68</v>
      </c>
      <c r="G116" s="229">
        <v>947</v>
      </c>
      <c r="H116" s="45">
        <f t="shared" si="75"/>
        <v>50834.96</v>
      </c>
      <c r="I116" s="474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64">
        <f t="shared" si="74"/>
        <v>0.80595744680851067</v>
      </c>
      <c r="S116" s="631"/>
      <c r="T116" s="226">
        <v>0.88958333333333339</v>
      </c>
      <c r="U116" s="226">
        <v>0.92222222222222228</v>
      </c>
      <c r="V116" s="227">
        <v>23</v>
      </c>
      <c r="W116" s="457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616"/>
      <c r="AC116" s="616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620"/>
    </row>
    <row r="117" spans="1:34" s="218" customFormat="1" ht="19.2" customHeight="1">
      <c r="A117" s="640"/>
      <c r="B117" s="460" t="s">
        <v>132</v>
      </c>
      <c r="C117" s="55"/>
      <c r="D117" s="82" t="s">
        <v>81</v>
      </c>
      <c r="E117" s="83"/>
      <c r="F117" s="357">
        <v>55.56</v>
      </c>
      <c r="G117" s="229">
        <v>1026</v>
      </c>
      <c r="H117" s="45">
        <f t="shared" si="75"/>
        <v>57004.560000000005</v>
      </c>
      <c r="I117" s="474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64">
        <f t="shared" si="74"/>
        <v>0.92934782608695654</v>
      </c>
      <c r="S117" s="631"/>
      <c r="T117" s="226">
        <v>0.92708333333333337</v>
      </c>
      <c r="U117" s="226">
        <v>0.95902777777777781</v>
      </c>
      <c r="V117" s="227">
        <v>7</v>
      </c>
      <c r="W117" s="457">
        <f t="shared" si="70"/>
        <v>46</v>
      </c>
      <c r="X117" s="216"/>
      <c r="Y117" s="216"/>
      <c r="Z117" s="217"/>
      <c r="AA117" s="217"/>
      <c r="AB117" s="616"/>
      <c r="AC117" s="616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620"/>
    </row>
    <row r="118" spans="1:34" s="218" customFormat="1" ht="19.2" customHeight="1">
      <c r="A118" s="640"/>
      <c r="B118" s="460">
        <v>0</v>
      </c>
      <c r="C118" s="163"/>
      <c r="D118" s="176"/>
      <c r="E118" s="43"/>
      <c r="F118" s="357" t="s">
        <v>133</v>
      </c>
      <c r="G118" s="44"/>
      <c r="H118" s="45">
        <f t="shared" si="75"/>
        <v>0</v>
      </c>
      <c r="I118" s="474"/>
      <c r="J118" s="46"/>
      <c r="K118" s="44"/>
      <c r="L118" s="47"/>
      <c r="M118" s="463"/>
      <c r="N118" s="44"/>
      <c r="O118" s="47"/>
      <c r="P118" s="48"/>
      <c r="Q118" s="49"/>
      <c r="R118" s="464"/>
      <c r="S118" s="631"/>
      <c r="T118" s="226"/>
      <c r="U118" s="226"/>
      <c r="V118" s="227"/>
      <c r="W118" s="457">
        <f t="shared" si="70"/>
        <v>0</v>
      </c>
      <c r="X118" s="216"/>
      <c r="Y118" s="216"/>
      <c r="Z118" s="217"/>
      <c r="AA118" s="217"/>
      <c r="AB118" s="616"/>
      <c r="AC118" s="616"/>
      <c r="AD118" s="221"/>
      <c r="AE118" s="221"/>
      <c r="AF118" s="48">
        <f t="shared" si="61"/>
        <v>0</v>
      </c>
      <c r="AG118" s="125" t="e">
        <f t="shared" si="62"/>
        <v>#DIV/0!</v>
      </c>
      <c r="AH118" s="620"/>
    </row>
    <row r="119" spans="1:34" s="218" customFormat="1" ht="19.2" customHeight="1">
      <c r="A119" s="640"/>
      <c r="B119" s="460">
        <v>0</v>
      </c>
      <c r="C119" s="223"/>
      <c r="D119" s="82"/>
      <c r="E119" s="83"/>
      <c r="F119" s="357" t="s">
        <v>133</v>
      </c>
      <c r="G119" s="229"/>
      <c r="H119" s="45">
        <f t="shared" si="75"/>
        <v>0</v>
      </c>
      <c r="I119" s="474"/>
      <c r="J119" s="178"/>
      <c r="K119" s="231"/>
      <c r="L119" s="47"/>
      <c r="M119" s="463"/>
      <c r="N119" s="179"/>
      <c r="O119" s="224"/>
      <c r="P119" s="165"/>
      <c r="Q119" s="49"/>
      <c r="R119" s="464"/>
      <c r="S119" s="631"/>
      <c r="T119" s="226"/>
      <c r="U119" s="226"/>
      <c r="V119" s="227"/>
      <c r="W119" s="457">
        <f t="shared" si="70"/>
        <v>0</v>
      </c>
      <c r="X119" s="216"/>
      <c r="Y119" s="216"/>
      <c r="Z119" s="217"/>
      <c r="AA119" s="217"/>
      <c r="AB119" s="616"/>
      <c r="AC119" s="616"/>
      <c r="AD119" s="221"/>
      <c r="AE119" s="221"/>
      <c r="AF119" s="48">
        <f t="shared" si="61"/>
        <v>0</v>
      </c>
      <c r="AG119" s="125" t="e">
        <f t="shared" si="62"/>
        <v>#DIV/0!</v>
      </c>
      <c r="AH119" s="620"/>
    </row>
    <row r="120" spans="1:34" s="218" customFormat="1" ht="19.2" customHeight="1">
      <c r="A120" s="640"/>
      <c r="B120" s="460">
        <v>0</v>
      </c>
      <c r="C120" s="223"/>
      <c r="D120" s="82"/>
      <c r="E120" s="83"/>
      <c r="F120" s="364" t="s">
        <v>133</v>
      </c>
      <c r="G120" s="229"/>
      <c r="H120" s="230">
        <f>F120*G120</f>
        <v>0</v>
      </c>
      <c r="I120" s="474"/>
      <c r="J120" s="178"/>
      <c r="K120" s="231"/>
      <c r="L120" s="47"/>
      <c r="M120" s="463"/>
      <c r="N120" s="179"/>
      <c r="O120" s="224"/>
      <c r="P120" s="165"/>
      <c r="Q120" s="49"/>
      <c r="R120" s="464"/>
      <c r="S120" s="631"/>
      <c r="T120" s="226"/>
      <c r="U120" s="226"/>
      <c r="V120" s="227"/>
      <c r="W120" s="457">
        <f t="shared" si="70"/>
        <v>0</v>
      </c>
      <c r="X120" s="216"/>
      <c r="Y120" s="216"/>
      <c r="Z120" s="217"/>
      <c r="AA120" s="217"/>
      <c r="AB120" s="616"/>
      <c r="AC120" s="616"/>
      <c r="AD120" s="221"/>
      <c r="AE120" s="221"/>
      <c r="AF120" s="48">
        <f t="shared" si="61"/>
        <v>0</v>
      </c>
      <c r="AG120" s="125" t="e">
        <f t="shared" si="62"/>
        <v>#DIV/0!</v>
      </c>
      <c r="AH120" s="620"/>
    </row>
    <row r="121" spans="1:34" ht="19.2" customHeight="1">
      <c r="A121" s="641"/>
      <c r="B121" s="121">
        <v>0</v>
      </c>
      <c r="C121" s="100" t="s">
        <v>405</v>
      </c>
      <c r="D121" s="232" t="s">
        <v>376</v>
      </c>
      <c r="E121" s="233"/>
      <c r="F121" s="366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J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637"/>
      <c r="T121" s="50"/>
      <c r="U121" s="50"/>
      <c r="V121" s="44"/>
      <c r="W121" s="457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16"/>
      <c r="AC121" s="616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620"/>
    </row>
    <row r="122" spans="1:34" ht="19.2" customHeight="1">
      <c r="A122" s="634" t="s">
        <v>407</v>
      </c>
      <c r="B122" s="130" t="s">
        <v>128</v>
      </c>
      <c r="C122" s="163"/>
      <c r="D122" s="176" t="s">
        <v>83</v>
      </c>
      <c r="E122" s="43"/>
      <c r="F122" s="357">
        <v>58.67</v>
      </c>
      <c r="G122" s="44">
        <v>2167</v>
      </c>
      <c r="H122" s="45">
        <f t="shared" ref="H122:H132" si="82">F122*G122</f>
        <v>127137.89</v>
      </c>
      <c r="I122" s="460">
        <v>1</v>
      </c>
      <c r="J122" s="46">
        <v>19</v>
      </c>
      <c r="K122" s="44">
        <v>1440</v>
      </c>
      <c r="L122" s="47">
        <v>75.78947368421052</v>
      </c>
      <c r="M122" s="458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635">
        <f>R134</f>
        <v>0.91233142200502226</v>
      </c>
      <c r="T122" s="50">
        <v>0.5</v>
      </c>
      <c r="U122" s="50">
        <v>0.56805555555555554</v>
      </c>
      <c r="V122" s="227">
        <v>5</v>
      </c>
      <c r="W122" s="457">
        <f t="shared" si="70"/>
        <v>97.999999999999972</v>
      </c>
      <c r="X122" s="53"/>
      <c r="Y122" s="53"/>
      <c r="Z122" s="54"/>
      <c r="AA122" s="54"/>
      <c r="AB122" s="616"/>
      <c r="AC122" s="616"/>
      <c r="AD122" s="474"/>
      <c r="AE122" s="474"/>
      <c r="AF122" s="48">
        <f t="shared" si="61"/>
        <v>-113.26530612244869</v>
      </c>
      <c r="AG122" s="464">
        <f t="shared" si="62"/>
        <v>0.92134353741496622</v>
      </c>
      <c r="AH122" s="637">
        <f>AG134</f>
        <v>0.91812595046714707</v>
      </c>
    </row>
    <row r="123" spans="1:34" ht="19.2" customHeight="1">
      <c r="A123" s="634"/>
      <c r="B123" s="130" t="s">
        <v>128</v>
      </c>
      <c r="C123" s="97"/>
      <c r="D123" s="42" t="s">
        <v>82</v>
      </c>
      <c r="E123" s="177"/>
      <c r="F123" s="357">
        <v>59.52</v>
      </c>
      <c r="G123" s="44">
        <v>2067</v>
      </c>
      <c r="H123" s="45">
        <f t="shared" si="82"/>
        <v>123027.84000000001</v>
      </c>
      <c r="I123" s="474"/>
      <c r="J123" s="46">
        <v>21</v>
      </c>
      <c r="K123" s="44">
        <v>1385</v>
      </c>
      <c r="L123" s="47">
        <v>65.952380952380949</v>
      </c>
      <c r="M123" s="463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67">
        <f t="shared" si="81"/>
        <v>0.93276173285198594</v>
      </c>
      <c r="S123" s="635"/>
      <c r="T123" s="50">
        <v>0.57291666666666663</v>
      </c>
      <c r="U123" s="50">
        <v>0.63958333333333328</v>
      </c>
      <c r="V123" s="227">
        <v>7</v>
      </c>
      <c r="W123" s="457">
        <f t="shared" si="70"/>
        <v>95.999999999999972</v>
      </c>
      <c r="X123" s="53"/>
      <c r="Y123" s="53"/>
      <c r="Z123" s="54"/>
      <c r="AA123" s="54"/>
      <c r="AB123" s="616"/>
      <c r="AC123" s="616"/>
      <c r="AD123" s="474"/>
      <c r="AE123" s="474"/>
      <c r="AF123" s="48">
        <f t="shared" si="61"/>
        <v>-93.124999999999545</v>
      </c>
      <c r="AG123" s="464">
        <f t="shared" si="62"/>
        <v>0.93276173285198594</v>
      </c>
      <c r="AH123" s="635"/>
    </row>
    <row r="124" spans="1:34" ht="19.2" customHeight="1">
      <c r="A124" s="634"/>
      <c r="B124" s="130" t="s">
        <v>129</v>
      </c>
      <c r="C124" s="175"/>
      <c r="D124" s="176" t="s">
        <v>206</v>
      </c>
      <c r="E124" s="177"/>
      <c r="F124" s="357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58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636"/>
      <c r="T124" s="50">
        <v>0.65486111111111101</v>
      </c>
      <c r="U124" s="50">
        <v>0.68819444444444433</v>
      </c>
      <c r="V124" s="227">
        <v>22</v>
      </c>
      <c r="W124" s="457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616"/>
      <c r="AC124" s="616"/>
      <c r="AD124" s="474">
        <v>1</v>
      </c>
      <c r="AE124" s="474"/>
      <c r="AF124" s="108">
        <f t="shared" si="61"/>
        <v>-81.974999999999454</v>
      </c>
      <c r="AG124" s="109">
        <f t="shared" si="62"/>
        <v>0.94535000000000036</v>
      </c>
      <c r="AH124" s="635"/>
    </row>
    <row r="125" spans="1:34" ht="19.2" customHeight="1">
      <c r="A125" s="634"/>
      <c r="B125" s="130" t="s">
        <v>132</v>
      </c>
      <c r="C125" s="97"/>
      <c r="D125" s="42" t="s">
        <v>84</v>
      </c>
      <c r="E125" s="43"/>
      <c r="F125" s="357">
        <v>56.79</v>
      </c>
      <c r="G125" s="44">
        <v>1373</v>
      </c>
      <c r="H125" s="45">
        <f t="shared" si="82"/>
        <v>77972.67</v>
      </c>
      <c r="I125" s="460"/>
      <c r="J125" s="46">
        <v>18</v>
      </c>
      <c r="K125" s="44">
        <v>1636</v>
      </c>
      <c r="L125" s="47">
        <v>90.888888888888886</v>
      </c>
      <c r="M125" s="458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636"/>
      <c r="T125" s="50">
        <v>0.72847222222222208</v>
      </c>
      <c r="U125" s="50">
        <v>0.76874999999999982</v>
      </c>
      <c r="V125" s="227">
        <v>5</v>
      </c>
      <c r="W125" s="457">
        <f t="shared" si="70"/>
        <v>57.999999999999957</v>
      </c>
      <c r="X125" s="64"/>
      <c r="Y125" s="64"/>
      <c r="Z125" s="54"/>
      <c r="AA125" s="54"/>
      <c r="AB125" s="616"/>
      <c r="AC125" s="616"/>
      <c r="AD125" s="474"/>
      <c r="AE125" s="474"/>
      <c r="AF125" s="48">
        <f t="shared" si="61"/>
        <v>-215.65517241379212</v>
      </c>
      <c r="AG125" s="464">
        <f t="shared" si="62"/>
        <v>0.86818143495489475</v>
      </c>
      <c r="AH125" s="638"/>
    </row>
    <row r="126" spans="1:34" ht="19.2" customHeight="1">
      <c r="A126" s="634"/>
      <c r="B126" s="130" t="s">
        <v>132</v>
      </c>
      <c r="C126" s="474"/>
      <c r="D126" s="406" t="s">
        <v>85</v>
      </c>
      <c r="E126" s="177"/>
      <c r="F126" s="357">
        <v>56.87</v>
      </c>
      <c r="G126" s="57">
        <v>1164</v>
      </c>
      <c r="H126" s="45">
        <f t="shared" si="82"/>
        <v>66196.679999999993</v>
      </c>
      <c r="I126" s="474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67">
        <f t="shared" si="81"/>
        <v>0.85378973105134504</v>
      </c>
      <c r="S126" s="636"/>
      <c r="T126" s="50">
        <v>0.77361111111111092</v>
      </c>
      <c r="U126" s="50">
        <v>0.80833333333333313</v>
      </c>
      <c r="V126" s="227">
        <v>7</v>
      </c>
      <c r="W126" s="457">
        <f t="shared" si="70"/>
        <v>49.999999999999986</v>
      </c>
      <c r="X126" s="64"/>
      <c r="Y126" s="64"/>
      <c r="Z126" s="54"/>
      <c r="AA126" s="54"/>
      <c r="AB126" s="616"/>
      <c r="AC126" s="616"/>
      <c r="AD126" s="474"/>
      <c r="AE126" s="474"/>
      <c r="AF126" s="108">
        <f t="shared" si="61"/>
        <v>-239.19999999999959</v>
      </c>
      <c r="AG126" s="109">
        <f t="shared" si="62"/>
        <v>0.85378973105134504</v>
      </c>
      <c r="AH126" s="638"/>
    </row>
    <row r="127" spans="1:34" ht="19.2" customHeight="1">
      <c r="A127" s="634"/>
      <c r="B127" s="130" t="s">
        <v>132</v>
      </c>
      <c r="C127" s="223"/>
      <c r="D127" s="407" t="s">
        <v>86</v>
      </c>
      <c r="E127" s="83"/>
      <c r="F127" s="357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58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67">
        <f t="shared" si="81"/>
        <v>0.92045454545454652</v>
      </c>
      <c r="S127" s="636"/>
      <c r="T127" s="50">
        <v>0.81319444444444422</v>
      </c>
      <c r="U127" s="50">
        <v>0.8590277777777775</v>
      </c>
      <c r="V127" s="460">
        <v>7</v>
      </c>
      <c r="W127" s="457">
        <f t="shared" si="70"/>
        <v>65.999999999999929</v>
      </c>
      <c r="X127" s="64"/>
      <c r="Y127" s="64"/>
      <c r="Z127" s="54"/>
      <c r="AA127" s="54"/>
      <c r="AB127" s="616"/>
      <c r="AC127" s="616"/>
      <c r="AD127" s="474"/>
      <c r="AE127" s="474"/>
      <c r="AF127" s="108">
        <f t="shared" si="61"/>
        <v>-114.54545454545314</v>
      </c>
      <c r="AG127" s="109">
        <f t="shared" si="62"/>
        <v>0.92045454545454641</v>
      </c>
      <c r="AH127" s="638"/>
    </row>
    <row r="128" spans="1:34" ht="19.2" customHeight="1">
      <c r="A128" s="634"/>
      <c r="B128" s="130" t="s">
        <v>132</v>
      </c>
      <c r="C128" s="157"/>
      <c r="D128" s="59" t="s">
        <v>141</v>
      </c>
      <c r="E128" s="83"/>
      <c r="F128" s="357">
        <v>50.67</v>
      </c>
      <c r="G128" s="57">
        <v>1402</v>
      </c>
      <c r="H128" s="45">
        <f t="shared" si="82"/>
        <v>71039.34</v>
      </c>
      <c r="I128" s="4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67">
        <f t="shared" si="81"/>
        <v>0.90451612903225898</v>
      </c>
      <c r="S128" s="636"/>
      <c r="T128" s="50">
        <v>0.87499999999999978</v>
      </c>
      <c r="U128" s="50">
        <v>0.91805555555555529</v>
      </c>
      <c r="V128" s="460">
        <v>23</v>
      </c>
      <c r="W128" s="457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616"/>
      <c r="AC128" s="616"/>
      <c r="AD128" s="474">
        <v>1</v>
      </c>
      <c r="AE128" s="474"/>
      <c r="AF128" s="48">
        <f t="shared" si="61"/>
        <v>-143.22580645161156</v>
      </c>
      <c r="AG128" s="464">
        <f t="shared" si="62"/>
        <v>0.90451612903225898</v>
      </c>
      <c r="AH128" s="638"/>
    </row>
    <row r="129" spans="1:34" ht="19.2" customHeight="1">
      <c r="A129" s="634"/>
      <c r="B129" s="130" t="s">
        <v>132</v>
      </c>
      <c r="C129" s="157"/>
      <c r="D129" s="59" t="s">
        <v>199</v>
      </c>
      <c r="E129" s="60"/>
      <c r="F129" s="357">
        <v>58.17</v>
      </c>
      <c r="G129" s="57">
        <v>1605</v>
      </c>
      <c r="H129" s="45">
        <f t="shared" si="82"/>
        <v>93362.85</v>
      </c>
      <c r="I129" s="474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67">
        <f t="shared" si="81"/>
        <v>0.9692028985507235</v>
      </c>
      <c r="S129" s="636"/>
      <c r="T129" s="50">
        <v>0.92291666666666639</v>
      </c>
      <c r="U129" s="50">
        <v>0.9708333333333331</v>
      </c>
      <c r="V129" s="460">
        <v>7</v>
      </c>
      <c r="W129" s="457">
        <f t="shared" si="70"/>
        <v>69.000000000000071</v>
      </c>
      <c r="X129" s="64"/>
      <c r="Y129" s="64"/>
      <c r="Z129" s="54"/>
      <c r="AA129" s="54"/>
      <c r="AB129" s="616"/>
      <c r="AC129" s="616"/>
      <c r="AD129" s="474"/>
      <c r="AE129" s="474"/>
      <c r="AF129" s="108">
        <f t="shared" si="61"/>
        <v>-44.347826086958094</v>
      </c>
      <c r="AG129" s="109">
        <f t="shared" si="62"/>
        <v>0.9692028985507235</v>
      </c>
      <c r="AH129" s="638"/>
    </row>
    <row r="130" spans="1:34" ht="19.2" customHeight="1">
      <c r="A130" s="634"/>
      <c r="B130" s="200" t="s">
        <v>132</v>
      </c>
      <c r="C130" s="157"/>
      <c r="D130" s="59" t="s">
        <v>208</v>
      </c>
      <c r="E130" s="60"/>
      <c r="F130" s="357">
        <v>56.43</v>
      </c>
      <c r="G130" s="57">
        <v>1826</v>
      </c>
      <c r="H130" s="45">
        <f t="shared" si="82"/>
        <v>103041.18</v>
      </c>
      <c r="I130" s="474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67">
        <f t="shared" si="81"/>
        <v>0.90642839414246845</v>
      </c>
      <c r="S130" s="636"/>
      <c r="T130" s="50">
        <v>0.9756944444444442</v>
      </c>
      <c r="U130" s="50">
        <v>1.0305555555555552</v>
      </c>
      <c r="V130" s="460">
        <v>7</v>
      </c>
      <c r="W130" s="457">
        <f t="shared" si="70"/>
        <v>78.999999999999886</v>
      </c>
      <c r="X130" s="64"/>
      <c r="Y130" s="64"/>
      <c r="Z130" s="54"/>
      <c r="AA130" s="54"/>
      <c r="AB130" s="616"/>
      <c r="AC130" s="616"/>
      <c r="AD130" s="474"/>
      <c r="AE130" s="474"/>
      <c r="AF130" s="108">
        <f t="shared" si="61"/>
        <v>-53.164556962023198</v>
      </c>
      <c r="AG130" s="109">
        <f t="shared" si="62"/>
        <v>0.96308016877637281</v>
      </c>
      <c r="AH130" s="638"/>
    </row>
    <row r="131" spans="1:34" ht="19.2" customHeight="1">
      <c r="A131" s="634"/>
      <c r="B131" s="200">
        <v>0</v>
      </c>
      <c r="C131" s="157"/>
      <c r="D131" s="59"/>
      <c r="E131" s="83"/>
      <c r="F131" s="357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67"/>
      <c r="S131" s="636"/>
      <c r="T131" s="50"/>
      <c r="U131" s="50"/>
      <c r="V131" s="460"/>
      <c r="W131" s="457">
        <f t="shared" si="70"/>
        <v>0</v>
      </c>
      <c r="X131" s="64"/>
      <c r="Y131" s="64"/>
      <c r="Z131" s="54"/>
      <c r="AA131" s="54"/>
      <c r="AB131" s="616"/>
      <c r="AC131" s="616"/>
      <c r="AD131" s="474"/>
      <c r="AE131" s="474"/>
      <c r="AF131" s="48">
        <f t="shared" si="61"/>
        <v>0</v>
      </c>
      <c r="AG131" s="464" t="e">
        <f t="shared" si="62"/>
        <v>#DIV/0!</v>
      </c>
      <c r="AH131" s="638"/>
    </row>
    <row r="132" spans="1:34" ht="19.2" customHeight="1">
      <c r="A132" s="634"/>
      <c r="B132" s="200">
        <v>0</v>
      </c>
      <c r="C132" s="157"/>
      <c r="D132" s="59"/>
      <c r="E132" s="60"/>
      <c r="F132" s="357" t="s">
        <v>133</v>
      </c>
      <c r="G132" s="57"/>
      <c r="H132" s="45">
        <f t="shared" si="82"/>
        <v>0</v>
      </c>
      <c r="I132" s="474"/>
      <c r="J132" s="87"/>
      <c r="K132" s="57"/>
      <c r="L132" s="86"/>
      <c r="M132" s="463"/>
      <c r="N132" s="57"/>
      <c r="O132" s="86"/>
      <c r="P132" s="54"/>
      <c r="Q132" s="88"/>
      <c r="R132" s="467"/>
      <c r="S132" s="636"/>
      <c r="T132" s="50"/>
      <c r="U132" s="50"/>
      <c r="V132" s="460"/>
      <c r="W132" s="457">
        <f t="shared" si="70"/>
        <v>0</v>
      </c>
      <c r="X132" s="64"/>
      <c r="Y132" s="64"/>
      <c r="Z132" s="54"/>
      <c r="AA132" s="54"/>
      <c r="AB132" s="616"/>
      <c r="AC132" s="616"/>
      <c r="AD132" s="474"/>
      <c r="AE132" s="474"/>
      <c r="AF132" s="65"/>
      <c r="AG132" s="465"/>
      <c r="AH132" s="638"/>
    </row>
    <row r="133" spans="1:34" ht="19.2" customHeight="1">
      <c r="A133" s="634"/>
      <c r="B133" s="200">
        <v>0</v>
      </c>
      <c r="C133" s="157"/>
      <c r="D133" s="59"/>
      <c r="E133" s="60"/>
      <c r="F133" s="370" t="s">
        <v>133</v>
      </c>
      <c r="G133" s="57"/>
      <c r="H133" s="240">
        <f>F133*G133</f>
        <v>0</v>
      </c>
      <c r="I133" s="474"/>
      <c r="J133" s="87"/>
      <c r="K133" s="57"/>
      <c r="L133" s="86"/>
      <c r="M133" s="463"/>
      <c r="N133" s="57"/>
      <c r="O133" s="86"/>
      <c r="P133" s="54"/>
      <c r="Q133" s="88"/>
      <c r="R133" s="467"/>
      <c r="S133" s="636"/>
      <c r="T133" s="50"/>
      <c r="U133" s="50"/>
      <c r="V133" s="460"/>
      <c r="W133" s="239">
        <f t="shared" si="70"/>
        <v>0</v>
      </c>
      <c r="X133" s="64"/>
      <c r="Y133" s="64"/>
      <c r="Z133" s="54"/>
      <c r="AA133" s="54"/>
      <c r="AB133" s="616"/>
      <c r="AC133" s="616"/>
      <c r="AD133" s="474"/>
      <c r="AE133" s="474"/>
      <c r="AF133" s="65"/>
      <c r="AG133" s="465"/>
      <c r="AH133" s="638"/>
    </row>
    <row r="134" spans="1:34" ht="19.2" customHeight="1">
      <c r="A134" s="634"/>
      <c r="B134" s="168">
        <v>0</v>
      </c>
      <c r="C134" s="100" t="s">
        <v>409</v>
      </c>
      <c r="D134" s="617" t="s">
        <v>376</v>
      </c>
      <c r="E134" s="617"/>
      <c r="F134" s="367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J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635"/>
      <c r="T134" s="50"/>
      <c r="U134" s="50"/>
      <c r="V134" s="460"/>
      <c r="W134" s="460"/>
      <c r="X134" s="53"/>
      <c r="Y134" s="53"/>
      <c r="Z134" s="106">
        <f>SUM(Z122:Z133)</f>
        <v>0</v>
      </c>
      <c r="AA134" s="106">
        <f>SUM(AA122:AA133)</f>
        <v>0</v>
      </c>
      <c r="AB134" s="616"/>
      <c r="AC134" s="616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64">
        <f t="shared" si="62"/>
        <v>0.91812595046714707</v>
      </c>
      <c r="AH134" s="638"/>
    </row>
    <row r="135" spans="1:34" ht="19.2" customHeight="1">
      <c r="A135" s="627" t="s">
        <v>411</v>
      </c>
      <c r="B135" s="460" t="s">
        <v>132</v>
      </c>
      <c r="C135" s="474"/>
      <c r="D135" s="82" t="s">
        <v>144</v>
      </c>
      <c r="E135" s="83"/>
      <c r="F135" s="357">
        <v>54.09</v>
      </c>
      <c r="G135" s="57">
        <v>2358.4</v>
      </c>
      <c r="H135" s="245">
        <f t="shared" ref="H135:H146" si="89">F135*G135</f>
        <v>127565.85600000001</v>
      </c>
      <c r="I135" s="474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67">
        <f t="shared" si="88"/>
        <v>0.9248627450980389</v>
      </c>
      <c r="S135" s="631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616"/>
      <c r="AC135" s="616"/>
      <c r="AD135" s="474">
        <v>1</v>
      </c>
      <c r="AE135" s="474"/>
      <c r="AF135" s="116">
        <f t="shared" si="61"/>
        <v>-112.70588235294167</v>
      </c>
      <c r="AG135" s="120">
        <f t="shared" si="62"/>
        <v>0.9248627450980389</v>
      </c>
      <c r="AH135" s="620">
        <f>AG147</f>
        <v>0.91109715475201025</v>
      </c>
    </row>
    <row r="136" spans="1:34" ht="19.2" customHeight="1">
      <c r="A136" s="628"/>
      <c r="B136" s="460" t="s">
        <v>132</v>
      </c>
      <c r="C136" s="474"/>
      <c r="D136" s="82" t="s">
        <v>78</v>
      </c>
      <c r="E136" s="83"/>
      <c r="F136" s="357">
        <v>57.734999999999999</v>
      </c>
      <c r="G136" s="57">
        <v>1734</v>
      </c>
      <c r="H136" s="84">
        <f t="shared" si="89"/>
        <v>100112.49</v>
      </c>
      <c r="I136" s="474"/>
      <c r="J136" s="46">
        <v>16</v>
      </c>
      <c r="K136" s="57">
        <v>1565</v>
      </c>
      <c r="L136" s="86">
        <v>97.8125</v>
      </c>
      <c r="M136" s="463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67">
        <f t="shared" si="88"/>
        <v>0.87472675298469749</v>
      </c>
      <c r="S136" s="631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616"/>
      <c r="AC136" s="616"/>
      <c r="AD136" s="474"/>
      <c r="AE136" s="474"/>
      <c r="AF136" s="48">
        <f t="shared" si="61"/>
        <v>-196.05263157894842</v>
      </c>
      <c r="AG136" s="125">
        <f t="shared" si="62"/>
        <v>0.87472675298469749</v>
      </c>
      <c r="AH136" s="620"/>
    </row>
    <row r="137" spans="1:34" ht="19.2" customHeight="1">
      <c r="A137" s="628"/>
      <c r="B137" s="460" t="s">
        <v>132</v>
      </c>
      <c r="C137" s="474"/>
      <c r="D137" s="82" t="s">
        <v>202</v>
      </c>
      <c r="E137" s="83"/>
      <c r="F137" s="357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67">
        <f t="shared" si="88"/>
        <v>0.87736842105263091</v>
      </c>
      <c r="S137" s="631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616"/>
      <c r="AC137" s="616"/>
      <c r="AD137" s="474"/>
      <c r="AE137" s="474"/>
      <c r="AF137" s="48">
        <f t="shared" si="61"/>
        <v>-183.94736842105362</v>
      </c>
      <c r="AG137" s="125">
        <f t="shared" si="62"/>
        <v>0.87736842105263091</v>
      </c>
      <c r="AH137" s="620"/>
    </row>
    <row r="138" spans="1:34" ht="19.2" customHeight="1">
      <c r="A138" s="628"/>
      <c r="B138" s="460" t="s">
        <v>132</v>
      </c>
      <c r="C138" s="223"/>
      <c r="D138" s="82" t="s">
        <v>88</v>
      </c>
      <c r="E138" s="83"/>
      <c r="F138" s="357">
        <v>50.98</v>
      </c>
      <c r="G138" s="57">
        <v>1550</v>
      </c>
      <c r="H138" s="84">
        <f t="shared" si="89"/>
        <v>79019</v>
      </c>
      <c r="I138" s="47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73">
        <f t="shared" si="88"/>
        <v>0.92261904761904667</v>
      </c>
      <c r="S138" s="631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616"/>
      <c r="AC138" s="616"/>
      <c r="AD138" s="474">
        <v>1</v>
      </c>
      <c r="AE138" s="474"/>
      <c r="AF138" s="48">
        <f t="shared" si="61"/>
        <v>-111.4285714285727</v>
      </c>
      <c r="AG138" s="125">
        <f t="shared" si="62"/>
        <v>0.92261904761904678</v>
      </c>
      <c r="AH138" s="620"/>
    </row>
    <row r="139" spans="1:34" ht="19.2" customHeight="1">
      <c r="A139" s="628"/>
      <c r="B139" s="460" t="s">
        <v>132</v>
      </c>
      <c r="C139" s="470"/>
      <c r="D139" s="42" t="s">
        <v>87</v>
      </c>
      <c r="E139" s="43"/>
      <c r="F139" s="357">
        <v>50.67</v>
      </c>
      <c r="G139" s="57">
        <v>1006</v>
      </c>
      <c r="H139" s="84">
        <f t="shared" si="89"/>
        <v>50974.020000000004</v>
      </c>
      <c r="I139" s="47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67">
        <f t="shared" si="88"/>
        <v>0.91454545454545444</v>
      </c>
      <c r="S139" s="631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616"/>
      <c r="AC139" s="616"/>
      <c r="AD139" s="474"/>
      <c r="AE139" s="474"/>
      <c r="AF139" s="48">
        <f t="shared" si="61"/>
        <v>-128.18181818181824</v>
      </c>
      <c r="AG139" s="125">
        <f t="shared" si="62"/>
        <v>0.91454545454545455</v>
      </c>
      <c r="AH139" s="620"/>
    </row>
    <row r="140" spans="1:34" ht="19.2" customHeight="1">
      <c r="A140" s="629"/>
      <c r="B140" s="460" t="s">
        <v>132</v>
      </c>
      <c r="C140" s="470"/>
      <c r="D140" s="251" t="s">
        <v>89</v>
      </c>
      <c r="E140" s="83"/>
      <c r="F140" s="357">
        <v>50.92</v>
      </c>
      <c r="G140" s="57">
        <v>1836</v>
      </c>
      <c r="H140" s="84">
        <f t="shared" si="89"/>
        <v>93489.12000000001</v>
      </c>
      <c r="I140" s="47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67">
        <f t="shared" si="88"/>
        <v>0.9216867469879515</v>
      </c>
      <c r="S140" s="632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616"/>
      <c r="AC140" s="616"/>
      <c r="AD140" s="474"/>
      <c r="AE140" s="474"/>
      <c r="AF140" s="48">
        <f t="shared" si="61"/>
        <v>-112.77108433734998</v>
      </c>
      <c r="AG140" s="125">
        <f t="shared" si="62"/>
        <v>0.92168674698795139</v>
      </c>
      <c r="AH140" s="620"/>
    </row>
    <row r="141" spans="1:34" ht="19.2" customHeight="1">
      <c r="A141" s="629"/>
      <c r="B141" s="460" t="s">
        <v>132</v>
      </c>
      <c r="C141" s="470"/>
      <c r="D141" s="42" t="s">
        <v>187</v>
      </c>
      <c r="E141" s="254"/>
      <c r="F141" s="357">
        <v>52.86</v>
      </c>
      <c r="G141" s="57">
        <v>963</v>
      </c>
      <c r="H141" s="84">
        <f t="shared" si="89"/>
        <v>50904.18</v>
      </c>
      <c r="I141" s="474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67">
        <f t="shared" si="88"/>
        <v>0.86393540669856461</v>
      </c>
      <c r="S141" s="632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616"/>
      <c r="AC141" s="616"/>
      <c r="AD141" s="474"/>
      <c r="AE141" s="474"/>
      <c r="AF141" s="48">
        <f t="shared" si="61"/>
        <v>-126.81818181818176</v>
      </c>
      <c r="AG141" s="125">
        <f t="shared" si="62"/>
        <v>0.91193181818181823</v>
      </c>
      <c r="AH141" s="620"/>
    </row>
    <row r="142" spans="1:34" ht="19.2" customHeight="1">
      <c r="A142" s="629"/>
      <c r="B142" s="460" t="s">
        <v>132</v>
      </c>
      <c r="C142" s="470"/>
      <c r="D142" s="42" t="s">
        <v>90</v>
      </c>
      <c r="E142" s="254"/>
      <c r="F142" s="357">
        <v>50.67</v>
      </c>
      <c r="G142" s="57">
        <v>915</v>
      </c>
      <c r="H142" s="84">
        <f t="shared" si="89"/>
        <v>46363.05</v>
      </c>
      <c r="I142" s="4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67">
        <f t="shared" si="88"/>
        <v>0.92987804878048752</v>
      </c>
      <c r="S142" s="632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616"/>
      <c r="AC142" s="616"/>
      <c r="AD142" s="474"/>
      <c r="AE142" s="474"/>
      <c r="AF142" s="48">
        <f t="shared" si="61"/>
        <v>-100.97560975609804</v>
      </c>
      <c r="AG142" s="125">
        <f t="shared" si="62"/>
        <v>0.92987804878048752</v>
      </c>
      <c r="AH142" s="620"/>
    </row>
    <row r="143" spans="1:34" ht="19.2" customHeight="1">
      <c r="A143" s="629"/>
      <c r="B143" s="460" t="s">
        <v>132</v>
      </c>
      <c r="C143" s="255"/>
      <c r="D143" s="82" t="s">
        <v>91</v>
      </c>
      <c r="E143" s="83"/>
      <c r="F143" s="357">
        <v>50.49</v>
      </c>
      <c r="G143" s="57">
        <v>1178</v>
      </c>
      <c r="H143" s="84">
        <f t="shared" si="89"/>
        <v>59477.22</v>
      </c>
      <c r="I143" s="474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67">
        <f t="shared" si="88"/>
        <v>0.92610062893081802</v>
      </c>
      <c r="S143" s="632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616"/>
      <c r="AC143" s="616"/>
      <c r="AD143" s="474"/>
      <c r="AE143" s="474"/>
      <c r="AF143" s="48">
        <f t="shared" si="61"/>
        <v>-106.41509433962187</v>
      </c>
      <c r="AG143" s="125">
        <f t="shared" si="62"/>
        <v>0.92610062893081813</v>
      </c>
      <c r="AH143" s="620"/>
    </row>
    <row r="144" spans="1:34" ht="19.2" customHeight="1">
      <c r="A144" s="629"/>
      <c r="B144" s="460">
        <v>0</v>
      </c>
      <c r="C144" s="470"/>
      <c r="D144" s="42"/>
      <c r="E144" s="254"/>
      <c r="F144" s="357" t="s">
        <v>133</v>
      </c>
      <c r="G144" s="57"/>
      <c r="H144" s="84">
        <f t="shared" si="89"/>
        <v>0</v>
      </c>
      <c r="I144" s="474"/>
      <c r="J144" s="46"/>
      <c r="K144" s="44"/>
      <c r="L144" s="47"/>
      <c r="M144" s="463"/>
      <c r="N144" s="57"/>
      <c r="O144" s="86"/>
      <c r="P144" s="54"/>
      <c r="Q144" s="88"/>
      <c r="R144" s="467"/>
      <c r="S144" s="63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16"/>
      <c r="AC144" s="616"/>
      <c r="AD144" s="474"/>
      <c r="AE144" s="474"/>
      <c r="AF144" s="48">
        <f t="shared" si="61"/>
        <v>0</v>
      </c>
      <c r="AG144" s="125" t="e">
        <f t="shared" si="62"/>
        <v>#DIV/0!</v>
      </c>
      <c r="AH144" s="620"/>
    </row>
    <row r="145" spans="1:34" ht="19.2" customHeight="1">
      <c r="A145" s="629"/>
      <c r="B145" s="460">
        <v>0</v>
      </c>
      <c r="C145" s="470"/>
      <c r="D145" s="42"/>
      <c r="E145" s="254"/>
      <c r="F145" s="357" t="s">
        <v>133</v>
      </c>
      <c r="G145" s="57"/>
      <c r="H145" s="84">
        <f t="shared" si="89"/>
        <v>0</v>
      </c>
      <c r="I145" s="474"/>
      <c r="J145" s="87"/>
      <c r="K145" s="57"/>
      <c r="L145" s="86"/>
      <c r="M145" s="463"/>
      <c r="N145" s="57"/>
      <c r="O145" s="86"/>
      <c r="P145" s="54"/>
      <c r="Q145" s="88"/>
      <c r="R145" s="467"/>
      <c r="S145" s="63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16"/>
      <c r="AC145" s="616"/>
      <c r="AD145" s="474"/>
      <c r="AE145" s="474"/>
      <c r="AF145" s="48">
        <f t="shared" si="61"/>
        <v>0</v>
      </c>
      <c r="AG145" s="125" t="e">
        <f t="shared" si="62"/>
        <v>#DIV/0!</v>
      </c>
      <c r="AH145" s="620"/>
    </row>
    <row r="146" spans="1:34" ht="19.2" customHeight="1">
      <c r="A146" s="629"/>
      <c r="B146" s="462">
        <v>0</v>
      </c>
      <c r="C146" s="255"/>
      <c r="D146" s="256"/>
      <c r="E146" s="254"/>
      <c r="F146" s="357" t="s">
        <v>133</v>
      </c>
      <c r="G146" s="57"/>
      <c r="H146" s="84">
        <f t="shared" si="89"/>
        <v>0</v>
      </c>
      <c r="I146" s="474"/>
      <c r="J146" s="87"/>
      <c r="K146" s="57"/>
      <c r="L146" s="86"/>
      <c r="M146" s="463"/>
      <c r="N146" s="57"/>
      <c r="O146" s="86"/>
      <c r="P146" s="54"/>
      <c r="Q146" s="88"/>
      <c r="R146" s="467"/>
      <c r="S146" s="63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16"/>
      <c r="AC146" s="616"/>
      <c r="AD146" s="474"/>
      <c r="AE146" s="474"/>
      <c r="AF146" s="54"/>
      <c r="AG146" s="467"/>
      <c r="AH146" s="620"/>
    </row>
    <row r="147" spans="1:34" ht="19.2" customHeight="1">
      <c r="A147" s="630"/>
      <c r="B147" s="257">
        <v>0</v>
      </c>
      <c r="C147" s="100" t="s">
        <v>413</v>
      </c>
      <c r="D147" s="617" t="s">
        <v>376</v>
      </c>
      <c r="E147" s="617"/>
      <c r="F147" s="371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J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633"/>
      <c r="T147" s="63"/>
      <c r="U147" s="63"/>
      <c r="V147" s="55"/>
      <c r="W147" s="457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16"/>
      <c r="AC147" s="616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620"/>
    </row>
    <row r="148" spans="1:34" ht="19.2" customHeight="1">
      <c r="A148" s="623" t="s">
        <v>415</v>
      </c>
      <c r="B148" s="474" t="s">
        <v>130</v>
      </c>
      <c r="C148" s="121"/>
      <c r="D148" s="173" t="s">
        <v>387</v>
      </c>
      <c r="E148" s="43"/>
      <c r="F148" s="364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64">
        <f t="shared" si="96"/>
        <v>0.8643465045592702</v>
      </c>
      <c r="S148" s="624">
        <f>R160</f>
        <v>0.84391387032088994</v>
      </c>
      <c r="T148" s="246">
        <v>0.45833333333333331</v>
      </c>
      <c r="U148" s="50">
        <v>0.58888888888888891</v>
      </c>
      <c r="V148" s="460">
        <v>5</v>
      </c>
      <c r="W148" s="457">
        <f>(U148-T148)*24*60</f>
        <v>188.00000000000006</v>
      </c>
      <c r="X148" s="53"/>
      <c r="Y148" s="53"/>
      <c r="Z148" s="54"/>
      <c r="AA148" s="54"/>
      <c r="AB148" s="616"/>
      <c r="AC148" s="616"/>
      <c r="AD148" s="474"/>
      <c r="AE148" s="474"/>
      <c r="AF148" s="48">
        <f t="shared" si="61"/>
        <v>12.606382978722877</v>
      </c>
      <c r="AG148" s="125">
        <f t="shared" si="62"/>
        <v>1.0084042553191486</v>
      </c>
      <c r="AH148" s="620">
        <f>AG160</f>
        <v>0.89409658951609172</v>
      </c>
    </row>
    <row r="149" spans="1:34" ht="19.2" customHeight="1">
      <c r="A149" s="623"/>
      <c r="B149" s="474" t="s">
        <v>130</v>
      </c>
      <c r="C149" s="221"/>
      <c r="D149" s="251" t="s">
        <v>143</v>
      </c>
      <c r="E149" s="60"/>
      <c r="F149" s="364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64">
        <f t="shared" si="96"/>
        <v>0.78086538461538502</v>
      </c>
      <c r="S149" s="625"/>
      <c r="T149" s="246">
        <v>0.60416666666666663</v>
      </c>
      <c r="U149" s="50">
        <v>0.67638888888888882</v>
      </c>
      <c r="V149" s="460">
        <v>22</v>
      </c>
      <c r="W149" s="457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616"/>
      <c r="AC149" s="616"/>
      <c r="AD149" s="474"/>
      <c r="AE149" s="474"/>
      <c r="AF149" s="48">
        <f t="shared" si="61"/>
        <v>-438.26923076923003</v>
      </c>
      <c r="AG149" s="125">
        <f t="shared" si="62"/>
        <v>0.78086538461538502</v>
      </c>
      <c r="AH149" s="626"/>
    </row>
    <row r="150" spans="1:34" ht="19.2" customHeight="1">
      <c r="A150" s="623"/>
      <c r="B150" s="474" t="s">
        <v>132</v>
      </c>
      <c r="C150" s="221"/>
      <c r="D150" s="176" t="s">
        <v>204</v>
      </c>
      <c r="E150" s="60"/>
      <c r="F150" s="364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64">
        <f t="shared" si="96"/>
        <v>0.93229166666666663</v>
      </c>
      <c r="S150" s="625"/>
      <c r="T150" s="246">
        <v>0.79166666666666663</v>
      </c>
      <c r="U150" s="50">
        <v>0.82222222222222219</v>
      </c>
      <c r="V150" s="460">
        <v>8</v>
      </c>
      <c r="W150" s="457">
        <f t="shared" si="100"/>
        <v>44</v>
      </c>
      <c r="X150" s="216"/>
      <c r="Y150" s="216"/>
      <c r="Z150" s="217"/>
      <c r="AA150" s="217"/>
      <c r="AB150" s="616"/>
      <c r="AC150" s="616"/>
      <c r="AD150" s="474"/>
      <c r="AE150" s="474"/>
      <c r="AF150" s="48">
        <f t="shared" si="61"/>
        <v>-97.5</v>
      </c>
      <c r="AG150" s="125">
        <f t="shared" si="62"/>
        <v>0.93229166666666663</v>
      </c>
      <c r="AH150" s="626"/>
    </row>
    <row r="151" spans="1:34" s="218" customFormat="1" ht="19.2" customHeight="1">
      <c r="A151" s="623"/>
      <c r="B151" s="474">
        <v>0</v>
      </c>
      <c r="C151" s="221"/>
      <c r="D151" s="59"/>
      <c r="E151" s="60"/>
      <c r="F151" s="364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64"/>
      <c r="S151" s="625"/>
      <c r="T151" s="246"/>
      <c r="U151" s="50"/>
      <c r="V151" s="460"/>
      <c r="W151" s="457"/>
      <c r="X151" s="216"/>
      <c r="Y151" s="216"/>
      <c r="Z151" s="217"/>
      <c r="AA151" s="217"/>
      <c r="AB151" s="616"/>
      <c r="AC151" s="616"/>
      <c r="AD151" s="221"/>
      <c r="AE151" s="221"/>
      <c r="AF151" s="48">
        <f t="shared" si="61"/>
        <v>0</v>
      </c>
      <c r="AG151" s="125" t="e">
        <f t="shared" si="62"/>
        <v>#DIV/0!</v>
      </c>
      <c r="AH151" s="626"/>
    </row>
    <row r="152" spans="1:34" s="218" customFormat="1" ht="19.2" customHeight="1">
      <c r="A152" s="623"/>
      <c r="B152" s="474">
        <v>0</v>
      </c>
      <c r="C152" s="221"/>
      <c r="D152" s="59"/>
      <c r="E152" s="60"/>
      <c r="F152" s="364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64"/>
      <c r="S152" s="625"/>
      <c r="T152" s="261"/>
      <c r="U152" s="63"/>
      <c r="V152" s="461"/>
      <c r="W152" s="457">
        <f t="shared" si="100"/>
        <v>0</v>
      </c>
      <c r="X152" s="219"/>
      <c r="Y152" s="219"/>
      <c r="Z152" s="217"/>
      <c r="AA152" s="217"/>
      <c r="AB152" s="616"/>
      <c r="AC152" s="616"/>
      <c r="AD152" s="221"/>
      <c r="AE152" s="221"/>
      <c r="AF152" s="48">
        <f t="shared" si="61"/>
        <v>0</v>
      </c>
      <c r="AG152" s="125" t="e">
        <f t="shared" si="62"/>
        <v>#DIV/0!</v>
      </c>
      <c r="AH152" s="626"/>
    </row>
    <row r="153" spans="1:34" s="218" customFormat="1" ht="19.2" customHeight="1">
      <c r="A153" s="623"/>
      <c r="B153" s="474">
        <v>0</v>
      </c>
      <c r="C153" s="221"/>
      <c r="D153" s="251"/>
      <c r="E153" s="60"/>
      <c r="F153" s="364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64"/>
      <c r="S153" s="625"/>
      <c r="T153" s="261"/>
      <c r="U153" s="63"/>
      <c r="V153" s="461"/>
      <c r="W153" s="457">
        <f t="shared" si="100"/>
        <v>0</v>
      </c>
      <c r="X153" s="219"/>
      <c r="Y153" s="219"/>
      <c r="Z153" s="217"/>
      <c r="AA153" s="217"/>
      <c r="AB153" s="616"/>
      <c r="AC153" s="616"/>
      <c r="AD153" s="221"/>
      <c r="AE153" s="221"/>
      <c r="AF153" s="48">
        <f t="shared" si="61"/>
        <v>0</v>
      </c>
      <c r="AG153" s="125" t="e">
        <f t="shared" si="62"/>
        <v>#DIV/0!</v>
      </c>
      <c r="AH153" s="626"/>
    </row>
    <row r="154" spans="1:34" s="218" customFormat="1" ht="19.2" customHeight="1">
      <c r="A154" s="623"/>
      <c r="B154" s="474">
        <v>0</v>
      </c>
      <c r="C154" s="221"/>
      <c r="D154" s="251"/>
      <c r="E154" s="60"/>
      <c r="F154" s="364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64"/>
      <c r="S154" s="625"/>
      <c r="T154" s="261"/>
      <c r="U154" s="63"/>
      <c r="V154" s="461"/>
      <c r="W154" s="457">
        <f t="shared" si="100"/>
        <v>0</v>
      </c>
      <c r="X154" s="219"/>
      <c r="Y154" s="219"/>
      <c r="Z154" s="217"/>
      <c r="AA154" s="217"/>
      <c r="AB154" s="616"/>
      <c r="AC154" s="616"/>
      <c r="AD154" s="221"/>
      <c r="AE154" s="221"/>
      <c r="AF154" s="48">
        <f t="shared" si="61"/>
        <v>0</v>
      </c>
      <c r="AG154" s="125" t="e">
        <f t="shared" si="62"/>
        <v>#DIV/0!</v>
      </c>
      <c r="AH154" s="626"/>
    </row>
    <row r="155" spans="1:34" s="218" customFormat="1" ht="19.2" customHeight="1">
      <c r="A155" s="623"/>
      <c r="B155" s="474">
        <v>0</v>
      </c>
      <c r="C155" s="221"/>
      <c r="D155" s="251"/>
      <c r="E155" s="60"/>
      <c r="F155" s="364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64"/>
      <c r="S155" s="625"/>
      <c r="T155" s="261"/>
      <c r="U155" s="63"/>
      <c r="V155" s="461"/>
      <c r="W155" s="457">
        <f t="shared" si="100"/>
        <v>0</v>
      </c>
      <c r="X155" s="219"/>
      <c r="Y155" s="219"/>
      <c r="Z155" s="217"/>
      <c r="AA155" s="217"/>
      <c r="AB155" s="616"/>
      <c r="AC155" s="616"/>
      <c r="AD155" s="221"/>
      <c r="AE155" s="221"/>
      <c r="AF155" s="264"/>
      <c r="AG155" s="129"/>
      <c r="AH155" s="626"/>
    </row>
    <row r="156" spans="1:34" s="218" customFormat="1" ht="19.2" customHeight="1">
      <c r="A156" s="623"/>
      <c r="B156" s="221">
        <v>0</v>
      </c>
      <c r="C156" s="221"/>
      <c r="D156" s="251"/>
      <c r="E156" s="60"/>
      <c r="F156" s="364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64"/>
      <c r="S156" s="625"/>
      <c r="T156" s="261"/>
      <c r="U156" s="63"/>
      <c r="V156" s="461"/>
      <c r="W156" s="265">
        <f t="shared" si="100"/>
        <v>0</v>
      </c>
      <c r="X156" s="219"/>
      <c r="Y156" s="219"/>
      <c r="Z156" s="217"/>
      <c r="AA156" s="217"/>
      <c r="AB156" s="616"/>
      <c r="AC156" s="616"/>
      <c r="AD156" s="221"/>
      <c r="AE156" s="221"/>
      <c r="AF156" s="264"/>
      <c r="AG156" s="129"/>
      <c r="AH156" s="626"/>
    </row>
    <row r="157" spans="1:34" s="218" customFormat="1" ht="19.2" customHeight="1">
      <c r="A157" s="623"/>
      <c r="B157" s="221">
        <v>0</v>
      </c>
      <c r="C157" s="221"/>
      <c r="D157" s="251"/>
      <c r="E157" s="60"/>
      <c r="F157" s="370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25"/>
      <c r="T157" s="261"/>
      <c r="U157" s="63"/>
      <c r="V157" s="461"/>
      <c r="W157" s="265">
        <f t="shared" si="100"/>
        <v>0</v>
      </c>
      <c r="X157" s="219"/>
      <c r="Y157" s="219"/>
      <c r="Z157" s="217"/>
      <c r="AA157" s="217"/>
      <c r="AB157" s="616"/>
      <c r="AC157" s="616"/>
      <c r="AD157" s="221"/>
      <c r="AE157" s="221"/>
      <c r="AF157" s="264"/>
      <c r="AG157" s="129"/>
      <c r="AH157" s="626"/>
    </row>
    <row r="158" spans="1:34" s="218" customFormat="1" ht="19.2" customHeight="1">
      <c r="A158" s="623"/>
      <c r="B158" s="221">
        <v>0</v>
      </c>
      <c r="C158" s="221"/>
      <c r="D158" s="251"/>
      <c r="E158" s="60"/>
      <c r="F158" s="370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25"/>
      <c r="T158" s="261"/>
      <c r="U158" s="63"/>
      <c r="V158" s="461"/>
      <c r="W158" s="265">
        <f t="shared" si="100"/>
        <v>0</v>
      </c>
      <c r="X158" s="219"/>
      <c r="Y158" s="219"/>
      <c r="Z158" s="217"/>
      <c r="AA158" s="217"/>
      <c r="AB158" s="616"/>
      <c r="AC158" s="616"/>
      <c r="AD158" s="221"/>
      <c r="AE158" s="221"/>
      <c r="AF158" s="264"/>
      <c r="AG158" s="129"/>
      <c r="AH158" s="626"/>
    </row>
    <row r="159" spans="1:34" s="218" customFormat="1" ht="19.2" customHeight="1">
      <c r="A159" s="623"/>
      <c r="B159" s="221">
        <v>0</v>
      </c>
      <c r="C159" s="221"/>
      <c r="D159" s="251"/>
      <c r="E159" s="60"/>
      <c r="F159" s="370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625"/>
      <c r="T159" s="261"/>
      <c r="U159" s="63"/>
      <c r="V159" s="461"/>
      <c r="W159" s="266">
        <f t="shared" si="100"/>
        <v>0</v>
      </c>
      <c r="X159" s="219"/>
      <c r="Y159" s="219"/>
      <c r="Z159" s="217"/>
      <c r="AA159" s="217"/>
      <c r="AB159" s="616"/>
      <c r="AC159" s="616"/>
      <c r="AD159" s="221"/>
      <c r="AE159" s="221"/>
      <c r="AF159" s="264"/>
      <c r="AG159" s="129"/>
      <c r="AH159" s="626"/>
    </row>
    <row r="160" spans="1:34" ht="19.2" customHeight="1">
      <c r="A160" s="623"/>
      <c r="B160" s="267">
        <v>0</v>
      </c>
      <c r="C160" s="268" t="s">
        <v>417</v>
      </c>
      <c r="D160" s="621" t="s">
        <v>376</v>
      </c>
      <c r="E160" s="622"/>
      <c r="F160" s="358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J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62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16"/>
      <c r="AC160" s="616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626"/>
    </row>
    <row r="161" spans="1:36" ht="19.2" customHeight="1">
      <c r="A161" s="619" t="s">
        <v>419</v>
      </c>
      <c r="B161" s="121" t="s">
        <v>131</v>
      </c>
      <c r="C161" s="121"/>
      <c r="D161" s="82" t="s">
        <v>92</v>
      </c>
      <c r="E161" s="83"/>
      <c r="F161" s="363">
        <v>34.229999999999997</v>
      </c>
      <c r="G161" s="57">
        <v>3608</v>
      </c>
      <c r="H161" s="84">
        <f t="shared" ref="H161:H170" si="104">F161*G161</f>
        <v>123501.83999999998</v>
      </c>
      <c r="I161" s="474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67">
        <f t="shared" ref="R161:R163" si="107">O161/L161</f>
        <v>0.97185185185185163</v>
      </c>
      <c r="S161" s="620">
        <f>R173</f>
        <v>0.92720195959082985</v>
      </c>
      <c r="T161" s="89">
        <v>0.16666666666666666</v>
      </c>
      <c r="U161" s="89">
        <v>0.23541666666666666</v>
      </c>
      <c r="V161" s="474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616"/>
      <c r="AC161" s="616"/>
      <c r="AD161" s="474"/>
      <c r="AE161" s="474"/>
      <c r="AF161" s="54">
        <f t="shared" si="61"/>
        <v>-63.33333333333394</v>
      </c>
      <c r="AG161" s="467">
        <f t="shared" si="62"/>
        <v>0.97185185185185163</v>
      </c>
      <c r="AH161" s="620">
        <f>AG173</f>
        <v>0.93161615383906637</v>
      </c>
    </row>
    <row r="162" spans="1:36" ht="19.2" customHeight="1">
      <c r="A162" s="619"/>
      <c r="B162" s="121" t="s">
        <v>131</v>
      </c>
      <c r="C162" s="121"/>
      <c r="D162" s="82" t="s">
        <v>93</v>
      </c>
      <c r="E162" s="83"/>
      <c r="F162" s="363">
        <v>34.229999999999997</v>
      </c>
      <c r="G162" s="57">
        <v>3814</v>
      </c>
      <c r="H162" s="84">
        <f t="shared" si="104"/>
        <v>130553.21999999999</v>
      </c>
      <c r="I162" s="4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67">
        <f t="shared" si="107"/>
        <v>0.96863492063492074</v>
      </c>
      <c r="S162" s="620"/>
      <c r="T162" s="89">
        <v>0.24027777777777778</v>
      </c>
      <c r="U162" s="89">
        <v>0.31319444444444444</v>
      </c>
      <c r="V162" s="474">
        <v>7</v>
      </c>
      <c r="W162" s="90">
        <f t="shared" si="108"/>
        <v>104.99999999999999</v>
      </c>
      <c r="X162" s="96"/>
      <c r="Y162" s="96"/>
      <c r="Z162" s="54"/>
      <c r="AA162" s="54"/>
      <c r="AB162" s="616"/>
      <c r="AC162" s="616"/>
      <c r="AD162" s="474"/>
      <c r="AE162" s="474"/>
      <c r="AF162" s="54">
        <f t="shared" si="61"/>
        <v>-70.571428571428442</v>
      </c>
      <c r="AG162" s="467">
        <f t="shared" si="62"/>
        <v>0.96863492063492074</v>
      </c>
      <c r="AH162" s="620"/>
    </row>
    <row r="163" spans="1:36" ht="19.2" customHeight="1">
      <c r="A163" s="619"/>
      <c r="B163" s="121" t="s">
        <v>131</v>
      </c>
      <c r="C163" s="121"/>
      <c r="D163" s="248" t="s">
        <v>95</v>
      </c>
      <c r="E163" s="248"/>
      <c r="F163" s="363">
        <v>35.83</v>
      </c>
      <c r="G163" s="57">
        <v>3740.7999999999997</v>
      </c>
      <c r="H163" s="84">
        <f t="shared" si="104"/>
        <v>134032.86399999997</v>
      </c>
      <c r="I163" s="4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67">
        <f t="shared" si="107"/>
        <v>0.97798692810457488</v>
      </c>
      <c r="S163" s="620"/>
      <c r="T163" s="89">
        <v>0.32847222222222222</v>
      </c>
      <c r="U163" s="89">
        <v>0.39930555555555558</v>
      </c>
      <c r="V163" s="474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616"/>
      <c r="AC163" s="616"/>
      <c r="AD163" s="474"/>
      <c r="AE163" s="474"/>
      <c r="AF163" s="54">
        <f t="shared" si="61"/>
        <v>-49.529411764706765</v>
      </c>
      <c r="AG163" s="467">
        <f t="shared" si="62"/>
        <v>0.97798692810457477</v>
      </c>
      <c r="AH163" s="620"/>
    </row>
    <row r="164" spans="1:36" ht="19.2" customHeight="1">
      <c r="A164" s="619"/>
      <c r="B164" s="121" t="s">
        <v>131</v>
      </c>
      <c r="C164" s="121"/>
      <c r="D164" s="273" t="s">
        <v>64</v>
      </c>
      <c r="E164" s="273"/>
      <c r="F164" s="363">
        <v>36.409999999999997</v>
      </c>
      <c r="G164" s="57">
        <v>5010.5999999999995</v>
      </c>
      <c r="H164" s="84">
        <f t="shared" si="104"/>
        <v>182435.94599999997</v>
      </c>
      <c r="I164" s="4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67">
        <f>O164/L164</f>
        <v>0.8685763813651135</v>
      </c>
      <c r="S164" s="620"/>
      <c r="T164" s="89">
        <v>0.43958333333333333</v>
      </c>
      <c r="U164" s="89">
        <v>0.52638888888888891</v>
      </c>
      <c r="V164" s="474">
        <v>5</v>
      </c>
      <c r="W164" s="90">
        <f t="shared" si="108"/>
        <v>125.00000000000003</v>
      </c>
      <c r="X164" s="96"/>
      <c r="Y164" s="96"/>
      <c r="Z164" s="54"/>
      <c r="AA164" s="54"/>
      <c r="AB164" s="616"/>
      <c r="AC164" s="616"/>
      <c r="AD164" s="474">
        <v>1</v>
      </c>
      <c r="AE164" s="474">
        <v>1</v>
      </c>
      <c r="AF164" s="54">
        <f>N164-K164</f>
        <v>-363.91200000000072</v>
      </c>
      <c r="AG164" s="467">
        <f>N164/K164</f>
        <v>0.8685763813651135</v>
      </c>
      <c r="AH164" s="620"/>
    </row>
    <row r="165" spans="1:36" ht="19.2" customHeight="1">
      <c r="A165" s="619"/>
      <c r="B165" s="121" t="s">
        <v>131</v>
      </c>
      <c r="C165" s="81"/>
      <c r="D165" s="82" t="s">
        <v>95</v>
      </c>
      <c r="E165" s="83"/>
      <c r="F165" s="360">
        <v>35.83</v>
      </c>
      <c r="G165" s="57">
        <v>1603.2</v>
      </c>
      <c r="H165" s="84">
        <f t="shared" si="104"/>
        <v>57442.655999999995</v>
      </c>
      <c r="I165" s="474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67">
        <f>O165/L165</f>
        <v>0.97163636363636363</v>
      </c>
      <c r="S165" s="620"/>
      <c r="T165" s="89">
        <v>0.54236111111111107</v>
      </c>
      <c r="U165" s="89">
        <v>0.57291666666666663</v>
      </c>
      <c r="V165" s="474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616"/>
      <c r="AC165" s="616"/>
      <c r="AD165" s="474"/>
      <c r="AE165" s="474"/>
      <c r="AF165" s="54">
        <f>N165-K165</f>
        <v>-63.818181818181984</v>
      </c>
      <c r="AG165" s="467">
        <f>N165/K165</f>
        <v>0.97163636363636352</v>
      </c>
      <c r="AH165" s="620"/>
    </row>
    <row r="166" spans="1:36" ht="19.2" customHeight="1">
      <c r="A166" s="619"/>
      <c r="B166" s="121" t="s">
        <v>131</v>
      </c>
      <c r="C166" s="121"/>
      <c r="D166" s="82" t="s">
        <v>64</v>
      </c>
      <c r="E166" s="83"/>
      <c r="F166" s="363">
        <v>36.409999999999997</v>
      </c>
      <c r="G166" s="57">
        <v>3340.4</v>
      </c>
      <c r="H166" s="84">
        <f t="shared" si="104"/>
        <v>121623.96399999999</v>
      </c>
      <c r="I166" s="47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67">
        <f>O166/L166</f>
        <v>0.86168291802094599</v>
      </c>
      <c r="S166" s="620"/>
      <c r="T166" s="89">
        <v>0.57777777777777772</v>
      </c>
      <c r="U166" s="89">
        <v>0.63611111111111107</v>
      </c>
      <c r="V166" s="474">
        <v>7</v>
      </c>
      <c r="W166" s="90">
        <f t="shared" si="108"/>
        <v>84.000000000000028</v>
      </c>
      <c r="X166" s="96"/>
      <c r="Y166" s="96"/>
      <c r="Z166" s="54"/>
      <c r="AA166" s="54"/>
      <c r="AB166" s="616"/>
      <c r="AC166" s="616"/>
      <c r="AD166" s="474"/>
      <c r="AE166" s="474"/>
      <c r="AF166" s="54">
        <f>N166-K166</f>
        <v>-383.00000000000091</v>
      </c>
      <c r="AG166" s="467">
        <f>N166/K166</f>
        <v>0.86168291802094588</v>
      </c>
      <c r="AH166" s="620"/>
    </row>
    <row r="167" spans="1:36" ht="19.2" customHeight="1">
      <c r="A167" s="619"/>
      <c r="B167" s="121">
        <v>0</v>
      </c>
      <c r="C167" s="121"/>
      <c r="D167" s="251"/>
      <c r="E167" s="60"/>
      <c r="F167" s="363" t="s">
        <v>133</v>
      </c>
      <c r="G167" s="57" t="s">
        <v>15</v>
      </c>
      <c r="H167" s="84"/>
      <c r="I167" s="474"/>
      <c r="J167" s="87"/>
      <c r="K167" s="57"/>
      <c r="L167" s="86"/>
      <c r="M167" s="87"/>
      <c r="N167" s="57"/>
      <c r="O167" s="86"/>
      <c r="P167" s="54"/>
      <c r="Q167" s="88"/>
      <c r="R167" s="467"/>
      <c r="S167" s="620"/>
      <c r="T167" s="89"/>
      <c r="U167" s="89"/>
      <c r="V167" s="474" t="s">
        <v>15</v>
      </c>
      <c r="W167" s="90">
        <f t="shared" si="108"/>
        <v>0</v>
      </c>
      <c r="X167" s="96"/>
      <c r="Y167" s="96"/>
      <c r="Z167" s="54"/>
      <c r="AA167" s="54"/>
      <c r="AB167" s="616"/>
      <c r="AC167" s="616"/>
      <c r="AD167" s="474"/>
      <c r="AE167" s="474"/>
      <c r="AF167" s="54">
        <f t="shared" si="61"/>
        <v>0</v>
      </c>
      <c r="AG167" s="467" t="e">
        <f t="shared" si="62"/>
        <v>#DIV/0!</v>
      </c>
      <c r="AH167" s="620"/>
    </row>
    <row r="168" spans="1:36" ht="19.2" customHeight="1">
      <c r="A168" s="619"/>
      <c r="B168" s="121">
        <v>0</v>
      </c>
      <c r="C168" s="121"/>
      <c r="D168" s="251"/>
      <c r="E168" s="60"/>
      <c r="F168" s="363" t="s">
        <v>133</v>
      </c>
      <c r="G168" s="57"/>
      <c r="H168" s="84">
        <f t="shared" si="104"/>
        <v>0</v>
      </c>
      <c r="I168" s="474"/>
      <c r="J168" s="87"/>
      <c r="K168" s="57"/>
      <c r="L168" s="86"/>
      <c r="M168" s="87"/>
      <c r="N168" s="57"/>
      <c r="O168" s="86"/>
      <c r="P168" s="54"/>
      <c r="Q168" s="88"/>
      <c r="R168" s="467"/>
      <c r="S168" s="620"/>
      <c r="T168" s="89"/>
      <c r="U168" s="89"/>
      <c r="V168" s="474"/>
      <c r="W168" s="90">
        <f t="shared" si="108"/>
        <v>0</v>
      </c>
      <c r="X168" s="96"/>
      <c r="Y168" s="96"/>
      <c r="Z168" s="54"/>
      <c r="AA168" s="54"/>
      <c r="AB168" s="616"/>
      <c r="AC168" s="616"/>
      <c r="AD168" s="474"/>
      <c r="AE168" s="474"/>
      <c r="AF168" s="54">
        <f t="shared" si="61"/>
        <v>0</v>
      </c>
      <c r="AG168" s="467" t="e">
        <f t="shared" si="62"/>
        <v>#DIV/0!</v>
      </c>
      <c r="AH168" s="620"/>
    </row>
    <row r="169" spans="1:36" ht="19.2" customHeight="1">
      <c r="A169" s="619"/>
      <c r="B169" s="121">
        <v>0</v>
      </c>
      <c r="C169" s="121"/>
      <c r="D169" s="251"/>
      <c r="E169" s="60"/>
      <c r="F169" s="363" t="s">
        <v>133</v>
      </c>
      <c r="G169" s="57"/>
      <c r="H169" s="84">
        <f t="shared" si="104"/>
        <v>0</v>
      </c>
      <c r="I169" s="474"/>
      <c r="J169" s="87"/>
      <c r="K169" s="57"/>
      <c r="L169" s="86"/>
      <c r="M169" s="87"/>
      <c r="N169" s="57"/>
      <c r="O169" s="86"/>
      <c r="P169" s="54"/>
      <c r="Q169" s="88"/>
      <c r="R169" s="467"/>
      <c r="S169" s="620"/>
      <c r="T169" s="89"/>
      <c r="U169" s="89"/>
      <c r="V169" s="474" t="s">
        <v>15</v>
      </c>
      <c r="W169" s="90">
        <f t="shared" si="108"/>
        <v>0</v>
      </c>
      <c r="X169" s="96"/>
      <c r="Y169" s="96"/>
      <c r="Z169" s="54"/>
      <c r="AA169" s="54"/>
      <c r="AB169" s="616"/>
      <c r="AC169" s="616"/>
      <c r="AD169" s="474"/>
      <c r="AE169" s="474"/>
      <c r="AF169" s="54">
        <f t="shared" si="61"/>
        <v>0</v>
      </c>
      <c r="AG169" s="467" t="e">
        <f t="shared" si="62"/>
        <v>#DIV/0!</v>
      </c>
      <c r="AH169" s="620"/>
    </row>
    <row r="170" spans="1:36" ht="19.2" customHeight="1">
      <c r="A170" s="619"/>
      <c r="B170" s="121">
        <v>0</v>
      </c>
      <c r="C170" s="121"/>
      <c r="D170" s="251"/>
      <c r="E170" s="60"/>
      <c r="F170" s="363" t="s">
        <v>133</v>
      </c>
      <c r="G170" s="57"/>
      <c r="H170" s="84">
        <f t="shared" si="104"/>
        <v>0</v>
      </c>
      <c r="I170" s="474"/>
      <c r="J170" s="87"/>
      <c r="K170" s="57"/>
      <c r="L170" s="86"/>
      <c r="M170" s="87"/>
      <c r="N170" s="57"/>
      <c r="O170" s="86"/>
      <c r="P170" s="54"/>
      <c r="Q170" s="88"/>
      <c r="R170" s="467"/>
      <c r="S170" s="620"/>
      <c r="T170" s="89"/>
      <c r="U170" s="89"/>
      <c r="V170" s="474"/>
      <c r="W170" s="90">
        <f t="shared" si="108"/>
        <v>0</v>
      </c>
      <c r="X170" s="96"/>
      <c r="Y170" s="96"/>
      <c r="Z170" s="54"/>
      <c r="AA170" s="54"/>
      <c r="AB170" s="616"/>
      <c r="AC170" s="616"/>
      <c r="AD170" s="474"/>
      <c r="AE170" s="474"/>
      <c r="AF170" s="54">
        <f t="shared" si="61"/>
        <v>0</v>
      </c>
      <c r="AG170" s="467" t="e">
        <f t="shared" si="62"/>
        <v>#DIV/0!</v>
      </c>
      <c r="AH170" s="620"/>
    </row>
    <row r="171" spans="1:36" ht="19.2" customHeight="1">
      <c r="A171" s="619"/>
      <c r="B171" s="121">
        <v>0</v>
      </c>
      <c r="C171" s="121"/>
      <c r="D171" s="251"/>
      <c r="E171" s="60"/>
      <c r="F171" s="363" t="s">
        <v>133</v>
      </c>
      <c r="G171" s="57"/>
      <c r="H171" s="84">
        <f t="shared" si="97"/>
        <v>0</v>
      </c>
      <c r="I171" s="474"/>
      <c r="J171" s="87"/>
      <c r="K171" s="57"/>
      <c r="L171" s="86"/>
      <c r="M171" s="87"/>
      <c r="N171" s="57"/>
      <c r="O171" s="86"/>
      <c r="P171" s="54"/>
      <c r="Q171" s="88"/>
      <c r="R171" s="467"/>
      <c r="S171" s="620"/>
      <c r="T171" s="89"/>
      <c r="U171" s="89"/>
      <c r="V171" s="474"/>
      <c r="W171" s="90">
        <f t="shared" si="108"/>
        <v>0</v>
      </c>
      <c r="X171" s="96"/>
      <c r="Y171" s="96"/>
      <c r="Z171" s="54"/>
      <c r="AA171" s="54"/>
      <c r="AB171" s="616"/>
      <c r="AC171" s="616"/>
      <c r="AD171" s="474"/>
      <c r="AE171" s="474"/>
      <c r="AF171" s="54"/>
      <c r="AG171" s="467"/>
      <c r="AH171" s="620"/>
    </row>
    <row r="172" spans="1:36" ht="19.2" customHeight="1">
      <c r="A172" s="619"/>
      <c r="B172" s="121">
        <v>0</v>
      </c>
      <c r="C172" s="121"/>
      <c r="D172" s="251"/>
      <c r="E172" s="60"/>
      <c r="F172" s="363" t="s">
        <v>133</v>
      </c>
      <c r="G172" s="57"/>
      <c r="H172" s="84">
        <f t="shared" si="97"/>
        <v>0</v>
      </c>
      <c r="I172" s="474"/>
      <c r="J172" s="87"/>
      <c r="K172" s="57"/>
      <c r="L172" s="86"/>
      <c r="M172" s="87"/>
      <c r="N172" s="57"/>
      <c r="O172" s="86"/>
      <c r="P172" s="54"/>
      <c r="Q172" s="88"/>
      <c r="R172" s="467"/>
      <c r="S172" s="620"/>
      <c r="T172" s="89"/>
      <c r="U172" s="89"/>
      <c r="V172" s="474"/>
      <c r="W172" s="90">
        <f t="shared" si="108"/>
        <v>0</v>
      </c>
      <c r="X172" s="96"/>
      <c r="Y172" s="96"/>
      <c r="Z172" s="54"/>
      <c r="AA172" s="54"/>
      <c r="AB172" s="616"/>
      <c r="AC172" s="616"/>
      <c r="AD172" s="474"/>
      <c r="AE172" s="474"/>
      <c r="AF172" s="54"/>
      <c r="AG172" s="467"/>
      <c r="AH172" s="620"/>
    </row>
    <row r="173" spans="1:36" ht="19.2" customHeight="1">
      <c r="A173" s="619"/>
      <c r="B173" s="121">
        <v>0</v>
      </c>
      <c r="C173" s="100" t="s">
        <v>421</v>
      </c>
      <c r="D173" s="617" t="s">
        <v>376</v>
      </c>
      <c r="E173" s="617"/>
      <c r="F173" s="361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J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62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18"/>
      <c r="AC173" s="618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67">
        <f t="shared" si="62"/>
        <v>0.93161615383906637</v>
      </c>
      <c r="AH173" s="62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211" priority="3106" operator="lessThan">
      <formula>0</formula>
    </cfRule>
  </conditionalFormatting>
  <conditionalFormatting sqref="AH57 AH70 S43 S123 S95 AH95 S5:S9 AH5:AH9 S134 AH17:AH18 S17:S18 S32 S82 AH82 S57:S70">
    <cfRule type="cellIs" dxfId="6210" priority="3105" operator="lessThan">
      <formula>0.8</formula>
    </cfRule>
  </conditionalFormatting>
  <conditionalFormatting sqref="R147 R173 R30 R121 R95 R43 R134 R82 R157:R159 R17:R18 R109:R118 R57:R70">
    <cfRule type="cellIs" dxfId="6209" priority="3103" operator="lessThan">
      <formula>0.8</formula>
    </cfRule>
    <cfRule type="cellIs" dxfId="6208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207" priority="3101" operator="greaterThan">
      <formula>1</formula>
    </cfRule>
    <cfRule type="cellIs" dxfId="6206" priority="3102" operator="lessThan">
      <formula>0.8</formula>
    </cfRule>
  </conditionalFormatting>
  <conditionalFormatting sqref="P147 P30 P121 P95 P43 P134 P82 P157:P159 P109:P118 P17:P28 P57:P70">
    <cfRule type="cellIs" dxfId="6205" priority="3100" operator="greaterThan">
      <formula>0</formula>
    </cfRule>
  </conditionalFormatting>
  <conditionalFormatting sqref="S161">
    <cfRule type="cellIs" dxfId="6204" priority="3099" operator="lessThan">
      <formula>0.8</formula>
    </cfRule>
  </conditionalFormatting>
  <conditionalFormatting sqref="Q161:Q167">
    <cfRule type="cellIs" dxfId="6203" priority="3098" operator="lessThan">
      <formula>0</formula>
    </cfRule>
  </conditionalFormatting>
  <conditionalFormatting sqref="R161:R167">
    <cfRule type="cellIs" dxfId="6202" priority="3096" operator="lessThan">
      <formula>0.8</formula>
    </cfRule>
    <cfRule type="cellIs" dxfId="6201" priority="3097" operator="greaterThan">
      <formula>1</formula>
    </cfRule>
  </conditionalFormatting>
  <conditionalFormatting sqref="R161:R167">
    <cfRule type="cellIs" dxfId="6200" priority="3094" operator="greaterThan">
      <formula>1</formula>
    </cfRule>
    <cfRule type="cellIs" dxfId="6199" priority="3095" operator="lessThan">
      <formula>0.8</formula>
    </cfRule>
  </conditionalFormatting>
  <conditionalFormatting sqref="P161:P167">
    <cfRule type="cellIs" dxfId="6198" priority="3093" operator="greaterThan">
      <formula>0</formula>
    </cfRule>
  </conditionalFormatting>
  <conditionalFormatting sqref="Q169:Q172 AF161:AF172">
    <cfRule type="cellIs" dxfId="6197" priority="3092" operator="lessThan">
      <formula>0</formula>
    </cfRule>
  </conditionalFormatting>
  <conditionalFormatting sqref="R169:R172">
    <cfRule type="cellIs" dxfId="6196" priority="3090" operator="lessThan">
      <formula>0.8</formula>
    </cfRule>
    <cfRule type="cellIs" dxfId="6195" priority="3091" operator="greaterThan">
      <formula>1</formula>
    </cfRule>
  </conditionalFormatting>
  <conditionalFormatting sqref="R169:R172 AG161:AG172">
    <cfRule type="cellIs" dxfId="6194" priority="3088" operator="greaterThan">
      <formula>1</formula>
    </cfRule>
    <cfRule type="cellIs" dxfId="6193" priority="3089" operator="lessThan">
      <formula>0.8</formula>
    </cfRule>
  </conditionalFormatting>
  <conditionalFormatting sqref="P169:P172">
    <cfRule type="cellIs" dxfId="6192" priority="3087" operator="greaterThan">
      <formula>0</formula>
    </cfRule>
  </conditionalFormatting>
  <conditionalFormatting sqref="AF145">
    <cfRule type="cellIs" dxfId="6191" priority="3086" operator="lessThan">
      <formula>0</formula>
    </cfRule>
  </conditionalFormatting>
  <conditionalFormatting sqref="AG145">
    <cfRule type="cellIs" dxfId="6190" priority="3084" operator="greaterThan">
      <formula>1</formula>
    </cfRule>
    <cfRule type="cellIs" dxfId="6189" priority="3085" operator="lessThan">
      <formula>0.8</formula>
    </cfRule>
  </conditionalFormatting>
  <conditionalFormatting sqref="AF44:AF54">
    <cfRule type="cellIs" dxfId="6188" priority="3083" operator="lessThan">
      <formula>0</formula>
    </cfRule>
  </conditionalFormatting>
  <conditionalFormatting sqref="AG44:AG54">
    <cfRule type="cellIs" dxfId="6187" priority="3081" operator="greaterThan">
      <formula>1</formula>
    </cfRule>
    <cfRule type="cellIs" dxfId="6186" priority="3082" operator="lessThan">
      <formula>0.8</formula>
    </cfRule>
  </conditionalFormatting>
  <conditionalFormatting sqref="AF83:AF94">
    <cfRule type="cellIs" dxfId="6185" priority="3080" operator="lessThan">
      <formula>0</formula>
    </cfRule>
  </conditionalFormatting>
  <conditionalFormatting sqref="AH83">
    <cfRule type="cellIs" dxfId="6184" priority="3079" operator="lessThan">
      <formula>0.8</formula>
    </cfRule>
  </conditionalFormatting>
  <conditionalFormatting sqref="AG83:AG94">
    <cfRule type="cellIs" dxfId="6183" priority="3077" operator="greaterThan">
      <formula>1</formula>
    </cfRule>
    <cfRule type="cellIs" dxfId="6182" priority="3078" operator="lessThan">
      <formula>0.8</formula>
    </cfRule>
  </conditionalFormatting>
  <conditionalFormatting sqref="S83">
    <cfRule type="cellIs" dxfId="6181" priority="3076" operator="lessThan">
      <formula>0.8</formula>
    </cfRule>
  </conditionalFormatting>
  <conditionalFormatting sqref="AH84">
    <cfRule type="cellIs" dxfId="6180" priority="3075" operator="lessThan">
      <formula>0.8</formula>
    </cfRule>
  </conditionalFormatting>
  <conditionalFormatting sqref="S84">
    <cfRule type="cellIs" dxfId="6179" priority="3074" operator="lessThan">
      <formula>0.8</formula>
    </cfRule>
  </conditionalFormatting>
  <conditionalFormatting sqref="S90">
    <cfRule type="cellIs" dxfId="6178" priority="3073" operator="lessThan">
      <formula>0.8</formula>
    </cfRule>
  </conditionalFormatting>
  <conditionalFormatting sqref="AH90">
    <cfRule type="cellIs" dxfId="6177" priority="3072" operator="lessThan">
      <formula>0.8</formula>
    </cfRule>
  </conditionalFormatting>
  <conditionalFormatting sqref="AF122">
    <cfRule type="cellIs" dxfId="6176" priority="3071" operator="lessThan">
      <formula>0</formula>
    </cfRule>
  </conditionalFormatting>
  <conditionalFormatting sqref="S122">
    <cfRule type="cellIs" dxfId="6175" priority="3070" operator="lessThan">
      <formula>0.8</formula>
    </cfRule>
  </conditionalFormatting>
  <conditionalFormatting sqref="AG122">
    <cfRule type="cellIs" dxfId="6174" priority="3068" operator="greaterThan">
      <formula>1</formula>
    </cfRule>
    <cfRule type="cellIs" dxfId="6173" priority="3069" operator="lessThan">
      <formula>0.8</formula>
    </cfRule>
  </conditionalFormatting>
  <conditionalFormatting sqref="P162:P168">
    <cfRule type="cellIs" dxfId="6172" priority="3062" operator="greaterThan">
      <formula>0</formula>
    </cfRule>
  </conditionalFormatting>
  <conditionalFormatting sqref="R162:R168">
    <cfRule type="cellIs" dxfId="6171" priority="3065" operator="lessThan">
      <formula>0.8</formula>
    </cfRule>
    <cfRule type="cellIs" dxfId="6170" priority="3066" operator="greaterThan">
      <formula>1</formula>
    </cfRule>
  </conditionalFormatting>
  <conditionalFormatting sqref="R162:R168">
    <cfRule type="cellIs" dxfId="6169" priority="3063" operator="greaterThan">
      <formula>1</formula>
    </cfRule>
    <cfRule type="cellIs" dxfId="6168" priority="3064" operator="lessThan">
      <formula>0.8</formula>
    </cfRule>
  </conditionalFormatting>
  <conditionalFormatting sqref="Q162:Q168">
    <cfRule type="cellIs" dxfId="6167" priority="3067" operator="lessThan">
      <formula>0</formula>
    </cfRule>
  </conditionalFormatting>
  <conditionalFormatting sqref="P132:P133">
    <cfRule type="cellIs" dxfId="6166" priority="3055" operator="greaterThan">
      <formula>0</formula>
    </cfRule>
  </conditionalFormatting>
  <conditionalFormatting sqref="AF124 Q132:Q133 AF132:AF133 AF126:AF127 AF129:AF130">
    <cfRule type="cellIs" dxfId="6165" priority="3061" operator="lessThan">
      <formula>0</formula>
    </cfRule>
  </conditionalFormatting>
  <conditionalFormatting sqref="S124:S133">
    <cfRule type="cellIs" dxfId="6164" priority="3060" operator="lessThan">
      <formula>0.8</formula>
    </cfRule>
  </conditionalFormatting>
  <conditionalFormatting sqref="R132:R133">
    <cfRule type="cellIs" dxfId="6163" priority="3058" operator="lessThan">
      <formula>0.8</formula>
    </cfRule>
    <cfRule type="cellIs" dxfId="6162" priority="3059" operator="greaterThan">
      <formula>1</formula>
    </cfRule>
  </conditionalFormatting>
  <conditionalFormatting sqref="AG124 R132:R133 AG132:AG133 AG126:AG127 AG129:AG130">
    <cfRule type="cellIs" dxfId="6161" priority="3056" operator="greaterThan">
      <formula>1</formula>
    </cfRule>
    <cfRule type="cellIs" dxfId="6160" priority="3057" operator="lessThan">
      <formula>0.8</formula>
    </cfRule>
  </conditionalFormatting>
  <conditionalFormatting sqref="AH109">
    <cfRule type="cellIs" dxfId="6159" priority="3054" operator="lessThan">
      <formula>0.8</formula>
    </cfRule>
  </conditionalFormatting>
  <conditionalFormatting sqref="R160 AG160">
    <cfRule type="cellIs" dxfId="6158" priority="3049" operator="greaterThan">
      <formula>1</formula>
    </cfRule>
    <cfRule type="cellIs" dxfId="6157" priority="3050" operator="lessThan">
      <formula>0.8</formula>
    </cfRule>
  </conditionalFormatting>
  <conditionalFormatting sqref="R160">
    <cfRule type="cellIs" dxfId="6156" priority="3051" operator="lessThan">
      <formula>0.8</formula>
    </cfRule>
    <cfRule type="cellIs" dxfId="6155" priority="3052" operator="greaterThan">
      <formula>1</formula>
    </cfRule>
  </conditionalFormatting>
  <conditionalFormatting sqref="P160">
    <cfRule type="cellIs" dxfId="6154" priority="3048" operator="greaterThan">
      <formula>0</formula>
    </cfRule>
  </conditionalFormatting>
  <conditionalFormatting sqref="AH148">
    <cfRule type="cellIs" dxfId="6153" priority="3047" operator="lessThan">
      <formula>0.8</formula>
    </cfRule>
  </conditionalFormatting>
  <conditionalFormatting sqref="Q160 AF160">
    <cfRule type="cellIs" dxfId="6152" priority="3053" operator="lessThan">
      <formula>0</formula>
    </cfRule>
  </conditionalFormatting>
  <conditionalFormatting sqref="AF148:AF154">
    <cfRule type="cellIs" dxfId="6151" priority="3046" operator="lessThan">
      <formula>0</formula>
    </cfRule>
  </conditionalFormatting>
  <conditionalFormatting sqref="S148">
    <cfRule type="cellIs" dxfId="6150" priority="3045" operator="lessThan">
      <formula>0.8</formula>
    </cfRule>
  </conditionalFormatting>
  <conditionalFormatting sqref="AG148:AG154">
    <cfRule type="cellIs" dxfId="6149" priority="3043" operator="greaterThan">
      <formula>1</formula>
    </cfRule>
    <cfRule type="cellIs" dxfId="6148" priority="3044" operator="lessThan">
      <formula>0.8</formula>
    </cfRule>
  </conditionalFormatting>
  <conditionalFormatting sqref="S86">
    <cfRule type="cellIs" dxfId="6147" priority="3042" operator="lessThan">
      <formula>0.8</formula>
    </cfRule>
  </conditionalFormatting>
  <conditionalFormatting sqref="S88 AH88">
    <cfRule type="cellIs" dxfId="6146" priority="3037" operator="lessThan">
      <formula>0.8</formula>
    </cfRule>
  </conditionalFormatting>
  <conditionalFormatting sqref="AH86">
    <cfRule type="cellIs" dxfId="6145" priority="3041" operator="lessThan">
      <formula>0.8</formula>
    </cfRule>
  </conditionalFormatting>
  <conditionalFormatting sqref="S87">
    <cfRule type="cellIs" dxfId="6144" priority="3040" operator="lessThan">
      <formula>0.8</formula>
    </cfRule>
  </conditionalFormatting>
  <conditionalFormatting sqref="AH87">
    <cfRule type="cellIs" dxfId="6143" priority="3039" operator="lessThan">
      <formula>0.8</formula>
    </cfRule>
  </conditionalFormatting>
  <conditionalFormatting sqref="S89 AH89">
    <cfRule type="cellIs" dxfId="6142" priority="3038" operator="lessThan">
      <formula>0.8</formula>
    </cfRule>
  </conditionalFormatting>
  <conditionalFormatting sqref="AF31 AF35 AF39">
    <cfRule type="cellIs" dxfId="6141" priority="3036" operator="lessThan">
      <formula>0</formula>
    </cfRule>
  </conditionalFormatting>
  <conditionalFormatting sqref="AH31 S31">
    <cfRule type="cellIs" dxfId="6140" priority="3035" operator="lessThan">
      <formula>0.8</formula>
    </cfRule>
  </conditionalFormatting>
  <conditionalFormatting sqref="AG31 AG35 AG39">
    <cfRule type="cellIs" dxfId="6139" priority="3033" operator="greaterThan">
      <formula>1</formula>
    </cfRule>
    <cfRule type="cellIs" dxfId="6138" priority="3034" operator="lessThan">
      <formula>0.8</formula>
    </cfRule>
  </conditionalFormatting>
  <conditionalFormatting sqref="AF135">
    <cfRule type="cellIs" dxfId="6137" priority="3032" operator="lessThan">
      <formula>0</formula>
    </cfRule>
  </conditionalFormatting>
  <conditionalFormatting sqref="AH135 S135">
    <cfRule type="cellIs" dxfId="6136" priority="3031" operator="lessThan">
      <formula>0.8</formula>
    </cfRule>
  </conditionalFormatting>
  <conditionalFormatting sqref="AG135">
    <cfRule type="cellIs" dxfId="6135" priority="3029" operator="greaterThan">
      <formula>1</formula>
    </cfRule>
    <cfRule type="cellIs" dxfId="6134" priority="3030" operator="lessThan">
      <formula>0.8</formula>
    </cfRule>
  </conditionalFormatting>
  <conditionalFormatting sqref="AF108 Q108">
    <cfRule type="cellIs" dxfId="6133" priority="3028" operator="lessThan">
      <formula>0</formula>
    </cfRule>
  </conditionalFormatting>
  <conditionalFormatting sqref="R108">
    <cfRule type="cellIs" dxfId="6132" priority="3026" operator="lessThan">
      <formula>0.8</formula>
    </cfRule>
    <cfRule type="cellIs" dxfId="6131" priority="3027" operator="greaterThan">
      <formula>1</formula>
    </cfRule>
  </conditionalFormatting>
  <conditionalFormatting sqref="AG108 R108">
    <cfRule type="cellIs" dxfId="6130" priority="3024" operator="greaterThan">
      <formula>1</formula>
    </cfRule>
    <cfRule type="cellIs" dxfId="6129" priority="3025" operator="lessThan">
      <formula>0.8</formula>
    </cfRule>
  </conditionalFormatting>
  <conditionalFormatting sqref="P108">
    <cfRule type="cellIs" dxfId="6128" priority="3023" operator="greaterThan">
      <formula>0</formula>
    </cfRule>
  </conditionalFormatting>
  <conditionalFormatting sqref="AH97">
    <cfRule type="cellIs" dxfId="6127" priority="3018" operator="lessThan">
      <formula>0.8</formula>
    </cfRule>
  </conditionalFormatting>
  <conditionalFormatting sqref="AG96 AG98 AG100 AG102:AG103 AG105:AG106">
    <cfRule type="cellIs" dxfId="6126" priority="3020" operator="greaterThan">
      <formula>1</formula>
    </cfRule>
    <cfRule type="cellIs" dxfId="6125" priority="3021" operator="lessThan">
      <formula>0.8</formula>
    </cfRule>
  </conditionalFormatting>
  <conditionalFormatting sqref="AF96 AF98 AF100 AF102:AF103 AF105:AF106">
    <cfRule type="cellIs" dxfId="6124" priority="3022" operator="lessThan">
      <formula>0</formula>
    </cfRule>
  </conditionalFormatting>
  <conditionalFormatting sqref="AG97 AG99 AG101 AG104">
    <cfRule type="cellIs" dxfId="6123" priority="3016" operator="greaterThan">
      <formula>1</formula>
    </cfRule>
    <cfRule type="cellIs" dxfId="6122" priority="3017" operator="lessThan">
      <formula>0.8</formula>
    </cfRule>
  </conditionalFormatting>
  <conditionalFormatting sqref="AF97 AF99 AF101 AF104">
    <cfRule type="cellIs" dxfId="6121" priority="3019" operator="lessThan">
      <formula>0</formula>
    </cfRule>
  </conditionalFormatting>
  <conditionalFormatting sqref="AF71 AF73 AF75 AF79 AF77">
    <cfRule type="cellIs" dxfId="6120" priority="3013" operator="lessThan">
      <formula>0</formula>
    </cfRule>
  </conditionalFormatting>
  <conditionalFormatting sqref="S71 AH71">
    <cfRule type="cellIs" dxfId="6119" priority="3012" operator="lessThan">
      <formula>0.8</formula>
    </cfRule>
  </conditionalFormatting>
  <conditionalFormatting sqref="AG71 AG73 AG75 AG79 AG77">
    <cfRule type="cellIs" dxfId="6118" priority="3010" operator="greaterThan">
      <formula>1</formula>
    </cfRule>
    <cfRule type="cellIs" dxfId="6117" priority="3011" operator="lessThan">
      <formula>0.8</formula>
    </cfRule>
  </conditionalFormatting>
  <conditionalFormatting sqref="AF72 AF76 AF80">
    <cfRule type="cellIs" dxfId="6116" priority="3009" operator="lessThan">
      <formula>0</formula>
    </cfRule>
  </conditionalFormatting>
  <conditionalFormatting sqref="S72 AH72">
    <cfRule type="cellIs" dxfId="6115" priority="3008" operator="lessThan">
      <formula>0.8</formula>
    </cfRule>
  </conditionalFormatting>
  <conditionalFormatting sqref="S11">
    <cfRule type="cellIs" dxfId="6114" priority="3015" operator="lessThan">
      <formula>0.8</formula>
    </cfRule>
  </conditionalFormatting>
  <conditionalFormatting sqref="S10">
    <cfRule type="cellIs" dxfId="6113" priority="3014" operator="lessThan">
      <formula>0.8</formula>
    </cfRule>
  </conditionalFormatting>
  <conditionalFormatting sqref="AG72 AG76 AG80">
    <cfRule type="cellIs" dxfId="6112" priority="3006" operator="greaterThan">
      <formula>1</formula>
    </cfRule>
    <cfRule type="cellIs" dxfId="6111" priority="3007" operator="lessThan">
      <formula>0.8</formula>
    </cfRule>
  </conditionalFormatting>
  <conditionalFormatting sqref="AF14:AF16 Q15:Q16">
    <cfRule type="cellIs" dxfId="6110" priority="3005" operator="lessThan">
      <formula>0</formula>
    </cfRule>
  </conditionalFormatting>
  <conditionalFormatting sqref="R15:R16">
    <cfRule type="cellIs" dxfId="6109" priority="3003" operator="lessThan">
      <formula>0.8</formula>
    </cfRule>
    <cfRule type="cellIs" dxfId="6108" priority="3004" operator="greaterThan">
      <formula>1</formula>
    </cfRule>
  </conditionalFormatting>
  <conditionalFormatting sqref="R15:R16">
    <cfRule type="cellIs" dxfId="6107" priority="3001" operator="greaterThan">
      <formula>1</formula>
    </cfRule>
    <cfRule type="cellIs" dxfId="6106" priority="3002" operator="lessThan">
      <formula>0.8</formula>
    </cfRule>
  </conditionalFormatting>
  <conditionalFormatting sqref="P15:P16">
    <cfRule type="cellIs" dxfId="6105" priority="3000" operator="greaterThan">
      <formula>0</formula>
    </cfRule>
  </conditionalFormatting>
  <conditionalFormatting sqref="AH98">
    <cfRule type="cellIs" dxfId="6104" priority="2999" operator="lessThan">
      <formula>0.8</formula>
    </cfRule>
  </conditionalFormatting>
  <conditionalFormatting sqref="AF33 AF37">
    <cfRule type="cellIs" dxfId="6103" priority="2998" operator="lessThan">
      <formula>0</formula>
    </cfRule>
  </conditionalFormatting>
  <conditionalFormatting sqref="AG33 AG37">
    <cfRule type="cellIs" dxfId="6102" priority="2996" operator="greaterThan">
      <formula>1</formula>
    </cfRule>
    <cfRule type="cellIs" dxfId="6101" priority="2997" operator="lessThan">
      <formula>0.8</formula>
    </cfRule>
  </conditionalFormatting>
  <conditionalFormatting sqref="P41:P42">
    <cfRule type="cellIs" dxfId="6100" priority="2990" operator="greaterThan">
      <formula>0</formula>
    </cfRule>
  </conditionalFormatting>
  <conditionalFormatting sqref="Q41:Q42 AF34 AF41:AF42 AF38">
    <cfRule type="cellIs" dxfId="6099" priority="2995" operator="lessThan">
      <formula>0</formula>
    </cfRule>
  </conditionalFormatting>
  <conditionalFormatting sqref="R41:R42">
    <cfRule type="cellIs" dxfId="6098" priority="2993" operator="lessThan">
      <formula>0.8</formula>
    </cfRule>
    <cfRule type="cellIs" dxfId="6097" priority="2994" operator="greaterThan">
      <formula>1</formula>
    </cfRule>
  </conditionalFormatting>
  <conditionalFormatting sqref="R41:R42 AG34 AG41:AG42 AG38">
    <cfRule type="cellIs" dxfId="6096" priority="2991" operator="greaterThan">
      <formula>1</formula>
    </cfRule>
    <cfRule type="cellIs" dxfId="6095" priority="2992" operator="lessThan">
      <formula>0.8</formula>
    </cfRule>
  </conditionalFormatting>
  <conditionalFormatting sqref="AF137:AF144">
    <cfRule type="cellIs" dxfId="6094" priority="2989" operator="lessThan">
      <formula>0</formula>
    </cfRule>
  </conditionalFormatting>
  <conditionalFormatting sqref="AH137 S137">
    <cfRule type="cellIs" dxfId="6093" priority="2988" operator="lessThan">
      <formula>0.8</formula>
    </cfRule>
  </conditionalFormatting>
  <conditionalFormatting sqref="AG137:AG144">
    <cfRule type="cellIs" dxfId="6092" priority="2986" operator="greaterThan">
      <formula>1</formula>
    </cfRule>
    <cfRule type="cellIs" dxfId="6091" priority="2987" operator="lessThan">
      <formula>0.8</formula>
    </cfRule>
  </conditionalFormatting>
  <conditionalFormatting sqref="AF55">
    <cfRule type="cellIs" dxfId="6090" priority="2985" operator="lessThan">
      <formula>0</formula>
    </cfRule>
  </conditionalFormatting>
  <conditionalFormatting sqref="AG55">
    <cfRule type="cellIs" dxfId="6089" priority="2983" operator="greaterThan">
      <formula>1</formula>
    </cfRule>
    <cfRule type="cellIs" dxfId="6088" priority="2984" operator="lessThan">
      <formula>0.8</formula>
    </cfRule>
  </conditionalFormatting>
  <conditionalFormatting sqref="AF56 Q56">
    <cfRule type="cellIs" dxfId="6087" priority="2982" operator="lessThan">
      <formula>0</formula>
    </cfRule>
  </conditionalFormatting>
  <conditionalFormatting sqref="R56">
    <cfRule type="cellIs" dxfId="6086" priority="2980" operator="lessThan">
      <formula>0.8</formula>
    </cfRule>
    <cfRule type="cellIs" dxfId="6085" priority="2981" operator="greaterThan">
      <formula>1</formula>
    </cfRule>
  </conditionalFormatting>
  <conditionalFormatting sqref="AG56 R56">
    <cfRule type="cellIs" dxfId="6084" priority="2978" operator="greaterThan">
      <formula>1</formula>
    </cfRule>
    <cfRule type="cellIs" dxfId="6083" priority="2979" operator="lessThan">
      <formula>0.8</formula>
    </cfRule>
  </conditionalFormatting>
  <conditionalFormatting sqref="P56">
    <cfRule type="cellIs" dxfId="6082" priority="2977" operator="greaterThan">
      <formula>0</formula>
    </cfRule>
  </conditionalFormatting>
  <conditionalFormatting sqref="P53:P55">
    <cfRule type="cellIs" dxfId="6081" priority="2971" operator="greaterThan">
      <formula>0</formula>
    </cfRule>
  </conditionalFormatting>
  <conditionalFormatting sqref="Q53:Q55">
    <cfRule type="cellIs" dxfId="6080" priority="2976" operator="lessThan">
      <formula>0</formula>
    </cfRule>
  </conditionalFormatting>
  <conditionalFormatting sqref="R53:R55">
    <cfRule type="cellIs" dxfId="6079" priority="2974" operator="lessThan">
      <formula>0.8</formula>
    </cfRule>
    <cfRule type="cellIs" dxfId="6078" priority="2975" operator="greaterThan">
      <formula>1</formula>
    </cfRule>
  </conditionalFormatting>
  <conditionalFormatting sqref="R53:R55">
    <cfRule type="cellIs" dxfId="6077" priority="2972" operator="greaterThan">
      <formula>1</formula>
    </cfRule>
    <cfRule type="cellIs" dxfId="6076" priority="2973" operator="lessThan">
      <formula>0.8</formula>
    </cfRule>
  </conditionalFormatting>
  <conditionalFormatting sqref="P80:P81">
    <cfRule type="cellIs" dxfId="6075" priority="2965" operator="greaterThan">
      <formula>0</formula>
    </cfRule>
  </conditionalFormatting>
  <conditionalFormatting sqref="AF81 Q80:Q81">
    <cfRule type="cellIs" dxfId="6074" priority="2970" operator="lessThan">
      <formula>0</formula>
    </cfRule>
  </conditionalFormatting>
  <conditionalFormatting sqref="R80:R81">
    <cfRule type="cellIs" dxfId="6073" priority="2968" operator="lessThan">
      <formula>0.8</formula>
    </cfRule>
    <cfRule type="cellIs" dxfId="6072" priority="2969" operator="greaterThan">
      <formula>1</formula>
    </cfRule>
  </conditionalFormatting>
  <conditionalFormatting sqref="AG81 R80:R81">
    <cfRule type="cellIs" dxfId="6071" priority="2966" operator="greaterThan">
      <formula>1</formula>
    </cfRule>
    <cfRule type="cellIs" dxfId="6070" priority="2967" operator="lessThan">
      <formula>0.8</formula>
    </cfRule>
  </conditionalFormatting>
  <conditionalFormatting sqref="AH85">
    <cfRule type="cellIs" dxfId="6069" priority="2964" operator="lessThan">
      <formula>0.8</formula>
    </cfRule>
  </conditionalFormatting>
  <conditionalFormatting sqref="S85">
    <cfRule type="cellIs" dxfId="6068" priority="2963" operator="lessThan">
      <formula>0.8</formula>
    </cfRule>
  </conditionalFormatting>
  <conditionalFormatting sqref="AF107">
    <cfRule type="cellIs" dxfId="6067" priority="2962" operator="lessThan">
      <formula>0</formula>
    </cfRule>
  </conditionalFormatting>
  <conditionalFormatting sqref="AH100:AH107">
    <cfRule type="cellIs" dxfId="6066" priority="2961" operator="lessThan">
      <formula>0.8</formula>
    </cfRule>
  </conditionalFormatting>
  <conditionalFormatting sqref="AG107">
    <cfRule type="cellIs" dxfId="6065" priority="2959" operator="greaterThan">
      <formula>1</formula>
    </cfRule>
    <cfRule type="cellIs" dxfId="6064" priority="2960" operator="lessThan">
      <formula>0.8</formula>
    </cfRule>
  </conditionalFormatting>
  <conditionalFormatting sqref="P106:P107">
    <cfRule type="cellIs" dxfId="6063" priority="2953" operator="greaterThan">
      <formula>0</formula>
    </cfRule>
  </conditionalFormatting>
  <conditionalFormatting sqref="Q106:Q107">
    <cfRule type="cellIs" dxfId="6062" priority="2958" operator="lessThan">
      <formula>0</formula>
    </cfRule>
  </conditionalFormatting>
  <conditionalFormatting sqref="R106:R107">
    <cfRule type="cellIs" dxfId="6061" priority="2956" operator="lessThan">
      <formula>0.8</formula>
    </cfRule>
    <cfRule type="cellIs" dxfId="6060" priority="2957" operator="greaterThan">
      <formula>1</formula>
    </cfRule>
  </conditionalFormatting>
  <conditionalFormatting sqref="R106:R107">
    <cfRule type="cellIs" dxfId="6059" priority="2954" operator="greaterThan">
      <formula>1</formula>
    </cfRule>
    <cfRule type="cellIs" dxfId="6058" priority="2955" operator="lessThan">
      <formula>0.8</formula>
    </cfRule>
  </conditionalFormatting>
  <conditionalFormatting sqref="AF109:AF120">
    <cfRule type="cellIs" dxfId="6057" priority="2952" operator="lessThan">
      <formula>0</formula>
    </cfRule>
  </conditionalFormatting>
  <conditionalFormatting sqref="S109">
    <cfRule type="cellIs" dxfId="6056" priority="2951" operator="lessThan">
      <formula>0.8</formula>
    </cfRule>
  </conditionalFormatting>
  <conditionalFormatting sqref="AG109:AG120">
    <cfRule type="cellIs" dxfId="6055" priority="2949" operator="greaterThan">
      <formula>1</formula>
    </cfRule>
    <cfRule type="cellIs" dxfId="6054" priority="2950" operator="lessThan">
      <formula>0.8</formula>
    </cfRule>
  </conditionalFormatting>
  <conditionalFormatting sqref="S150">
    <cfRule type="cellIs" dxfId="6053" priority="2948" operator="lessThan">
      <formula>0.8</formula>
    </cfRule>
  </conditionalFormatting>
  <conditionalFormatting sqref="AH150">
    <cfRule type="cellIs" dxfId="6052" priority="2947" operator="lessThan">
      <formula>0.8</formula>
    </cfRule>
  </conditionalFormatting>
  <conditionalFormatting sqref="S149">
    <cfRule type="cellIs" dxfId="6051" priority="2946" operator="lessThan">
      <formula>0.8</formula>
    </cfRule>
  </conditionalFormatting>
  <conditionalFormatting sqref="Q26:Q29">
    <cfRule type="cellIs" dxfId="6050" priority="2945" operator="lessThan">
      <formula>0</formula>
    </cfRule>
  </conditionalFormatting>
  <conditionalFormatting sqref="S21:S29 AH21:AH29">
    <cfRule type="cellIs" dxfId="6049" priority="2944" operator="lessThan">
      <formula>0.8</formula>
    </cfRule>
  </conditionalFormatting>
  <conditionalFormatting sqref="R26:R29">
    <cfRule type="cellIs" dxfId="6048" priority="2942" operator="lessThan">
      <formula>0.8</formula>
    </cfRule>
    <cfRule type="cellIs" dxfId="6047" priority="2943" operator="greaterThan">
      <formula>1</formula>
    </cfRule>
  </conditionalFormatting>
  <conditionalFormatting sqref="R26:R29">
    <cfRule type="cellIs" dxfId="6046" priority="2940" operator="greaterThan">
      <formula>1</formula>
    </cfRule>
    <cfRule type="cellIs" dxfId="6045" priority="2941" operator="lessThan">
      <formula>0.8</formula>
    </cfRule>
  </conditionalFormatting>
  <conditionalFormatting sqref="P29">
    <cfRule type="cellIs" dxfId="6044" priority="2939" operator="greaterThan">
      <formula>0</formula>
    </cfRule>
  </conditionalFormatting>
  <conditionalFormatting sqref="AH91 S91">
    <cfRule type="cellIs" dxfId="6043" priority="2938" operator="lessThan">
      <formula>0.8</formula>
    </cfRule>
  </conditionalFormatting>
  <conditionalFormatting sqref="P92:P94">
    <cfRule type="cellIs" dxfId="6042" priority="2932" operator="greaterThan">
      <formula>0</formula>
    </cfRule>
  </conditionalFormatting>
  <conditionalFormatting sqref="Q92:Q94">
    <cfRule type="cellIs" dxfId="6041" priority="2937" operator="lessThan">
      <formula>0</formula>
    </cfRule>
  </conditionalFormatting>
  <conditionalFormatting sqref="R92:R94">
    <cfRule type="cellIs" dxfId="6040" priority="2935" operator="lessThan">
      <formula>0.8</formula>
    </cfRule>
    <cfRule type="cellIs" dxfId="6039" priority="2936" operator="greaterThan">
      <formula>1</formula>
    </cfRule>
  </conditionalFormatting>
  <conditionalFormatting sqref="R92:R94">
    <cfRule type="cellIs" dxfId="6038" priority="2933" operator="greaterThan">
      <formula>1</formula>
    </cfRule>
    <cfRule type="cellIs" dxfId="6037" priority="2934" operator="lessThan">
      <formula>0.8</formula>
    </cfRule>
  </conditionalFormatting>
  <conditionalFormatting sqref="AF146 Q146">
    <cfRule type="cellIs" dxfId="6036" priority="2931" operator="lessThan">
      <formula>0</formula>
    </cfRule>
  </conditionalFormatting>
  <conditionalFormatting sqref="AH139:AH146 S139:S146">
    <cfRule type="cellIs" dxfId="6035" priority="2930" operator="lessThan">
      <formula>0.8</formula>
    </cfRule>
  </conditionalFormatting>
  <conditionalFormatting sqref="R146">
    <cfRule type="cellIs" dxfId="6034" priority="2928" operator="lessThan">
      <formula>0.8</formula>
    </cfRule>
    <cfRule type="cellIs" dxfId="6033" priority="2929" operator="greaterThan">
      <formula>1</formula>
    </cfRule>
  </conditionalFormatting>
  <conditionalFormatting sqref="AG146 R146">
    <cfRule type="cellIs" dxfId="6032" priority="2926" operator="greaterThan">
      <formula>1</formula>
    </cfRule>
    <cfRule type="cellIs" dxfId="6031" priority="2927" operator="lessThan">
      <formula>0.8</formula>
    </cfRule>
  </conditionalFormatting>
  <conditionalFormatting sqref="P146">
    <cfRule type="cellIs" dxfId="6030" priority="2925" operator="greaterThan">
      <formula>0</formula>
    </cfRule>
  </conditionalFormatting>
  <conditionalFormatting sqref="Q119:Q120">
    <cfRule type="cellIs" dxfId="6029" priority="2924" operator="lessThan">
      <formula>0</formula>
    </cfRule>
  </conditionalFormatting>
  <conditionalFormatting sqref="R119:R120">
    <cfRule type="cellIs" dxfId="6028" priority="2922" operator="lessThan">
      <formula>0.8</formula>
    </cfRule>
    <cfRule type="cellIs" dxfId="6027" priority="2923" operator="greaterThan">
      <formula>1</formula>
    </cfRule>
  </conditionalFormatting>
  <conditionalFormatting sqref="R119:R120">
    <cfRule type="cellIs" dxfId="6026" priority="2920" operator="greaterThan">
      <formula>1</formula>
    </cfRule>
    <cfRule type="cellIs" dxfId="6025" priority="2921" operator="lessThan">
      <formula>0.8</formula>
    </cfRule>
  </conditionalFormatting>
  <conditionalFormatting sqref="P119:P120">
    <cfRule type="cellIs" dxfId="6024" priority="2919" operator="greaterThan">
      <formula>0</formula>
    </cfRule>
  </conditionalFormatting>
  <conditionalFormatting sqref="S44:S56">
    <cfRule type="cellIs" dxfId="6023" priority="2918" operator="lessThan">
      <formula>0.8</formula>
    </cfRule>
  </conditionalFormatting>
  <conditionalFormatting sqref="S108">
    <cfRule type="cellIs" dxfId="6022" priority="2917" operator="lessThan">
      <formula>0.8</formula>
    </cfRule>
  </conditionalFormatting>
  <conditionalFormatting sqref="S96">
    <cfRule type="cellIs" dxfId="6021" priority="2916" operator="lessThan">
      <formula>0.8</formula>
    </cfRule>
  </conditionalFormatting>
  <conditionalFormatting sqref="S97">
    <cfRule type="cellIs" dxfId="6020" priority="2915" operator="lessThan">
      <formula>0.8</formula>
    </cfRule>
  </conditionalFormatting>
  <conditionalFormatting sqref="S103">
    <cfRule type="cellIs" dxfId="6019" priority="2914" operator="lessThan">
      <formula>0.8</formula>
    </cfRule>
  </conditionalFormatting>
  <conditionalFormatting sqref="S99">
    <cfRule type="cellIs" dxfId="6018" priority="2913" operator="lessThan">
      <formula>0.8</formula>
    </cfRule>
  </conditionalFormatting>
  <conditionalFormatting sqref="S101">
    <cfRule type="cellIs" dxfId="6017" priority="2910" operator="lessThan">
      <formula>0.8</formula>
    </cfRule>
  </conditionalFormatting>
  <conditionalFormatting sqref="S100">
    <cfRule type="cellIs" dxfId="6016" priority="2912" operator="lessThan">
      <formula>0.8</formula>
    </cfRule>
  </conditionalFormatting>
  <conditionalFormatting sqref="S102">
    <cfRule type="cellIs" dxfId="6015" priority="2911" operator="lessThan">
      <formula>0.8</formula>
    </cfRule>
  </conditionalFormatting>
  <conditionalFormatting sqref="S98">
    <cfRule type="cellIs" dxfId="6014" priority="2909" operator="lessThan">
      <formula>0.8</formula>
    </cfRule>
  </conditionalFormatting>
  <conditionalFormatting sqref="S104">
    <cfRule type="cellIs" dxfId="6013" priority="2908" operator="lessThan">
      <formula>0.8</formula>
    </cfRule>
  </conditionalFormatting>
  <conditionalFormatting sqref="Q162:Q167">
    <cfRule type="cellIs" dxfId="6012" priority="2907" operator="lessThan">
      <formula>0</formula>
    </cfRule>
  </conditionalFormatting>
  <conditionalFormatting sqref="R162:R167">
    <cfRule type="cellIs" dxfId="6011" priority="2905" operator="lessThan">
      <formula>0.8</formula>
    </cfRule>
    <cfRule type="cellIs" dxfId="6010" priority="2906" operator="greaterThan">
      <formula>1</formula>
    </cfRule>
  </conditionalFormatting>
  <conditionalFormatting sqref="R162:R167">
    <cfRule type="cellIs" dxfId="6009" priority="2903" operator="greaterThan">
      <formula>1</formula>
    </cfRule>
    <cfRule type="cellIs" dxfId="6008" priority="2904" operator="lessThan">
      <formula>0.8</formula>
    </cfRule>
  </conditionalFormatting>
  <conditionalFormatting sqref="P162:P167">
    <cfRule type="cellIs" dxfId="6007" priority="2902" operator="greaterThan">
      <formula>0</formula>
    </cfRule>
  </conditionalFormatting>
  <conditionalFormatting sqref="P168">
    <cfRule type="cellIs" dxfId="6006" priority="2896" operator="greaterThan">
      <formula>0</formula>
    </cfRule>
  </conditionalFormatting>
  <conditionalFormatting sqref="R168">
    <cfRule type="cellIs" dxfId="6005" priority="2899" operator="lessThan">
      <formula>0.8</formula>
    </cfRule>
    <cfRule type="cellIs" dxfId="6004" priority="2900" operator="greaterThan">
      <formula>1</formula>
    </cfRule>
  </conditionalFormatting>
  <conditionalFormatting sqref="R168">
    <cfRule type="cellIs" dxfId="6003" priority="2897" operator="greaterThan">
      <formula>1</formula>
    </cfRule>
    <cfRule type="cellIs" dxfId="6002" priority="2898" operator="lessThan">
      <formula>0.8</formula>
    </cfRule>
  </conditionalFormatting>
  <conditionalFormatting sqref="Q168">
    <cfRule type="cellIs" dxfId="6001" priority="2901" operator="lessThan">
      <formula>0</formula>
    </cfRule>
  </conditionalFormatting>
  <conditionalFormatting sqref="Q83">
    <cfRule type="cellIs" dxfId="6000" priority="2895" operator="lessThan">
      <formula>0</formula>
    </cfRule>
  </conditionalFormatting>
  <conditionalFormatting sqref="R83">
    <cfRule type="cellIs" dxfId="5999" priority="2893" operator="lessThan">
      <formula>0.8</formula>
    </cfRule>
    <cfRule type="cellIs" dxfId="5998" priority="2894" operator="greaterThan">
      <formula>1</formula>
    </cfRule>
  </conditionalFormatting>
  <conditionalFormatting sqref="R83">
    <cfRule type="cellIs" dxfId="5997" priority="2891" operator="greaterThan">
      <formula>1</formula>
    </cfRule>
    <cfRule type="cellIs" dxfId="5996" priority="2892" operator="lessThan">
      <formula>0.8</formula>
    </cfRule>
  </conditionalFormatting>
  <conditionalFormatting sqref="P83">
    <cfRule type="cellIs" dxfId="5995" priority="2890" operator="greaterThan">
      <formula>0</formula>
    </cfRule>
  </conditionalFormatting>
  <conditionalFormatting sqref="Q83">
    <cfRule type="cellIs" dxfId="5994" priority="2889" operator="lessThan">
      <formula>0</formula>
    </cfRule>
  </conditionalFormatting>
  <conditionalFormatting sqref="R83">
    <cfRule type="cellIs" dxfId="5993" priority="2887" operator="lessThan">
      <formula>0.8</formula>
    </cfRule>
    <cfRule type="cellIs" dxfId="5992" priority="2888" operator="greaterThan">
      <formula>1</formula>
    </cfRule>
  </conditionalFormatting>
  <conditionalFormatting sqref="R83">
    <cfRule type="cellIs" dxfId="5991" priority="2885" operator="greaterThan">
      <formula>1</formula>
    </cfRule>
    <cfRule type="cellIs" dxfId="5990" priority="2886" operator="lessThan">
      <formula>0.8</formula>
    </cfRule>
  </conditionalFormatting>
  <conditionalFormatting sqref="P83">
    <cfRule type="cellIs" dxfId="5989" priority="2884" operator="greaterThan">
      <formula>0</formula>
    </cfRule>
  </conditionalFormatting>
  <conditionalFormatting sqref="Q83">
    <cfRule type="cellIs" dxfId="5988" priority="2883" operator="lessThan">
      <formula>0</formula>
    </cfRule>
  </conditionalFormatting>
  <conditionalFormatting sqref="R83">
    <cfRule type="cellIs" dxfId="5987" priority="2881" operator="lessThan">
      <formula>0.8</formula>
    </cfRule>
    <cfRule type="cellIs" dxfId="5986" priority="2882" operator="greaterThan">
      <formula>1</formula>
    </cfRule>
  </conditionalFormatting>
  <conditionalFormatting sqref="R83">
    <cfRule type="cellIs" dxfId="5985" priority="2879" operator="greaterThan">
      <formula>1</formula>
    </cfRule>
    <cfRule type="cellIs" dxfId="5984" priority="2880" operator="lessThan">
      <formula>0.8</formula>
    </cfRule>
  </conditionalFormatting>
  <conditionalFormatting sqref="P83">
    <cfRule type="cellIs" dxfId="5983" priority="2878" operator="greaterThan">
      <formula>0</formula>
    </cfRule>
  </conditionalFormatting>
  <conditionalFormatting sqref="Q83">
    <cfRule type="cellIs" dxfId="5982" priority="2877" operator="lessThan">
      <formula>0</formula>
    </cfRule>
  </conditionalFormatting>
  <conditionalFormatting sqref="R83">
    <cfRule type="cellIs" dxfId="5981" priority="2875" operator="lessThan">
      <formula>0.8</formula>
    </cfRule>
    <cfRule type="cellIs" dxfId="5980" priority="2876" operator="greaterThan">
      <formula>1</formula>
    </cfRule>
  </conditionalFormatting>
  <conditionalFormatting sqref="R83">
    <cfRule type="cellIs" dxfId="5979" priority="2873" operator="greaterThan">
      <formula>1</formula>
    </cfRule>
    <cfRule type="cellIs" dxfId="5978" priority="2874" operator="lessThan">
      <formula>0.8</formula>
    </cfRule>
  </conditionalFormatting>
  <conditionalFormatting sqref="P83">
    <cfRule type="cellIs" dxfId="5977" priority="2872" operator="greaterThan">
      <formula>0</formula>
    </cfRule>
  </conditionalFormatting>
  <conditionalFormatting sqref="P83">
    <cfRule type="cellIs" dxfId="5976" priority="2866" operator="greaterThan">
      <formula>0</formula>
    </cfRule>
  </conditionalFormatting>
  <conditionalFormatting sqref="Q83">
    <cfRule type="cellIs" dxfId="5975" priority="2871" operator="lessThan">
      <formula>0</formula>
    </cfRule>
  </conditionalFormatting>
  <conditionalFormatting sqref="R83">
    <cfRule type="cellIs" dxfId="5974" priority="2869" operator="lessThan">
      <formula>0.8</formula>
    </cfRule>
    <cfRule type="cellIs" dxfId="5973" priority="2870" operator="greaterThan">
      <formula>1</formula>
    </cfRule>
  </conditionalFormatting>
  <conditionalFormatting sqref="R83">
    <cfRule type="cellIs" dxfId="5972" priority="2867" operator="greaterThan">
      <formula>1</formula>
    </cfRule>
    <cfRule type="cellIs" dxfId="5971" priority="2868" operator="lessThan">
      <formula>0.8</formula>
    </cfRule>
  </conditionalFormatting>
  <conditionalFormatting sqref="P83">
    <cfRule type="cellIs" dxfId="5970" priority="2860" operator="greaterThan">
      <formula>0</formula>
    </cfRule>
  </conditionalFormatting>
  <conditionalFormatting sqref="Q83">
    <cfRule type="cellIs" dxfId="5969" priority="2865" operator="lessThan">
      <formula>0</formula>
    </cfRule>
  </conditionalFormatting>
  <conditionalFormatting sqref="R83">
    <cfRule type="cellIs" dxfId="5968" priority="2863" operator="lessThan">
      <formula>0.8</formula>
    </cfRule>
    <cfRule type="cellIs" dxfId="5967" priority="2864" operator="greaterThan">
      <formula>1</formula>
    </cfRule>
  </conditionalFormatting>
  <conditionalFormatting sqref="R83">
    <cfRule type="cellIs" dxfId="5966" priority="2861" operator="greaterThan">
      <formula>1</formula>
    </cfRule>
    <cfRule type="cellIs" dxfId="5965" priority="2862" operator="lessThan">
      <formula>0.8</formula>
    </cfRule>
  </conditionalFormatting>
  <conditionalFormatting sqref="R83">
    <cfRule type="cellIs" dxfId="5964" priority="2857" operator="lessThan">
      <formula>0.8</formula>
    </cfRule>
    <cfRule type="cellIs" dxfId="5963" priority="2858" operator="greaterThan">
      <formula>1</formula>
    </cfRule>
  </conditionalFormatting>
  <conditionalFormatting sqref="R83">
    <cfRule type="cellIs" dxfId="5962" priority="2855" operator="greaterThan">
      <formula>1</formula>
    </cfRule>
    <cfRule type="cellIs" dxfId="5961" priority="2856" operator="lessThan">
      <formula>0.8</formula>
    </cfRule>
  </conditionalFormatting>
  <conditionalFormatting sqref="P83">
    <cfRule type="cellIs" dxfId="5960" priority="2854" operator="greaterThan">
      <formula>0</formula>
    </cfRule>
  </conditionalFormatting>
  <conditionalFormatting sqref="Q83">
    <cfRule type="cellIs" dxfId="5959" priority="2859" operator="lessThan">
      <formula>0</formula>
    </cfRule>
  </conditionalFormatting>
  <conditionalFormatting sqref="Q83">
    <cfRule type="cellIs" dxfId="5958" priority="2853" operator="lessThan">
      <formula>0</formula>
    </cfRule>
  </conditionalFormatting>
  <conditionalFormatting sqref="R83">
    <cfRule type="cellIs" dxfId="5957" priority="2851" operator="lessThan">
      <formula>0.8</formula>
    </cfRule>
    <cfRule type="cellIs" dxfId="5956" priority="2852" operator="greaterThan">
      <formula>1</formula>
    </cfRule>
  </conditionalFormatting>
  <conditionalFormatting sqref="R83">
    <cfRule type="cellIs" dxfId="5955" priority="2849" operator="greaterThan">
      <formula>1</formula>
    </cfRule>
    <cfRule type="cellIs" dxfId="5954" priority="2850" operator="lessThan">
      <formula>0.8</formula>
    </cfRule>
  </conditionalFormatting>
  <conditionalFormatting sqref="P83">
    <cfRule type="cellIs" dxfId="5953" priority="2848" operator="greaterThan">
      <formula>0</formula>
    </cfRule>
  </conditionalFormatting>
  <conditionalFormatting sqref="P83">
    <cfRule type="cellIs" dxfId="5952" priority="2842" operator="greaterThan">
      <formula>0</formula>
    </cfRule>
  </conditionalFormatting>
  <conditionalFormatting sqref="Q83">
    <cfRule type="cellIs" dxfId="5951" priority="2847" operator="lessThan">
      <formula>0</formula>
    </cfRule>
  </conditionalFormatting>
  <conditionalFormatting sqref="R83">
    <cfRule type="cellIs" dxfId="5950" priority="2845" operator="lessThan">
      <formula>0.8</formula>
    </cfRule>
    <cfRule type="cellIs" dxfId="5949" priority="2846" operator="greaterThan">
      <formula>1</formula>
    </cfRule>
  </conditionalFormatting>
  <conditionalFormatting sqref="R83">
    <cfRule type="cellIs" dxfId="5948" priority="2843" operator="greaterThan">
      <formula>1</formula>
    </cfRule>
    <cfRule type="cellIs" dxfId="5947" priority="2844" operator="lessThan">
      <formula>0.8</formula>
    </cfRule>
  </conditionalFormatting>
  <conditionalFormatting sqref="P83">
    <cfRule type="cellIs" dxfId="5946" priority="2836" operator="greaterThan">
      <formula>0</formula>
    </cfRule>
  </conditionalFormatting>
  <conditionalFormatting sqref="Q83">
    <cfRule type="cellIs" dxfId="5945" priority="2841" operator="lessThan">
      <formula>0</formula>
    </cfRule>
  </conditionalFormatting>
  <conditionalFormatting sqref="R83">
    <cfRule type="cellIs" dxfId="5944" priority="2839" operator="lessThan">
      <formula>0.8</formula>
    </cfRule>
    <cfRule type="cellIs" dxfId="5943" priority="2840" operator="greaterThan">
      <formula>1</formula>
    </cfRule>
  </conditionalFormatting>
  <conditionalFormatting sqref="R83">
    <cfRule type="cellIs" dxfId="5942" priority="2837" operator="greaterThan">
      <formula>1</formula>
    </cfRule>
    <cfRule type="cellIs" dxfId="5941" priority="2838" operator="lessThan">
      <formula>0.8</formula>
    </cfRule>
  </conditionalFormatting>
  <conditionalFormatting sqref="R83">
    <cfRule type="cellIs" dxfId="5940" priority="2833" operator="lessThan">
      <formula>0.8</formula>
    </cfRule>
    <cfRule type="cellIs" dxfId="5939" priority="2834" operator="greaterThan">
      <formula>1</formula>
    </cfRule>
  </conditionalFormatting>
  <conditionalFormatting sqref="R83">
    <cfRule type="cellIs" dxfId="5938" priority="2831" operator="greaterThan">
      <formula>1</formula>
    </cfRule>
    <cfRule type="cellIs" dxfId="5937" priority="2832" operator="lessThan">
      <formula>0.8</formula>
    </cfRule>
  </conditionalFormatting>
  <conditionalFormatting sqref="P83">
    <cfRule type="cellIs" dxfId="5936" priority="2830" operator="greaterThan">
      <formula>0</formula>
    </cfRule>
  </conditionalFormatting>
  <conditionalFormatting sqref="Q83">
    <cfRule type="cellIs" dxfId="5935" priority="2835" operator="lessThan">
      <formula>0</formula>
    </cfRule>
  </conditionalFormatting>
  <conditionalFormatting sqref="P83">
    <cfRule type="cellIs" dxfId="5934" priority="2824" operator="greaterThan">
      <formula>0</formula>
    </cfRule>
  </conditionalFormatting>
  <conditionalFormatting sqref="Q83">
    <cfRule type="cellIs" dxfId="5933" priority="2829" operator="lessThan">
      <formula>0</formula>
    </cfRule>
  </conditionalFormatting>
  <conditionalFormatting sqref="R83">
    <cfRule type="cellIs" dxfId="5932" priority="2827" operator="lessThan">
      <formula>0.8</formula>
    </cfRule>
    <cfRule type="cellIs" dxfId="5931" priority="2828" operator="greaterThan">
      <formula>1</formula>
    </cfRule>
  </conditionalFormatting>
  <conditionalFormatting sqref="R83">
    <cfRule type="cellIs" dxfId="5930" priority="2825" operator="greaterThan">
      <formula>1</formula>
    </cfRule>
    <cfRule type="cellIs" dxfId="5929" priority="2826" operator="lessThan">
      <formula>0.8</formula>
    </cfRule>
  </conditionalFormatting>
  <conditionalFormatting sqref="R83">
    <cfRule type="cellIs" dxfId="5928" priority="2821" operator="lessThan">
      <formula>0.8</formula>
    </cfRule>
    <cfRule type="cellIs" dxfId="5927" priority="2822" operator="greaterThan">
      <formula>1</formula>
    </cfRule>
  </conditionalFormatting>
  <conditionalFormatting sqref="R83">
    <cfRule type="cellIs" dxfId="5926" priority="2819" operator="greaterThan">
      <formula>1</formula>
    </cfRule>
    <cfRule type="cellIs" dxfId="5925" priority="2820" operator="lessThan">
      <formula>0.8</formula>
    </cfRule>
  </conditionalFormatting>
  <conditionalFormatting sqref="P83">
    <cfRule type="cellIs" dxfId="5924" priority="2818" operator="greaterThan">
      <formula>0</formula>
    </cfRule>
  </conditionalFormatting>
  <conditionalFormatting sqref="Q83">
    <cfRule type="cellIs" dxfId="5923" priority="2823" operator="lessThan">
      <formula>0</formula>
    </cfRule>
  </conditionalFormatting>
  <conditionalFormatting sqref="R83">
    <cfRule type="cellIs" dxfId="5922" priority="2815" operator="lessThan">
      <formula>0.8</formula>
    </cfRule>
    <cfRule type="cellIs" dxfId="5921" priority="2816" operator="greaterThan">
      <formula>1</formula>
    </cfRule>
  </conditionalFormatting>
  <conditionalFormatting sqref="R83">
    <cfRule type="cellIs" dxfId="5920" priority="2813" operator="greaterThan">
      <formula>1</formula>
    </cfRule>
    <cfRule type="cellIs" dxfId="5919" priority="2814" operator="lessThan">
      <formula>0.8</formula>
    </cfRule>
  </conditionalFormatting>
  <conditionalFormatting sqref="P83">
    <cfRule type="cellIs" dxfId="5918" priority="2812" operator="greaterThan">
      <formula>0</formula>
    </cfRule>
  </conditionalFormatting>
  <conditionalFormatting sqref="Q83">
    <cfRule type="cellIs" dxfId="5917" priority="2817" operator="lessThan">
      <formula>0</formula>
    </cfRule>
  </conditionalFormatting>
  <conditionalFormatting sqref="Q83">
    <cfRule type="cellIs" dxfId="5916" priority="2811" operator="lessThan">
      <formula>0</formula>
    </cfRule>
  </conditionalFormatting>
  <conditionalFormatting sqref="R83">
    <cfRule type="cellIs" dxfId="5915" priority="2809" operator="lessThan">
      <formula>0.8</formula>
    </cfRule>
    <cfRule type="cellIs" dxfId="5914" priority="2810" operator="greaterThan">
      <formula>1</formula>
    </cfRule>
  </conditionalFormatting>
  <conditionalFormatting sqref="R83">
    <cfRule type="cellIs" dxfId="5913" priority="2807" operator="greaterThan">
      <formula>1</formula>
    </cfRule>
    <cfRule type="cellIs" dxfId="5912" priority="2808" operator="lessThan">
      <formula>0.8</formula>
    </cfRule>
  </conditionalFormatting>
  <conditionalFormatting sqref="P83">
    <cfRule type="cellIs" dxfId="5911" priority="2806" operator="greaterThan">
      <formula>0</formula>
    </cfRule>
  </conditionalFormatting>
  <conditionalFormatting sqref="Q83">
    <cfRule type="cellIs" dxfId="5910" priority="2800" operator="lessThan">
      <formula>0</formula>
    </cfRule>
  </conditionalFormatting>
  <conditionalFormatting sqref="R83">
    <cfRule type="cellIs" dxfId="5909" priority="2804" operator="lessThan">
      <formula>0.8</formula>
    </cfRule>
    <cfRule type="cellIs" dxfId="5908" priority="2805" operator="greaterThan">
      <formula>1</formula>
    </cfRule>
  </conditionalFormatting>
  <conditionalFormatting sqref="R83">
    <cfRule type="cellIs" dxfId="5907" priority="2802" operator="greaterThan">
      <formula>1</formula>
    </cfRule>
    <cfRule type="cellIs" dxfId="5906" priority="2803" operator="lessThan">
      <formula>0.8</formula>
    </cfRule>
  </conditionalFormatting>
  <conditionalFormatting sqref="P83">
    <cfRule type="cellIs" dxfId="5905" priority="2801" operator="greaterThan">
      <formula>0</formula>
    </cfRule>
  </conditionalFormatting>
  <conditionalFormatting sqref="Q83">
    <cfRule type="cellIs" dxfId="5904" priority="2799" operator="lessThan">
      <formula>0</formula>
    </cfRule>
  </conditionalFormatting>
  <conditionalFormatting sqref="R83">
    <cfRule type="cellIs" dxfId="5903" priority="2797" operator="lessThan">
      <formula>0.8</formula>
    </cfRule>
    <cfRule type="cellIs" dxfId="5902" priority="2798" operator="greaterThan">
      <formula>1</formula>
    </cfRule>
  </conditionalFormatting>
  <conditionalFormatting sqref="R83">
    <cfRule type="cellIs" dxfId="5901" priority="2795" operator="greaterThan">
      <formula>1</formula>
    </cfRule>
    <cfRule type="cellIs" dxfId="5900" priority="2796" operator="lessThan">
      <formula>0.8</formula>
    </cfRule>
  </conditionalFormatting>
  <conditionalFormatting sqref="P83">
    <cfRule type="cellIs" dxfId="5899" priority="2794" operator="greaterThan">
      <formula>0</formula>
    </cfRule>
  </conditionalFormatting>
  <conditionalFormatting sqref="Q83">
    <cfRule type="cellIs" dxfId="5898" priority="2793" operator="lessThan">
      <formula>0</formula>
    </cfRule>
  </conditionalFormatting>
  <conditionalFormatting sqref="R83">
    <cfRule type="cellIs" dxfId="5897" priority="2791" operator="lessThan">
      <formula>0.8</formula>
    </cfRule>
    <cfRule type="cellIs" dxfId="5896" priority="2792" operator="greaterThan">
      <formula>1</formula>
    </cfRule>
  </conditionalFormatting>
  <conditionalFormatting sqref="R83">
    <cfRule type="cellIs" dxfId="5895" priority="2789" operator="greaterThan">
      <formula>1</formula>
    </cfRule>
    <cfRule type="cellIs" dxfId="5894" priority="2790" operator="lessThan">
      <formula>0.8</formula>
    </cfRule>
  </conditionalFormatting>
  <conditionalFormatting sqref="P83">
    <cfRule type="cellIs" dxfId="5893" priority="2788" operator="greaterThan">
      <formula>0</formula>
    </cfRule>
  </conditionalFormatting>
  <conditionalFormatting sqref="Q83">
    <cfRule type="cellIs" dxfId="5892" priority="2787" operator="lessThan">
      <formula>0</formula>
    </cfRule>
  </conditionalFormatting>
  <conditionalFormatting sqref="R83">
    <cfRule type="cellIs" dxfId="5891" priority="2785" operator="lessThan">
      <formula>0.8</formula>
    </cfRule>
    <cfRule type="cellIs" dxfId="5890" priority="2786" operator="greaterThan">
      <formula>1</formula>
    </cfRule>
  </conditionalFormatting>
  <conditionalFormatting sqref="R83">
    <cfRule type="cellIs" dxfId="5889" priority="2783" operator="greaterThan">
      <formula>1</formula>
    </cfRule>
    <cfRule type="cellIs" dxfId="5888" priority="2784" operator="lessThan">
      <formula>0.8</formula>
    </cfRule>
  </conditionalFormatting>
  <conditionalFormatting sqref="P83">
    <cfRule type="cellIs" dxfId="5887" priority="2782" operator="greaterThan">
      <formula>0</formula>
    </cfRule>
  </conditionalFormatting>
  <conditionalFormatting sqref="Q83">
    <cfRule type="cellIs" dxfId="5886" priority="2781" operator="lessThan">
      <formula>0</formula>
    </cfRule>
  </conditionalFormatting>
  <conditionalFormatting sqref="R83">
    <cfRule type="cellIs" dxfId="5885" priority="2779" operator="lessThan">
      <formula>0.8</formula>
    </cfRule>
    <cfRule type="cellIs" dxfId="5884" priority="2780" operator="greaterThan">
      <formula>1</formula>
    </cfRule>
  </conditionalFormatting>
  <conditionalFormatting sqref="R83">
    <cfRule type="cellIs" dxfId="5883" priority="2777" operator="greaterThan">
      <formula>1</formula>
    </cfRule>
    <cfRule type="cellIs" dxfId="5882" priority="2778" operator="lessThan">
      <formula>0.8</formula>
    </cfRule>
  </conditionalFormatting>
  <conditionalFormatting sqref="P83">
    <cfRule type="cellIs" dxfId="5881" priority="2776" operator="greaterThan">
      <formula>0</formula>
    </cfRule>
  </conditionalFormatting>
  <conditionalFormatting sqref="Q83">
    <cfRule type="cellIs" dxfId="5880" priority="2775" operator="lessThan">
      <formula>0</formula>
    </cfRule>
  </conditionalFormatting>
  <conditionalFormatting sqref="R83">
    <cfRule type="cellIs" dxfId="5879" priority="2773" operator="lessThan">
      <formula>0.8</formula>
    </cfRule>
    <cfRule type="cellIs" dxfId="5878" priority="2774" operator="greaterThan">
      <formula>1</formula>
    </cfRule>
  </conditionalFormatting>
  <conditionalFormatting sqref="R83">
    <cfRule type="cellIs" dxfId="5877" priority="2771" operator="greaterThan">
      <formula>1</formula>
    </cfRule>
    <cfRule type="cellIs" dxfId="5876" priority="2772" operator="lessThan">
      <formula>0.8</formula>
    </cfRule>
  </conditionalFormatting>
  <conditionalFormatting sqref="P83">
    <cfRule type="cellIs" dxfId="5875" priority="2770" operator="greaterThan">
      <formula>0</formula>
    </cfRule>
  </conditionalFormatting>
  <conditionalFormatting sqref="P83">
    <cfRule type="cellIs" dxfId="5874" priority="2764" operator="greaterThan">
      <formula>0</formula>
    </cfRule>
  </conditionalFormatting>
  <conditionalFormatting sqref="Q83">
    <cfRule type="cellIs" dxfId="5873" priority="2769" operator="lessThan">
      <formula>0</formula>
    </cfRule>
  </conditionalFormatting>
  <conditionalFormatting sqref="R83">
    <cfRule type="cellIs" dxfId="5872" priority="2767" operator="lessThan">
      <formula>0.8</formula>
    </cfRule>
    <cfRule type="cellIs" dxfId="5871" priority="2768" operator="greaterThan">
      <formula>1</formula>
    </cfRule>
  </conditionalFormatting>
  <conditionalFormatting sqref="R83">
    <cfRule type="cellIs" dxfId="5870" priority="2765" operator="greaterThan">
      <formula>1</formula>
    </cfRule>
    <cfRule type="cellIs" dxfId="5869" priority="2766" operator="lessThan">
      <formula>0.8</formula>
    </cfRule>
  </conditionalFormatting>
  <conditionalFormatting sqref="P83">
    <cfRule type="cellIs" dxfId="5868" priority="2758" operator="greaterThan">
      <formula>0</formula>
    </cfRule>
  </conditionalFormatting>
  <conditionalFormatting sqref="Q83">
    <cfRule type="cellIs" dxfId="5867" priority="2763" operator="lessThan">
      <formula>0</formula>
    </cfRule>
  </conditionalFormatting>
  <conditionalFormatting sqref="R83">
    <cfRule type="cellIs" dxfId="5866" priority="2761" operator="lessThan">
      <formula>0.8</formula>
    </cfRule>
    <cfRule type="cellIs" dxfId="5865" priority="2762" operator="greaterThan">
      <formula>1</formula>
    </cfRule>
  </conditionalFormatting>
  <conditionalFormatting sqref="R83">
    <cfRule type="cellIs" dxfId="5864" priority="2759" operator="greaterThan">
      <formula>1</formula>
    </cfRule>
    <cfRule type="cellIs" dxfId="5863" priority="2760" operator="lessThan">
      <formula>0.8</formula>
    </cfRule>
  </conditionalFormatting>
  <conditionalFormatting sqref="R83">
    <cfRule type="cellIs" dxfId="5862" priority="2755" operator="lessThan">
      <formula>0.8</formula>
    </cfRule>
    <cfRule type="cellIs" dxfId="5861" priority="2756" operator="greaterThan">
      <formula>1</formula>
    </cfRule>
  </conditionalFormatting>
  <conditionalFormatting sqref="R83">
    <cfRule type="cellIs" dxfId="5860" priority="2753" operator="greaterThan">
      <formula>1</formula>
    </cfRule>
    <cfRule type="cellIs" dxfId="5859" priority="2754" operator="lessThan">
      <formula>0.8</formula>
    </cfRule>
  </conditionalFormatting>
  <conditionalFormatting sqref="P83">
    <cfRule type="cellIs" dxfId="5858" priority="2752" operator="greaterThan">
      <formula>0</formula>
    </cfRule>
  </conditionalFormatting>
  <conditionalFormatting sqref="Q83">
    <cfRule type="cellIs" dxfId="5857" priority="2757" operator="lessThan">
      <formula>0</formula>
    </cfRule>
  </conditionalFormatting>
  <conditionalFormatting sqref="Q83">
    <cfRule type="cellIs" dxfId="5856" priority="2751" operator="lessThan">
      <formula>0</formula>
    </cfRule>
  </conditionalFormatting>
  <conditionalFormatting sqref="R83">
    <cfRule type="cellIs" dxfId="5855" priority="2749" operator="lessThan">
      <formula>0.8</formula>
    </cfRule>
    <cfRule type="cellIs" dxfId="5854" priority="2750" operator="greaterThan">
      <formula>1</formula>
    </cfRule>
  </conditionalFormatting>
  <conditionalFormatting sqref="R83">
    <cfRule type="cellIs" dxfId="5853" priority="2747" operator="greaterThan">
      <formula>1</formula>
    </cfRule>
    <cfRule type="cellIs" dxfId="5852" priority="2748" operator="lessThan">
      <formula>0.8</formula>
    </cfRule>
  </conditionalFormatting>
  <conditionalFormatting sqref="P83">
    <cfRule type="cellIs" dxfId="5851" priority="2746" operator="greaterThan">
      <formula>0</formula>
    </cfRule>
  </conditionalFormatting>
  <conditionalFormatting sqref="Q83">
    <cfRule type="cellIs" dxfId="5850" priority="2745" operator="lessThan">
      <formula>0</formula>
    </cfRule>
  </conditionalFormatting>
  <conditionalFormatting sqref="R83">
    <cfRule type="cellIs" dxfId="5849" priority="2743" operator="lessThan">
      <formula>0.8</formula>
    </cfRule>
    <cfRule type="cellIs" dxfId="5848" priority="2744" operator="greaterThan">
      <formula>1</formula>
    </cfRule>
  </conditionalFormatting>
  <conditionalFormatting sqref="R83">
    <cfRule type="cellIs" dxfId="5847" priority="2741" operator="greaterThan">
      <formula>1</formula>
    </cfRule>
    <cfRule type="cellIs" dxfId="5846" priority="2742" operator="lessThan">
      <formula>0.8</formula>
    </cfRule>
  </conditionalFormatting>
  <conditionalFormatting sqref="P83">
    <cfRule type="cellIs" dxfId="5845" priority="2740" operator="greaterThan">
      <formula>0</formula>
    </cfRule>
  </conditionalFormatting>
  <conditionalFormatting sqref="Q83">
    <cfRule type="cellIs" dxfId="5844" priority="2739" operator="lessThan">
      <formula>0</formula>
    </cfRule>
  </conditionalFormatting>
  <conditionalFormatting sqref="R83">
    <cfRule type="cellIs" dxfId="5843" priority="2737" operator="lessThan">
      <formula>0.8</formula>
    </cfRule>
    <cfRule type="cellIs" dxfId="5842" priority="2738" operator="greaterThan">
      <formula>1</formula>
    </cfRule>
  </conditionalFormatting>
  <conditionalFormatting sqref="R83">
    <cfRule type="cellIs" dxfId="5841" priority="2735" operator="greaterThan">
      <formula>1</formula>
    </cfRule>
    <cfRule type="cellIs" dxfId="5840" priority="2736" operator="lessThan">
      <formula>0.8</formula>
    </cfRule>
  </conditionalFormatting>
  <conditionalFormatting sqref="P83">
    <cfRule type="cellIs" dxfId="5839" priority="2734" operator="greaterThan">
      <formula>0</formula>
    </cfRule>
  </conditionalFormatting>
  <conditionalFormatting sqref="Q83">
    <cfRule type="cellIs" dxfId="5838" priority="2733" operator="lessThan">
      <formula>0</formula>
    </cfRule>
  </conditionalFormatting>
  <conditionalFormatting sqref="R83">
    <cfRule type="cellIs" dxfId="5837" priority="2731" operator="lessThan">
      <formula>0.8</formula>
    </cfRule>
    <cfRule type="cellIs" dxfId="5836" priority="2732" operator="greaterThan">
      <formula>1</formula>
    </cfRule>
  </conditionalFormatting>
  <conditionalFormatting sqref="R83">
    <cfRule type="cellIs" dxfId="5835" priority="2729" operator="greaterThan">
      <formula>1</formula>
    </cfRule>
    <cfRule type="cellIs" dxfId="5834" priority="2730" operator="lessThan">
      <formula>0.8</formula>
    </cfRule>
  </conditionalFormatting>
  <conditionalFormatting sqref="P83">
    <cfRule type="cellIs" dxfId="5833" priority="2728" operator="greaterThan">
      <formula>0</formula>
    </cfRule>
  </conditionalFormatting>
  <conditionalFormatting sqref="P83">
    <cfRule type="cellIs" dxfId="5832" priority="2722" operator="greaterThan">
      <formula>0</formula>
    </cfRule>
  </conditionalFormatting>
  <conditionalFormatting sqref="Q83">
    <cfRule type="cellIs" dxfId="5831" priority="2727" operator="lessThan">
      <formula>0</formula>
    </cfRule>
  </conditionalFormatting>
  <conditionalFormatting sqref="R83">
    <cfRule type="cellIs" dxfId="5830" priority="2725" operator="lessThan">
      <formula>0.8</formula>
    </cfRule>
    <cfRule type="cellIs" dxfId="5829" priority="2726" operator="greaterThan">
      <formula>1</formula>
    </cfRule>
  </conditionalFormatting>
  <conditionalFormatting sqref="R83">
    <cfRule type="cellIs" dxfId="5828" priority="2723" operator="greaterThan">
      <formula>1</formula>
    </cfRule>
    <cfRule type="cellIs" dxfId="5827" priority="2724" operator="lessThan">
      <formula>0.8</formula>
    </cfRule>
  </conditionalFormatting>
  <conditionalFormatting sqref="P83">
    <cfRule type="cellIs" dxfId="5826" priority="2716" operator="greaterThan">
      <formula>0</formula>
    </cfRule>
  </conditionalFormatting>
  <conditionalFormatting sqref="Q83">
    <cfRule type="cellIs" dxfId="5825" priority="2721" operator="lessThan">
      <formula>0</formula>
    </cfRule>
  </conditionalFormatting>
  <conditionalFormatting sqref="R83">
    <cfRule type="cellIs" dxfId="5824" priority="2719" operator="lessThan">
      <formula>0.8</formula>
    </cfRule>
    <cfRule type="cellIs" dxfId="5823" priority="2720" operator="greaterThan">
      <formula>1</formula>
    </cfRule>
  </conditionalFormatting>
  <conditionalFormatting sqref="R83">
    <cfRule type="cellIs" dxfId="5822" priority="2717" operator="greaterThan">
      <formula>1</formula>
    </cfRule>
    <cfRule type="cellIs" dxfId="5821" priority="2718" operator="lessThan">
      <formula>0.8</formula>
    </cfRule>
  </conditionalFormatting>
  <conditionalFormatting sqref="R83">
    <cfRule type="cellIs" dxfId="5820" priority="2713" operator="lessThan">
      <formula>0.8</formula>
    </cfRule>
    <cfRule type="cellIs" dxfId="5819" priority="2714" operator="greaterThan">
      <formula>1</formula>
    </cfRule>
  </conditionalFormatting>
  <conditionalFormatting sqref="R83">
    <cfRule type="cellIs" dxfId="5818" priority="2711" operator="greaterThan">
      <formula>1</formula>
    </cfRule>
    <cfRule type="cellIs" dxfId="5817" priority="2712" operator="lessThan">
      <formula>0.8</formula>
    </cfRule>
  </conditionalFormatting>
  <conditionalFormatting sqref="P83">
    <cfRule type="cellIs" dxfId="5816" priority="2710" operator="greaterThan">
      <formula>0</formula>
    </cfRule>
  </conditionalFormatting>
  <conditionalFormatting sqref="Q83">
    <cfRule type="cellIs" dxfId="5815" priority="2715" operator="lessThan">
      <formula>0</formula>
    </cfRule>
  </conditionalFormatting>
  <conditionalFormatting sqref="Q83">
    <cfRule type="cellIs" dxfId="5814" priority="2709" operator="lessThan">
      <formula>0</formula>
    </cfRule>
  </conditionalFormatting>
  <conditionalFormatting sqref="R83">
    <cfRule type="cellIs" dxfId="5813" priority="2707" operator="lessThan">
      <formula>0.8</formula>
    </cfRule>
    <cfRule type="cellIs" dxfId="5812" priority="2708" operator="greaterThan">
      <formula>1</formula>
    </cfRule>
  </conditionalFormatting>
  <conditionalFormatting sqref="R83">
    <cfRule type="cellIs" dxfId="5811" priority="2705" operator="greaterThan">
      <formula>1</formula>
    </cfRule>
    <cfRule type="cellIs" dxfId="5810" priority="2706" operator="lessThan">
      <formula>0.8</formula>
    </cfRule>
  </conditionalFormatting>
  <conditionalFormatting sqref="P83">
    <cfRule type="cellIs" dxfId="5809" priority="2704" operator="greaterThan">
      <formula>0</formula>
    </cfRule>
  </conditionalFormatting>
  <conditionalFormatting sqref="P83">
    <cfRule type="cellIs" dxfId="5808" priority="2698" operator="greaterThan">
      <formula>0</formula>
    </cfRule>
  </conditionalFormatting>
  <conditionalFormatting sqref="Q83">
    <cfRule type="cellIs" dxfId="5807" priority="2703" operator="lessThan">
      <formula>0</formula>
    </cfRule>
  </conditionalFormatting>
  <conditionalFormatting sqref="R83">
    <cfRule type="cellIs" dxfId="5806" priority="2701" operator="lessThan">
      <formula>0.8</formula>
    </cfRule>
    <cfRule type="cellIs" dxfId="5805" priority="2702" operator="greaterThan">
      <formula>1</formula>
    </cfRule>
  </conditionalFormatting>
  <conditionalFormatting sqref="R83">
    <cfRule type="cellIs" dxfId="5804" priority="2699" operator="greaterThan">
      <formula>1</formula>
    </cfRule>
    <cfRule type="cellIs" dxfId="5803" priority="2700" operator="lessThan">
      <formula>0.8</formula>
    </cfRule>
  </conditionalFormatting>
  <conditionalFormatting sqref="P83">
    <cfRule type="cellIs" dxfId="5802" priority="2692" operator="greaterThan">
      <formula>0</formula>
    </cfRule>
  </conditionalFormatting>
  <conditionalFormatting sqref="Q83">
    <cfRule type="cellIs" dxfId="5801" priority="2697" operator="lessThan">
      <formula>0</formula>
    </cfRule>
  </conditionalFormatting>
  <conditionalFormatting sqref="R83">
    <cfRule type="cellIs" dxfId="5800" priority="2695" operator="lessThan">
      <formula>0.8</formula>
    </cfRule>
    <cfRule type="cellIs" dxfId="5799" priority="2696" operator="greaterThan">
      <formula>1</formula>
    </cfRule>
  </conditionalFormatting>
  <conditionalFormatting sqref="R83">
    <cfRule type="cellIs" dxfId="5798" priority="2693" operator="greaterThan">
      <formula>1</formula>
    </cfRule>
    <cfRule type="cellIs" dxfId="5797" priority="2694" operator="lessThan">
      <formula>0.8</formula>
    </cfRule>
  </conditionalFormatting>
  <conditionalFormatting sqref="R83">
    <cfRule type="cellIs" dxfId="5796" priority="2689" operator="lessThan">
      <formula>0.8</formula>
    </cfRule>
    <cfRule type="cellIs" dxfId="5795" priority="2690" operator="greaterThan">
      <formula>1</formula>
    </cfRule>
  </conditionalFormatting>
  <conditionalFormatting sqref="R83">
    <cfRule type="cellIs" dxfId="5794" priority="2687" operator="greaterThan">
      <formula>1</formula>
    </cfRule>
    <cfRule type="cellIs" dxfId="5793" priority="2688" operator="lessThan">
      <formula>0.8</formula>
    </cfRule>
  </conditionalFormatting>
  <conditionalFormatting sqref="P83">
    <cfRule type="cellIs" dxfId="5792" priority="2686" operator="greaterThan">
      <formula>0</formula>
    </cfRule>
  </conditionalFormatting>
  <conditionalFormatting sqref="Q83">
    <cfRule type="cellIs" dxfId="5791" priority="2691" operator="lessThan">
      <formula>0</formula>
    </cfRule>
  </conditionalFormatting>
  <conditionalFormatting sqref="P83">
    <cfRule type="cellIs" dxfId="5790" priority="2680" operator="greaterThan">
      <formula>0</formula>
    </cfRule>
  </conditionalFormatting>
  <conditionalFormatting sqref="Q83">
    <cfRule type="cellIs" dxfId="5789" priority="2685" operator="lessThan">
      <formula>0</formula>
    </cfRule>
  </conditionalFormatting>
  <conditionalFormatting sqref="R83">
    <cfRule type="cellIs" dxfId="5788" priority="2683" operator="lessThan">
      <formula>0.8</formula>
    </cfRule>
    <cfRule type="cellIs" dxfId="5787" priority="2684" operator="greaterThan">
      <formula>1</formula>
    </cfRule>
  </conditionalFormatting>
  <conditionalFormatting sqref="R83">
    <cfRule type="cellIs" dxfId="5786" priority="2681" operator="greaterThan">
      <formula>1</formula>
    </cfRule>
    <cfRule type="cellIs" dxfId="5785" priority="2682" operator="lessThan">
      <formula>0.8</formula>
    </cfRule>
  </conditionalFormatting>
  <conditionalFormatting sqref="R83">
    <cfRule type="cellIs" dxfId="5784" priority="2677" operator="lessThan">
      <formula>0.8</formula>
    </cfRule>
    <cfRule type="cellIs" dxfId="5783" priority="2678" operator="greaterThan">
      <formula>1</formula>
    </cfRule>
  </conditionalFormatting>
  <conditionalFormatting sqref="R83">
    <cfRule type="cellIs" dxfId="5782" priority="2675" operator="greaterThan">
      <formula>1</formula>
    </cfRule>
    <cfRule type="cellIs" dxfId="5781" priority="2676" operator="lessThan">
      <formula>0.8</formula>
    </cfRule>
  </conditionalFormatting>
  <conditionalFormatting sqref="P83">
    <cfRule type="cellIs" dxfId="5780" priority="2674" operator="greaterThan">
      <formula>0</formula>
    </cfRule>
  </conditionalFormatting>
  <conditionalFormatting sqref="Q83">
    <cfRule type="cellIs" dxfId="5779" priority="2679" operator="lessThan">
      <formula>0</formula>
    </cfRule>
  </conditionalFormatting>
  <conditionalFormatting sqref="R83">
    <cfRule type="cellIs" dxfId="5778" priority="2671" operator="lessThan">
      <formula>0.8</formula>
    </cfRule>
    <cfRule type="cellIs" dxfId="5777" priority="2672" operator="greaterThan">
      <formula>1</formula>
    </cfRule>
  </conditionalFormatting>
  <conditionalFormatting sqref="R83">
    <cfRule type="cellIs" dxfId="5776" priority="2669" operator="greaterThan">
      <formula>1</formula>
    </cfRule>
    <cfRule type="cellIs" dxfId="5775" priority="2670" operator="lessThan">
      <formula>0.8</formula>
    </cfRule>
  </conditionalFormatting>
  <conditionalFormatting sqref="P83">
    <cfRule type="cellIs" dxfId="5774" priority="2668" operator="greaterThan">
      <formula>0</formula>
    </cfRule>
  </conditionalFormatting>
  <conditionalFormatting sqref="Q83">
    <cfRule type="cellIs" dxfId="5773" priority="2673" operator="lessThan">
      <formula>0</formula>
    </cfRule>
  </conditionalFormatting>
  <conditionalFormatting sqref="Q83">
    <cfRule type="cellIs" dxfId="5772" priority="2667" operator="lessThan">
      <formula>0</formula>
    </cfRule>
  </conditionalFormatting>
  <conditionalFormatting sqref="R83">
    <cfRule type="cellIs" dxfId="5771" priority="2665" operator="lessThan">
      <formula>0.8</formula>
    </cfRule>
    <cfRule type="cellIs" dxfId="5770" priority="2666" operator="greaterThan">
      <formula>1</formula>
    </cfRule>
  </conditionalFormatting>
  <conditionalFormatting sqref="R83">
    <cfRule type="cellIs" dxfId="5769" priority="2663" operator="greaterThan">
      <formula>1</formula>
    </cfRule>
    <cfRule type="cellIs" dxfId="5768" priority="2664" operator="lessThan">
      <formula>0.8</formula>
    </cfRule>
  </conditionalFormatting>
  <conditionalFormatting sqref="P83">
    <cfRule type="cellIs" dxfId="5767" priority="2662" operator="greaterThan">
      <formula>0</formula>
    </cfRule>
  </conditionalFormatting>
  <conditionalFormatting sqref="Q83">
    <cfRule type="cellIs" dxfId="5766" priority="2656" operator="lessThan">
      <formula>0</formula>
    </cfRule>
  </conditionalFormatting>
  <conditionalFormatting sqref="R83">
    <cfRule type="cellIs" dxfId="5765" priority="2660" operator="lessThan">
      <formula>0.8</formula>
    </cfRule>
    <cfRule type="cellIs" dxfId="5764" priority="2661" operator="greaterThan">
      <formula>1</formula>
    </cfRule>
  </conditionalFormatting>
  <conditionalFormatting sqref="R83">
    <cfRule type="cellIs" dxfId="5763" priority="2658" operator="greaterThan">
      <formula>1</formula>
    </cfRule>
    <cfRule type="cellIs" dxfId="5762" priority="2659" operator="lessThan">
      <formula>0.8</formula>
    </cfRule>
  </conditionalFormatting>
  <conditionalFormatting sqref="P83">
    <cfRule type="cellIs" dxfId="5761" priority="2657" operator="greaterThan">
      <formula>0</formula>
    </cfRule>
  </conditionalFormatting>
  <conditionalFormatting sqref="Q83">
    <cfRule type="cellIs" dxfId="5760" priority="2655" operator="lessThan">
      <formula>0</formula>
    </cfRule>
  </conditionalFormatting>
  <conditionalFormatting sqref="R83">
    <cfRule type="cellIs" dxfId="5759" priority="2653" operator="lessThan">
      <formula>0.8</formula>
    </cfRule>
    <cfRule type="cellIs" dxfId="5758" priority="2654" operator="greaterThan">
      <formula>1</formula>
    </cfRule>
  </conditionalFormatting>
  <conditionalFormatting sqref="R83">
    <cfRule type="cellIs" dxfId="5757" priority="2651" operator="greaterThan">
      <formula>1</formula>
    </cfRule>
    <cfRule type="cellIs" dxfId="5756" priority="2652" operator="lessThan">
      <formula>0.8</formula>
    </cfRule>
  </conditionalFormatting>
  <conditionalFormatting sqref="P83">
    <cfRule type="cellIs" dxfId="5755" priority="2650" operator="greaterThan">
      <formula>0</formula>
    </cfRule>
  </conditionalFormatting>
  <conditionalFormatting sqref="Q83">
    <cfRule type="cellIs" dxfId="5754" priority="2649" operator="lessThan">
      <formula>0</formula>
    </cfRule>
  </conditionalFormatting>
  <conditionalFormatting sqref="R83">
    <cfRule type="cellIs" dxfId="5753" priority="2647" operator="lessThan">
      <formula>0.8</formula>
    </cfRule>
    <cfRule type="cellIs" dxfId="5752" priority="2648" operator="greaterThan">
      <formula>1</formula>
    </cfRule>
  </conditionalFormatting>
  <conditionalFormatting sqref="R83">
    <cfRule type="cellIs" dxfId="5751" priority="2645" operator="greaterThan">
      <formula>1</formula>
    </cfRule>
    <cfRule type="cellIs" dxfId="5750" priority="2646" operator="lessThan">
      <formula>0.8</formula>
    </cfRule>
  </conditionalFormatting>
  <conditionalFormatting sqref="P83">
    <cfRule type="cellIs" dxfId="5749" priority="2644" operator="greaterThan">
      <formula>0</formula>
    </cfRule>
  </conditionalFormatting>
  <conditionalFormatting sqref="Q83">
    <cfRule type="cellIs" dxfId="5748" priority="2643" operator="lessThan">
      <formula>0</formula>
    </cfRule>
  </conditionalFormatting>
  <conditionalFormatting sqref="R83">
    <cfRule type="cellIs" dxfId="5747" priority="2641" operator="lessThan">
      <formula>0.8</formula>
    </cfRule>
    <cfRule type="cellIs" dxfId="5746" priority="2642" operator="greaterThan">
      <formula>1</formula>
    </cfRule>
  </conditionalFormatting>
  <conditionalFormatting sqref="R83">
    <cfRule type="cellIs" dxfId="5745" priority="2639" operator="greaterThan">
      <formula>1</formula>
    </cfRule>
    <cfRule type="cellIs" dxfId="5744" priority="2640" operator="lessThan">
      <formula>0.8</formula>
    </cfRule>
  </conditionalFormatting>
  <conditionalFormatting sqref="P83">
    <cfRule type="cellIs" dxfId="5743" priority="2638" operator="greaterThan">
      <formula>0</formula>
    </cfRule>
  </conditionalFormatting>
  <conditionalFormatting sqref="Q83">
    <cfRule type="cellIs" dxfId="5742" priority="2637" operator="lessThan">
      <formula>0</formula>
    </cfRule>
  </conditionalFormatting>
  <conditionalFormatting sqref="R83">
    <cfRule type="cellIs" dxfId="5741" priority="2635" operator="lessThan">
      <formula>0.8</formula>
    </cfRule>
    <cfRule type="cellIs" dxfId="5740" priority="2636" operator="greaterThan">
      <formula>1</formula>
    </cfRule>
  </conditionalFormatting>
  <conditionalFormatting sqref="R83">
    <cfRule type="cellIs" dxfId="5739" priority="2633" operator="greaterThan">
      <formula>1</formula>
    </cfRule>
    <cfRule type="cellIs" dxfId="5738" priority="2634" operator="lessThan">
      <formula>0.8</formula>
    </cfRule>
  </conditionalFormatting>
  <conditionalFormatting sqref="P83">
    <cfRule type="cellIs" dxfId="5737" priority="2632" operator="greaterThan">
      <formula>0</formula>
    </cfRule>
  </conditionalFormatting>
  <conditionalFormatting sqref="Q83">
    <cfRule type="cellIs" dxfId="5736" priority="2631" operator="lessThan">
      <formula>0</formula>
    </cfRule>
  </conditionalFormatting>
  <conditionalFormatting sqref="R83">
    <cfRule type="cellIs" dxfId="5735" priority="2629" operator="lessThan">
      <formula>0.8</formula>
    </cfRule>
    <cfRule type="cellIs" dxfId="5734" priority="2630" operator="greaterThan">
      <formula>1</formula>
    </cfRule>
  </conditionalFormatting>
  <conditionalFormatting sqref="R83">
    <cfRule type="cellIs" dxfId="5733" priority="2627" operator="greaterThan">
      <formula>1</formula>
    </cfRule>
    <cfRule type="cellIs" dxfId="5732" priority="2628" operator="lessThan">
      <formula>0.8</formula>
    </cfRule>
  </conditionalFormatting>
  <conditionalFormatting sqref="P83">
    <cfRule type="cellIs" dxfId="5731" priority="2626" operator="greaterThan">
      <formula>0</formula>
    </cfRule>
  </conditionalFormatting>
  <conditionalFormatting sqref="P83">
    <cfRule type="cellIs" dxfId="5730" priority="2620" operator="greaterThan">
      <formula>0</formula>
    </cfRule>
  </conditionalFormatting>
  <conditionalFormatting sqref="Q83">
    <cfRule type="cellIs" dxfId="5729" priority="2625" operator="lessThan">
      <formula>0</formula>
    </cfRule>
  </conditionalFormatting>
  <conditionalFormatting sqref="R83">
    <cfRule type="cellIs" dxfId="5728" priority="2623" operator="lessThan">
      <formula>0.8</formula>
    </cfRule>
    <cfRule type="cellIs" dxfId="5727" priority="2624" operator="greaterThan">
      <formula>1</formula>
    </cfRule>
  </conditionalFormatting>
  <conditionalFormatting sqref="R83">
    <cfRule type="cellIs" dxfId="5726" priority="2621" operator="greaterThan">
      <formula>1</formula>
    </cfRule>
    <cfRule type="cellIs" dxfId="5725" priority="2622" operator="lessThan">
      <formula>0.8</formula>
    </cfRule>
  </conditionalFormatting>
  <conditionalFormatting sqref="P83">
    <cfRule type="cellIs" dxfId="5724" priority="2614" operator="greaterThan">
      <formula>0</formula>
    </cfRule>
  </conditionalFormatting>
  <conditionalFormatting sqref="Q83">
    <cfRule type="cellIs" dxfId="5723" priority="2619" operator="lessThan">
      <formula>0</formula>
    </cfRule>
  </conditionalFormatting>
  <conditionalFormatting sqref="R83">
    <cfRule type="cellIs" dxfId="5722" priority="2617" operator="lessThan">
      <formula>0.8</formula>
    </cfRule>
    <cfRule type="cellIs" dxfId="5721" priority="2618" operator="greaterThan">
      <formula>1</formula>
    </cfRule>
  </conditionalFormatting>
  <conditionalFormatting sqref="R83">
    <cfRule type="cellIs" dxfId="5720" priority="2615" operator="greaterThan">
      <formula>1</formula>
    </cfRule>
    <cfRule type="cellIs" dxfId="5719" priority="2616" operator="lessThan">
      <formula>0.8</formula>
    </cfRule>
  </conditionalFormatting>
  <conditionalFormatting sqref="R83">
    <cfRule type="cellIs" dxfId="5718" priority="2611" operator="lessThan">
      <formula>0.8</formula>
    </cfRule>
    <cfRule type="cellIs" dxfId="5717" priority="2612" operator="greaterThan">
      <formula>1</formula>
    </cfRule>
  </conditionalFormatting>
  <conditionalFormatting sqref="R83">
    <cfRule type="cellIs" dxfId="5716" priority="2609" operator="greaterThan">
      <formula>1</formula>
    </cfRule>
    <cfRule type="cellIs" dxfId="5715" priority="2610" operator="lessThan">
      <formula>0.8</formula>
    </cfRule>
  </conditionalFormatting>
  <conditionalFormatting sqref="P83">
    <cfRule type="cellIs" dxfId="5714" priority="2608" operator="greaterThan">
      <formula>0</formula>
    </cfRule>
  </conditionalFormatting>
  <conditionalFormatting sqref="Q83">
    <cfRule type="cellIs" dxfId="5713" priority="2613" operator="lessThan">
      <formula>0</formula>
    </cfRule>
  </conditionalFormatting>
  <conditionalFormatting sqref="Q83">
    <cfRule type="cellIs" dxfId="5712" priority="2602" operator="lessThan">
      <formula>0</formula>
    </cfRule>
  </conditionalFormatting>
  <conditionalFormatting sqref="P83">
    <cfRule type="cellIs" dxfId="5711" priority="2603" operator="greaterThan">
      <formula>0</formula>
    </cfRule>
  </conditionalFormatting>
  <conditionalFormatting sqref="R83">
    <cfRule type="cellIs" dxfId="5710" priority="2606" operator="lessThan">
      <formula>0.8</formula>
    </cfRule>
    <cfRule type="cellIs" dxfId="5709" priority="2607" operator="greaterThan">
      <formula>1</formula>
    </cfRule>
  </conditionalFormatting>
  <conditionalFormatting sqref="R83">
    <cfRule type="cellIs" dxfId="5708" priority="2604" operator="greaterThan">
      <formula>1</formula>
    </cfRule>
    <cfRule type="cellIs" dxfId="5707" priority="2605" operator="lessThan">
      <formula>0.8</formula>
    </cfRule>
  </conditionalFormatting>
  <conditionalFormatting sqref="Q83">
    <cfRule type="cellIs" dxfId="5706" priority="2596" operator="lessThan">
      <formula>0</formula>
    </cfRule>
  </conditionalFormatting>
  <conditionalFormatting sqref="R83">
    <cfRule type="cellIs" dxfId="5705" priority="2600" operator="lessThan">
      <formula>0.8</formula>
    </cfRule>
    <cfRule type="cellIs" dxfId="5704" priority="2601" operator="greaterThan">
      <formula>1</formula>
    </cfRule>
  </conditionalFormatting>
  <conditionalFormatting sqref="R83">
    <cfRule type="cellIs" dxfId="5703" priority="2598" operator="greaterThan">
      <formula>1</formula>
    </cfRule>
    <cfRule type="cellIs" dxfId="5702" priority="2599" operator="lessThan">
      <formula>0.8</formula>
    </cfRule>
  </conditionalFormatting>
  <conditionalFormatting sqref="P83">
    <cfRule type="cellIs" dxfId="5701" priority="2597" operator="greaterThan">
      <formula>0</formula>
    </cfRule>
  </conditionalFormatting>
  <conditionalFormatting sqref="Q83">
    <cfRule type="cellIs" dxfId="5700" priority="2595" operator="lessThan">
      <formula>0</formula>
    </cfRule>
  </conditionalFormatting>
  <conditionalFormatting sqref="R83">
    <cfRule type="cellIs" dxfId="5699" priority="2593" operator="lessThan">
      <formula>0.8</formula>
    </cfRule>
    <cfRule type="cellIs" dxfId="5698" priority="2594" operator="greaterThan">
      <formula>1</formula>
    </cfRule>
  </conditionalFormatting>
  <conditionalFormatting sqref="R83">
    <cfRule type="cellIs" dxfId="5697" priority="2591" operator="greaterThan">
      <formula>1</formula>
    </cfRule>
    <cfRule type="cellIs" dxfId="5696" priority="2592" operator="lessThan">
      <formula>0.8</formula>
    </cfRule>
  </conditionalFormatting>
  <conditionalFormatting sqref="P83">
    <cfRule type="cellIs" dxfId="5695" priority="2590" operator="greaterThan">
      <formula>0</formula>
    </cfRule>
  </conditionalFormatting>
  <conditionalFormatting sqref="Q83">
    <cfRule type="cellIs" dxfId="5694" priority="2589" operator="lessThan">
      <formula>0</formula>
    </cfRule>
  </conditionalFormatting>
  <conditionalFormatting sqref="R83">
    <cfRule type="cellIs" dxfId="5693" priority="2587" operator="lessThan">
      <formula>0.8</formula>
    </cfRule>
    <cfRule type="cellIs" dxfId="5692" priority="2588" operator="greaterThan">
      <formula>1</formula>
    </cfRule>
  </conditionalFormatting>
  <conditionalFormatting sqref="R83">
    <cfRule type="cellIs" dxfId="5691" priority="2585" operator="greaterThan">
      <formula>1</formula>
    </cfRule>
    <cfRule type="cellIs" dxfId="5690" priority="2586" operator="lessThan">
      <formula>0.8</formula>
    </cfRule>
  </conditionalFormatting>
  <conditionalFormatting sqref="P83">
    <cfRule type="cellIs" dxfId="5689" priority="2584" operator="greaterThan">
      <formula>0</formula>
    </cfRule>
  </conditionalFormatting>
  <conditionalFormatting sqref="Q83">
    <cfRule type="cellIs" dxfId="5688" priority="2583" operator="lessThan">
      <formula>0</formula>
    </cfRule>
  </conditionalFormatting>
  <conditionalFormatting sqref="R83">
    <cfRule type="cellIs" dxfId="5687" priority="2581" operator="lessThan">
      <formula>0.8</formula>
    </cfRule>
    <cfRule type="cellIs" dxfId="5686" priority="2582" operator="greaterThan">
      <formula>1</formula>
    </cfRule>
  </conditionalFormatting>
  <conditionalFormatting sqref="R83">
    <cfRule type="cellIs" dxfId="5685" priority="2579" operator="greaterThan">
      <formula>1</formula>
    </cfRule>
    <cfRule type="cellIs" dxfId="5684" priority="2580" operator="lessThan">
      <formula>0.8</formula>
    </cfRule>
  </conditionalFormatting>
  <conditionalFormatting sqref="P83">
    <cfRule type="cellIs" dxfId="5683" priority="2578" operator="greaterThan">
      <formula>0</formula>
    </cfRule>
  </conditionalFormatting>
  <conditionalFormatting sqref="Q83">
    <cfRule type="cellIs" dxfId="5682" priority="2577" operator="lessThan">
      <formula>0</formula>
    </cfRule>
  </conditionalFormatting>
  <conditionalFormatting sqref="R83">
    <cfRule type="cellIs" dxfId="5681" priority="2575" operator="lessThan">
      <formula>0.8</formula>
    </cfRule>
    <cfRule type="cellIs" dxfId="5680" priority="2576" operator="greaterThan">
      <formula>1</formula>
    </cfRule>
  </conditionalFormatting>
  <conditionalFormatting sqref="R83">
    <cfRule type="cellIs" dxfId="5679" priority="2573" operator="greaterThan">
      <formula>1</formula>
    </cfRule>
    <cfRule type="cellIs" dxfId="5678" priority="2574" operator="lessThan">
      <formula>0.8</formula>
    </cfRule>
  </conditionalFormatting>
  <conditionalFormatting sqref="P83">
    <cfRule type="cellIs" dxfId="5677" priority="2572" operator="greaterThan">
      <formula>0</formula>
    </cfRule>
  </conditionalFormatting>
  <conditionalFormatting sqref="Q83">
    <cfRule type="cellIs" dxfId="5676" priority="2571" operator="lessThan">
      <formula>0</formula>
    </cfRule>
  </conditionalFormatting>
  <conditionalFormatting sqref="R83">
    <cfRule type="cellIs" dxfId="5675" priority="2569" operator="lessThan">
      <formula>0.8</formula>
    </cfRule>
    <cfRule type="cellIs" dxfId="5674" priority="2570" operator="greaterThan">
      <formula>1</formula>
    </cfRule>
  </conditionalFormatting>
  <conditionalFormatting sqref="R83">
    <cfRule type="cellIs" dxfId="5673" priority="2567" operator="greaterThan">
      <formula>1</formula>
    </cfRule>
    <cfRule type="cellIs" dxfId="5672" priority="2568" operator="lessThan">
      <formula>0.8</formula>
    </cfRule>
  </conditionalFormatting>
  <conditionalFormatting sqref="P83">
    <cfRule type="cellIs" dxfId="5671" priority="2566" operator="greaterThan">
      <formula>0</formula>
    </cfRule>
  </conditionalFormatting>
  <conditionalFormatting sqref="Q83">
    <cfRule type="cellIs" dxfId="5670" priority="2565" operator="lessThan">
      <formula>0</formula>
    </cfRule>
  </conditionalFormatting>
  <conditionalFormatting sqref="R83">
    <cfRule type="cellIs" dxfId="5669" priority="2563" operator="lessThan">
      <formula>0.8</formula>
    </cfRule>
    <cfRule type="cellIs" dxfId="5668" priority="2564" operator="greaterThan">
      <formula>1</formula>
    </cfRule>
  </conditionalFormatting>
  <conditionalFormatting sqref="R83">
    <cfRule type="cellIs" dxfId="5667" priority="2561" operator="greaterThan">
      <formula>1</formula>
    </cfRule>
    <cfRule type="cellIs" dxfId="5666" priority="2562" operator="lessThan">
      <formula>0.8</formula>
    </cfRule>
  </conditionalFormatting>
  <conditionalFormatting sqref="P83">
    <cfRule type="cellIs" dxfId="5665" priority="2560" operator="greaterThan">
      <formula>0</formula>
    </cfRule>
  </conditionalFormatting>
  <conditionalFormatting sqref="Q83">
    <cfRule type="cellIs" dxfId="5664" priority="2559" operator="lessThan">
      <formula>0</formula>
    </cfRule>
  </conditionalFormatting>
  <conditionalFormatting sqref="R83">
    <cfRule type="cellIs" dxfId="5663" priority="2557" operator="lessThan">
      <formula>0.8</formula>
    </cfRule>
    <cfRule type="cellIs" dxfId="5662" priority="2558" operator="greaterThan">
      <formula>1</formula>
    </cfRule>
  </conditionalFormatting>
  <conditionalFormatting sqref="R83">
    <cfRule type="cellIs" dxfId="5661" priority="2555" operator="greaterThan">
      <formula>1</formula>
    </cfRule>
    <cfRule type="cellIs" dxfId="5660" priority="2556" operator="lessThan">
      <formula>0.8</formula>
    </cfRule>
  </conditionalFormatting>
  <conditionalFormatting sqref="P83">
    <cfRule type="cellIs" dxfId="5659" priority="2554" operator="greaterThan">
      <formula>0</formula>
    </cfRule>
  </conditionalFormatting>
  <conditionalFormatting sqref="P83">
    <cfRule type="cellIs" dxfId="5658" priority="2548" operator="greaterThan">
      <formula>0</formula>
    </cfRule>
  </conditionalFormatting>
  <conditionalFormatting sqref="Q83">
    <cfRule type="cellIs" dxfId="5657" priority="2553" operator="lessThan">
      <formula>0</formula>
    </cfRule>
  </conditionalFormatting>
  <conditionalFormatting sqref="R83">
    <cfRule type="cellIs" dxfId="5656" priority="2551" operator="lessThan">
      <formula>0.8</formula>
    </cfRule>
    <cfRule type="cellIs" dxfId="5655" priority="2552" operator="greaterThan">
      <formula>1</formula>
    </cfRule>
  </conditionalFormatting>
  <conditionalFormatting sqref="R83">
    <cfRule type="cellIs" dxfId="5654" priority="2549" operator="greaterThan">
      <formula>1</formula>
    </cfRule>
    <cfRule type="cellIs" dxfId="5653" priority="2550" operator="lessThan">
      <formula>0.8</formula>
    </cfRule>
  </conditionalFormatting>
  <conditionalFormatting sqref="P83">
    <cfRule type="cellIs" dxfId="5652" priority="2542" operator="greaterThan">
      <formula>0</formula>
    </cfRule>
  </conditionalFormatting>
  <conditionalFormatting sqref="Q83">
    <cfRule type="cellIs" dxfId="5651" priority="2547" operator="lessThan">
      <formula>0</formula>
    </cfRule>
  </conditionalFormatting>
  <conditionalFormatting sqref="R83">
    <cfRule type="cellIs" dxfId="5650" priority="2545" operator="lessThan">
      <formula>0.8</formula>
    </cfRule>
    <cfRule type="cellIs" dxfId="5649" priority="2546" operator="greaterThan">
      <formula>1</formula>
    </cfRule>
  </conditionalFormatting>
  <conditionalFormatting sqref="R83">
    <cfRule type="cellIs" dxfId="5648" priority="2543" operator="greaterThan">
      <formula>1</formula>
    </cfRule>
    <cfRule type="cellIs" dxfId="5647" priority="2544" operator="lessThan">
      <formula>0.8</formula>
    </cfRule>
  </conditionalFormatting>
  <conditionalFormatting sqref="R83">
    <cfRule type="cellIs" dxfId="5646" priority="2539" operator="lessThan">
      <formula>0.8</formula>
    </cfRule>
    <cfRule type="cellIs" dxfId="5645" priority="2540" operator="greaterThan">
      <formula>1</formula>
    </cfRule>
  </conditionalFormatting>
  <conditionalFormatting sqref="R83">
    <cfRule type="cellIs" dxfId="5644" priority="2537" operator="greaterThan">
      <formula>1</formula>
    </cfRule>
    <cfRule type="cellIs" dxfId="5643" priority="2538" operator="lessThan">
      <formula>0.8</formula>
    </cfRule>
  </conditionalFormatting>
  <conditionalFormatting sqref="P83">
    <cfRule type="cellIs" dxfId="5642" priority="2536" operator="greaterThan">
      <formula>0</formula>
    </cfRule>
  </conditionalFormatting>
  <conditionalFormatting sqref="Q83">
    <cfRule type="cellIs" dxfId="5641" priority="2541" operator="lessThan">
      <formula>0</formula>
    </cfRule>
  </conditionalFormatting>
  <conditionalFormatting sqref="Q83">
    <cfRule type="cellIs" dxfId="5640" priority="2535" operator="lessThan">
      <formula>0</formula>
    </cfRule>
  </conditionalFormatting>
  <conditionalFormatting sqref="R83">
    <cfRule type="cellIs" dxfId="5639" priority="2533" operator="lessThan">
      <formula>0.8</formula>
    </cfRule>
    <cfRule type="cellIs" dxfId="5638" priority="2534" operator="greaterThan">
      <formula>1</formula>
    </cfRule>
  </conditionalFormatting>
  <conditionalFormatting sqref="R83">
    <cfRule type="cellIs" dxfId="5637" priority="2531" operator="greaterThan">
      <formula>1</formula>
    </cfRule>
    <cfRule type="cellIs" dxfId="5636" priority="2532" operator="lessThan">
      <formula>0.8</formula>
    </cfRule>
  </conditionalFormatting>
  <conditionalFormatting sqref="P83">
    <cfRule type="cellIs" dxfId="5635" priority="2530" operator="greaterThan">
      <formula>0</formula>
    </cfRule>
  </conditionalFormatting>
  <conditionalFormatting sqref="P83">
    <cfRule type="cellIs" dxfId="5634" priority="2524" operator="greaterThan">
      <formula>0</formula>
    </cfRule>
  </conditionalFormatting>
  <conditionalFormatting sqref="Q83">
    <cfRule type="cellIs" dxfId="5633" priority="2529" operator="lessThan">
      <formula>0</formula>
    </cfRule>
  </conditionalFormatting>
  <conditionalFormatting sqref="R83">
    <cfRule type="cellIs" dxfId="5632" priority="2527" operator="lessThan">
      <formula>0.8</formula>
    </cfRule>
    <cfRule type="cellIs" dxfId="5631" priority="2528" operator="greaterThan">
      <formula>1</formula>
    </cfRule>
  </conditionalFormatting>
  <conditionalFormatting sqref="R83">
    <cfRule type="cellIs" dxfId="5630" priority="2525" operator="greaterThan">
      <formula>1</formula>
    </cfRule>
    <cfRule type="cellIs" dxfId="5629" priority="2526" operator="lessThan">
      <formula>0.8</formula>
    </cfRule>
  </conditionalFormatting>
  <conditionalFormatting sqref="P83">
    <cfRule type="cellIs" dxfId="5628" priority="2518" operator="greaterThan">
      <formula>0</formula>
    </cfRule>
  </conditionalFormatting>
  <conditionalFormatting sqref="Q83">
    <cfRule type="cellIs" dxfId="5627" priority="2523" operator="lessThan">
      <formula>0</formula>
    </cfRule>
  </conditionalFormatting>
  <conditionalFormatting sqref="R83">
    <cfRule type="cellIs" dxfId="5626" priority="2521" operator="lessThan">
      <formula>0.8</formula>
    </cfRule>
    <cfRule type="cellIs" dxfId="5625" priority="2522" operator="greaterThan">
      <formula>1</formula>
    </cfRule>
  </conditionalFormatting>
  <conditionalFormatting sqref="R83">
    <cfRule type="cellIs" dxfId="5624" priority="2519" operator="greaterThan">
      <formula>1</formula>
    </cfRule>
    <cfRule type="cellIs" dxfId="5623" priority="2520" operator="lessThan">
      <formula>0.8</formula>
    </cfRule>
  </conditionalFormatting>
  <conditionalFormatting sqref="R83">
    <cfRule type="cellIs" dxfId="5622" priority="2515" operator="lessThan">
      <formula>0.8</formula>
    </cfRule>
    <cfRule type="cellIs" dxfId="5621" priority="2516" operator="greaterThan">
      <formula>1</formula>
    </cfRule>
  </conditionalFormatting>
  <conditionalFormatting sqref="R83">
    <cfRule type="cellIs" dxfId="5620" priority="2513" operator="greaterThan">
      <formula>1</formula>
    </cfRule>
    <cfRule type="cellIs" dxfId="5619" priority="2514" operator="lessThan">
      <formula>0.8</formula>
    </cfRule>
  </conditionalFormatting>
  <conditionalFormatting sqref="P83">
    <cfRule type="cellIs" dxfId="5618" priority="2512" operator="greaterThan">
      <formula>0</formula>
    </cfRule>
  </conditionalFormatting>
  <conditionalFormatting sqref="Q83">
    <cfRule type="cellIs" dxfId="5617" priority="2517" operator="lessThan">
      <formula>0</formula>
    </cfRule>
  </conditionalFormatting>
  <conditionalFormatting sqref="P83">
    <cfRule type="cellIs" dxfId="5616" priority="2506" operator="greaterThan">
      <formula>0</formula>
    </cfRule>
  </conditionalFormatting>
  <conditionalFormatting sqref="Q83">
    <cfRule type="cellIs" dxfId="5615" priority="2511" operator="lessThan">
      <formula>0</formula>
    </cfRule>
  </conditionalFormatting>
  <conditionalFormatting sqref="R83">
    <cfRule type="cellIs" dxfId="5614" priority="2509" operator="lessThan">
      <formula>0.8</formula>
    </cfRule>
    <cfRule type="cellIs" dxfId="5613" priority="2510" operator="greaterThan">
      <formula>1</formula>
    </cfRule>
  </conditionalFormatting>
  <conditionalFormatting sqref="R83">
    <cfRule type="cellIs" dxfId="5612" priority="2507" operator="greaterThan">
      <formula>1</formula>
    </cfRule>
    <cfRule type="cellIs" dxfId="5611" priority="2508" operator="lessThan">
      <formula>0.8</formula>
    </cfRule>
  </conditionalFormatting>
  <conditionalFormatting sqref="R83">
    <cfRule type="cellIs" dxfId="5610" priority="2503" operator="lessThan">
      <formula>0.8</formula>
    </cfRule>
    <cfRule type="cellIs" dxfId="5609" priority="2504" operator="greaterThan">
      <formula>1</formula>
    </cfRule>
  </conditionalFormatting>
  <conditionalFormatting sqref="R83">
    <cfRule type="cellIs" dxfId="5608" priority="2501" operator="greaterThan">
      <formula>1</formula>
    </cfRule>
    <cfRule type="cellIs" dxfId="5607" priority="2502" operator="lessThan">
      <formula>0.8</formula>
    </cfRule>
  </conditionalFormatting>
  <conditionalFormatting sqref="P83">
    <cfRule type="cellIs" dxfId="5606" priority="2500" operator="greaterThan">
      <formula>0</formula>
    </cfRule>
  </conditionalFormatting>
  <conditionalFormatting sqref="Q83">
    <cfRule type="cellIs" dxfId="5605" priority="2505" operator="lessThan">
      <formula>0</formula>
    </cfRule>
  </conditionalFormatting>
  <conditionalFormatting sqref="R83">
    <cfRule type="cellIs" dxfId="5604" priority="2497" operator="lessThan">
      <formula>0.8</formula>
    </cfRule>
    <cfRule type="cellIs" dxfId="5603" priority="2498" operator="greaterThan">
      <formula>1</formula>
    </cfRule>
  </conditionalFormatting>
  <conditionalFormatting sqref="R83">
    <cfRule type="cellIs" dxfId="5602" priority="2495" operator="greaterThan">
      <formula>1</formula>
    </cfRule>
    <cfRule type="cellIs" dxfId="5601" priority="2496" operator="lessThan">
      <formula>0.8</formula>
    </cfRule>
  </conditionalFormatting>
  <conditionalFormatting sqref="P83">
    <cfRule type="cellIs" dxfId="5600" priority="2494" operator="greaterThan">
      <formula>0</formula>
    </cfRule>
  </conditionalFormatting>
  <conditionalFormatting sqref="Q83">
    <cfRule type="cellIs" dxfId="5599" priority="2499" operator="lessThan">
      <formula>0</formula>
    </cfRule>
  </conditionalFormatting>
  <conditionalFormatting sqref="Q83">
    <cfRule type="cellIs" dxfId="5598" priority="2493" operator="lessThan">
      <formula>0</formula>
    </cfRule>
  </conditionalFormatting>
  <conditionalFormatting sqref="R83">
    <cfRule type="cellIs" dxfId="5597" priority="2491" operator="lessThan">
      <formula>0.8</formula>
    </cfRule>
    <cfRule type="cellIs" dxfId="5596" priority="2492" operator="greaterThan">
      <formula>1</formula>
    </cfRule>
  </conditionalFormatting>
  <conditionalFormatting sqref="R83">
    <cfRule type="cellIs" dxfId="5595" priority="2489" operator="greaterThan">
      <formula>1</formula>
    </cfRule>
    <cfRule type="cellIs" dxfId="5594" priority="2490" operator="lessThan">
      <formula>0.8</formula>
    </cfRule>
  </conditionalFormatting>
  <conditionalFormatting sqref="P83">
    <cfRule type="cellIs" dxfId="5593" priority="2488" operator="greaterThan">
      <formula>0</formula>
    </cfRule>
  </conditionalFormatting>
  <conditionalFormatting sqref="Q83">
    <cfRule type="cellIs" dxfId="5592" priority="2482" operator="lessThan">
      <formula>0</formula>
    </cfRule>
  </conditionalFormatting>
  <conditionalFormatting sqref="R83">
    <cfRule type="cellIs" dxfId="5591" priority="2486" operator="lessThan">
      <formula>0.8</formula>
    </cfRule>
    <cfRule type="cellIs" dxfId="5590" priority="2487" operator="greaterThan">
      <formula>1</formula>
    </cfRule>
  </conditionalFormatting>
  <conditionalFormatting sqref="R83">
    <cfRule type="cellIs" dxfId="5589" priority="2484" operator="greaterThan">
      <formula>1</formula>
    </cfRule>
    <cfRule type="cellIs" dxfId="5588" priority="2485" operator="lessThan">
      <formula>0.8</formula>
    </cfRule>
  </conditionalFormatting>
  <conditionalFormatting sqref="P83">
    <cfRule type="cellIs" dxfId="5587" priority="2483" operator="greaterThan">
      <formula>0</formula>
    </cfRule>
  </conditionalFormatting>
  <conditionalFormatting sqref="Q83">
    <cfRule type="cellIs" dxfId="5586" priority="2481" operator="lessThan">
      <formula>0</formula>
    </cfRule>
  </conditionalFormatting>
  <conditionalFormatting sqref="R83">
    <cfRule type="cellIs" dxfId="5585" priority="2479" operator="lessThan">
      <formula>0.8</formula>
    </cfRule>
    <cfRule type="cellIs" dxfId="5584" priority="2480" operator="greaterThan">
      <formula>1</formula>
    </cfRule>
  </conditionalFormatting>
  <conditionalFormatting sqref="R83">
    <cfRule type="cellIs" dxfId="5583" priority="2477" operator="greaterThan">
      <formula>1</formula>
    </cfRule>
    <cfRule type="cellIs" dxfId="5582" priority="2478" operator="lessThan">
      <formula>0.8</formula>
    </cfRule>
  </conditionalFormatting>
  <conditionalFormatting sqref="P83">
    <cfRule type="cellIs" dxfId="5581" priority="2476" operator="greaterThan">
      <formula>0</formula>
    </cfRule>
  </conditionalFormatting>
  <conditionalFormatting sqref="Q83">
    <cfRule type="cellIs" dxfId="5580" priority="2475" operator="lessThan">
      <formula>0</formula>
    </cfRule>
  </conditionalFormatting>
  <conditionalFormatting sqref="R83">
    <cfRule type="cellIs" dxfId="5579" priority="2473" operator="lessThan">
      <formula>0.8</formula>
    </cfRule>
    <cfRule type="cellIs" dxfId="5578" priority="2474" operator="greaterThan">
      <formula>1</formula>
    </cfRule>
  </conditionalFormatting>
  <conditionalFormatting sqref="R83">
    <cfRule type="cellIs" dxfId="5577" priority="2471" operator="greaterThan">
      <formula>1</formula>
    </cfRule>
    <cfRule type="cellIs" dxfId="5576" priority="2472" operator="lessThan">
      <formula>0.8</formula>
    </cfRule>
  </conditionalFormatting>
  <conditionalFormatting sqref="P83">
    <cfRule type="cellIs" dxfId="5575" priority="2470" operator="greaterThan">
      <formula>0</formula>
    </cfRule>
  </conditionalFormatting>
  <conditionalFormatting sqref="Q83">
    <cfRule type="cellIs" dxfId="5574" priority="2469" operator="lessThan">
      <formula>0</formula>
    </cfRule>
  </conditionalFormatting>
  <conditionalFormatting sqref="R83">
    <cfRule type="cellIs" dxfId="5573" priority="2467" operator="lessThan">
      <formula>0.8</formula>
    </cfRule>
    <cfRule type="cellIs" dxfId="5572" priority="2468" operator="greaterThan">
      <formula>1</formula>
    </cfRule>
  </conditionalFormatting>
  <conditionalFormatting sqref="R83">
    <cfRule type="cellIs" dxfId="5571" priority="2465" operator="greaterThan">
      <formula>1</formula>
    </cfRule>
    <cfRule type="cellIs" dxfId="5570" priority="2466" operator="lessThan">
      <formula>0.8</formula>
    </cfRule>
  </conditionalFormatting>
  <conditionalFormatting sqref="P83">
    <cfRule type="cellIs" dxfId="5569" priority="2464" operator="greaterThan">
      <formula>0</formula>
    </cfRule>
  </conditionalFormatting>
  <conditionalFormatting sqref="Q83">
    <cfRule type="cellIs" dxfId="5568" priority="2463" operator="lessThan">
      <formula>0</formula>
    </cfRule>
  </conditionalFormatting>
  <conditionalFormatting sqref="R83">
    <cfRule type="cellIs" dxfId="5567" priority="2461" operator="lessThan">
      <formula>0.8</formula>
    </cfRule>
    <cfRule type="cellIs" dxfId="5566" priority="2462" operator="greaterThan">
      <formula>1</formula>
    </cfRule>
  </conditionalFormatting>
  <conditionalFormatting sqref="R83">
    <cfRule type="cellIs" dxfId="5565" priority="2459" operator="greaterThan">
      <formula>1</formula>
    </cfRule>
    <cfRule type="cellIs" dxfId="5564" priority="2460" operator="lessThan">
      <formula>0.8</formula>
    </cfRule>
  </conditionalFormatting>
  <conditionalFormatting sqref="P83">
    <cfRule type="cellIs" dxfId="5563" priority="2458" operator="greaterThan">
      <formula>0</formula>
    </cfRule>
  </conditionalFormatting>
  <conditionalFormatting sqref="Q83">
    <cfRule type="cellIs" dxfId="5562" priority="2457" operator="lessThan">
      <formula>0</formula>
    </cfRule>
  </conditionalFormatting>
  <conditionalFormatting sqref="R83">
    <cfRule type="cellIs" dxfId="5561" priority="2455" operator="lessThan">
      <formula>0.8</formula>
    </cfRule>
    <cfRule type="cellIs" dxfId="5560" priority="2456" operator="greaterThan">
      <formula>1</formula>
    </cfRule>
  </conditionalFormatting>
  <conditionalFormatting sqref="R83">
    <cfRule type="cellIs" dxfId="5559" priority="2453" operator="greaterThan">
      <formula>1</formula>
    </cfRule>
    <cfRule type="cellIs" dxfId="5558" priority="2454" operator="lessThan">
      <formula>0.8</formula>
    </cfRule>
  </conditionalFormatting>
  <conditionalFormatting sqref="P83">
    <cfRule type="cellIs" dxfId="5557" priority="2452" operator="greaterThan">
      <formula>0</formula>
    </cfRule>
  </conditionalFormatting>
  <conditionalFormatting sqref="P83">
    <cfRule type="cellIs" dxfId="5556" priority="2446" operator="greaterThan">
      <formula>0</formula>
    </cfRule>
  </conditionalFormatting>
  <conditionalFormatting sqref="Q83">
    <cfRule type="cellIs" dxfId="5555" priority="2451" operator="lessThan">
      <formula>0</formula>
    </cfRule>
  </conditionalFormatting>
  <conditionalFormatting sqref="R83">
    <cfRule type="cellIs" dxfId="5554" priority="2449" operator="lessThan">
      <formula>0.8</formula>
    </cfRule>
    <cfRule type="cellIs" dxfId="5553" priority="2450" operator="greaterThan">
      <formula>1</formula>
    </cfRule>
  </conditionalFormatting>
  <conditionalFormatting sqref="R83">
    <cfRule type="cellIs" dxfId="5552" priority="2447" operator="greaterThan">
      <formula>1</formula>
    </cfRule>
    <cfRule type="cellIs" dxfId="5551" priority="2448" operator="lessThan">
      <formula>0.8</formula>
    </cfRule>
  </conditionalFormatting>
  <conditionalFormatting sqref="P83">
    <cfRule type="cellIs" dxfId="5550" priority="2440" operator="greaterThan">
      <formula>0</formula>
    </cfRule>
  </conditionalFormatting>
  <conditionalFormatting sqref="Q83">
    <cfRule type="cellIs" dxfId="5549" priority="2445" operator="lessThan">
      <formula>0</formula>
    </cfRule>
  </conditionalFormatting>
  <conditionalFormatting sqref="R83">
    <cfRule type="cellIs" dxfId="5548" priority="2443" operator="lessThan">
      <formula>0.8</formula>
    </cfRule>
    <cfRule type="cellIs" dxfId="5547" priority="2444" operator="greaterThan">
      <formula>1</formula>
    </cfRule>
  </conditionalFormatting>
  <conditionalFormatting sqref="R83">
    <cfRule type="cellIs" dxfId="5546" priority="2441" operator="greaterThan">
      <formula>1</formula>
    </cfRule>
    <cfRule type="cellIs" dxfId="5545" priority="2442" operator="lessThan">
      <formula>0.8</formula>
    </cfRule>
  </conditionalFormatting>
  <conditionalFormatting sqref="R83">
    <cfRule type="cellIs" dxfId="5544" priority="2437" operator="lessThan">
      <formula>0.8</formula>
    </cfRule>
    <cfRule type="cellIs" dxfId="5543" priority="2438" operator="greaterThan">
      <formula>1</formula>
    </cfRule>
  </conditionalFormatting>
  <conditionalFormatting sqref="R83">
    <cfRule type="cellIs" dxfId="5542" priority="2435" operator="greaterThan">
      <formula>1</formula>
    </cfRule>
    <cfRule type="cellIs" dxfId="5541" priority="2436" operator="lessThan">
      <formula>0.8</formula>
    </cfRule>
  </conditionalFormatting>
  <conditionalFormatting sqref="P83">
    <cfRule type="cellIs" dxfId="5540" priority="2434" operator="greaterThan">
      <formula>0</formula>
    </cfRule>
  </conditionalFormatting>
  <conditionalFormatting sqref="Q83">
    <cfRule type="cellIs" dxfId="5539" priority="2439" operator="lessThan">
      <formula>0</formula>
    </cfRule>
  </conditionalFormatting>
  <conditionalFormatting sqref="P123 P126:P131">
    <cfRule type="cellIs" dxfId="5538" priority="2428" operator="greaterThan">
      <formula>0</formula>
    </cfRule>
  </conditionalFormatting>
  <conditionalFormatting sqref="Q123 Q126:Q131">
    <cfRule type="cellIs" dxfId="5537" priority="2433" operator="lessThan">
      <formula>0</formula>
    </cfRule>
  </conditionalFormatting>
  <conditionalFormatting sqref="R123 R126:R131">
    <cfRule type="cellIs" dxfId="5536" priority="2431" operator="lessThan">
      <formula>0.8</formula>
    </cfRule>
    <cfRule type="cellIs" dxfId="5535" priority="2432" operator="greaterThan">
      <formula>1</formula>
    </cfRule>
  </conditionalFormatting>
  <conditionalFormatting sqref="R123 R126:R131">
    <cfRule type="cellIs" dxfId="5534" priority="2429" operator="greaterThan">
      <formula>1</formula>
    </cfRule>
    <cfRule type="cellIs" dxfId="5533" priority="2430" operator="lessThan">
      <formula>0.8</formula>
    </cfRule>
  </conditionalFormatting>
  <conditionalFormatting sqref="Q123 Q126:Q131">
    <cfRule type="cellIs" dxfId="5532" priority="2427" operator="lessThan">
      <formula>0</formula>
    </cfRule>
  </conditionalFormatting>
  <conditionalFormatting sqref="R123 R126:R131">
    <cfRule type="cellIs" dxfId="5531" priority="2425" operator="lessThan">
      <formula>0.8</formula>
    </cfRule>
    <cfRule type="cellIs" dxfId="5530" priority="2426" operator="greaterThan">
      <formula>1</formula>
    </cfRule>
  </conditionalFormatting>
  <conditionalFormatting sqref="R123 R126:R131">
    <cfRule type="cellIs" dxfId="5529" priority="2423" operator="greaterThan">
      <formula>1</formula>
    </cfRule>
    <cfRule type="cellIs" dxfId="5528" priority="2424" operator="lessThan">
      <formula>0.8</formula>
    </cfRule>
  </conditionalFormatting>
  <conditionalFormatting sqref="P123 P126:P131">
    <cfRule type="cellIs" dxfId="5527" priority="2422" operator="greaterThan">
      <formula>0</formula>
    </cfRule>
  </conditionalFormatting>
  <conditionalFormatting sqref="Q31">
    <cfRule type="cellIs" dxfId="5526" priority="2421" operator="lessThan">
      <formula>0</formula>
    </cfRule>
  </conditionalFormatting>
  <conditionalFormatting sqref="R31">
    <cfRule type="cellIs" dxfId="5525" priority="2419" operator="lessThan">
      <formula>0.8</formula>
    </cfRule>
    <cfRule type="cellIs" dxfId="5524" priority="2420" operator="greaterThan">
      <formula>1</formula>
    </cfRule>
  </conditionalFormatting>
  <conditionalFormatting sqref="R31">
    <cfRule type="cellIs" dxfId="5523" priority="2417" operator="greaterThan">
      <formula>1</formula>
    </cfRule>
    <cfRule type="cellIs" dxfId="5522" priority="2418" operator="lessThan">
      <formula>0.8</formula>
    </cfRule>
  </conditionalFormatting>
  <conditionalFormatting sqref="P31:P40">
    <cfRule type="cellIs" dxfId="5521" priority="2416" operator="greaterThan">
      <formula>0</formula>
    </cfRule>
  </conditionalFormatting>
  <conditionalFormatting sqref="Q31">
    <cfRule type="cellIs" dxfId="5520" priority="2415" operator="lessThan">
      <formula>0</formula>
    </cfRule>
  </conditionalFormatting>
  <conditionalFormatting sqref="R31">
    <cfRule type="cellIs" dxfId="5519" priority="2413" operator="lessThan">
      <formula>0.8</formula>
    </cfRule>
    <cfRule type="cellIs" dxfId="5518" priority="2414" operator="greaterThan">
      <formula>1</formula>
    </cfRule>
  </conditionalFormatting>
  <conditionalFormatting sqref="R31">
    <cfRule type="cellIs" dxfId="5517" priority="2411" operator="greaterThan">
      <formula>1</formula>
    </cfRule>
    <cfRule type="cellIs" dxfId="5516" priority="2412" operator="lessThan">
      <formula>0.8</formula>
    </cfRule>
  </conditionalFormatting>
  <conditionalFormatting sqref="P31:P40">
    <cfRule type="cellIs" dxfId="5515" priority="2410" operator="greaterThan">
      <formula>0</formula>
    </cfRule>
  </conditionalFormatting>
  <conditionalFormatting sqref="Q31">
    <cfRule type="cellIs" dxfId="5514" priority="2409" operator="lessThan">
      <formula>0</formula>
    </cfRule>
  </conditionalFormatting>
  <conditionalFormatting sqref="R31">
    <cfRule type="cellIs" dxfId="5513" priority="2407" operator="lessThan">
      <formula>0.8</formula>
    </cfRule>
    <cfRule type="cellIs" dxfId="5512" priority="2408" operator="greaterThan">
      <formula>1</formula>
    </cfRule>
  </conditionalFormatting>
  <conditionalFormatting sqref="R31">
    <cfRule type="cellIs" dxfId="5511" priority="2405" operator="greaterThan">
      <formula>1</formula>
    </cfRule>
    <cfRule type="cellIs" dxfId="5510" priority="2406" operator="lessThan">
      <formula>0.8</formula>
    </cfRule>
  </conditionalFormatting>
  <conditionalFormatting sqref="P31:P40">
    <cfRule type="cellIs" dxfId="5509" priority="2404" operator="greaterThan">
      <formula>0</formula>
    </cfRule>
  </conditionalFormatting>
  <conditionalFormatting sqref="Q31">
    <cfRule type="cellIs" dxfId="5508" priority="2403" operator="lessThan">
      <formula>0</formula>
    </cfRule>
  </conditionalFormatting>
  <conditionalFormatting sqref="R31">
    <cfRule type="cellIs" dxfId="5507" priority="2401" operator="lessThan">
      <formula>0.8</formula>
    </cfRule>
    <cfRule type="cellIs" dxfId="5506" priority="2402" operator="greaterThan">
      <formula>1</formula>
    </cfRule>
  </conditionalFormatting>
  <conditionalFormatting sqref="R31">
    <cfRule type="cellIs" dxfId="5505" priority="2399" operator="greaterThan">
      <formula>1</formula>
    </cfRule>
    <cfRule type="cellIs" dxfId="5504" priority="2400" operator="lessThan">
      <formula>0.8</formula>
    </cfRule>
  </conditionalFormatting>
  <conditionalFormatting sqref="P31:P40">
    <cfRule type="cellIs" dxfId="5503" priority="2398" operator="greaterThan">
      <formula>0</formula>
    </cfRule>
  </conditionalFormatting>
  <conditionalFormatting sqref="P31:P40">
    <cfRule type="cellIs" dxfId="5502" priority="2392" operator="greaterThan">
      <formula>0</formula>
    </cfRule>
  </conditionalFormatting>
  <conditionalFormatting sqref="Q31">
    <cfRule type="cellIs" dxfId="5501" priority="2397" operator="lessThan">
      <formula>0</formula>
    </cfRule>
  </conditionalFormatting>
  <conditionalFormatting sqref="R31">
    <cfRule type="cellIs" dxfId="5500" priority="2395" operator="lessThan">
      <formula>0.8</formula>
    </cfRule>
    <cfRule type="cellIs" dxfId="5499" priority="2396" operator="greaterThan">
      <formula>1</formula>
    </cfRule>
  </conditionalFormatting>
  <conditionalFormatting sqref="R31">
    <cfRule type="cellIs" dxfId="5498" priority="2393" operator="greaterThan">
      <formula>1</formula>
    </cfRule>
    <cfRule type="cellIs" dxfId="5497" priority="2394" operator="lessThan">
      <formula>0.8</formula>
    </cfRule>
  </conditionalFormatting>
  <conditionalFormatting sqref="P31:P40">
    <cfRule type="cellIs" dxfId="5496" priority="2386" operator="greaterThan">
      <formula>0</formula>
    </cfRule>
  </conditionalFormatting>
  <conditionalFormatting sqref="Q31">
    <cfRule type="cellIs" dxfId="5495" priority="2391" operator="lessThan">
      <formula>0</formula>
    </cfRule>
  </conditionalFormatting>
  <conditionalFormatting sqref="R31">
    <cfRule type="cellIs" dxfId="5494" priority="2389" operator="lessThan">
      <formula>0.8</formula>
    </cfRule>
    <cfRule type="cellIs" dxfId="5493" priority="2390" operator="greaterThan">
      <formula>1</formula>
    </cfRule>
  </conditionalFormatting>
  <conditionalFormatting sqref="R31">
    <cfRule type="cellIs" dxfId="5492" priority="2387" operator="greaterThan">
      <formula>1</formula>
    </cfRule>
    <cfRule type="cellIs" dxfId="5491" priority="2388" operator="lessThan">
      <formula>0.8</formula>
    </cfRule>
  </conditionalFormatting>
  <conditionalFormatting sqref="R31">
    <cfRule type="cellIs" dxfId="5490" priority="2383" operator="lessThan">
      <formula>0.8</formula>
    </cfRule>
    <cfRule type="cellIs" dxfId="5489" priority="2384" operator="greaterThan">
      <formula>1</formula>
    </cfRule>
  </conditionalFormatting>
  <conditionalFormatting sqref="R31">
    <cfRule type="cellIs" dxfId="5488" priority="2381" operator="greaterThan">
      <formula>1</formula>
    </cfRule>
    <cfRule type="cellIs" dxfId="5487" priority="2382" operator="lessThan">
      <formula>0.8</formula>
    </cfRule>
  </conditionalFormatting>
  <conditionalFormatting sqref="P31:P40">
    <cfRule type="cellIs" dxfId="5486" priority="2380" operator="greaterThan">
      <formula>0</formula>
    </cfRule>
  </conditionalFormatting>
  <conditionalFormatting sqref="Q31">
    <cfRule type="cellIs" dxfId="5485" priority="2385" operator="lessThan">
      <formula>0</formula>
    </cfRule>
  </conditionalFormatting>
  <conditionalFormatting sqref="Q31">
    <cfRule type="cellIs" dxfId="5484" priority="2379" operator="lessThan">
      <formula>0</formula>
    </cfRule>
  </conditionalFormatting>
  <conditionalFormatting sqref="R31">
    <cfRule type="cellIs" dxfId="5483" priority="2377" operator="lessThan">
      <formula>0.8</formula>
    </cfRule>
    <cfRule type="cellIs" dxfId="5482" priority="2378" operator="greaterThan">
      <formula>1</formula>
    </cfRule>
  </conditionalFormatting>
  <conditionalFormatting sqref="R31">
    <cfRule type="cellIs" dxfId="5481" priority="2375" operator="greaterThan">
      <formula>1</formula>
    </cfRule>
    <cfRule type="cellIs" dxfId="5480" priority="2376" operator="lessThan">
      <formula>0.8</formula>
    </cfRule>
  </conditionalFormatting>
  <conditionalFormatting sqref="P31:P40">
    <cfRule type="cellIs" dxfId="5479" priority="2374" operator="greaterThan">
      <formula>0</formula>
    </cfRule>
  </conditionalFormatting>
  <conditionalFormatting sqref="P31:P40">
    <cfRule type="cellIs" dxfId="5478" priority="2368" operator="greaterThan">
      <formula>0</formula>
    </cfRule>
  </conditionalFormatting>
  <conditionalFormatting sqref="Q31">
    <cfRule type="cellIs" dxfId="5477" priority="2373" operator="lessThan">
      <formula>0</formula>
    </cfRule>
  </conditionalFormatting>
  <conditionalFormatting sqref="R31">
    <cfRule type="cellIs" dxfId="5476" priority="2371" operator="lessThan">
      <formula>0.8</formula>
    </cfRule>
    <cfRule type="cellIs" dxfId="5475" priority="2372" operator="greaterThan">
      <formula>1</formula>
    </cfRule>
  </conditionalFormatting>
  <conditionalFormatting sqref="R31">
    <cfRule type="cellIs" dxfId="5474" priority="2369" operator="greaterThan">
      <formula>1</formula>
    </cfRule>
    <cfRule type="cellIs" dxfId="5473" priority="2370" operator="lessThan">
      <formula>0.8</formula>
    </cfRule>
  </conditionalFormatting>
  <conditionalFormatting sqref="P31:P40">
    <cfRule type="cellIs" dxfId="5472" priority="2362" operator="greaterThan">
      <formula>0</formula>
    </cfRule>
  </conditionalFormatting>
  <conditionalFormatting sqref="Q31">
    <cfRule type="cellIs" dxfId="5471" priority="2367" operator="lessThan">
      <formula>0</formula>
    </cfRule>
  </conditionalFormatting>
  <conditionalFormatting sqref="R31">
    <cfRule type="cellIs" dxfId="5470" priority="2365" operator="lessThan">
      <formula>0.8</formula>
    </cfRule>
    <cfRule type="cellIs" dxfId="5469" priority="2366" operator="greaterThan">
      <formula>1</formula>
    </cfRule>
  </conditionalFormatting>
  <conditionalFormatting sqref="R31">
    <cfRule type="cellIs" dxfId="5468" priority="2363" operator="greaterThan">
      <formula>1</formula>
    </cfRule>
    <cfRule type="cellIs" dxfId="5467" priority="2364" operator="lessThan">
      <formula>0.8</formula>
    </cfRule>
  </conditionalFormatting>
  <conditionalFormatting sqref="R31">
    <cfRule type="cellIs" dxfId="5466" priority="2359" operator="lessThan">
      <formula>0.8</formula>
    </cfRule>
    <cfRule type="cellIs" dxfId="5465" priority="2360" operator="greaterThan">
      <formula>1</formula>
    </cfRule>
  </conditionalFormatting>
  <conditionalFormatting sqref="R31">
    <cfRule type="cellIs" dxfId="5464" priority="2357" operator="greaterThan">
      <formula>1</formula>
    </cfRule>
    <cfRule type="cellIs" dxfId="5463" priority="2358" operator="lessThan">
      <formula>0.8</formula>
    </cfRule>
  </conditionalFormatting>
  <conditionalFormatting sqref="P31:P40">
    <cfRule type="cellIs" dxfId="5462" priority="2356" operator="greaterThan">
      <formula>0</formula>
    </cfRule>
  </conditionalFormatting>
  <conditionalFormatting sqref="Q31">
    <cfRule type="cellIs" dxfId="5461" priority="2361" operator="lessThan">
      <formula>0</formula>
    </cfRule>
  </conditionalFormatting>
  <conditionalFormatting sqref="P31:P40">
    <cfRule type="cellIs" dxfId="5460" priority="2350" operator="greaterThan">
      <formula>0</formula>
    </cfRule>
  </conditionalFormatting>
  <conditionalFormatting sqref="Q31">
    <cfRule type="cellIs" dxfId="5459" priority="2355" operator="lessThan">
      <formula>0</formula>
    </cfRule>
  </conditionalFormatting>
  <conditionalFormatting sqref="R31">
    <cfRule type="cellIs" dxfId="5458" priority="2353" operator="lessThan">
      <formula>0.8</formula>
    </cfRule>
    <cfRule type="cellIs" dxfId="5457" priority="2354" operator="greaterThan">
      <formula>1</formula>
    </cfRule>
  </conditionalFormatting>
  <conditionalFormatting sqref="R31">
    <cfRule type="cellIs" dxfId="5456" priority="2351" operator="greaterThan">
      <formula>1</formula>
    </cfRule>
    <cfRule type="cellIs" dxfId="5455" priority="2352" operator="lessThan">
      <formula>0.8</formula>
    </cfRule>
  </conditionalFormatting>
  <conditionalFormatting sqref="R31">
    <cfRule type="cellIs" dxfId="5454" priority="2347" operator="lessThan">
      <formula>0.8</formula>
    </cfRule>
    <cfRule type="cellIs" dxfId="5453" priority="2348" operator="greaterThan">
      <formula>1</formula>
    </cfRule>
  </conditionalFormatting>
  <conditionalFormatting sqref="R31">
    <cfRule type="cellIs" dxfId="5452" priority="2345" operator="greaterThan">
      <formula>1</formula>
    </cfRule>
    <cfRule type="cellIs" dxfId="5451" priority="2346" operator="lessThan">
      <formula>0.8</formula>
    </cfRule>
  </conditionalFormatting>
  <conditionalFormatting sqref="P31:P40">
    <cfRule type="cellIs" dxfId="5450" priority="2344" operator="greaterThan">
      <formula>0</formula>
    </cfRule>
  </conditionalFormatting>
  <conditionalFormatting sqref="Q31">
    <cfRule type="cellIs" dxfId="5449" priority="2349" operator="lessThan">
      <formula>0</formula>
    </cfRule>
  </conditionalFormatting>
  <conditionalFormatting sqref="R31">
    <cfRule type="cellIs" dxfId="5448" priority="2341" operator="lessThan">
      <formula>0.8</formula>
    </cfRule>
    <cfRule type="cellIs" dxfId="5447" priority="2342" operator="greaterThan">
      <formula>1</formula>
    </cfRule>
  </conditionalFormatting>
  <conditionalFormatting sqref="R31">
    <cfRule type="cellIs" dxfId="5446" priority="2339" operator="greaterThan">
      <formula>1</formula>
    </cfRule>
    <cfRule type="cellIs" dxfId="5445" priority="2340" operator="lessThan">
      <formula>0.8</formula>
    </cfRule>
  </conditionalFormatting>
  <conditionalFormatting sqref="P31:P40">
    <cfRule type="cellIs" dxfId="5444" priority="2338" operator="greaterThan">
      <formula>0</formula>
    </cfRule>
  </conditionalFormatting>
  <conditionalFormatting sqref="Q31">
    <cfRule type="cellIs" dxfId="5443" priority="2343" operator="lessThan">
      <formula>0</formula>
    </cfRule>
  </conditionalFormatting>
  <conditionalFormatting sqref="Q31">
    <cfRule type="cellIs" dxfId="5442" priority="2337" operator="lessThan">
      <formula>0</formula>
    </cfRule>
  </conditionalFormatting>
  <conditionalFormatting sqref="R31">
    <cfRule type="cellIs" dxfId="5441" priority="2335" operator="lessThan">
      <formula>0.8</formula>
    </cfRule>
    <cfRule type="cellIs" dxfId="5440" priority="2336" operator="greaterThan">
      <formula>1</formula>
    </cfRule>
  </conditionalFormatting>
  <conditionalFormatting sqref="R31">
    <cfRule type="cellIs" dxfId="5439" priority="2333" operator="greaterThan">
      <formula>1</formula>
    </cfRule>
    <cfRule type="cellIs" dxfId="5438" priority="2334" operator="lessThan">
      <formula>0.8</formula>
    </cfRule>
  </conditionalFormatting>
  <conditionalFormatting sqref="P31:P40">
    <cfRule type="cellIs" dxfId="5437" priority="2332" operator="greaterThan">
      <formula>0</formula>
    </cfRule>
  </conditionalFormatting>
  <conditionalFormatting sqref="Q31">
    <cfRule type="cellIs" dxfId="5436" priority="2326" operator="lessThan">
      <formula>0</formula>
    </cfRule>
  </conditionalFormatting>
  <conditionalFormatting sqref="R31">
    <cfRule type="cellIs" dxfId="5435" priority="2330" operator="lessThan">
      <formula>0.8</formula>
    </cfRule>
    <cfRule type="cellIs" dxfId="5434" priority="2331" operator="greaterThan">
      <formula>1</formula>
    </cfRule>
  </conditionalFormatting>
  <conditionalFormatting sqref="R31">
    <cfRule type="cellIs" dxfId="5433" priority="2328" operator="greaterThan">
      <formula>1</formula>
    </cfRule>
    <cfRule type="cellIs" dxfId="5432" priority="2329" operator="lessThan">
      <formula>0.8</formula>
    </cfRule>
  </conditionalFormatting>
  <conditionalFormatting sqref="P31:P40">
    <cfRule type="cellIs" dxfId="5431" priority="2327" operator="greaterThan">
      <formula>0</formula>
    </cfRule>
  </conditionalFormatting>
  <conditionalFormatting sqref="Q31">
    <cfRule type="cellIs" dxfId="5430" priority="2325" operator="lessThan">
      <formula>0</formula>
    </cfRule>
  </conditionalFormatting>
  <conditionalFormatting sqref="R31">
    <cfRule type="cellIs" dxfId="5429" priority="2323" operator="lessThan">
      <formula>0.8</formula>
    </cfRule>
    <cfRule type="cellIs" dxfId="5428" priority="2324" operator="greaterThan">
      <formula>1</formula>
    </cfRule>
  </conditionalFormatting>
  <conditionalFormatting sqref="R31">
    <cfRule type="cellIs" dxfId="5427" priority="2321" operator="greaterThan">
      <formula>1</formula>
    </cfRule>
    <cfRule type="cellIs" dxfId="5426" priority="2322" operator="lessThan">
      <formula>0.8</formula>
    </cfRule>
  </conditionalFormatting>
  <conditionalFormatting sqref="P31:P40">
    <cfRule type="cellIs" dxfId="5425" priority="2320" operator="greaterThan">
      <formula>0</formula>
    </cfRule>
  </conditionalFormatting>
  <conditionalFormatting sqref="Q31">
    <cfRule type="cellIs" dxfId="5424" priority="2319" operator="lessThan">
      <formula>0</formula>
    </cfRule>
  </conditionalFormatting>
  <conditionalFormatting sqref="R31">
    <cfRule type="cellIs" dxfId="5423" priority="2317" operator="lessThan">
      <formula>0.8</formula>
    </cfRule>
    <cfRule type="cellIs" dxfId="5422" priority="2318" operator="greaterThan">
      <formula>1</formula>
    </cfRule>
  </conditionalFormatting>
  <conditionalFormatting sqref="R31">
    <cfRule type="cellIs" dxfId="5421" priority="2315" operator="greaterThan">
      <formula>1</formula>
    </cfRule>
    <cfRule type="cellIs" dxfId="5420" priority="2316" operator="lessThan">
      <formula>0.8</formula>
    </cfRule>
  </conditionalFormatting>
  <conditionalFormatting sqref="P31:P40">
    <cfRule type="cellIs" dxfId="5419" priority="2314" operator="greaterThan">
      <formula>0</formula>
    </cfRule>
  </conditionalFormatting>
  <conditionalFormatting sqref="Q31">
    <cfRule type="cellIs" dxfId="5418" priority="2313" operator="lessThan">
      <formula>0</formula>
    </cfRule>
  </conditionalFormatting>
  <conditionalFormatting sqref="R31">
    <cfRule type="cellIs" dxfId="5417" priority="2311" operator="lessThan">
      <formula>0.8</formula>
    </cfRule>
    <cfRule type="cellIs" dxfId="5416" priority="2312" operator="greaterThan">
      <formula>1</formula>
    </cfRule>
  </conditionalFormatting>
  <conditionalFormatting sqref="R31">
    <cfRule type="cellIs" dxfId="5415" priority="2309" operator="greaterThan">
      <formula>1</formula>
    </cfRule>
    <cfRule type="cellIs" dxfId="5414" priority="2310" operator="lessThan">
      <formula>0.8</formula>
    </cfRule>
  </conditionalFormatting>
  <conditionalFormatting sqref="P31:P40">
    <cfRule type="cellIs" dxfId="5413" priority="2308" operator="greaterThan">
      <formula>0</formula>
    </cfRule>
  </conditionalFormatting>
  <conditionalFormatting sqref="Q31">
    <cfRule type="cellIs" dxfId="5412" priority="2307" operator="lessThan">
      <formula>0</formula>
    </cfRule>
  </conditionalFormatting>
  <conditionalFormatting sqref="R31">
    <cfRule type="cellIs" dxfId="5411" priority="2305" operator="lessThan">
      <formula>0.8</formula>
    </cfRule>
    <cfRule type="cellIs" dxfId="5410" priority="2306" operator="greaterThan">
      <formula>1</formula>
    </cfRule>
  </conditionalFormatting>
  <conditionalFormatting sqref="R31">
    <cfRule type="cellIs" dxfId="5409" priority="2303" operator="greaterThan">
      <formula>1</formula>
    </cfRule>
    <cfRule type="cellIs" dxfId="5408" priority="2304" operator="lessThan">
      <formula>0.8</formula>
    </cfRule>
  </conditionalFormatting>
  <conditionalFormatting sqref="P31:P40">
    <cfRule type="cellIs" dxfId="5407" priority="2302" operator="greaterThan">
      <formula>0</formula>
    </cfRule>
  </conditionalFormatting>
  <conditionalFormatting sqref="Q31">
    <cfRule type="cellIs" dxfId="5406" priority="2301" operator="lessThan">
      <formula>0</formula>
    </cfRule>
  </conditionalFormatting>
  <conditionalFormatting sqref="R31">
    <cfRule type="cellIs" dxfId="5405" priority="2299" operator="lessThan">
      <formula>0.8</formula>
    </cfRule>
    <cfRule type="cellIs" dxfId="5404" priority="2300" operator="greaterThan">
      <formula>1</formula>
    </cfRule>
  </conditionalFormatting>
  <conditionalFormatting sqref="R31">
    <cfRule type="cellIs" dxfId="5403" priority="2297" operator="greaterThan">
      <formula>1</formula>
    </cfRule>
    <cfRule type="cellIs" dxfId="5402" priority="2298" operator="lessThan">
      <formula>0.8</formula>
    </cfRule>
  </conditionalFormatting>
  <conditionalFormatting sqref="P31:P40">
    <cfRule type="cellIs" dxfId="5401" priority="2296" operator="greaterThan">
      <formula>0</formula>
    </cfRule>
  </conditionalFormatting>
  <conditionalFormatting sqref="P31:P40">
    <cfRule type="cellIs" dxfId="5400" priority="2290" operator="greaterThan">
      <formula>0</formula>
    </cfRule>
  </conditionalFormatting>
  <conditionalFormatting sqref="Q31">
    <cfRule type="cellIs" dxfId="5399" priority="2295" operator="lessThan">
      <formula>0</formula>
    </cfRule>
  </conditionalFormatting>
  <conditionalFormatting sqref="R31">
    <cfRule type="cellIs" dxfId="5398" priority="2293" operator="lessThan">
      <formula>0.8</formula>
    </cfRule>
    <cfRule type="cellIs" dxfId="5397" priority="2294" operator="greaterThan">
      <formula>1</formula>
    </cfRule>
  </conditionalFormatting>
  <conditionalFormatting sqref="R31">
    <cfRule type="cellIs" dxfId="5396" priority="2291" operator="greaterThan">
      <formula>1</formula>
    </cfRule>
    <cfRule type="cellIs" dxfId="5395" priority="2292" operator="lessThan">
      <formula>0.8</formula>
    </cfRule>
  </conditionalFormatting>
  <conditionalFormatting sqref="P31:P40">
    <cfRule type="cellIs" dxfId="5394" priority="2284" operator="greaterThan">
      <formula>0</formula>
    </cfRule>
  </conditionalFormatting>
  <conditionalFormatting sqref="Q31">
    <cfRule type="cellIs" dxfId="5393" priority="2289" operator="lessThan">
      <formula>0</formula>
    </cfRule>
  </conditionalFormatting>
  <conditionalFormatting sqref="R31">
    <cfRule type="cellIs" dxfId="5392" priority="2287" operator="lessThan">
      <formula>0.8</formula>
    </cfRule>
    <cfRule type="cellIs" dxfId="5391" priority="2288" operator="greaterThan">
      <formula>1</formula>
    </cfRule>
  </conditionalFormatting>
  <conditionalFormatting sqref="R31">
    <cfRule type="cellIs" dxfId="5390" priority="2285" operator="greaterThan">
      <formula>1</formula>
    </cfRule>
    <cfRule type="cellIs" dxfId="5389" priority="2286" operator="lessThan">
      <formula>0.8</formula>
    </cfRule>
  </conditionalFormatting>
  <conditionalFormatting sqref="R31">
    <cfRule type="cellIs" dxfId="5388" priority="2281" operator="lessThan">
      <formula>0.8</formula>
    </cfRule>
    <cfRule type="cellIs" dxfId="5387" priority="2282" operator="greaterThan">
      <formula>1</formula>
    </cfRule>
  </conditionalFormatting>
  <conditionalFormatting sqref="R31">
    <cfRule type="cellIs" dxfId="5386" priority="2279" operator="greaterThan">
      <formula>1</formula>
    </cfRule>
    <cfRule type="cellIs" dxfId="5385" priority="2280" operator="lessThan">
      <formula>0.8</formula>
    </cfRule>
  </conditionalFormatting>
  <conditionalFormatting sqref="P31:P40">
    <cfRule type="cellIs" dxfId="5384" priority="2278" operator="greaterThan">
      <formula>0</formula>
    </cfRule>
  </conditionalFormatting>
  <conditionalFormatting sqref="Q31">
    <cfRule type="cellIs" dxfId="5383" priority="2283" operator="lessThan">
      <formula>0</formula>
    </cfRule>
  </conditionalFormatting>
  <conditionalFormatting sqref="Q31">
    <cfRule type="cellIs" dxfId="5382" priority="2277" operator="lessThan">
      <formula>0</formula>
    </cfRule>
  </conditionalFormatting>
  <conditionalFormatting sqref="R31">
    <cfRule type="cellIs" dxfId="5381" priority="2275" operator="lessThan">
      <formula>0.8</formula>
    </cfRule>
    <cfRule type="cellIs" dxfId="5380" priority="2276" operator="greaterThan">
      <formula>1</formula>
    </cfRule>
  </conditionalFormatting>
  <conditionalFormatting sqref="R31">
    <cfRule type="cellIs" dxfId="5379" priority="2273" operator="greaterThan">
      <formula>1</formula>
    </cfRule>
    <cfRule type="cellIs" dxfId="5378" priority="2274" operator="lessThan">
      <formula>0.8</formula>
    </cfRule>
  </conditionalFormatting>
  <conditionalFormatting sqref="P31:P40">
    <cfRule type="cellIs" dxfId="5377" priority="2272" operator="greaterThan">
      <formula>0</formula>
    </cfRule>
  </conditionalFormatting>
  <conditionalFormatting sqref="Q31">
    <cfRule type="cellIs" dxfId="5376" priority="2271" operator="lessThan">
      <formula>0</formula>
    </cfRule>
  </conditionalFormatting>
  <conditionalFormatting sqref="R31">
    <cfRule type="cellIs" dxfId="5375" priority="2269" operator="lessThan">
      <formula>0.8</formula>
    </cfRule>
    <cfRule type="cellIs" dxfId="5374" priority="2270" operator="greaterThan">
      <formula>1</formula>
    </cfRule>
  </conditionalFormatting>
  <conditionalFormatting sqref="R31">
    <cfRule type="cellIs" dxfId="5373" priority="2267" operator="greaterThan">
      <formula>1</formula>
    </cfRule>
    <cfRule type="cellIs" dxfId="5372" priority="2268" operator="lessThan">
      <formula>0.8</formula>
    </cfRule>
  </conditionalFormatting>
  <conditionalFormatting sqref="P31:P40">
    <cfRule type="cellIs" dxfId="5371" priority="2266" operator="greaterThan">
      <formula>0</formula>
    </cfRule>
  </conditionalFormatting>
  <conditionalFormatting sqref="Q31">
    <cfRule type="cellIs" dxfId="5370" priority="2265" operator="lessThan">
      <formula>0</formula>
    </cfRule>
  </conditionalFormatting>
  <conditionalFormatting sqref="R31">
    <cfRule type="cellIs" dxfId="5369" priority="2263" operator="lessThan">
      <formula>0.8</formula>
    </cfRule>
    <cfRule type="cellIs" dxfId="5368" priority="2264" operator="greaterThan">
      <formula>1</formula>
    </cfRule>
  </conditionalFormatting>
  <conditionalFormatting sqref="R31">
    <cfRule type="cellIs" dxfId="5367" priority="2261" operator="greaterThan">
      <formula>1</formula>
    </cfRule>
    <cfRule type="cellIs" dxfId="5366" priority="2262" operator="lessThan">
      <formula>0.8</formula>
    </cfRule>
  </conditionalFormatting>
  <conditionalFormatting sqref="P31:P40">
    <cfRule type="cellIs" dxfId="5365" priority="2260" operator="greaterThan">
      <formula>0</formula>
    </cfRule>
  </conditionalFormatting>
  <conditionalFormatting sqref="Q31">
    <cfRule type="cellIs" dxfId="5364" priority="2259" operator="lessThan">
      <formula>0</formula>
    </cfRule>
  </conditionalFormatting>
  <conditionalFormatting sqref="R31">
    <cfRule type="cellIs" dxfId="5363" priority="2257" operator="lessThan">
      <formula>0.8</formula>
    </cfRule>
    <cfRule type="cellIs" dxfId="5362" priority="2258" operator="greaterThan">
      <formula>1</formula>
    </cfRule>
  </conditionalFormatting>
  <conditionalFormatting sqref="R31">
    <cfRule type="cellIs" dxfId="5361" priority="2255" operator="greaterThan">
      <formula>1</formula>
    </cfRule>
    <cfRule type="cellIs" dxfId="5360" priority="2256" operator="lessThan">
      <formula>0.8</formula>
    </cfRule>
  </conditionalFormatting>
  <conditionalFormatting sqref="P31:P40">
    <cfRule type="cellIs" dxfId="5359" priority="2254" operator="greaterThan">
      <formula>0</formula>
    </cfRule>
  </conditionalFormatting>
  <conditionalFormatting sqref="P31:P40">
    <cfRule type="cellIs" dxfId="5358" priority="2248" operator="greaterThan">
      <formula>0</formula>
    </cfRule>
  </conditionalFormatting>
  <conditionalFormatting sqref="Q31">
    <cfRule type="cellIs" dxfId="5357" priority="2253" operator="lessThan">
      <formula>0</formula>
    </cfRule>
  </conditionalFormatting>
  <conditionalFormatting sqref="R31">
    <cfRule type="cellIs" dxfId="5356" priority="2251" operator="lessThan">
      <formula>0.8</formula>
    </cfRule>
    <cfRule type="cellIs" dxfId="5355" priority="2252" operator="greaterThan">
      <formula>1</formula>
    </cfRule>
  </conditionalFormatting>
  <conditionalFormatting sqref="R31">
    <cfRule type="cellIs" dxfId="5354" priority="2249" operator="greaterThan">
      <formula>1</formula>
    </cfRule>
    <cfRule type="cellIs" dxfId="5353" priority="2250" operator="lessThan">
      <formula>0.8</formula>
    </cfRule>
  </conditionalFormatting>
  <conditionalFormatting sqref="P31:P40">
    <cfRule type="cellIs" dxfId="5352" priority="2242" operator="greaterThan">
      <formula>0</formula>
    </cfRule>
  </conditionalFormatting>
  <conditionalFormatting sqref="Q31">
    <cfRule type="cellIs" dxfId="5351" priority="2247" operator="lessThan">
      <formula>0</formula>
    </cfRule>
  </conditionalFormatting>
  <conditionalFormatting sqref="R31">
    <cfRule type="cellIs" dxfId="5350" priority="2245" operator="lessThan">
      <formula>0.8</formula>
    </cfRule>
    <cfRule type="cellIs" dxfId="5349" priority="2246" operator="greaterThan">
      <formula>1</formula>
    </cfRule>
  </conditionalFormatting>
  <conditionalFormatting sqref="R31">
    <cfRule type="cellIs" dxfId="5348" priority="2243" operator="greaterThan">
      <formula>1</formula>
    </cfRule>
    <cfRule type="cellIs" dxfId="5347" priority="2244" operator="lessThan">
      <formula>0.8</formula>
    </cfRule>
  </conditionalFormatting>
  <conditionalFormatting sqref="R31">
    <cfRule type="cellIs" dxfId="5346" priority="2239" operator="lessThan">
      <formula>0.8</formula>
    </cfRule>
    <cfRule type="cellIs" dxfId="5345" priority="2240" operator="greaterThan">
      <formula>1</formula>
    </cfRule>
  </conditionalFormatting>
  <conditionalFormatting sqref="R31">
    <cfRule type="cellIs" dxfId="5344" priority="2237" operator="greaterThan">
      <formula>1</formula>
    </cfRule>
    <cfRule type="cellIs" dxfId="5343" priority="2238" operator="lessThan">
      <formula>0.8</formula>
    </cfRule>
  </conditionalFormatting>
  <conditionalFormatting sqref="P31:P40">
    <cfRule type="cellIs" dxfId="5342" priority="2236" operator="greaterThan">
      <formula>0</formula>
    </cfRule>
  </conditionalFormatting>
  <conditionalFormatting sqref="Q31">
    <cfRule type="cellIs" dxfId="5341" priority="2241" operator="lessThan">
      <formula>0</formula>
    </cfRule>
  </conditionalFormatting>
  <conditionalFormatting sqref="Q31">
    <cfRule type="cellIs" dxfId="5340" priority="2235" operator="lessThan">
      <formula>0</formula>
    </cfRule>
  </conditionalFormatting>
  <conditionalFormatting sqref="R31">
    <cfRule type="cellIs" dxfId="5339" priority="2233" operator="lessThan">
      <formula>0.8</formula>
    </cfRule>
    <cfRule type="cellIs" dxfId="5338" priority="2234" operator="greaterThan">
      <formula>1</formula>
    </cfRule>
  </conditionalFormatting>
  <conditionalFormatting sqref="R31">
    <cfRule type="cellIs" dxfId="5337" priority="2231" operator="greaterThan">
      <formula>1</formula>
    </cfRule>
    <cfRule type="cellIs" dxfId="5336" priority="2232" operator="lessThan">
      <formula>0.8</formula>
    </cfRule>
  </conditionalFormatting>
  <conditionalFormatting sqref="P31:P40">
    <cfRule type="cellIs" dxfId="5335" priority="2230" operator="greaterThan">
      <formula>0</formula>
    </cfRule>
  </conditionalFormatting>
  <conditionalFormatting sqref="P31:P40">
    <cfRule type="cellIs" dxfId="5334" priority="2224" operator="greaterThan">
      <formula>0</formula>
    </cfRule>
  </conditionalFormatting>
  <conditionalFormatting sqref="Q31">
    <cfRule type="cellIs" dxfId="5333" priority="2229" operator="lessThan">
      <formula>0</formula>
    </cfRule>
  </conditionalFormatting>
  <conditionalFormatting sqref="R31">
    <cfRule type="cellIs" dxfId="5332" priority="2227" operator="lessThan">
      <formula>0.8</formula>
    </cfRule>
    <cfRule type="cellIs" dxfId="5331" priority="2228" operator="greaterThan">
      <formula>1</formula>
    </cfRule>
  </conditionalFormatting>
  <conditionalFormatting sqref="R31">
    <cfRule type="cellIs" dxfId="5330" priority="2225" operator="greaterThan">
      <formula>1</formula>
    </cfRule>
    <cfRule type="cellIs" dxfId="5329" priority="2226" operator="lessThan">
      <formula>0.8</formula>
    </cfRule>
  </conditionalFormatting>
  <conditionalFormatting sqref="P31:P40">
    <cfRule type="cellIs" dxfId="5328" priority="2218" operator="greaterThan">
      <formula>0</formula>
    </cfRule>
  </conditionalFormatting>
  <conditionalFormatting sqref="Q31">
    <cfRule type="cellIs" dxfId="5327" priority="2223" operator="lessThan">
      <formula>0</formula>
    </cfRule>
  </conditionalFormatting>
  <conditionalFormatting sqref="R31">
    <cfRule type="cellIs" dxfId="5326" priority="2221" operator="lessThan">
      <formula>0.8</formula>
    </cfRule>
    <cfRule type="cellIs" dxfId="5325" priority="2222" operator="greaterThan">
      <formula>1</formula>
    </cfRule>
  </conditionalFormatting>
  <conditionalFormatting sqref="R31">
    <cfRule type="cellIs" dxfId="5324" priority="2219" operator="greaterThan">
      <formula>1</formula>
    </cfRule>
    <cfRule type="cellIs" dxfId="5323" priority="2220" operator="lessThan">
      <formula>0.8</formula>
    </cfRule>
  </conditionalFormatting>
  <conditionalFormatting sqref="R31">
    <cfRule type="cellIs" dxfId="5322" priority="2215" operator="lessThan">
      <formula>0.8</formula>
    </cfRule>
    <cfRule type="cellIs" dxfId="5321" priority="2216" operator="greaterThan">
      <formula>1</formula>
    </cfRule>
  </conditionalFormatting>
  <conditionalFormatting sqref="R31">
    <cfRule type="cellIs" dxfId="5320" priority="2213" operator="greaterThan">
      <formula>1</formula>
    </cfRule>
    <cfRule type="cellIs" dxfId="5319" priority="2214" operator="lessThan">
      <formula>0.8</formula>
    </cfRule>
  </conditionalFormatting>
  <conditionalFormatting sqref="P31:P40">
    <cfRule type="cellIs" dxfId="5318" priority="2212" operator="greaterThan">
      <formula>0</formula>
    </cfRule>
  </conditionalFormatting>
  <conditionalFormatting sqref="Q31">
    <cfRule type="cellIs" dxfId="5317" priority="2217" operator="lessThan">
      <formula>0</formula>
    </cfRule>
  </conditionalFormatting>
  <conditionalFormatting sqref="P31:P40">
    <cfRule type="cellIs" dxfId="5316" priority="2206" operator="greaterThan">
      <formula>0</formula>
    </cfRule>
  </conditionalFormatting>
  <conditionalFormatting sqref="Q31">
    <cfRule type="cellIs" dxfId="5315" priority="2211" operator="lessThan">
      <formula>0</formula>
    </cfRule>
  </conditionalFormatting>
  <conditionalFormatting sqref="R31">
    <cfRule type="cellIs" dxfId="5314" priority="2209" operator="lessThan">
      <formula>0.8</formula>
    </cfRule>
    <cfRule type="cellIs" dxfId="5313" priority="2210" operator="greaterThan">
      <formula>1</formula>
    </cfRule>
  </conditionalFormatting>
  <conditionalFormatting sqref="R31">
    <cfRule type="cellIs" dxfId="5312" priority="2207" operator="greaterThan">
      <formula>1</formula>
    </cfRule>
    <cfRule type="cellIs" dxfId="5311" priority="2208" operator="lessThan">
      <formula>0.8</formula>
    </cfRule>
  </conditionalFormatting>
  <conditionalFormatting sqref="R31">
    <cfRule type="cellIs" dxfId="5310" priority="2203" operator="lessThan">
      <formula>0.8</formula>
    </cfRule>
    <cfRule type="cellIs" dxfId="5309" priority="2204" operator="greaterThan">
      <formula>1</formula>
    </cfRule>
  </conditionalFormatting>
  <conditionalFormatting sqref="R31">
    <cfRule type="cellIs" dxfId="5308" priority="2201" operator="greaterThan">
      <formula>1</formula>
    </cfRule>
    <cfRule type="cellIs" dxfId="5307" priority="2202" operator="lessThan">
      <formula>0.8</formula>
    </cfRule>
  </conditionalFormatting>
  <conditionalFormatting sqref="P31:P40">
    <cfRule type="cellIs" dxfId="5306" priority="2200" operator="greaterThan">
      <formula>0</formula>
    </cfRule>
  </conditionalFormatting>
  <conditionalFormatting sqref="Q31">
    <cfRule type="cellIs" dxfId="5305" priority="2205" operator="lessThan">
      <formula>0</formula>
    </cfRule>
  </conditionalFormatting>
  <conditionalFormatting sqref="R31">
    <cfRule type="cellIs" dxfId="5304" priority="2197" operator="lessThan">
      <formula>0.8</formula>
    </cfRule>
    <cfRule type="cellIs" dxfId="5303" priority="2198" operator="greaterThan">
      <formula>1</formula>
    </cfRule>
  </conditionalFormatting>
  <conditionalFormatting sqref="R31">
    <cfRule type="cellIs" dxfId="5302" priority="2195" operator="greaterThan">
      <formula>1</formula>
    </cfRule>
    <cfRule type="cellIs" dxfId="5301" priority="2196" operator="lessThan">
      <formula>0.8</formula>
    </cfRule>
  </conditionalFormatting>
  <conditionalFormatting sqref="P31:P40">
    <cfRule type="cellIs" dxfId="5300" priority="2194" operator="greaterThan">
      <formula>0</formula>
    </cfRule>
  </conditionalFormatting>
  <conditionalFormatting sqref="Q31">
    <cfRule type="cellIs" dxfId="5299" priority="2199" operator="lessThan">
      <formula>0</formula>
    </cfRule>
  </conditionalFormatting>
  <conditionalFormatting sqref="Q31">
    <cfRule type="cellIs" dxfId="5298" priority="2193" operator="lessThan">
      <formula>0</formula>
    </cfRule>
  </conditionalFormatting>
  <conditionalFormatting sqref="R31">
    <cfRule type="cellIs" dxfId="5297" priority="2191" operator="lessThan">
      <formula>0.8</formula>
    </cfRule>
    <cfRule type="cellIs" dxfId="5296" priority="2192" operator="greaterThan">
      <formula>1</formula>
    </cfRule>
  </conditionalFormatting>
  <conditionalFormatting sqref="R31">
    <cfRule type="cellIs" dxfId="5295" priority="2189" operator="greaterThan">
      <formula>1</formula>
    </cfRule>
    <cfRule type="cellIs" dxfId="5294" priority="2190" operator="lessThan">
      <formula>0.8</formula>
    </cfRule>
  </conditionalFormatting>
  <conditionalFormatting sqref="P31:P40">
    <cfRule type="cellIs" dxfId="5293" priority="2188" operator="greaterThan">
      <formula>0</formula>
    </cfRule>
  </conditionalFormatting>
  <conditionalFormatting sqref="Q31">
    <cfRule type="cellIs" dxfId="5292" priority="2182" operator="lessThan">
      <formula>0</formula>
    </cfRule>
  </conditionalFormatting>
  <conditionalFormatting sqref="R31">
    <cfRule type="cellIs" dxfId="5291" priority="2186" operator="lessThan">
      <formula>0.8</formula>
    </cfRule>
    <cfRule type="cellIs" dxfId="5290" priority="2187" operator="greaterThan">
      <formula>1</formula>
    </cfRule>
  </conditionalFormatting>
  <conditionalFormatting sqref="R31">
    <cfRule type="cellIs" dxfId="5289" priority="2184" operator="greaterThan">
      <formula>1</formula>
    </cfRule>
    <cfRule type="cellIs" dxfId="5288" priority="2185" operator="lessThan">
      <formula>0.8</formula>
    </cfRule>
  </conditionalFormatting>
  <conditionalFormatting sqref="P31:P40">
    <cfRule type="cellIs" dxfId="5287" priority="2183" operator="greaterThan">
      <formula>0</formula>
    </cfRule>
  </conditionalFormatting>
  <conditionalFormatting sqref="Q31">
    <cfRule type="cellIs" dxfId="5286" priority="2181" operator="lessThan">
      <formula>0</formula>
    </cfRule>
  </conditionalFormatting>
  <conditionalFormatting sqref="R31">
    <cfRule type="cellIs" dxfId="5285" priority="2179" operator="lessThan">
      <formula>0.8</formula>
    </cfRule>
    <cfRule type="cellIs" dxfId="5284" priority="2180" operator="greaterThan">
      <formula>1</formula>
    </cfRule>
  </conditionalFormatting>
  <conditionalFormatting sqref="R31">
    <cfRule type="cellIs" dxfId="5283" priority="2177" operator="greaterThan">
      <formula>1</formula>
    </cfRule>
    <cfRule type="cellIs" dxfId="5282" priority="2178" operator="lessThan">
      <formula>0.8</formula>
    </cfRule>
  </conditionalFormatting>
  <conditionalFormatting sqref="P31:P40">
    <cfRule type="cellIs" dxfId="5281" priority="2176" operator="greaterThan">
      <formula>0</formula>
    </cfRule>
  </conditionalFormatting>
  <conditionalFormatting sqref="Q31">
    <cfRule type="cellIs" dxfId="5280" priority="2175" operator="lessThan">
      <formula>0</formula>
    </cfRule>
  </conditionalFormatting>
  <conditionalFormatting sqref="R31">
    <cfRule type="cellIs" dxfId="5279" priority="2173" operator="lessThan">
      <formula>0.8</formula>
    </cfRule>
    <cfRule type="cellIs" dxfId="5278" priority="2174" operator="greaterThan">
      <formula>1</formula>
    </cfRule>
  </conditionalFormatting>
  <conditionalFormatting sqref="R31">
    <cfRule type="cellIs" dxfId="5277" priority="2171" operator="greaterThan">
      <formula>1</formula>
    </cfRule>
    <cfRule type="cellIs" dxfId="5276" priority="2172" operator="lessThan">
      <formula>0.8</formula>
    </cfRule>
  </conditionalFormatting>
  <conditionalFormatting sqref="P31:P40">
    <cfRule type="cellIs" dxfId="5275" priority="2170" operator="greaterThan">
      <formula>0</formula>
    </cfRule>
  </conditionalFormatting>
  <conditionalFormatting sqref="Q31">
    <cfRule type="cellIs" dxfId="5274" priority="2169" operator="lessThan">
      <formula>0</formula>
    </cfRule>
  </conditionalFormatting>
  <conditionalFormatting sqref="R31">
    <cfRule type="cellIs" dxfId="5273" priority="2167" operator="lessThan">
      <formula>0.8</formula>
    </cfRule>
    <cfRule type="cellIs" dxfId="5272" priority="2168" operator="greaterThan">
      <formula>1</formula>
    </cfRule>
  </conditionalFormatting>
  <conditionalFormatting sqref="R31">
    <cfRule type="cellIs" dxfId="5271" priority="2165" operator="greaterThan">
      <formula>1</formula>
    </cfRule>
    <cfRule type="cellIs" dxfId="5270" priority="2166" operator="lessThan">
      <formula>0.8</formula>
    </cfRule>
  </conditionalFormatting>
  <conditionalFormatting sqref="P31:P40">
    <cfRule type="cellIs" dxfId="5269" priority="2164" operator="greaterThan">
      <formula>0</formula>
    </cfRule>
  </conditionalFormatting>
  <conditionalFormatting sqref="Q31">
    <cfRule type="cellIs" dxfId="5268" priority="2163" operator="lessThan">
      <formula>0</formula>
    </cfRule>
  </conditionalFormatting>
  <conditionalFormatting sqref="R31">
    <cfRule type="cellIs" dxfId="5267" priority="2161" operator="lessThan">
      <formula>0.8</formula>
    </cfRule>
    <cfRule type="cellIs" dxfId="5266" priority="2162" operator="greaterThan">
      <formula>1</formula>
    </cfRule>
  </conditionalFormatting>
  <conditionalFormatting sqref="R31">
    <cfRule type="cellIs" dxfId="5265" priority="2159" operator="greaterThan">
      <formula>1</formula>
    </cfRule>
    <cfRule type="cellIs" dxfId="5264" priority="2160" operator="lessThan">
      <formula>0.8</formula>
    </cfRule>
  </conditionalFormatting>
  <conditionalFormatting sqref="P31:P40">
    <cfRule type="cellIs" dxfId="5263" priority="2158" operator="greaterThan">
      <formula>0</formula>
    </cfRule>
  </conditionalFormatting>
  <conditionalFormatting sqref="Q31">
    <cfRule type="cellIs" dxfId="5262" priority="2157" operator="lessThan">
      <formula>0</formula>
    </cfRule>
  </conditionalFormatting>
  <conditionalFormatting sqref="R31">
    <cfRule type="cellIs" dxfId="5261" priority="2155" operator="lessThan">
      <formula>0.8</formula>
    </cfRule>
    <cfRule type="cellIs" dxfId="5260" priority="2156" operator="greaterThan">
      <formula>1</formula>
    </cfRule>
  </conditionalFormatting>
  <conditionalFormatting sqref="R31">
    <cfRule type="cellIs" dxfId="5259" priority="2153" operator="greaterThan">
      <formula>1</formula>
    </cfRule>
    <cfRule type="cellIs" dxfId="5258" priority="2154" operator="lessThan">
      <formula>0.8</formula>
    </cfRule>
  </conditionalFormatting>
  <conditionalFormatting sqref="P31:P40">
    <cfRule type="cellIs" dxfId="5257" priority="2152" operator="greaterThan">
      <formula>0</formula>
    </cfRule>
  </conditionalFormatting>
  <conditionalFormatting sqref="P31:P40">
    <cfRule type="cellIs" dxfId="5256" priority="2146" operator="greaterThan">
      <formula>0</formula>
    </cfRule>
  </conditionalFormatting>
  <conditionalFormatting sqref="Q31">
    <cfRule type="cellIs" dxfId="5255" priority="2151" operator="lessThan">
      <formula>0</formula>
    </cfRule>
  </conditionalFormatting>
  <conditionalFormatting sqref="R31">
    <cfRule type="cellIs" dxfId="5254" priority="2149" operator="lessThan">
      <formula>0.8</formula>
    </cfRule>
    <cfRule type="cellIs" dxfId="5253" priority="2150" operator="greaterThan">
      <formula>1</formula>
    </cfRule>
  </conditionalFormatting>
  <conditionalFormatting sqref="R31">
    <cfRule type="cellIs" dxfId="5252" priority="2147" operator="greaterThan">
      <formula>1</formula>
    </cfRule>
    <cfRule type="cellIs" dxfId="5251" priority="2148" operator="lessThan">
      <formula>0.8</formula>
    </cfRule>
  </conditionalFormatting>
  <conditionalFormatting sqref="P31:P40">
    <cfRule type="cellIs" dxfId="5250" priority="2140" operator="greaterThan">
      <formula>0</formula>
    </cfRule>
  </conditionalFormatting>
  <conditionalFormatting sqref="Q31">
    <cfRule type="cellIs" dxfId="5249" priority="2145" operator="lessThan">
      <formula>0</formula>
    </cfRule>
  </conditionalFormatting>
  <conditionalFormatting sqref="R31">
    <cfRule type="cellIs" dxfId="5248" priority="2143" operator="lessThan">
      <formula>0.8</formula>
    </cfRule>
    <cfRule type="cellIs" dxfId="5247" priority="2144" operator="greaterThan">
      <formula>1</formula>
    </cfRule>
  </conditionalFormatting>
  <conditionalFormatting sqref="R31">
    <cfRule type="cellIs" dxfId="5246" priority="2141" operator="greaterThan">
      <formula>1</formula>
    </cfRule>
    <cfRule type="cellIs" dxfId="5245" priority="2142" operator="lessThan">
      <formula>0.8</formula>
    </cfRule>
  </conditionalFormatting>
  <conditionalFormatting sqref="R31">
    <cfRule type="cellIs" dxfId="5244" priority="2137" operator="lessThan">
      <formula>0.8</formula>
    </cfRule>
    <cfRule type="cellIs" dxfId="5243" priority="2138" operator="greaterThan">
      <formula>1</formula>
    </cfRule>
  </conditionalFormatting>
  <conditionalFormatting sqref="R31">
    <cfRule type="cellIs" dxfId="5242" priority="2135" operator="greaterThan">
      <formula>1</formula>
    </cfRule>
    <cfRule type="cellIs" dxfId="5241" priority="2136" operator="lessThan">
      <formula>0.8</formula>
    </cfRule>
  </conditionalFormatting>
  <conditionalFormatting sqref="P31:P40">
    <cfRule type="cellIs" dxfId="5240" priority="2134" operator="greaterThan">
      <formula>0</formula>
    </cfRule>
  </conditionalFormatting>
  <conditionalFormatting sqref="Q31">
    <cfRule type="cellIs" dxfId="5239" priority="2139" operator="lessThan">
      <formula>0</formula>
    </cfRule>
  </conditionalFormatting>
  <conditionalFormatting sqref="P79">
    <cfRule type="cellIs" dxfId="5238" priority="2128" operator="greaterThan">
      <formula>0</formula>
    </cfRule>
  </conditionalFormatting>
  <conditionalFormatting sqref="Q79">
    <cfRule type="cellIs" dxfId="5237" priority="2133" operator="lessThan">
      <formula>0</formula>
    </cfRule>
  </conditionalFormatting>
  <conditionalFormatting sqref="R79">
    <cfRule type="cellIs" dxfId="5236" priority="2131" operator="lessThan">
      <formula>0.8</formula>
    </cfRule>
    <cfRule type="cellIs" dxfId="5235" priority="2132" operator="greaterThan">
      <formula>1</formula>
    </cfRule>
  </conditionalFormatting>
  <conditionalFormatting sqref="R79">
    <cfRule type="cellIs" dxfId="5234" priority="2129" operator="greaterThan">
      <formula>1</formula>
    </cfRule>
    <cfRule type="cellIs" dxfId="5233" priority="2130" operator="lessThan">
      <formula>0.8</formula>
    </cfRule>
  </conditionalFormatting>
  <conditionalFormatting sqref="Q79">
    <cfRule type="cellIs" dxfId="5232" priority="2127" operator="lessThan">
      <formula>0</formula>
    </cfRule>
  </conditionalFormatting>
  <conditionalFormatting sqref="R79">
    <cfRule type="cellIs" dxfId="5231" priority="2125" operator="lessThan">
      <formula>0.8</formula>
    </cfRule>
    <cfRule type="cellIs" dxfId="5230" priority="2126" operator="greaterThan">
      <formula>1</formula>
    </cfRule>
  </conditionalFormatting>
  <conditionalFormatting sqref="R79">
    <cfRule type="cellIs" dxfId="5229" priority="2123" operator="greaterThan">
      <formula>1</formula>
    </cfRule>
    <cfRule type="cellIs" dxfId="5228" priority="2124" operator="lessThan">
      <formula>0.8</formula>
    </cfRule>
  </conditionalFormatting>
  <conditionalFormatting sqref="P79">
    <cfRule type="cellIs" dxfId="5227" priority="2122" operator="greaterThan">
      <formula>0</formula>
    </cfRule>
  </conditionalFormatting>
  <conditionalFormatting sqref="P79">
    <cfRule type="cellIs" dxfId="5226" priority="2116" operator="greaterThan">
      <formula>0</formula>
    </cfRule>
  </conditionalFormatting>
  <conditionalFormatting sqref="Q79">
    <cfRule type="cellIs" dxfId="5225" priority="2121" operator="lessThan">
      <formula>0</formula>
    </cfRule>
  </conditionalFormatting>
  <conditionalFormatting sqref="R79">
    <cfRule type="cellIs" dxfId="5224" priority="2119" operator="lessThan">
      <formula>0.8</formula>
    </cfRule>
    <cfRule type="cellIs" dxfId="5223" priority="2120" operator="greaterThan">
      <formula>1</formula>
    </cfRule>
  </conditionalFormatting>
  <conditionalFormatting sqref="R79">
    <cfRule type="cellIs" dxfId="5222" priority="2117" operator="greaterThan">
      <formula>1</formula>
    </cfRule>
    <cfRule type="cellIs" dxfId="5221" priority="2118" operator="lessThan">
      <formula>0.8</formula>
    </cfRule>
  </conditionalFormatting>
  <conditionalFormatting sqref="Q79">
    <cfRule type="cellIs" dxfId="5220" priority="2110" operator="lessThan">
      <formula>0</formula>
    </cfRule>
  </conditionalFormatting>
  <conditionalFormatting sqref="P79">
    <cfRule type="cellIs" dxfId="5219" priority="2111" operator="greaterThan">
      <formula>0</formula>
    </cfRule>
  </conditionalFormatting>
  <conditionalFormatting sqref="R79">
    <cfRule type="cellIs" dxfId="5218" priority="2114" operator="lessThan">
      <formula>0.8</formula>
    </cfRule>
    <cfRule type="cellIs" dxfId="5217" priority="2115" operator="greaterThan">
      <formula>1</formula>
    </cfRule>
  </conditionalFormatting>
  <conditionalFormatting sqref="R79">
    <cfRule type="cellIs" dxfId="5216" priority="2112" operator="greaterThan">
      <formula>1</formula>
    </cfRule>
    <cfRule type="cellIs" dxfId="5215" priority="2113" operator="lessThan">
      <formula>0.8</formula>
    </cfRule>
  </conditionalFormatting>
  <conditionalFormatting sqref="Q79">
    <cfRule type="cellIs" dxfId="5214" priority="2104" operator="lessThan">
      <formula>0</formula>
    </cfRule>
  </conditionalFormatting>
  <conditionalFormatting sqref="R79">
    <cfRule type="cellIs" dxfId="5213" priority="2108" operator="lessThan">
      <formula>0.8</formula>
    </cfRule>
    <cfRule type="cellIs" dxfId="5212" priority="2109" operator="greaterThan">
      <formula>1</formula>
    </cfRule>
  </conditionalFormatting>
  <conditionalFormatting sqref="R79">
    <cfRule type="cellIs" dxfId="5211" priority="2106" operator="greaterThan">
      <formula>1</formula>
    </cfRule>
    <cfRule type="cellIs" dxfId="5210" priority="2107" operator="lessThan">
      <formula>0.8</formula>
    </cfRule>
  </conditionalFormatting>
  <conditionalFormatting sqref="P79">
    <cfRule type="cellIs" dxfId="5209" priority="2105" operator="greaterThan">
      <formula>0</formula>
    </cfRule>
  </conditionalFormatting>
  <conditionalFormatting sqref="Q79">
    <cfRule type="cellIs" dxfId="5208" priority="2103" operator="lessThan">
      <formula>0</formula>
    </cfRule>
  </conditionalFormatting>
  <conditionalFormatting sqref="R79">
    <cfRule type="cellIs" dxfId="5207" priority="2101" operator="lessThan">
      <formula>0.8</formula>
    </cfRule>
    <cfRule type="cellIs" dxfId="5206" priority="2102" operator="greaterThan">
      <formula>1</formula>
    </cfRule>
  </conditionalFormatting>
  <conditionalFormatting sqref="R79">
    <cfRule type="cellIs" dxfId="5205" priority="2099" operator="greaterThan">
      <formula>1</formula>
    </cfRule>
    <cfRule type="cellIs" dxfId="5204" priority="2100" operator="lessThan">
      <formula>0.8</formula>
    </cfRule>
  </conditionalFormatting>
  <conditionalFormatting sqref="P79">
    <cfRule type="cellIs" dxfId="5203" priority="2098" operator="greaterThan">
      <formula>0</formula>
    </cfRule>
  </conditionalFormatting>
  <conditionalFormatting sqref="Q79">
    <cfRule type="cellIs" dxfId="5202" priority="2097" operator="lessThan">
      <formula>0</formula>
    </cfRule>
  </conditionalFormatting>
  <conditionalFormatting sqref="R79">
    <cfRule type="cellIs" dxfId="5201" priority="2095" operator="lessThan">
      <formula>0.8</formula>
    </cfRule>
    <cfRule type="cellIs" dxfId="5200" priority="2096" operator="greaterThan">
      <formula>1</formula>
    </cfRule>
  </conditionalFormatting>
  <conditionalFormatting sqref="R79">
    <cfRule type="cellIs" dxfId="5199" priority="2093" operator="greaterThan">
      <formula>1</formula>
    </cfRule>
    <cfRule type="cellIs" dxfId="5198" priority="2094" operator="lessThan">
      <formula>0.8</formula>
    </cfRule>
  </conditionalFormatting>
  <conditionalFormatting sqref="P79">
    <cfRule type="cellIs" dxfId="5197" priority="2092" operator="greaterThan">
      <formula>0</formula>
    </cfRule>
  </conditionalFormatting>
  <conditionalFormatting sqref="P79">
    <cfRule type="cellIs" dxfId="5196" priority="2086" operator="greaterThan">
      <formula>0</formula>
    </cfRule>
  </conditionalFormatting>
  <conditionalFormatting sqref="Q79">
    <cfRule type="cellIs" dxfId="5195" priority="2091" operator="lessThan">
      <formula>0</formula>
    </cfRule>
  </conditionalFormatting>
  <conditionalFormatting sqref="R79">
    <cfRule type="cellIs" dxfId="5194" priority="2089" operator="lessThan">
      <formula>0.8</formula>
    </cfRule>
    <cfRule type="cellIs" dxfId="5193" priority="2090" operator="greaterThan">
      <formula>1</formula>
    </cfRule>
  </conditionalFormatting>
  <conditionalFormatting sqref="R79">
    <cfRule type="cellIs" dxfId="5192" priority="2087" operator="greaterThan">
      <formula>1</formula>
    </cfRule>
    <cfRule type="cellIs" dxfId="5191" priority="2088" operator="lessThan">
      <formula>0.8</formula>
    </cfRule>
  </conditionalFormatting>
  <conditionalFormatting sqref="P71:P78">
    <cfRule type="cellIs" dxfId="5190" priority="2080" operator="greaterThan">
      <formula>0</formula>
    </cfRule>
  </conditionalFormatting>
  <conditionalFormatting sqref="Q71:Q78">
    <cfRule type="cellIs" dxfId="5189" priority="2085" operator="lessThan">
      <formula>0</formula>
    </cfRule>
  </conditionalFormatting>
  <conditionalFormatting sqref="R71:R78">
    <cfRule type="cellIs" dxfId="5188" priority="2083" operator="lessThan">
      <formula>0.8</formula>
    </cfRule>
    <cfRule type="cellIs" dxfId="5187" priority="2084" operator="greaterThan">
      <formula>1</formula>
    </cfRule>
  </conditionalFormatting>
  <conditionalFormatting sqref="R71:R78">
    <cfRule type="cellIs" dxfId="5186" priority="2081" operator="greaterThan">
      <formula>1</formula>
    </cfRule>
    <cfRule type="cellIs" dxfId="5185" priority="2082" operator="lessThan">
      <formula>0.8</formula>
    </cfRule>
  </conditionalFormatting>
  <conditionalFormatting sqref="Q148:Q156">
    <cfRule type="cellIs" dxfId="5184" priority="2079" operator="lessThan">
      <formula>0</formula>
    </cfRule>
  </conditionalFormatting>
  <conditionalFormatting sqref="R148:R156">
    <cfRule type="cellIs" dxfId="5183" priority="2077" operator="lessThan">
      <formula>0.8</formula>
    </cfRule>
    <cfRule type="cellIs" dxfId="5182" priority="2078" operator="greaterThan">
      <formula>1</formula>
    </cfRule>
  </conditionalFormatting>
  <conditionalFormatting sqref="R148:R156">
    <cfRule type="cellIs" dxfId="5181" priority="2075" operator="greaterThan">
      <formula>1</formula>
    </cfRule>
    <cfRule type="cellIs" dxfId="5180" priority="2076" operator="lessThan">
      <formula>0.8</formula>
    </cfRule>
  </conditionalFormatting>
  <conditionalFormatting sqref="P148:P156">
    <cfRule type="cellIs" dxfId="5179" priority="2074" operator="greaterThan">
      <formula>0</formula>
    </cfRule>
  </conditionalFormatting>
  <conditionalFormatting sqref="Q148:Q156">
    <cfRule type="cellIs" dxfId="5178" priority="2073" operator="lessThan">
      <formula>0</formula>
    </cfRule>
  </conditionalFormatting>
  <conditionalFormatting sqref="R148:R156">
    <cfRule type="cellIs" dxfId="5177" priority="2071" operator="lessThan">
      <formula>0.8</formula>
    </cfRule>
    <cfRule type="cellIs" dxfId="5176" priority="2072" operator="greaterThan">
      <formula>1</formula>
    </cfRule>
  </conditionalFormatting>
  <conditionalFormatting sqref="R148:R156">
    <cfRule type="cellIs" dxfId="5175" priority="2069" operator="greaterThan">
      <formula>1</formula>
    </cfRule>
    <cfRule type="cellIs" dxfId="5174" priority="2070" operator="lessThan">
      <formula>0.8</formula>
    </cfRule>
  </conditionalFormatting>
  <conditionalFormatting sqref="P148:P156">
    <cfRule type="cellIs" dxfId="5173" priority="2068" operator="greaterThan">
      <formula>0</formula>
    </cfRule>
  </conditionalFormatting>
  <conditionalFormatting sqref="Q148:Q156">
    <cfRule type="cellIs" dxfId="5172" priority="2067" operator="lessThan">
      <formula>0</formula>
    </cfRule>
  </conditionalFormatting>
  <conditionalFormatting sqref="R148:R156">
    <cfRule type="cellIs" dxfId="5171" priority="2065" operator="lessThan">
      <formula>0.8</formula>
    </cfRule>
    <cfRule type="cellIs" dxfId="5170" priority="2066" operator="greaterThan">
      <formula>1</formula>
    </cfRule>
  </conditionalFormatting>
  <conditionalFormatting sqref="R148:R156">
    <cfRule type="cellIs" dxfId="5169" priority="2063" operator="greaterThan">
      <formula>1</formula>
    </cfRule>
    <cfRule type="cellIs" dxfId="5168" priority="2064" operator="lessThan">
      <formula>0.8</formula>
    </cfRule>
  </conditionalFormatting>
  <conditionalFormatting sqref="P148:P156">
    <cfRule type="cellIs" dxfId="5167" priority="2062" operator="greaterThan">
      <formula>0</formula>
    </cfRule>
  </conditionalFormatting>
  <conditionalFormatting sqref="Q148:Q156">
    <cfRule type="cellIs" dxfId="5166" priority="2061" operator="lessThan">
      <formula>0</formula>
    </cfRule>
  </conditionalFormatting>
  <conditionalFormatting sqref="R148:R156">
    <cfRule type="cellIs" dxfId="5165" priority="2059" operator="lessThan">
      <formula>0.8</formula>
    </cfRule>
    <cfRule type="cellIs" dxfId="5164" priority="2060" operator="greaterThan">
      <formula>1</formula>
    </cfRule>
  </conditionalFormatting>
  <conditionalFormatting sqref="R148:R156">
    <cfRule type="cellIs" dxfId="5163" priority="2057" operator="greaterThan">
      <formula>1</formula>
    </cfRule>
    <cfRule type="cellIs" dxfId="5162" priority="2058" operator="lessThan">
      <formula>0.8</formula>
    </cfRule>
  </conditionalFormatting>
  <conditionalFormatting sqref="P148:P156">
    <cfRule type="cellIs" dxfId="5161" priority="2056" operator="greaterThan">
      <formula>0</formula>
    </cfRule>
  </conditionalFormatting>
  <conditionalFormatting sqref="P148:P156">
    <cfRule type="cellIs" dxfId="5160" priority="2050" operator="greaterThan">
      <formula>0</formula>
    </cfRule>
  </conditionalFormatting>
  <conditionalFormatting sqref="Q148:Q156">
    <cfRule type="cellIs" dxfId="5159" priority="2055" operator="lessThan">
      <formula>0</formula>
    </cfRule>
  </conditionalFormatting>
  <conditionalFormatting sqref="R148:R156">
    <cfRule type="cellIs" dxfId="5158" priority="2053" operator="lessThan">
      <formula>0.8</formula>
    </cfRule>
    <cfRule type="cellIs" dxfId="5157" priority="2054" operator="greaterThan">
      <formula>1</formula>
    </cfRule>
  </conditionalFormatting>
  <conditionalFormatting sqref="R148:R156">
    <cfRule type="cellIs" dxfId="5156" priority="2051" operator="greaterThan">
      <formula>1</formula>
    </cfRule>
    <cfRule type="cellIs" dxfId="5155" priority="2052" operator="lessThan">
      <formula>0.8</formula>
    </cfRule>
  </conditionalFormatting>
  <conditionalFormatting sqref="P148:P156">
    <cfRule type="cellIs" dxfId="5154" priority="2044" operator="greaterThan">
      <formula>0</formula>
    </cfRule>
  </conditionalFormatting>
  <conditionalFormatting sqref="Q148:Q156">
    <cfRule type="cellIs" dxfId="5153" priority="2049" operator="lessThan">
      <formula>0</formula>
    </cfRule>
  </conditionalFormatting>
  <conditionalFormatting sqref="R148:R156">
    <cfRule type="cellIs" dxfId="5152" priority="2047" operator="lessThan">
      <formula>0.8</formula>
    </cfRule>
    <cfRule type="cellIs" dxfId="5151" priority="2048" operator="greaterThan">
      <formula>1</formula>
    </cfRule>
  </conditionalFormatting>
  <conditionalFormatting sqref="R148:R156">
    <cfRule type="cellIs" dxfId="5150" priority="2045" operator="greaterThan">
      <formula>1</formula>
    </cfRule>
    <cfRule type="cellIs" dxfId="5149" priority="2046" operator="lessThan">
      <formula>0.8</formula>
    </cfRule>
  </conditionalFormatting>
  <conditionalFormatting sqref="R148:R156">
    <cfRule type="cellIs" dxfId="5148" priority="2041" operator="lessThan">
      <formula>0.8</formula>
    </cfRule>
    <cfRule type="cellIs" dxfId="5147" priority="2042" operator="greaterThan">
      <formula>1</formula>
    </cfRule>
  </conditionalFormatting>
  <conditionalFormatting sqref="R148:R156">
    <cfRule type="cellIs" dxfId="5146" priority="2039" operator="greaterThan">
      <formula>1</formula>
    </cfRule>
    <cfRule type="cellIs" dxfId="5145" priority="2040" operator="lessThan">
      <formula>0.8</formula>
    </cfRule>
  </conditionalFormatting>
  <conditionalFormatting sqref="P148:P156">
    <cfRule type="cellIs" dxfId="5144" priority="2038" operator="greaterThan">
      <formula>0</formula>
    </cfRule>
  </conditionalFormatting>
  <conditionalFormatting sqref="Q148:Q156">
    <cfRule type="cellIs" dxfId="5143" priority="2043" operator="lessThan">
      <formula>0</formula>
    </cfRule>
  </conditionalFormatting>
  <conditionalFormatting sqref="Q148:Q156">
    <cfRule type="cellIs" dxfId="5142" priority="2037" operator="lessThan">
      <formula>0</formula>
    </cfRule>
  </conditionalFormatting>
  <conditionalFormatting sqref="R148:R156">
    <cfRule type="cellIs" dxfId="5141" priority="2035" operator="lessThan">
      <formula>0.8</formula>
    </cfRule>
    <cfRule type="cellIs" dxfId="5140" priority="2036" operator="greaterThan">
      <formula>1</formula>
    </cfRule>
  </conditionalFormatting>
  <conditionalFormatting sqref="R148:R156">
    <cfRule type="cellIs" dxfId="5139" priority="2033" operator="greaterThan">
      <formula>1</formula>
    </cfRule>
    <cfRule type="cellIs" dxfId="5138" priority="2034" operator="lessThan">
      <formula>0.8</formula>
    </cfRule>
  </conditionalFormatting>
  <conditionalFormatting sqref="P148:P156">
    <cfRule type="cellIs" dxfId="5137" priority="2032" operator="greaterThan">
      <formula>0</formula>
    </cfRule>
  </conditionalFormatting>
  <conditionalFormatting sqref="P148:P156">
    <cfRule type="cellIs" dxfId="5136" priority="2026" operator="greaterThan">
      <formula>0</formula>
    </cfRule>
  </conditionalFormatting>
  <conditionalFormatting sqref="Q148:Q156">
    <cfRule type="cellIs" dxfId="5135" priority="2031" operator="lessThan">
      <formula>0</formula>
    </cfRule>
  </conditionalFormatting>
  <conditionalFormatting sqref="R148:R156">
    <cfRule type="cellIs" dxfId="5134" priority="2029" operator="lessThan">
      <formula>0.8</formula>
    </cfRule>
    <cfRule type="cellIs" dxfId="5133" priority="2030" operator="greaterThan">
      <formula>1</formula>
    </cfRule>
  </conditionalFormatting>
  <conditionalFormatting sqref="R148:R156">
    <cfRule type="cellIs" dxfId="5132" priority="2027" operator="greaterThan">
      <formula>1</formula>
    </cfRule>
    <cfRule type="cellIs" dxfId="5131" priority="2028" operator="lessThan">
      <formula>0.8</formula>
    </cfRule>
  </conditionalFormatting>
  <conditionalFormatting sqref="P148:P156">
    <cfRule type="cellIs" dxfId="5130" priority="2020" operator="greaterThan">
      <formula>0</formula>
    </cfRule>
  </conditionalFormatting>
  <conditionalFormatting sqref="Q148:Q156">
    <cfRule type="cellIs" dxfId="5129" priority="2025" operator="lessThan">
      <formula>0</formula>
    </cfRule>
  </conditionalFormatting>
  <conditionalFormatting sqref="R148:R156">
    <cfRule type="cellIs" dxfId="5128" priority="2023" operator="lessThan">
      <formula>0.8</formula>
    </cfRule>
    <cfRule type="cellIs" dxfId="5127" priority="2024" operator="greaterThan">
      <formula>1</formula>
    </cfRule>
  </conditionalFormatting>
  <conditionalFormatting sqref="R148:R156">
    <cfRule type="cellIs" dxfId="5126" priority="2021" operator="greaterThan">
      <formula>1</formula>
    </cfRule>
    <cfRule type="cellIs" dxfId="5125" priority="2022" operator="lessThan">
      <formula>0.8</formula>
    </cfRule>
  </conditionalFormatting>
  <conditionalFormatting sqref="R148:R156">
    <cfRule type="cellIs" dxfId="5124" priority="2017" operator="lessThan">
      <formula>0.8</formula>
    </cfRule>
    <cfRule type="cellIs" dxfId="5123" priority="2018" operator="greaterThan">
      <formula>1</formula>
    </cfRule>
  </conditionalFormatting>
  <conditionalFormatting sqref="R148:R156">
    <cfRule type="cellIs" dxfId="5122" priority="2015" operator="greaterThan">
      <formula>1</formula>
    </cfRule>
    <cfRule type="cellIs" dxfId="5121" priority="2016" operator="lessThan">
      <formula>0.8</formula>
    </cfRule>
  </conditionalFormatting>
  <conditionalFormatting sqref="P148:P156">
    <cfRule type="cellIs" dxfId="5120" priority="2014" operator="greaterThan">
      <formula>0</formula>
    </cfRule>
  </conditionalFormatting>
  <conditionalFormatting sqref="Q148:Q156">
    <cfRule type="cellIs" dxfId="5119" priority="2019" operator="lessThan">
      <formula>0</formula>
    </cfRule>
  </conditionalFormatting>
  <conditionalFormatting sqref="P148:P156">
    <cfRule type="cellIs" dxfId="5118" priority="2008" operator="greaterThan">
      <formula>0</formula>
    </cfRule>
  </conditionalFormatting>
  <conditionalFormatting sqref="Q148:Q156">
    <cfRule type="cellIs" dxfId="5117" priority="2013" operator="lessThan">
      <formula>0</formula>
    </cfRule>
  </conditionalFormatting>
  <conditionalFormatting sqref="R148:R156">
    <cfRule type="cellIs" dxfId="5116" priority="2011" operator="lessThan">
      <formula>0.8</formula>
    </cfRule>
    <cfRule type="cellIs" dxfId="5115" priority="2012" operator="greaterThan">
      <formula>1</formula>
    </cfRule>
  </conditionalFormatting>
  <conditionalFormatting sqref="R148:R156">
    <cfRule type="cellIs" dxfId="5114" priority="2009" operator="greaterThan">
      <formula>1</formula>
    </cfRule>
    <cfRule type="cellIs" dxfId="5113" priority="2010" operator="lessThan">
      <formula>0.8</formula>
    </cfRule>
  </conditionalFormatting>
  <conditionalFormatting sqref="R148:R156">
    <cfRule type="cellIs" dxfId="5112" priority="2005" operator="lessThan">
      <formula>0.8</formula>
    </cfRule>
    <cfRule type="cellIs" dxfId="5111" priority="2006" operator="greaterThan">
      <formula>1</formula>
    </cfRule>
  </conditionalFormatting>
  <conditionalFormatting sqref="R148:R156">
    <cfRule type="cellIs" dxfId="5110" priority="2003" operator="greaterThan">
      <formula>1</formula>
    </cfRule>
    <cfRule type="cellIs" dxfId="5109" priority="2004" operator="lessThan">
      <formula>0.8</formula>
    </cfRule>
  </conditionalFormatting>
  <conditionalFormatting sqref="P148:P156">
    <cfRule type="cellIs" dxfId="5108" priority="2002" operator="greaterThan">
      <formula>0</formula>
    </cfRule>
  </conditionalFormatting>
  <conditionalFormatting sqref="Q148:Q156">
    <cfRule type="cellIs" dxfId="5107" priority="2007" operator="lessThan">
      <formula>0</formula>
    </cfRule>
  </conditionalFormatting>
  <conditionalFormatting sqref="R148:R156">
    <cfRule type="cellIs" dxfId="5106" priority="1999" operator="lessThan">
      <formula>0.8</formula>
    </cfRule>
    <cfRule type="cellIs" dxfId="5105" priority="2000" operator="greaterThan">
      <formula>1</formula>
    </cfRule>
  </conditionalFormatting>
  <conditionalFormatting sqref="R148:R156">
    <cfRule type="cellIs" dxfId="5104" priority="1997" operator="greaterThan">
      <formula>1</formula>
    </cfRule>
    <cfRule type="cellIs" dxfId="5103" priority="1998" operator="lessThan">
      <formula>0.8</formula>
    </cfRule>
  </conditionalFormatting>
  <conditionalFormatting sqref="P148:P156">
    <cfRule type="cellIs" dxfId="5102" priority="1996" operator="greaterThan">
      <formula>0</formula>
    </cfRule>
  </conditionalFormatting>
  <conditionalFormatting sqref="Q148:Q156">
    <cfRule type="cellIs" dxfId="5101" priority="2001" operator="lessThan">
      <formula>0</formula>
    </cfRule>
  </conditionalFormatting>
  <conditionalFormatting sqref="Q148:Q156">
    <cfRule type="cellIs" dxfId="5100" priority="1995" operator="lessThan">
      <formula>0</formula>
    </cfRule>
  </conditionalFormatting>
  <conditionalFormatting sqref="R148:R156">
    <cfRule type="cellIs" dxfId="5099" priority="1993" operator="lessThan">
      <formula>0.8</formula>
    </cfRule>
    <cfRule type="cellIs" dxfId="5098" priority="1994" operator="greaterThan">
      <formula>1</formula>
    </cfRule>
  </conditionalFormatting>
  <conditionalFormatting sqref="R148:R156">
    <cfRule type="cellIs" dxfId="5097" priority="1991" operator="greaterThan">
      <formula>1</formula>
    </cfRule>
    <cfRule type="cellIs" dxfId="5096" priority="1992" operator="lessThan">
      <formula>0.8</formula>
    </cfRule>
  </conditionalFormatting>
  <conditionalFormatting sqref="P148:P156">
    <cfRule type="cellIs" dxfId="5095" priority="1990" operator="greaterThan">
      <formula>0</formula>
    </cfRule>
  </conditionalFormatting>
  <conditionalFormatting sqref="Q148:Q156">
    <cfRule type="cellIs" dxfId="5094" priority="1984" operator="lessThan">
      <formula>0</formula>
    </cfRule>
  </conditionalFormatting>
  <conditionalFormatting sqref="R148:R156">
    <cfRule type="cellIs" dxfId="5093" priority="1988" operator="lessThan">
      <formula>0.8</formula>
    </cfRule>
    <cfRule type="cellIs" dxfId="5092" priority="1989" operator="greaterThan">
      <formula>1</formula>
    </cfRule>
  </conditionalFormatting>
  <conditionalFormatting sqref="R148:R156">
    <cfRule type="cellIs" dxfId="5091" priority="1986" operator="greaterThan">
      <formula>1</formula>
    </cfRule>
    <cfRule type="cellIs" dxfId="5090" priority="1987" operator="lessThan">
      <formula>0.8</formula>
    </cfRule>
  </conditionalFormatting>
  <conditionalFormatting sqref="P148:P156">
    <cfRule type="cellIs" dxfId="5089" priority="1985" operator="greaterThan">
      <formula>0</formula>
    </cfRule>
  </conditionalFormatting>
  <conditionalFormatting sqref="Q148:Q156">
    <cfRule type="cellIs" dxfId="5088" priority="1983" operator="lessThan">
      <formula>0</formula>
    </cfRule>
  </conditionalFormatting>
  <conditionalFormatting sqref="R148:R156">
    <cfRule type="cellIs" dxfId="5087" priority="1981" operator="lessThan">
      <formula>0.8</formula>
    </cfRule>
    <cfRule type="cellIs" dxfId="5086" priority="1982" operator="greaterThan">
      <formula>1</formula>
    </cfRule>
  </conditionalFormatting>
  <conditionalFormatting sqref="R148:R156">
    <cfRule type="cellIs" dxfId="5085" priority="1979" operator="greaterThan">
      <formula>1</formula>
    </cfRule>
    <cfRule type="cellIs" dxfId="5084" priority="1980" operator="lessThan">
      <formula>0.8</formula>
    </cfRule>
  </conditionalFormatting>
  <conditionalFormatting sqref="P148:P156">
    <cfRule type="cellIs" dxfId="5083" priority="1978" operator="greaterThan">
      <formula>0</formula>
    </cfRule>
  </conditionalFormatting>
  <conditionalFormatting sqref="Q148:Q156">
    <cfRule type="cellIs" dxfId="5082" priority="1977" operator="lessThan">
      <formula>0</formula>
    </cfRule>
  </conditionalFormatting>
  <conditionalFormatting sqref="R148:R156">
    <cfRule type="cellIs" dxfId="5081" priority="1975" operator="lessThan">
      <formula>0.8</formula>
    </cfRule>
    <cfRule type="cellIs" dxfId="5080" priority="1976" operator="greaterThan">
      <formula>1</formula>
    </cfRule>
  </conditionalFormatting>
  <conditionalFormatting sqref="R148:R156">
    <cfRule type="cellIs" dxfId="5079" priority="1973" operator="greaterThan">
      <formula>1</formula>
    </cfRule>
    <cfRule type="cellIs" dxfId="5078" priority="1974" operator="lessThan">
      <formula>0.8</formula>
    </cfRule>
  </conditionalFormatting>
  <conditionalFormatting sqref="P148:P156">
    <cfRule type="cellIs" dxfId="5077" priority="1972" operator="greaterThan">
      <formula>0</formula>
    </cfRule>
  </conditionalFormatting>
  <conditionalFormatting sqref="Q148:Q156">
    <cfRule type="cellIs" dxfId="5076" priority="1971" operator="lessThan">
      <formula>0</formula>
    </cfRule>
  </conditionalFormatting>
  <conditionalFormatting sqref="R148:R156">
    <cfRule type="cellIs" dxfId="5075" priority="1969" operator="lessThan">
      <formula>0.8</formula>
    </cfRule>
    <cfRule type="cellIs" dxfId="5074" priority="1970" operator="greaterThan">
      <formula>1</formula>
    </cfRule>
  </conditionalFormatting>
  <conditionalFormatting sqref="R148:R156">
    <cfRule type="cellIs" dxfId="5073" priority="1967" operator="greaterThan">
      <formula>1</formula>
    </cfRule>
    <cfRule type="cellIs" dxfId="5072" priority="1968" operator="lessThan">
      <formula>0.8</formula>
    </cfRule>
  </conditionalFormatting>
  <conditionalFormatting sqref="P148:P156">
    <cfRule type="cellIs" dxfId="5071" priority="1966" operator="greaterThan">
      <formula>0</formula>
    </cfRule>
  </conditionalFormatting>
  <conditionalFormatting sqref="Q148:Q156">
    <cfRule type="cellIs" dxfId="5070" priority="1965" operator="lessThan">
      <formula>0</formula>
    </cfRule>
  </conditionalFormatting>
  <conditionalFormatting sqref="R148:R156">
    <cfRule type="cellIs" dxfId="5069" priority="1963" operator="lessThan">
      <formula>0.8</formula>
    </cfRule>
    <cfRule type="cellIs" dxfId="5068" priority="1964" operator="greaterThan">
      <formula>1</formula>
    </cfRule>
  </conditionalFormatting>
  <conditionalFormatting sqref="R148:R156">
    <cfRule type="cellIs" dxfId="5067" priority="1961" operator="greaterThan">
      <formula>1</formula>
    </cfRule>
    <cfRule type="cellIs" dxfId="5066" priority="1962" operator="lessThan">
      <formula>0.8</formula>
    </cfRule>
  </conditionalFormatting>
  <conditionalFormatting sqref="P148:P156">
    <cfRule type="cellIs" dxfId="5065" priority="1960" operator="greaterThan">
      <formula>0</formula>
    </cfRule>
  </conditionalFormatting>
  <conditionalFormatting sqref="Q148:Q156">
    <cfRule type="cellIs" dxfId="5064" priority="1959" operator="lessThan">
      <formula>0</formula>
    </cfRule>
  </conditionalFormatting>
  <conditionalFormatting sqref="R148:R156">
    <cfRule type="cellIs" dxfId="5063" priority="1957" operator="lessThan">
      <formula>0.8</formula>
    </cfRule>
    <cfRule type="cellIs" dxfId="5062" priority="1958" operator="greaterThan">
      <formula>1</formula>
    </cfRule>
  </conditionalFormatting>
  <conditionalFormatting sqref="R148:R156">
    <cfRule type="cellIs" dxfId="5061" priority="1955" operator="greaterThan">
      <formula>1</formula>
    </cfRule>
    <cfRule type="cellIs" dxfId="5060" priority="1956" operator="lessThan">
      <formula>0.8</formula>
    </cfRule>
  </conditionalFormatting>
  <conditionalFormatting sqref="P148:P156">
    <cfRule type="cellIs" dxfId="5059" priority="1954" operator="greaterThan">
      <formula>0</formula>
    </cfRule>
  </conditionalFormatting>
  <conditionalFormatting sqref="P148:P156">
    <cfRule type="cellIs" dxfId="5058" priority="1948" operator="greaterThan">
      <formula>0</formula>
    </cfRule>
  </conditionalFormatting>
  <conditionalFormatting sqref="Q148:Q156">
    <cfRule type="cellIs" dxfId="5057" priority="1953" operator="lessThan">
      <formula>0</formula>
    </cfRule>
  </conditionalFormatting>
  <conditionalFormatting sqref="R148:R156">
    <cfRule type="cellIs" dxfId="5056" priority="1951" operator="lessThan">
      <formula>0.8</formula>
    </cfRule>
    <cfRule type="cellIs" dxfId="5055" priority="1952" operator="greaterThan">
      <formula>1</formula>
    </cfRule>
  </conditionalFormatting>
  <conditionalFormatting sqref="R148:R156">
    <cfRule type="cellIs" dxfId="5054" priority="1949" operator="greaterThan">
      <formula>1</formula>
    </cfRule>
    <cfRule type="cellIs" dxfId="5053" priority="1950" operator="lessThan">
      <formula>0.8</formula>
    </cfRule>
  </conditionalFormatting>
  <conditionalFormatting sqref="P148:P156">
    <cfRule type="cellIs" dxfId="5052" priority="1942" operator="greaterThan">
      <formula>0</formula>
    </cfRule>
  </conditionalFormatting>
  <conditionalFormatting sqref="Q148:Q156">
    <cfRule type="cellIs" dxfId="5051" priority="1947" operator="lessThan">
      <formula>0</formula>
    </cfRule>
  </conditionalFormatting>
  <conditionalFormatting sqref="R148:R156">
    <cfRule type="cellIs" dxfId="5050" priority="1945" operator="lessThan">
      <formula>0.8</formula>
    </cfRule>
    <cfRule type="cellIs" dxfId="5049" priority="1946" operator="greaterThan">
      <formula>1</formula>
    </cfRule>
  </conditionalFormatting>
  <conditionalFormatting sqref="R148:R156">
    <cfRule type="cellIs" dxfId="5048" priority="1943" operator="greaterThan">
      <formula>1</formula>
    </cfRule>
    <cfRule type="cellIs" dxfId="5047" priority="1944" operator="lessThan">
      <formula>0.8</formula>
    </cfRule>
  </conditionalFormatting>
  <conditionalFormatting sqref="R148:R156">
    <cfRule type="cellIs" dxfId="5046" priority="1939" operator="lessThan">
      <formula>0.8</formula>
    </cfRule>
    <cfRule type="cellIs" dxfId="5045" priority="1940" operator="greaterThan">
      <formula>1</formula>
    </cfRule>
  </conditionalFormatting>
  <conditionalFormatting sqref="R148:R156">
    <cfRule type="cellIs" dxfId="5044" priority="1937" operator="greaterThan">
      <formula>1</formula>
    </cfRule>
    <cfRule type="cellIs" dxfId="5043" priority="1938" operator="lessThan">
      <formula>0.8</formula>
    </cfRule>
  </conditionalFormatting>
  <conditionalFormatting sqref="P148:P156">
    <cfRule type="cellIs" dxfId="5042" priority="1936" operator="greaterThan">
      <formula>0</formula>
    </cfRule>
  </conditionalFormatting>
  <conditionalFormatting sqref="Q148:Q156">
    <cfRule type="cellIs" dxfId="5041" priority="1941" operator="lessThan">
      <formula>0</formula>
    </cfRule>
  </conditionalFormatting>
  <conditionalFormatting sqref="Q148:Q156">
    <cfRule type="cellIs" dxfId="5040" priority="1930" operator="lessThan">
      <formula>0</formula>
    </cfRule>
  </conditionalFormatting>
  <conditionalFormatting sqref="P148:P156">
    <cfRule type="cellIs" dxfId="5039" priority="1931" operator="greaterThan">
      <formula>0</formula>
    </cfRule>
  </conditionalFormatting>
  <conditionalFormatting sqref="R148:R156">
    <cfRule type="cellIs" dxfId="5038" priority="1934" operator="lessThan">
      <formula>0.8</formula>
    </cfRule>
    <cfRule type="cellIs" dxfId="5037" priority="1935" operator="greaterThan">
      <formula>1</formula>
    </cfRule>
  </conditionalFormatting>
  <conditionalFormatting sqref="R148:R156">
    <cfRule type="cellIs" dxfId="5036" priority="1932" operator="greaterThan">
      <formula>1</formula>
    </cfRule>
    <cfRule type="cellIs" dxfId="5035" priority="1933" operator="lessThan">
      <formula>0.8</formula>
    </cfRule>
  </conditionalFormatting>
  <conditionalFormatting sqref="Q148:Q156">
    <cfRule type="cellIs" dxfId="5034" priority="1924" operator="lessThan">
      <formula>0</formula>
    </cfRule>
  </conditionalFormatting>
  <conditionalFormatting sqref="R148:R156">
    <cfRule type="cellIs" dxfId="5033" priority="1928" operator="lessThan">
      <formula>0.8</formula>
    </cfRule>
    <cfRule type="cellIs" dxfId="5032" priority="1929" operator="greaterThan">
      <formula>1</formula>
    </cfRule>
  </conditionalFormatting>
  <conditionalFormatting sqref="R148:R156">
    <cfRule type="cellIs" dxfId="5031" priority="1926" operator="greaterThan">
      <formula>1</formula>
    </cfRule>
    <cfRule type="cellIs" dxfId="5030" priority="1927" operator="lessThan">
      <formula>0.8</formula>
    </cfRule>
  </conditionalFormatting>
  <conditionalFormatting sqref="P148:P156">
    <cfRule type="cellIs" dxfId="5029" priority="1925" operator="greaterThan">
      <formula>0</formula>
    </cfRule>
  </conditionalFormatting>
  <conditionalFormatting sqref="Q148:Q156">
    <cfRule type="cellIs" dxfId="5028" priority="1923" operator="lessThan">
      <formula>0</formula>
    </cfRule>
  </conditionalFormatting>
  <conditionalFormatting sqref="R148:R156">
    <cfRule type="cellIs" dxfId="5027" priority="1921" operator="lessThan">
      <formula>0.8</formula>
    </cfRule>
    <cfRule type="cellIs" dxfId="5026" priority="1922" operator="greaterThan">
      <formula>1</formula>
    </cfRule>
  </conditionalFormatting>
  <conditionalFormatting sqref="R148:R156">
    <cfRule type="cellIs" dxfId="5025" priority="1919" operator="greaterThan">
      <formula>1</formula>
    </cfRule>
    <cfRule type="cellIs" dxfId="5024" priority="1920" operator="lessThan">
      <formula>0.8</formula>
    </cfRule>
  </conditionalFormatting>
  <conditionalFormatting sqref="P148:P156">
    <cfRule type="cellIs" dxfId="5023" priority="1918" operator="greaterThan">
      <formula>0</formula>
    </cfRule>
  </conditionalFormatting>
  <conditionalFormatting sqref="Q148:Q156">
    <cfRule type="cellIs" dxfId="5022" priority="1917" operator="lessThan">
      <formula>0</formula>
    </cfRule>
  </conditionalFormatting>
  <conditionalFormatting sqref="R148:R156">
    <cfRule type="cellIs" dxfId="5021" priority="1915" operator="lessThan">
      <formula>0.8</formula>
    </cfRule>
    <cfRule type="cellIs" dxfId="5020" priority="1916" operator="greaterThan">
      <formula>1</formula>
    </cfRule>
  </conditionalFormatting>
  <conditionalFormatting sqref="R148:R156">
    <cfRule type="cellIs" dxfId="5019" priority="1913" operator="greaterThan">
      <formula>1</formula>
    </cfRule>
    <cfRule type="cellIs" dxfId="5018" priority="1914" operator="lessThan">
      <formula>0.8</formula>
    </cfRule>
  </conditionalFormatting>
  <conditionalFormatting sqref="P148:P156">
    <cfRule type="cellIs" dxfId="5017" priority="1912" operator="greaterThan">
      <formula>0</formula>
    </cfRule>
  </conditionalFormatting>
  <conditionalFormatting sqref="Q148:Q156">
    <cfRule type="cellIs" dxfId="5016" priority="1911" operator="lessThan">
      <formula>0</formula>
    </cfRule>
  </conditionalFormatting>
  <conditionalFormatting sqref="R148:R156">
    <cfRule type="cellIs" dxfId="5015" priority="1909" operator="lessThan">
      <formula>0.8</formula>
    </cfRule>
    <cfRule type="cellIs" dxfId="5014" priority="1910" operator="greaterThan">
      <formula>1</formula>
    </cfRule>
  </conditionalFormatting>
  <conditionalFormatting sqref="R148:R156">
    <cfRule type="cellIs" dxfId="5013" priority="1907" operator="greaterThan">
      <formula>1</formula>
    </cfRule>
    <cfRule type="cellIs" dxfId="5012" priority="1908" operator="lessThan">
      <formula>0.8</formula>
    </cfRule>
  </conditionalFormatting>
  <conditionalFormatting sqref="P148:P156">
    <cfRule type="cellIs" dxfId="5011" priority="1906" operator="greaterThan">
      <formula>0</formula>
    </cfRule>
  </conditionalFormatting>
  <conditionalFormatting sqref="Q148:Q156">
    <cfRule type="cellIs" dxfId="5010" priority="1905" operator="lessThan">
      <formula>0</formula>
    </cfRule>
  </conditionalFormatting>
  <conditionalFormatting sqref="R148:R156">
    <cfRule type="cellIs" dxfId="5009" priority="1903" operator="lessThan">
      <formula>0.8</formula>
    </cfRule>
    <cfRule type="cellIs" dxfId="5008" priority="1904" operator="greaterThan">
      <formula>1</formula>
    </cfRule>
  </conditionalFormatting>
  <conditionalFormatting sqref="R148:R156">
    <cfRule type="cellIs" dxfId="5007" priority="1901" operator="greaterThan">
      <formula>1</formula>
    </cfRule>
    <cfRule type="cellIs" dxfId="5006" priority="1902" operator="lessThan">
      <formula>0.8</formula>
    </cfRule>
  </conditionalFormatting>
  <conditionalFormatting sqref="P148:P156">
    <cfRule type="cellIs" dxfId="5005" priority="1900" operator="greaterThan">
      <formula>0</formula>
    </cfRule>
  </conditionalFormatting>
  <conditionalFormatting sqref="Q124">
    <cfRule type="cellIs" dxfId="5004" priority="1894" operator="lessThan">
      <formula>0</formula>
    </cfRule>
  </conditionalFormatting>
  <conditionalFormatting sqref="P124">
    <cfRule type="cellIs" dxfId="5003" priority="1895" operator="greaterThan">
      <formula>0</formula>
    </cfRule>
  </conditionalFormatting>
  <conditionalFormatting sqref="R124">
    <cfRule type="cellIs" dxfId="5002" priority="1898" operator="lessThan">
      <formula>0.8</formula>
    </cfRule>
    <cfRule type="cellIs" dxfId="5001" priority="1899" operator="greaterThan">
      <formula>1</formula>
    </cfRule>
  </conditionalFormatting>
  <conditionalFormatting sqref="R124">
    <cfRule type="cellIs" dxfId="5000" priority="1896" operator="greaterThan">
      <formula>1</formula>
    </cfRule>
    <cfRule type="cellIs" dxfId="4999" priority="1897" operator="lessThan">
      <formula>0.8</formula>
    </cfRule>
  </conditionalFormatting>
  <conditionalFormatting sqref="Q124">
    <cfRule type="cellIs" dxfId="4998" priority="1888" operator="lessThan">
      <formula>0</formula>
    </cfRule>
  </conditionalFormatting>
  <conditionalFormatting sqref="R124">
    <cfRule type="cellIs" dxfId="4997" priority="1892" operator="lessThan">
      <formula>0.8</formula>
    </cfRule>
    <cfRule type="cellIs" dxfId="4996" priority="1893" operator="greaterThan">
      <formula>1</formula>
    </cfRule>
  </conditionalFormatting>
  <conditionalFormatting sqref="R124">
    <cfRule type="cellIs" dxfId="4995" priority="1890" operator="greaterThan">
      <formula>1</formula>
    </cfRule>
    <cfRule type="cellIs" dxfId="4994" priority="1891" operator="lessThan">
      <formula>0.8</formula>
    </cfRule>
  </conditionalFormatting>
  <conditionalFormatting sqref="P124">
    <cfRule type="cellIs" dxfId="4993" priority="1889" operator="greaterThan">
      <formula>0</formula>
    </cfRule>
  </conditionalFormatting>
  <conditionalFormatting sqref="Q124">
    <cfRule type="cellIs" dxfId="4992" priority="1887" operator="lessThan">
      <formula>0</formula>
    </cfRule>
  </conditionalFormatting>
  <conditionalFormatting sqref="R124">
    <cfRule type="cellIs" dxfId="4991" priority="1885" operator="lessThan">
      <formula>0.8</formula>
    </cfRule>
    <cfRule type="cellIs" dxfId="4990" priority="1886" operator="greaterThan">
      <formula>1</formula>
    </cfRule>
  </conditionalFormatting>
  <conditionalFormatting sqref="R124">
    <cfRule type="cellIs" dxfId="4989" priority="1883" operator="greaterThan">
      <formula>1</formula>
    </cfRule>
    <cfRule type="cellIs" dxfId="4988" priority="1884" operator="lessThan">
      <formula>0.8</formula>
    </cfRule>
  </conditionalFormatting>
  <conditionalFormatting sqref="P124">
    <cfRule type="cellIs" dxfId="4987" priority="1882" operator="greaterThan">
      <formula>0</formula>
    </cfRule>
  </conditionalFormatting>
  <conditionalFormatting sqref="Q124">
    <cfRule type="cellIs" dxfId="4986" priority="1881" operator="lessThan">
      <formula>0</formula>
    </cfRule>
  </conditionalFormatting>
  <conditionalFormatting sqref="R124">
    <cfRule type="cellIs" dxfId="4985" priority="1879" operator="lessThan">
      <formula>0.8</formula>
    </cfRule>
    <cfRule type="cellIs" dxfId="4984" priority="1880" operator="greaterThan">
      <formula>1</formula>
    </cfRule>
  </conditionalFormatting>
  <conditionalFormatting sqref="R124">
    <cfRule type="cellIs" dxfId="4983" priority="1877" operator="greaterThan">
      <formula>1</formula>
    </cfRule>
    <cfRule type="cellIs" dxfId="4982" priority="1878" operator="lessThan">
      <formula>0.8</formula>
    </cfRule>
  </conditionalFormatting>
  <conditionalFormatting sqref="P124">
    <cfRule type="cellIs" dxfId="4981" priority="1876" operator="greaterThan">
      <formula>0</formula>
    </cfRule>
  </conditionalFormatting>
  <conditionalFormatting sqref="Q124">
    <cfRule type="cellIs" dxfId="4980" priority="1875" operator="lessThan">
      <formula>0</formula>
    </cfRule>
  </conditionalFormatting>
  <conditionalFormatting sqref="R124">
    <cfRule type="cellIs" dxfId="4979" priority="1873" operator="lessThan">
      <formula>0.8</formula>
    </cfRule>
    <cfRule type="cellIs" dxfId="4978" priority="1874" operator="greaterThan">
      <formula>1</formula>
    </cfRule>
  </conditionalFormatting>
  <conditionalFormatting sqref="R124">
    <cfRule type="cellIs" dxfId="4977" priority="1871" operator="greaterThan">
      <formula>1</formula>
    </cfRule>
    <cfRule type="cellIs" dxfId="4976" priority="1872" operator="lessThan">
      <formula>0.8</formula>
    </cfRule>
  </conditionalFormatting>
  <conditionalFormatting sqref="P124">
    <cfRule type="cellIs" dxfId="4975" priority="1870" operator="greaterThan">
      <formula>0</formula>
    </cfRule>
  </conditionalFormatting>
  <conditionalFormatting sqref="Q124">
    <cfRule type="cellIs" dxfId="4974" priority="1869" operator="lessThan">
      <formula>0</formula>
    </cfRule>
  </conditionalFormatting>
  <conditionalFormatting sqref="R124">
    <cfRule type="cellIs" dxfId="4973" priority="1867" operator="lessThan">
      <formula>0.8</formula>
    </cfRule>
    <cfRule type="cellIs" dxfId="4972" priority="1868" operator="greaterThan">
      <formula>1</formula>
    </cfRule>
  </conditionalFormatting>
  <conditionalFormatting sqref="R124">
    <cfRule type="cellIs" dxfId="4971" priority="1865" operator="greaterThan">
      <formula>1</formula>
    </cfRule>
    <cfRule type="cellIs" dxfId="4970" priority="1866" operator="lessThan">
      <formula>0.8</formula>
    </cfRule>
  </conditionalFormatting>
  <conditionalFormatting sqref="P124">
    <cfRule type="cellIs" dxfId="4969" priority="1864" operator="greaterThan">
      <formula>0</formula>
    </cfRule>
  </conditionalFormatting>
  <conditionalFormatting sqref="Q124">
    <cfRule type="cellIs" dxfId="4968" priority="1863" operator="lessThan">
      <formula>0</formula>
    </cfRule>
  </conditionalFormatting>
  <conditionalFormatting sqref="R124">
    <cfRule type="cellIs" dxfId="4967" priority="1861" operator="lessThan">
      <formula>0.8</formula>
    </cfRule>
    <cfRule type="cellIs" dxfId="4966" priority="1862" operator="greaterThan">
      <formula>1</formula>
    </cfRule>
  </conditionalFormatting>
  <conditionalFormatting sqref="R124">
    <cfRule type="cellIs" dxfId="4965" priority="1859" operator="greaterThan">
      <formula>1</formula>
    </cfRule>
    <cfRule type="cellIs" dxfId="4964" priority="1860" operator="lessThan">
      <formula>0.8</formula>
    </cfRule>
  </conditionalFormatting>
  <conditionalFormatting sqref="P124">
    <cfRule type="cellIs" dxfId="4963" priority="1858" operator="greaterThan">
      <formula>0</formula>
    </cfRule>
  </conditionalFormatting>
  <conditionalFormatting sqref="Q124">
    <cfRule type="cellIs" dxfId="4962" priority="1857" operator="lessThan">
      <formula>0</formula>
    </cfRule>
  </conditionalFormatting>
  <conditionalFormatting sqref="R124">
    <cfRule type="cellIs" dxfId="4961" priority="1855" operator="lessThan">
      <formula>0.8</formula>
    </cfRule>
    <cfRule type="cellIs" dxfId="4960" priority="1856" operator="greaterThan">
      <formula>1</formula>
    </cfRule>
  </conditionalFormatting>
  <conditionalFormatting sqref="R124">
    <cfRule type="cellIs" dxfId="4959" priority="1853" operator="greaterThan">
      <formula>1</formula>
    </cfRule>
    <cfRule type="cellIs" dxfId="4958" priority="1854" operator="lessThan">
      <formula>0.8</formula>
    </cfRule>
  </conditionalFormatting>
  <conditionalFormatting sqref="P124">
    <cfRule type="cellIs" dxfId="4957" priority="1852" operator="greaterThan">
      <formula>0</formula>
    </cfRule>
  </conditionalFormatting>
  <conditionalFormatting sqref="Q124">
    <cfRule type="cellIs" dxfId="4956" priority="1851" operator="lessThan">
      <formula>0</formula>
    </cfRule>
  </conditionalFormatting>
  <conditionalFormatting sqref="R124">
    <cfRule type="cellIs" dxfId="4955" priority="1849" operator="lessThan">
      <formula>0.8</formula>
    </cfRule>
    <cfRule type="cellIs" dxfId="4954" priority="1850" operator="greaterThan">
      <formula>1</formula>
    </cfRule>
  </conditionalFormatting>
  <conditionalFormatting sqref="R124">
    <cfRule type="cellIs" dxfId="4953" priority="1847" operator="greaterThan">
      <formula>1</formula>
    </cfRule>
    <cfRule type="cellIs" dxfId="4952" priority="1848" operator="lessThan">
      <formula>0.8</formula>
    </cfRule>
  </conditionalFormatting>
  <conditionalFormatting sqref="P124">
    <cfRule type="cellIs" dxfId="4951" priority="1846" operator="greaterThan">
      <formula>0</formula>
    </cfRule>
  </conditionalFormatting>
  <conditionalFormatting sqref="P124">
    <cfRule type="cellIs" dxfId="4950" priority="1840" operator="greaterThan">
      <formula>0</formula>
    </cfRule>
  </conditionalFormatting>
  <conditionalFormatting sqref="Q124">
    <cfRule type="cellIs" dxfId="4949" priority="1845" operator="lessThan">
      <formula>0</formula>
    </cfRule>
  </conditionalFormatting>
  <conditionalFormatting sqref="R124">
    <cfRule type="cellIs" dxfId="4948" priority="1843" operator="lessThan">
      <formula>0.8</formula>
    </cfRule>
    <cfRule type="cellIs" dxfId="4947" priority="1844" operator="greaterThan">
      <formula>1</formula>
    </cfRule>
  </conditionalFormatting>
  <conditionalFormatting sqref="R124">
    <cfRule type="cellIs" dxfId="4946" priority="1841" operator="greaterThan">
      <formula>1</formula>
    </cfRule>
    <cfRule type="cellIs" dxfId="4945" priority="1842" operator="lessThan">
      <formula>0.8</formula>
    </cfRule>
  </conditionalFormatting>
  <conditionalFormatting sqref="P124">
    <cfRule type="cellIs" dxfId="4944" priority="1834" operator="greaterThan">
      <formula>0</formula>
    </cfRule>
  </conditionalFormatting>
  <conditionalFormatting sqref="Q124">
    <cfRule type="cellIs" dxfId="4943" priority="1839" operator="lessThan">
      <formula>0</formula>
    </cfRule>
  </conditionalFormatting>
  <conditionalFormatting sqref="R124">
    <cfRule type="cellIs" dxfId="4942" priority="1837" operator="lessThan">
      <formula>0.8</formula>
    </cfRule>
    <cfRule type="cellIs" dxfId="4941" priority="1838" operator="greaterThan">
      <formula>1</formula>
    </cfRule>
  </conditionalFormatting>
  <conditionalFormatting sqref="R124">
    <cfRule type="cellIs" dxfId="4940" priority="1835" operator="greaterThan">
      <formula>1</formula>
    </cfRule>
    <cfRule type="cellIs" dxfId="4939" priority="1836" operator="lessThan">
      <formula>0.8</formula>
    </cfRule>
  </conditionalFormatting>
  <conditionalFormatting sqref="R124">
    <cfRule type="cellIs" dxfId="4938" priority="1831" operator="lessThan">
      <formula>0.8</formula>
    </cfRule>
    <cfRule type="cellIs" dxfId="4937" priority="1832" operator="greaterThan">
      <formula>1</formula>
    </cfRule>
  </conditionalFormatting>
  <conditionalFormatting sqref="R124">
    <cfRule type="cellIs" dxfId="4936" priority="1829" operator="greaterThan">
      <formula>1</formula>
    </cfRule>
    <cfRule type="cellIs" dxfId="4935" priority="1830" operator="lessThan">
      <formula>0.8</formula>
    </cfRule>
  </conditionalFormatting>
  <conditionalFormatting sqref="P124">
    <cfRule type="cellIs" dxfId="4934" priority="1828" operator="greaterThan">
      <formula>0</formula>
    </cfRule>
  </conditionalFormatting>
  <conditionalFormatting sqref="Q124">
    <cfRule type="cellIs" dxfId="4933" priority="1833" operator="lessThan">
      <formula>0</formula>
    </cfRule>
  </conditionalFormatting>
  <conditionalFormatting sqref="Q124">
    <cfRule type="cellIs" dxfId="4932" priority="1827" operator="lessThan">
      <formula>0</formula>
    </cfRule>
  </conditionalFormatting>
  <conditionalFormatting sqref="R124">
    <cfRule type="cellIs" dxfId="4931" priority="1825" operator="lessThan">
      <formula>0.8</formula>
    </cfRule>
    <cfRule type="cellIs" dxfId="4930" priority="1826" operator="greaterThan">
      <formula>1</formula>
    </cfRule>
  </conditionalFormatting>
  <conditionalFormatting sqref="R124">
    <cfRule type="cellIs" dxfId="4929" priority="1823" operator="greaterThan">
      <formula>1</formula>
    </cfRule>
    <cfRule type="cellIs" dxfId="4928" priority="1824" operator="lessThan">
      <formula>0.8</formula>
    </cfRule>
  </conditionalFormatting>
  <conditionalFormatting sqref="P124">
    <cfRule type="cellIs" dxfId="4927" priority="1822" operator="greaterThan">
      <formula>0</formula>
    </cfRule>
  </conditionalFormatting>
  <conditionalFormatting sqref="P124">
    <cfRule type="cellIs" dxfId="4926" priority="1816" operator="greaterThan">
      <formula>0</formula>
    </cfRule>
  </conditionalFormatting>
  <conditionalFormatting sqref="Q124">
    <cfRule type="cellIs" dxfId="4925" priority="1821" operator="lessThan">
      <formula>0</formula>
    </cfRule>
  </conditionalFormatting>
  <conditionalFormatting sqref="R124">
    <cfRule type="cellIs" dxfId="4924" priority="1819" operator="lessThan">
      <formula>0.8</formula>
    </cfRule>
    <cfRule type="cellIs" dxfId="4923" priority="1820" operator="greaterThan">
      <formula>1</formula>
    </cfRule>
  </conditionalFormatting>
  <conditionalFormatting sqref="R124">
    <cfRule type="cellIs" dxfId="4922" priority="1817" operator="greaterThan">
      <formula>1</formula>
    </cfRule>
    <cfRule type="cellIs" dxfId="4921" priority="1818" operator="lessThan">
      <formula>0.8</formula>
    </cfRule>
  </conditionalFormatting>
  <conditionalFormatting sqref="P124">
    <cfRule type="cellIs" dxfId="4920" priority="1810" operator="greaterThan">
      <formula>0</formula>
    </cfRule>
  </conditionalFormatting>
  <conditionalFormatting sqref="Q124">
    <cfRule type="cellIs" dxfId="4919" priority="1815" operator="lessThan">
      <formula>0</formula>
    </cfRule>
  </conditionalFormatting>
  <conditionalFormatting sqref="R124">
    <cfRule type="cellIs" dxfId="4918" priority="1813" operator="lessThan">
      <formula>0.8</formula>
    </cfRule>
    <cfRule type="cellIs" dxfId="4917" priority="1814" operator="greaterThan">
      <formula>1</formula>
    </cfRule>
  </conditionalFormatting>
  <conditionalFormatting sqref="R124">
    <cfRule type="cellIs" dxfId="4916" priority="1811" operator="greaterThan">
      <formula>1</formula>
    </cfRule>
    <cfRule type="cellIs" dxfId="4915" priority="1812" operator="lessThan">
      <formula>0.8</formula>
    </cfRule>
  </conditionalFormatting>
  <conditionalFormatting sqref="R124">
    <cfRule type="cellIs" dxfId="4914" priority="1807" operator="lessThan">
      <formula>0.8</formula>
    </cfRule>
    <cfRule type="cellIs" dxfId="4913" priority="1808" operator="greaterThan">
      <formula>1</formula>
    </cfRule>
  </conditionalFormatting>
  <conditionalFormatting sqref="R124">
    <cfRule type="cellIs" dxfId="4912" priority="1805" operator="greaterThan">
      <formula>1</formula>
    </cfRule>
    <cfRule type="cellIs" dxfId="4911" priority="1806" operator="lessThan">
      <formula>0.8</formula>
    </cfRule>
  </conditionalFormatting>
  <conditionalFormatting sqref="P124">
    <cfRule type="cellIs" dxfId="4910" priority="1804" operator="greaterThan">
      <formula>0</formula>
    </cfRule>
  </conditionalFormatting>
  <conditionalFormatting sqref="Q124">
    <cfRule type="cellIs" dxfId="4909" priority="1809" operator="lessThan">
      <formula>0</formula>
    </cfRule>
  </conditionalFormatting>
  <conditionalFormatting sqref="P124">
    <cfRule type="cellIs" dxfId="4908" priority="1798" operator="greaterThan">
      <formula>0</formula>
    </cfRule>
  </conditionalFormatting>
  <conditionalFormatting sqref="Q124">
    <cfRule type="cellIs" dxfId="4907" priority="1803" operator="lessThan">
      <formula>0</formula>
    </cfRule>
  </conditionalFormatting>
  <conditionalFormatting sqref="R124">
    <cfRule type="cellIs" dxfId="4906" priority="1801" operator="lessThan">
      <formula>0.8</formula>
    </cfRule>
    <cfRule type="cellIs" dxfId="4905" priority="1802" operator="greaterThan">
      <formula>1</formula>
    </cfRule>
  </conditionalFormatting>
  <conditionalFormatting sqref="R124">
    <cfRule type="cellIs" dxfId="4904" priority="1799" operator="greaterThan">
      <formula>1</formula>
    </cfRule>
    <cfRule type="cellIs" dxfId="4903" priority="1800" operator="lessThan">
      <formula>0.8</formula>
    </cfRule>
  </conditionalFormatting>
  <conditionalFormatting sqref="R124">
    <cfRule type="cellIs" dxfId="4902" priority="1795" operator="lessThan">
      <formula>0.8</formula>
    </cfRule>
    <cfRule type="cellIs" dxfId="4901" priority="1796" operator="greaterThan">
      <formula>1</formula>
    </cfRule>
  </conditionalFormatting>
  <conditionalFormatting sqref="R124">
    <cfRule type="cellIs" dxfId="4900" priority="1793" operator="greaterThan">
      <formula>1</formula>
    </cfRule>
    <cfRule type="cellIs" dxfId="4899" priority="1794" operator="lessThan">
      <formula>0.8</formula>
    </cfRule>
  </conditionalFormatting>
  <conditionalFormatting sqref="P124">
    <cfRule type="cellIs" dxfId="4898" priority="1792" operator="greaterThan">
      <formula>0</formula>
    </cfRule>
  </conditionalFormatting>
  <conditionalFormatting sqref="Q124">
    <cfRule type="cellIs" dxfId="4897" priority="1797" operator="lessThan">
      <formula>0</formula>
    </cfRule>
  </conditionalFormatting>
  <conditionalFormatting sqref="R124">
    <cfRule type="cellIs" dxfId="4896" priority="1789" operator="lessThan">
      <formula>0.8</formula>
    </cfRule>
    <cfRule type="cellIs" dxfId="4895" priority="1790" operator="greaterThan">
      <formula>1</formula>
    </cfRule>
  </conditionalFormatting>
  <conditionalFormatting sqref="R124">
    <cfRule type="cellIs" dxfId="4894" priority="1787" operator="greaterThan">
      <formula>1</formula>
    </cfRule>
    <cfRule type="cellIs" dxfId="4893" priority="1788" operator="lessThan">
      <formula>0.8</formula>
    </cfRule>
  </conditionalFormatting>
  <conditionalFormatting sqref="P124">
    <cfRule type="cellIs" dxfId="4892" priority="1786" operator="greaterThan">
      <formula>0</formula>
    </cfRule>
  </conditionalFormatting>
  <conditionalFormatting sqref="Q124">
    <cfRule type="cellIs" dxfId="4891" priority="1791" operator="lessThan">
      <formula>0</formula>
    </cfRule>
  </conditionalFormatting>
  <conditionalFormatting sqref="Q124">
    <cfRule type="cellIs" dxfId="4890" priority="1785" operator="lessThan">
      <formula>0</formula>
    </cfRule>
  </conditionalFormatting>
  <conditionalFormatting sqref="R124">
    <cfRule type="cellIs" dxfId="4889" priority="1783" operator="lessThan">
      <formula>0.8</formula>
    </cfRule>
    <cfRule type="cellIs" dxfId="4888" priority="1784" operator="greaterThan">
      <formula>1</formula>
    </cfRule>
  </conditionalFormatting>
  <conditionalFormatting sqref="R124">
    <cfRule type="cellIs" dxfId="4887" priority="1781" operator="greaterThan">
      <formula>1</formula>
    </cfRule>
    <cfRule type="cellIs" dxfId="4886" priority="1782" operator="lessThan">
      <formula>0.8</formula>
    </cfRule>
  </conditionalFormatting>
  <conditionalFormatting sqref="P124">
    <cfRule type="cellIs" dxfId="4885" priority="1780" operator="greaterThan">
      <formula>0</formula>
    </cfRule>
  </conditionalFormatting>
  <conditionalFormatting sqref="Q124">
    <cfRule type="cellIs" dxfId="4884" priority="1774" operator="lessThan">
      <formula>0</formula>
    </cfRule>
  </conditionalFormatting>
  <conditionalFormatting sqref="R124">
    <cfRule type="cellIs" dxfId="4883" priority="1778" operator="lessThan">
      <formula>0.8</formula>
    </cfRule>
    <cfRule type="cellIs" dxfId="4882" priority="1779" operator="greaterThan">
      <formula>1</formula>
    </cfRule>
  </conditionalFormatting>
  <conditionalFormatting sqref="R124">
    <cfRule type="cellIs" dxfId="4881" priority="1776" operator="greaterThan">
      <formula>1</formula>
    </cfRule>
    <cfRule type="cellIs" dxfId="4880" priority="1777" operator="lessThan">
      <formula>0.8</formula>
    </cfRule>
  </conditionalFormatting>
  <conditionalFormatting sqref="P124">
    <cfRule type="cellIs" dxfId="4879" priority="1775" operator="greaterThan">
      <formula>0</formula>
    </cfRule>
  </conditionalFormatting>
  <conditionalFormatting sqref="Q124">
    <cfRule type="cellIs" dxfId="4878" priority="1773" operator="lessThan">
      <formula>0</formula>
    </cfRule>
  </conditionalFormatting>
  <conditionalFormatting sqref="R124">
    <cfRule type="cellIs" dxfId="4877" priority="1771" operator="lessThan">
      <formula>0.8</formula>
    </cfRule>
    <cfRule type="cellIs" dxfId="4876" priority="1772" operator="greaterThan">
      <formula>1</formula>
    </cfRule>
  </conditionalFormatting>
  <conditionalFormatting sqref="R124">
    <cfRule type="cellIs" dxfId="4875" priority="1769" operator="greaterThan">
      <formula>1</formula>
    </cfRule>
    <cfRule type="cellIs" dxfId="4874" priority="1770" operator="lessThan">
      <formula>0.8</formula>
    </cfRule>
  </conditionalFormatting>
  <conditionalFormatting sqref="P124">
    <cfRule type="cellIs" dxfId="4873" priority="1768" operator="greaterThan">
      <formula>0</formula>
    </cfRule>
  </conditionalFormatting>
  <conditionalFormatting sqref="Q124">
    <cfRule type="cellIs" dxfId="4872" priority="1767" operator="lessThan">
      <formula>0</formula>
    </cfRule>
  </conditionalFormatting>
  <conditionalFormatting sqref="R124">
    <cfRule type="cellIs" dxfId="4871" priority="1765" operator="lessThan">
      <formula>0.8</formula>
    </cfRule>
    <cfRule type="cellIs" dxfId="4870" priority="1766" operator="greaterThan">
      <formula>1</formula>
    </cfRule>
  </conditionalFormatting>
  <conditionalFormatting sqref="R124">
    <cfRule type="cellIs" dxfId="4869" priority="1763" operator="greaterThan">
      <formula>1</formula>
    </cfRule>
    <cfRule type="cellIs" dxfId="4868" priority="1764" operator="lessThan">
      <formula>0.8</formula>
    </cfRule>
  </conditionalFormatting>
  <conditionalFormatting sqref="P124">
    <cfRule type="cellIs" dxfId="4867" priority="1762" operator="greaterThan">
      <formula>0</formula>
    </cfRule>
  </conditionalFormatting>
  <conditionalFormatting sqref="Q124">
    <cfRule type="cellIs" dxfId="4866" priority="1761" operator="lessThan">
      <formula>0</formula>
    </cfRule>
  </conditionalFormatting>
  <conditionalFormatting sqref="R124">
    <cfRule type="cellIs" dxfId="4865" priority="1759" operator="lessThan">
      <formula>0.8</formula>
    </cfRule>
    <cfRule type="cellIs" dxfId="4864" priority="1760" operator="greaterThan">
      <formula>1</formula>
    </cfRule>
  </conditionalFormatting>
  <conditionalFormatting sqref="R124">
    <cfRule type="cellIs" dxfId="4863" priority="1757" operator="greaterThan">
      <formula>1</formula>
    </cfRule>
    <cfRule type="cellIs" dxfId="4862" priority="1758" operator="lessThan">
      <formula>0.8</formula>
    </cfRule>
  </conditionalFormatting>
  <conditionalFormatting sqref="P124">
    <cfRule type="cellIs" dxfId="4861" priority="1756" operator="greaterThan">
      <formula>0</formula>
    </cfRule>
  </conditionalFormatting>
  <conditionalFormatting sqref="Q124">
    <cfRule type="cellIs" dxfId="4860" priority="1755" operator="lessThan">
      <formula>0</formula>
    </cfRule>
  </conditionalFormatting>
  <conditionalFormatting sqref="R124">
    <cfRule type="cellIs" dxfId="4859" priority="1753" operator="lessThan">
      <formula>0.8</formula>
    </cfRule>
    <cfRule type="cellIs" dxfId="4858" priority="1754" operator="greaterThan">
      <formula>1</formula>
    </cfRule>
  </conditionalFormatting>
  <conditionalFormatting sqref="R124">
    <cfRule type="cellIs" dxfId="4857" priority="1751" operator="greaterThan">
      <formula>1</formula>
    </cfRule>
    <cfRule type="cellIs" dxfId="4856" priority="1752" operator="lessThan">
      <formula>0.8</formula>
    </cfRule>
  </conditionalFormatting>
  <conditionalFormatting sqref="P124">
    <cfRule type="cellIs" dxfId="4855" priority="1750" operator="greaterThan">
      <formula>0</formula>
    </cfRule>
  </conditionalFormatting>
  <conditionalFormatting sqref="Q124">
    <cfRule type="cellIs" dxfId="4854" priority="1749" operator="lessThan">
      <formula>0</formula>
    </cfRule>
  </conditionalFormatting>
  <conditionalFormatting sqref="R124">
    <cfRule type="cellIs" dxfId="4853" priority="1747" operator="lessThan">
      <formula>0.8</formula>
    </cfRule>
    <cfRule type="cellIs" dxfId="4852" priority="1748" operator="greaterThan">
      <formula>1</formula>
    </cfRule>
  </conditionalFormatting>
  <conditionalFormatting sqref="R124">
    <cfRule type="cellIs" dxfId="4851" priority="1745" operator="greaterThan">
      <formula>1</formula>
    </cfRule>
    <cfRule type="cellIs" dxfId="4850" priority="1746" operator="lessThan">
      <formula>0.8</formula>
    </cfRule>
  </conditionalFormatting>
  <conditionalFormatting sqref="P124">
    <cfRule type="cellIs" dxfId="4849" priority="1744" operator="greaterThan">
      <formula>0</formula>
    </cfRule>
  </conditionalFormatting>
  <conditionalFormatting sqref="P124">
    <cfRule type="cellIs" dxfId="4848" priority="1738" operator="greaterThan">
      <formula>0</formula>
    </cfRule>
  </conditionalFormatting>
  <conditionalFormatting sqref="Q124">
    <cfRule type="cellIs" dxfId="4847" priority="1743" operator="lessThan">
      <formula>0</formula>
    </cfRule>
  </conditionalFormatting>
  <conditionalFormatting sqref="R124">
    <cfRule type="cellIs" dxfId="4846" priority="1741" operator="lessThan">
      <formula>0.8</formula>
    </cfRule>
    <cfRule type="cellIs" dxfId="4845" priority="1742" operator="greaterThan">
      <formula>1</formula>
    </cfRule>
  </conditionalFormatting>
  <conditionalFormatting sqref="R124">
    <cfRule type="cellIs" dxfId="4844" priority="1739" operator="greaterThan">
      <formula>1</formula>
    </cfRule>
    <cfRule type="cellIs" dxfId="4843" priority="1740" operator="lessThan">
      <formula>0.8</formula>
    </cfRule>
  </conditionalFormatting>
  <conditionalFormatting sqref="P124">
    <cfRule type="cellIs" dxfId="4842" priority="1732" operator="greaterThan">
      <formula>0</formula>
    </cfRule>
  </conditionalFormatting>
  <conditionalFormatting sqref="Q124">
    <cfRule type="cellIs" dxfId="4841" priority="1737" operator="lessThan">
      <formula>0</formula>
    </cfRule>
  </conditionalFormatting>
  <conditionalFormatting sqref="R124">
    <cfRule type="cellIs" dxfId="4840" priority="1735" operator="lessThan">
      <formula>0.8</formula>
    </cfRule>
    <cfRule type="cellIs" dxfId="4839" priority="1736" operator="greaterThan">
      <formula>1</formula>
    </cfRule>
  </conditionalFormatting>
  <conditionalFormatting sqref="R124">
    <cfRule type="cellIs" dxfId="4838" priority="1733" operator="greaterThan">
      <formula>1</formula>
    </cfRule>
    <cfRule type="cellIs" dxfId="4837" priority="1734" operator="lessThan">
      <formula>0.8</formula>
    </cfRule>
  </conditionalFormatting>
  <conditionalFormatting sqref="R124">
    <cfRule type="cellIs" dxfId="4836" priority="1729" operator="lessThan">
      <formula>0.8</formula>
    </cfRule>
    <cfRule type="cellIs" dxfId="4835" priority="1730" operator="greaterThan">
      <formula>1</formula>
    </cfRule>
  </conditionalFormatting>
  <conditionalFormatting sqref="R124">
    <cfRule type="cellIs" dxfId="4834" priority="1727" operator="greaterThan">
      <formula>1</formula>
    </cfRule>
    <cfRule type="cellIs" dxfId="4833" priority="1728" operator="lessThan">
      <formula>0.8</formula>
    </cfRule>
  </conditionalFormatting>
  <conditionalFormatting sqref="P124">
    <cfRule type="cellIs" dxfId="4832" priority="1726" operator="greaterThan">
      <formula>0</formula>
    </cfRule>
  </conditionalFormatting>
  <conditionalFormatting sqref="Q124">
    <cfRule type="cellIs" dxfId="4831" priority="1731" operator="lessThan">
      <formula>0</formula>
    </cfRule>
  </conditionalFormatting>
  <conditionalFormatting sqref="Q5:Q14">
    <cfRule type="cellIs" dxfId="4830" priority="1725" operator="lessThan">
      <formula>0</formula>
    </cfRule>
  </conditionalFormatting>
  <conditionalFormatting sqref="R5:R14">
    <cfRule type="cellIs" dxfId="4829" priority="1723" operator="lessThan">
      <formula>0.8</formula>
    </cfRule>
    <cfRule type="cellIs" dxfId="4828" priority="1724" operator="greaterThan">
      <formula>1</formula>
    </cfRule>
  </conditionalFormatting>
  <conditionalFormatting sqref="R5:R14">
    <cfRule type="cellIs" dxfId="4827" priority="1721" operator="greaterThan">
      <formula>1</formula>
    </cfRule>
    <cfRule type="cellIs" dxfId="4826" priority="1722" operator="lessThan">
      <formula>0.8</formula>
    </cfRule>
  </conditionalFormatting>
  <conditionalFormatting sqref="P5:P14">
    <cfRule type="cellIs" dxfId="4825" priority="1720" operator="greaterThan">
      <formula>0</formula>
    </cfRule>
  </conditionalFormatting>
  <conditionalFormatting sqref="Q83">
    <cfRule type="cellIs" dxfId="4824" priority="1719" operator="lessThan">
      <formula>0</formula>
    </cfRule>
  </conditionalFormatting>
  <conditionalFormatting sqref="R83">
    <cfRule type="cellIs" dxfId="4823" priority="1717" operator="lessThan">
      <formula>0.8</formula>
    </cfRule>
    <cfRule type="cellIs" dxfId="4822" priority="1718" operator="greaterThan">
      <formula>1</formula>
    </cfRule>
  </conditionalFormatting>
  <conditionalFormatting sqref="R83">
    <cfRule type="cellIs" dxfId="4821" priority="1715" operator="greaterThan">
      <formula>1</formula>
    </cfRule>
    <cfRule type="cellIs" dxfId="4820" priority="1716" operator="lessThan">
      <formula>0.8</formula>
    </cfRule>
  </conditionalFormatting>
  <conditionalFormatting sqref="P83">
    <cfRule type="cellIs" dxfId="4819" priority="1714" operator="greaterThan">
      <formula>0</formula>
    </cfRule>
  </conditionalFormatting>
  <conditionalFormatting sqref="Q83">
    <cfRule type="cellIs" dxfId="4818" priority="1713" operator="lessThan">
      <formula>0</formula>
    </cfRule>
  </conditionalFormatting>
  <conditionalFormatting sqref="R83">
    <cfRule type="cellIs" dxfId="4817" priority="1711" operator="lessThan">
      <formula>0.8</formula>
    </cfRule>
    <cfRule type="cellIs" dxfId="4816" priority="1712" operator="greaterThan">
      <formula>1</formula>
    </cfRule>
  </conditionalFormatting>
  <conditionalFormatting sqref="R83">
    <cfRule type="cellIs" dxfId="4815" priority="1709" operator="greaterThan">
      <formula>1</formula>
    </cfRule>
    <cfRule type="cellIs" dxfId="4814" priority="1710" operator="lessThan">
      <formula>0.8</formula>
    </cfRule>
  </conditionalFormatting>
  <conditionalFormatting sqref="P83">
    <cfRule type="cellIs" dxfId="4813" priority="1708" operator="greaterThan">
      <formula>0</formula>
    </cfRule>
  </conditionalFormatting>
  <conditionalFormatting sqref="Q83">
    <cfRule type="cellIs" dxfId="4812" priority="1707" operator="lessThan">
      <formula>0</formula>
    </cfRule>
  </conditionalFormatting>
  <conditionalFormatting sqref="R83">
    <cfRule type="cellIs" dxfId="4811" priority="1705" operator="lessThan">
      <formula>0.8</formula>
    </cfRule>
    <cfRule type="cellIs" dxfId="4810" priority="1706" operator="greaterThan">
      <formula>1</formula>
    </cfRule>
  </conditionalFormatting>
  <conditionalFormatting sqref="R83">
    <cfRule type="cellIs" dxfId="4809" priority="1703" operator="greaterThan">
      <formula>1</formula>
    </cfRule>
    <cfRule type="cellIs" dxfId="4808" priority="1704" operator="lessThan">
      <formula>0.8</formula>
    </cfRule>
  </conditionalFormatting>
  <conditionalFormatting sqref="P83">
    <cfRule type="cellIs" dxfId="4807" priority="1702" operator="greaterThan">
      <formula>0</formula>
    </cfRule>
  </conditionalFormatting>
  <conditionalFormatting sqref="Q83">
    <cfRule type="cellIs" dxfId="4806" priority="1701" operator="lessThan">
      <formula>0</formula>
    </cfRule>
  </conditionalFormatting>
  <conditionalFormatting sqref="R83">
    <cfRule type="cellIs" dxfId="4805" priority="1699" operator="lessThan">
      <formula>0.8</formula>
    </cfRule>
    <cfRule type="cellIs" dxfId="4804" priority="1700" operator="greaterThan">
      <formula>1</formula>
    </cfRule>
  </conditionalFormatting>
  <conditionalFormatting sqref="R83">
    <cfRule type="cellIs" dxfId="4803" priority="1697" operator="greaterThan">
      <formula>1</formula>
    </cfRule>
    <cfRule type="cellIs" dxfId="4802" priority="1698" operator="lessThan">
      <formula>0.8</formula>
    </cfRule>
  </conditionalFormatting>
  <conditionalFormatting sqref="P83">
    <cfRule type="cellIs" dxfId="4801" priority="1696" operator="greaterThan">
      <formula>0</formula>
    </cfRule>
  </conditionalFormatting>
  <conditionalFormatting sqref="P83">
    <cfRule type="cellIs" dxfId="4800" priority="1690" operator="greaterThan">
      <formula>0</formula>
    </cfRule>
  </conditionalFormatting>
  <conditionalFormatting sqref="Q83">
    <cfRule type="cellIs" dxfId="4799" priority="1695" operator="lessThan">
      <formula>0</formula>
    </cfRule>
  </conditionalFormatting>
  <conditionalFormatting sqref="R83">
    <cfRule type="cellIs" dxfId="4798" priority="1693" operator="lessThan">
      <formula>0.8</formula>
    </cfRule>
    <cfRule type="cellIs" dxfId="4797" priority="1694" operator="greaterThan">
      <formula>1</formula>
    </cfRule>
  </conditionalFormatting>
  <conditionalFormatting sqref="R83">
    <cfRule type="cellIs" dxfId="4796" priority="1691" operator="greaterThan">
      <formula>1</formula>
    </cfRule>
    <cfRule type="cellIs" dxfId="4795" priority="1692" operator="lessThan">
      <formula>0.8</formula>
    </cfRule>
  </conditionalFormatting>
  <conditionalFormatting sqref="P83">
    <cfRule type="cellIs" dxfId="4794" priority="1684" operator="greaterThan">
      <formula>0</formula>
    </cfRule>
  </conditionalFormatting>
  <conditionalFormatting sqref="Q83">
    <cfRule type="cellIs" dxfId="4793" priority="1689" operator="lessThan">
      <formula>0</formula>
    </cfRule>
  </conditionalFormatting>
  <conditionalFormatting sqref="R83">
    <cfRule type="cellIs" dxfId="4792" priority="1687" operator="lessThan">
      <formula>0.8</formula>
    </cfRule>
    <cfRule type="cellIs" dxfId="4791" priority="1688" operator="greaterThan">
      <formula>1</formula>
    </cfRule>
  </conditionalFormatting>
  <conditionalFormatting sqref="R83">
    <cfRule type="cellIs" dxfId="4790" priority="1685" operator="greaterThan">
      <formula>1</formula>
    </cfRule>
    <cfRule type="cellIs" dxfId="4789" priority="1686" operator="lessThan">
      <formula>0.8</formula>
    </cfRule>
  </conditionalFormatting>
  <conditionalFormatting sqref="R83">
    <cfRule type="cellIs" dxfId="4788" priority="1681" operator="lessThan">
      <formula>0.8</formula>
    </cfRule>
    <cfRule type="cellIs" dxfId="4787" priority="1682" operator="greaterThan">
      <formula>1</formula>
    </cfRule>
  </conditionalFormatting>
  <conditionalFormatting sqref="R83">
    <cfRule type="cellIs" dxfId="4786" priority="1679" operator="greaterThan">
      <formula>1</formula>
    </cfRule>
    <cfRule type="cellIs" dxfId="4785" priority="1680" operator="lessThan">
      <formula>0.8</formula>
    </cfRule>
  </conditionalFormatting>
  <conditionalFormatting sqref="P83">
    <cfRule type="cellIs" dxfId="4784" priority="1678" operator="greaterThan">
      <formula>0</formula>
    </cfRule>
  </conditionalFormatting>
  <conditionalFormatting sqref="Q83">
    <cfRule type="cellIs" dxfId="4783" priority="1683" operator="lessThan">
      <formula>0</formula>
    </cfRule>
  </conditionalFormatting>
  <conditionalFormatting sqref="Q83">
    <cfRule type="cellIs" dxfId="4782" priority="1677" operator="lessThan">
      <formula>0</formula>
    </cfRule>
  </conditionalFormatting>
  <conditionalFormatting sqref="R83">
    <cfRule type="cellIs" dxfId="4781" priority="1675" operator="lessThan">
      <formula>0.8</formula>
    </cfRule>
    <cfRule type="cellIs" dxfId="4780" priority="1676" operator="greaterThan">
      <formula>1</formula>
    </cfRule>
  </conditionalFormatting>
  <conditionalFormatting sqref="R83">
    <cfRule type="cellIs" dxfId="4779" priority="1673" operator="greaterThan">
      <formula>1</formula>
    </cfRule>
    <cfRule type="cellIs" dxfId="4778" priority="1674" operator="lessThan">
      <formula>0.8</formula>
    </cfRule>
  </conditionalFormatting>
  <conditionalFormatting sqref="P83">
    <cfRule type="cellIs" dxfId="4777" priority="1672" operator="greaterThan">
      <formula>0</formula>
    </cfRule>
  </conditionalFormatting>
  <conditionalFormatting sqref="P83">
    <cfRule type="cellIs" dxfId="4776" priority="1666" operator="greaterThan">
      <formula>0</formula>
    </cfRule>
  </conditionalFormatting>
  <conditionalFormatting sqref="Q83">
    <cfRule type="cellIs" dxfId="4775" priority="1671" operator="lessThan">
      <formula>0</formula>
    </cfRule>
  </conditionalFormatting>
  <conditionalFormatting sqref="R83">
    <cfRule type="cellIs" dxfId="4774" priority="1669" operator="lessThan">
      <formula>0.8</formula>
    </cfRule>
    <cfRule type="cellIs" dxfId="4773" priority="1670" operator="greaterThan">
      <formula>1</formula>
    </cfRule>
  </conditionalFormatting>
  <conditionalFormatting sqref="R83">
    <cfRule type="cellIs" dxfId="4772" priority="1667" operator="greaterThan">
      <formula>1</formula>
    </cfRule>
    <cfRule type="cellIs" dxfId="4771" priority="1668" operator="lessThan">
      <formula>0.8</formula>
    </cfRule>
  </conditionalFormatting>
  <conditionalFormatting sqref="P83">
    <cfRule type="cellIs" dxfId="4770" priority="1660" operator="greaterThan">
      <formula>0</formula>
    </cfRule>
  </conditionalFormatting>
  <conditionalFormatting sqref="Q83">
    <cfRule type="cellIs" dxfId="4769" priority="1665" operator="lessThan">
      <formula>0</formula>
    </cfRule>
  </conditionalFormatting>
  <conditionalFormatting sqref="R83">
    <cfRule type="cellIs" dxfId="4768" priority="1663" operator="lessThan">
      <formula>0.8</formula>
    </cfRule>
    <cfRule type="cellIs" dxfId="4767" priority="1664" operator="greaterThan">
      <formula>1</formula>
    </cfRule>
  </conditionalFormatting>
  <conditionalFormatting sqref="R83">
    <cfRule type="cellIs" dxfId="4766" priority="1661" operator="greaterThan">
      <formula>1</formula>
    </cfRule>
    <cfRule type="cellIs" dxfId="4765" priority="1662" operator="lessThan">
      <formula>0.8</formula>
    </cfRule>
  </conditionalFormatting>
  <conditionalFormatting sqref="R83">
    <cfRule type="cellIs" dxfId="4764" priority="1657" operator="lessThan">
      <formula>0.8</formula>
    </cfRule>
    <cfRule type="cellIs" dxfId="4763" priority="1658" operator="greaterThan">
      <formula>1</formula>
    </cfRule>
  </conditionalFormatting>
  <conditionalFormatting sqref="R83">
    <cfRule type="cellIs" dxfId="4762" priority="1655" operator="greaterThan">
      <formula>1</formula>
    </cfRule>
    <cfRule type="cellIs" dxfId="4761" priority="1656" operator="lessThan">
      <formula>0.8</formula>
    </cfRule>
  </conditionalFormatting>
  <conditionalFormatting sqref="P83">
    <cfRule type="cellIs" dxfId="4760" priority="1654" operator="greaterThan">
      <formula>0</formula>
    </cfRule>
  </conditionalFormatting>
  <conditionalFormatting sqref="Q83">
    <cfRule type="cellIs" dxfId="4759" priority="1659" operator="lessThan">
      <formula>0</formula>
    </cfRule>
  </conditionalFormatting>
  <conditionalFormatting sqref="P83">
    <cfRule type="cellIs" dxfId="4758" priority="1648" operator="greaterThan">
      <formula>0</formula>
    </cfRule>
  </conditionalFormatting>
  <conditionalFormatting sqref="Q83">
    <cfRule type="cellIs" dxfId="4757" priority="1653" operator="lessThan">
      <formula>0</formula>
    </cfRule>
  </conditionalFormatting>
  <conditionalFormatting sqref="R83">
    <cfRule type="cellIs" dxfId="4756" priority="1651" operator="lessThan">
      <formula>0.8</formula>
    </cfRule>
    <cfRule type="cellIs" dxfId="4755" priority="1652" operator="greaterThan">
      <formula>1</formula>
    </cfRule>
  </conditionalFormatting>
  <conditionalFormatting sqref="R83">
    <cfRule type="cellIs" dxfId="4754" priority="1649" operator="greaterThan">
      <formula>1</formula>
    </cfRule>
    <cfRule type="cellIs" dxfId="4753" priority="1650" operator="lessThan">
      <formula>0.8</formula>
    </cfRule>
  </conditionalFormatting>
  <conditionalFormatting sqref="R83">
    <cfRule type="cellIs" dxfId="4752" priority="1645" operator="lessThan">
      <formula>0.8</formula>
    </cfRule>
    <cfRule type="cellIs" dxfId="4751" priority="1646" operator="greaterThan">
      <formula>1</formula>
    </cfRule>
  </conditionalFormatting>
  <conditionalFormatting sqref="R83">
    <cfRule type="cellIs" dxfId="4750" priority="1643" operator="greaterThan">
      <formula>1</formula>
    </cfRule>
    <cfRule type="cellIs" dxfId="4749" priority="1644" operator="lessThan">
      <formula>0.8</formula>
    </cfRule>
  </conditionalFormatting>
  <conditionalFormatting sqref="P83">
    <cfRule type="cellIs" dxfId="4748" priority="1642" operator="greaterThan">
      <formula>0</formula>
    </cfRule>
  </conditionalFormatting>
  <conditionalFormatting sqref="Q83">
    <cfRule type="cellIs" dxfId="4747" priority="1647" operator="lessThan">
      <formula>0</formula>
    </cfRule>
  </conditionalFormatting>
  <conditionalFormatting sqref="R83">
    <cfRule type="cellIs" dxfId="4746" priority="1639" operator="lessThan">
      <formula>0.8</formula>
    </cfRule>
    <cfRule type="cellIs" dxfId="4745" priority="1640" operator="greaterThan">
      <formula>1</formula>
    </cfRule>
  </conditionalFormatting>
  <conditionalFormatting sqref="R83">
    <cfRule type="cellIs" dxfId="4744" priority="1637" operator="greaterThan">
      <formula>1</formula>
    </cfRule>
    <cfRule type="cellIs" dxfId="4743" priority="1638" operator="lessThan">
      <formula>0.8</formula>
    </cfRule>
  </conditionalFormatting>
  <conditionalFormatting sqref="P83">
    <cfRule type="cellIs" dxfId="4742" priority="1636" operator="greaterThan">
      <formula>0</formula>
    </cfRule>
  </conditionalFormatting>
  <conditionalFormatting sqref="Q83">
    <cfRule type="cellIs" dxfId="4741" priority="1641" operator="lessThan">
      <formula>0</formula>
    </cfRule>
  </conditionalFormatting>
  <conditionalFormatting sqref="Q83">
    <cfRule type="cellIs" dxfId="4740" priority="1635" operator="lessThan">
      <formula>0</formula>
    </cfRule>
  </conditionalFormatting>
  <conditionalFormatting sqref="R83">
    <cfRule type="cellIs" dxfId="4739" priority="1633" operator="lessThan">
      <formula>0.8</formula>
    </cfRule>
    <cfRule type="cellIs" dxfId="4738" priority="1634" operator="greaterThan">
      <formula>1</formula>
    </cfRule>
  </conditionalFormatting>
  <conditionalFormatting sqref="R83">
    <cfRule type="cellIs" dxfId="4737" priority="1631" operator="greaterThan">
      <formula>1</formula>
    </cfRule>
    <cfRule type="cellIs" dxfId="4736" priority="1632" operator="lessThan">
      <formula>0.8</formula>
    </cfRule>
  </conditionalFormatting>
  <conditionalFormatting sqref="P83">
    <cfRule type="cellIs" dxfId="4735" priority="1630" operator="greaterThan">
      <formula>0</formula>
    </cfRule>
  </conditionalFormatting>
  <conditionalFormatting sqref="Q83">
    <cfRule type="cellIs" dxfId="4734" priority="1624" operator="lessThan">
      <formula>0</formula>
    </cfRule>
  </conditionalFormatting>
  <conditionalFormatting sqref="R83">
    <cfRule type="cellIs" dxfId="4733" priority="1628" operator="lessThan">
      <formula>0.8</formula>
    </cfRule>
    <cfRule type="cellIs" dxfId="4732" priority="1629" operator="greaterThan">
      <formula>1</formula>
    </cfRule>
  </conditionalFormatting>
  <conditionalFormatting sqref="R83">
    <cfRule type="cellIs" dxfId="4731" priority="1626" operator="greaterThan">
      <formula>1</formula>
    </cfRule>
    <cfRule type="cellIs" dxfId="4730" priority="1627" operator="lessThan">
      <formula>0.8</formula>
    </cfRule>
  </conditionalFormatting>
  <conditionalFormatting sqref="P83">
    <cfRule type="cellIs" dxfId="4729" priority="1625" operator="greaterThan">
      <formula>0</formula>
    </cfRule>
  </conditionalFormatting>
  <conditionalFormatting sqref="Q83">
    <cfRule type="cellIs" dxfId="4728" priority="1623" operator="lessThan">
      <formula>0</formula>
    </cfRule>
  </conditionalFormatting>
  <conditionalFormatting sqref="R83">
    <cfRule type="cellIs" dxfId="4727" priority="1621" operator="lessThan">
      <formula>0.8</formula>
    </cfRule>
    <cfRule type="cellIs" dxfId="4726" priority="1622" operator="greaterThan">
      <formula>1</formula>
    </cfRule>
  </conditionalFormatting>
  <conditionalFormatting sqref="R83">
    <cfRule type="cellIs" dxfId="4725" priority="1619" operator="greaterThan">
      <formula>1</formula>
    </cfRule>
    <cfRule type="cellIs" dxfId="4724" priority="1620" operator="lessThan">
      <formula>0.8</formula>
    </cfRule>
  </conditionalFormatting>
  <conditionalFormatting sqref="P83">
    <cfRule type="cellIs" dxfId="4723" priority="1618" operator="greaterThan">
      <formula>0</formula>
    </cfRule>
  </conditionalFormatting>
  <conditionalFormatting sqref="Q83">
    <cfRule type="cellIs" dxfId="4722" priority="1617" operator="lessThan">
      <formula>0</formula>
    </cfRule>
  </conditionalFormatting>
  <conditionalFormatting sqref="R83">
    <cfRule type="cellIs" dxfId="4721" priority="1615" operator="lessThan">
      <formula>0.8</formula>
    </cfRule>
    <cfRule type="cellIs" dxfId="4720" priority="1616" operator="greaterThan">
      <formula>1</formula>
    </cfRule>
  </conditionalFormatting>
  <conditionalFormatting sqref="R83">
    <cfRule type="cellIs" dxfId="4719" priority="1613" operator="greaterThan">
      <formula>1</formula>
    </cfRule>
    <cfRule type="cellIs" dxfId="4718" priority="1614" operator="lessThan">
      <formula>0.8</formula>
    </cfRule>
  </conditionalFormatting>
  <conditionalFormatting sqref="P83">
    <cfRule type="cellIs" dxfId="4717" priority="1612" operator="greaterThan">
      <formula>0</formula>
    </cfRule>
  </conditionalFormatting>
  <conditionalFormatting sqref="Q83">
    <cfRule type="cellIs" dxfId="4716" priority="1611" operator="lessThan">
      <formula>0</formula>
    </cfRule>
  </conditionalFormatting>
  <conditionalFormatting sqref="R83">
    <cfRule type="cellIs" dxfId="4715" priority="1609" operator="lessThan">
      <formula>0.8</formula>
    </cfRule>
    <cfRule type="cellIs" dxfId="4714" priority="1610" operator="greaterThan">
      <formula>1</formula>
    </cfRule>
  </conditionalFormatting>
  <conditionalFormatting sqref="R83">
    <cfRule type="cellIs" dxfId="4713" priority="1607" operator="greaterThan">
      <formula>1</formula>
    </cfRule>
    <cfRule type="cellIs" dxfId="4712" priority="1608" operator="lessThan">
      <formula>0.8</formula>
    </cfRule>
  </conditionalFormatting>
  <conditionalFormatting sqref="P83">
    <cfRule type="cellIs" dxfId="4711" priority="1606" operator="greaterThan">
      <formula>0</formula>
    </cfRule>
  </conditionalFormatting>
  <conditionalFormatting sqref="Q83">
    <cfRule type="cellIs" dxfId="4710" priority="1605" operator="lessThan">
      <formula>0</formula>
    </cfRule>
  </conditionalFormatting>
  <conditionalFormatting sqref="R83">
    <cfRule type="cellIs" dxfId="4709" priority="1603" operator="lessThan">
      <formula>0.8</formula>
    </cfRule>
    <cfRule type="cellIs" dxfId="4708" priority="1604" operator="greaterThan">
      <formula>1</formula>
    </cfRule>
  </conditionalFormatting>
  <conditionalFormatting sqref="R83">
    <cfRule type="cellIs" dxfId="4707" priority="1601" operator="greaterThan">
      <formula>1</formula>
    </cfRule>
    <cfRule type="cellIs" dxfId="4706" priority="1602" operator="lessThan">
      <formula>0.8</formula>
    </cfRule>
  </conditionalFormatting>
  <conditionalFormatting sqref="P83">
    <cfRule type="cellIs" dxfId="4705" priority="1600" operator="greaterThan">
      <formula>0</formula>
    </cfRule>
  </conditionalFormatting>
  <conditionalFormatting sqref="Q83">
    <cfRule type="cellIs" dxfId="4704" priority="1599" operator="lessThan">
      <formula>0</formula>
    </cfRule>
  </conditionalFormatting>
  <conditionalFormatting sqref="R83">
    <cfRule type="cellIs" dxfId="4703" priority="1597" operator="lessThan">
      <formula>0.8</formula>
    </cfRule>
    <cfRule type="cellIs" dxfId="4702" priority="1598" operator="greaterThan">
      <formula>1</formula>
    </cfRule>
  </conditionalFormatting>
  <conditionalFormatting sqref="R83">
    <cfRule type="cellIs" dxfId="4701" priority="1595" operator="greaterThan">
      <formula>1</formula>
    </cfRule>
    <cfRule type="cellIs" dxfId="4700" priority="1596" operator="lessThan">
      <formula>0.8</formula>
    </cfRule>
  </conditionalFormatting>
  <conditionalFormatting sqref="P83">
    <cfRule type="cellIs" dxfId="4699" priority="1594" operator="greaterThan">
      <formula>0</formula>
    </cfRule>
  </conditionalFormatting>
  <conditionalFormatting sqref="P83">
    <cfRule type="cellIs" dxfId="4698" priority="1588" operator="greaterThan">
      <formula>0</formula>
    </cfRule>
  </conditionalFormatting>
  <conditionalFormatting sqref="Q83">
    <cfRule type="cellIs" dxfId="4697" priority="1593" operator="lessThan">
      <formula>0</formula>
    </cfRule>
  </conditionalFormatting>
  <conditionalFormatting sqref="R83">
    <cfRule type="cellIs" dxfId="4696" priority="1591" operator="lessThan">
      <formula>0.8</formula>
    </cfRule>
    <cfRule type="cellIs" dxfId="4695" priority="1592" operator="greaterThan">
      <formula>1</formula>
    </cfRule>
  </conditionalFormatting>
  <conditionalFormatting sqref="R83">
    <cfRule type="cellIs" dxfId="4694" priority="1589" operator="greaterThan">
      <formula>1</formula>
    </cfRule>
    <cfRule type="cellIs" dxfId="4693" priority="1590" operator="lessThan">
      <formula>0.8</formula>
    </cfRule>
  </conditionalFormatting>
  <conditionalFormatting sqref="P83">
    <cfRule type="cellIs" dxfId="4692" priority="1582" operator="greaterThan">
      <formula>0</formula>
    </cfRule>
  </conditionalFormatting>
  <conditionalFormatting sqref="Q83">
    <cfRule type="cellIs" dxfId="4691" priority="1587" operator="lessThan">
      <formula>0</formula>
    </cfRule>
  </conditionalFormatting>
  <conditionalFormatting sqref="R83">
    <cfRule type="cellIs" dxfId="4690" priority="1585" operator="lessThan">
      <formula>0.8</formula>
    </cfRule>
    <cfRule type="cellIs" dxfId="4689" priority="1586" operator="greaterThan">
      <formula>1</formula>
    </cfRule>
  </conditionalFormatting>
  <conditionalFormatting sqref="R83">
    <cfRule type="cellIs" dxfId="4688" priority="1583" operator="greaterThan">
      <formula>1</formula>
    </cfRule>
    <cfRule type="cellIs" dxfId="4687" priority="1584" operator="lessThan">
      <formula>0.8</formula>
    </cfRule>
  </conditionalFormatting>
  <conditionalFormatting sqref="R83">
    <cfRule type="cellIs" dxfId="4686" priority="1579" operator="lessThan">
      <formula>0.8</formula>
    </cfRule>
    <cfRule type="cellIs" dxfId="4685" priority="1580" operator="greaterThan">
      <formula>1</formula>
    </cfRule>
  </conditionalFormatting>
  <conditionalFormatting sqref="R83">
    <cfRule type="cellIs" dxfId="4684" priority="1577" operator="greaterThan">
      <formula>1</formula>
    </cfRule>
    <cfRule type="cellIs" dxfId="4683" priority="1578" operator="lessThan">
      <formula>0.8</formula>
    </cfRule>
  </conditionalFormatting>
  <conditionalFormatting sqref="P83">
    <cfRule type="cellIs" dxfId="4682" priority="1576" operator="greaterThan">
      <formula>0</formula>
    </cfRule>
  </conditionalFormatting>
  <conditionalFormatting sqref="Q83">
    <cfRule type="cellIs" dxfId="4681" priority="1581" operator="lessThan">
      <formula>0</formula>
    </cfRule>
  </conditionalFormatting>
  <conditionalFormatting sqref="Q83">
    <cfRule type="cellIs" dxfId="4680" priority="1570" operator="lessThan">
      <formula>0</formula>
    </cfRule>
  </conditionalFormatting>
  <conditionalFormatting sqref="P83">
    <cfRule type="cellIs" dxfId="4679" priority="1571" operator="greaterThan">
      <formula>0</formula>
    </cfRule>
  </conditionalFormatting>
  <conditionalFormatting sqref="R83">
    <cfRule type="cellIs" dxfId="4678" priority="1574" operator="lessThan">
      <formula>0.8</formula>
    </cfRule>
    <cfRule type="cellIs" dxfId="4677" priority="1575" operator="greaterThan">
      <formula>1</formula>
    </cfRule>
  </conditionalFormatting>
  <conditionalFormatting sqref="R83">
    <cfRule type="cellIs" dxfId="4676" priority="1572" operator="greaterThan">
      <formula>1</formula>
    </cfRule>
    <cfRule type="cellIs" dxfId="4675" priority="1573" operator="lessThan">
      <formula>0.8</formula>
    </cfRule>
  </conditionalFormatting>
  <conditionalFormatting sqref="Q83">
    <cfRule type="cellIs" dxfId="4674" priority="1564" operator="lessThan">
      <formula>0</formula>
    </cfRule>
  </conditionalFormatting>
  <conditionalFormatting sqref="R83">
    <cfRule type="cellIs" dxfId="4673" priority="1568" operator="lessThan">
      <formula>0.8</formula>
    </cfRule>
    <cfRule type="cellIs" dxfId="4672" priority="1569" operator="greaterThan">
      <formula>1</formula>
    </cfRule>
  </conditionalFormatting>
  <conditionalFormatting sqref="R83">
    <cfRule type="cellIs" dxfId="4671" priority="1566" operator="greaterThan">
      <formula>1</formula>
    </cfRule>
    <cfRule type="cellIs" dxfId="4670" priority="1567" operator="lessThan">
      <formula>0.8</formula>
    </cfRule>
  </conditionalFormatting>
  <conditionalFormatting sqref="P83">
    <cfRule type="cellIs" dxfId="4669" priority="1565" operator="greaterThan">
      <formula>0</formula>
    </cfRule>
  </conditionalFormatting>
  <conditionalFormatting sqref="Q83">
    <cfRule type="cellIs" dxfId="4668" priority="1563" operator="lessThan">
      <formula>0</formula>
    </cfRule>
  </conditionalFormatting>
  <conditionalFormatting sqref="R83">
    <cfRule type="cellIs" dxfId="4667" priority="1561" operator="lessThan">
      <formula>0.8</formula>
    </cfRule>
    <cfRule type="cellIs" dxfId="4666" priority="1562" operator="greaterThan">
      <formula>1</formula>
    </cfRule>
  </conditionalFormatting>
  <conditionalFormatting sqref="R83">
    <cfRule type="cellIs" dxfId="4665" priority="1559" operator="greaterThan">
      <formula>1</formula>
    </cfRule>
    <cfRule type="cellIs" dxfId="4664" priority="1560" operator="lessThan">
      <formula>0.8</formula>
    </cfRule>
  </conditionalFormatting>
  <conditionalFormatting sqref="P83">
    <cfRule type="cellIs" dxfId="4663" priority="1558" operator="greaterThan">
      <formula>0</formula>
    </cfRule>
  </conditionalFormatting>
  <conditionalFormatting sqref="Q83">
    <cfRule type="cellIs" dxfId="4662" priority="1557" operator="lessThan">
      <formula>0</formula>
    </cfRule>
  </conditionalFormatting>
  <conditionalFormatting sqref="R83">
    <cfRule type="cellIs" dxfId="4661" priority="1555" operator="lessThan">
      <formula>0.8</formula>
    </cfRule>
    <cfRule type="cellIs" dxfId="4660" priority="1556" operator="greaterThan">
      <formula>1</formula>
    </cfRule>
  </conditionalFormatting>
  <conditionalFormatting sqref="R83">
    <cfRule type="cellIs" dxfId="4659" priority="1553" operator="greaterThan">
      <formula>1</formula>
    </cfRule>
    <cfRule type="cellIs" dxfId="4658" priority="1554" operator="lessThan">
      <formula>0.8</formula>
    </cfRule>
  </conditionalFormatting>
  <conditionalFormatting sqref="P83">
    <cfRule type="cellIs" dxfId="4657" priority="1552" operator="greaterThan">
      <formula>0</formula>
    </cfRule>
  </conditionalFormatting>
  <conditionalFormatting sqref="Q83">
    <cfRule type="cellIs" dxfId="4656" priority="1551" operator="lessThan">
      <formula>0</formula>
    </cfRule>
  </conditionalFormatting>
  <conditionalFormatting sqref="R83">
    <cfRule type="cellIs" dxfId="4655" priority="1549" operator="lessThan">
      <formula>0.8</formula>
    </cfRule>
    <cfRule type="cellIs" dxfId="4654" priority="1550" operator="greaterThan">
      <formula>1</formula>
    </cfRule>
  </conditionalFormatting>
  <conditionalFormatting sqref="R83">
    <cfRule type="cellIs" dxfId="4653" priority="1547" operator="greaterThan">
      <formula>1</formula>
    </cfRule>
    <cfRule type="cellIs" dxfId="4652" priority="1548" operator="lessThan">
      <formula>0.8</formula>
    </cfRule>
  </conditionalFormatting>
  <conditionalFormatting sqref="P83">
    <cfRule type="cellIs" dxfId="4651" priority="1546" operator="greaterThan">
      <formula>0</formula>
    </cfRule>
  </conditionalFormatting>
  <conditionalFormatting sqref="Q32:Q40">
    <cfRule type="cellIs" dxfId="4650" priority="1541" operator="lessThan">
      <formula>0</formula>
    </cfRule>
  </conditionalFormatting>
  <conditionalFormatting sqref="R32:R40">
    <cfRule type="cellIs" dxfId="4649" priority="1544" operator="lessThan">
      <formula>0.8</formula>
    </cfRule>
    <cfRule type="cellIs" dxfId="4648" priority="1545" operator="greaterThan">
      <formula>1</formula>
    </cfRule>
  </conditionalFormatting>
  <conditionalFormatting sqref="R32:R40">
    <cfRule type="cellIs" dxfId="4647" priority="1542" operator="greaterThan">
      <formula>1</formula>
    </cfRule>
    <cfRule type="cellIs" dxfId="4646" priority="1543" operator="lessThan">
      <formula>0.8</formula>
    </cfRule>
  </conditionalFormatting>
  <conditionalFormatting sqref="Q32:Q40">
    <cfRule type="cellIs" dxfId="4645" priority="1536" operator="lessThan">
      <formula>0</formula>
    </cfRule>
  </conditionalFormatting>
  <conditionalFormatting sqref="R32:R40">
    <cfRule type="cellIs" dxfId="4644" priority="1539" operator="lessThan">
      <formula>0.8</formula>
    </cfRule>
    <cfRule type="cellIs" dxfId="4643" priority="1540" operator="greaterThan">
      <formula>1</formula>
    </cfRule>
  </conditionalFormatting>
  <conditionalFormatting sqref="R32:R40">
    <cfRule type="cellIs" dxfId="4642" priority="1537" operator="greaterThan">
      <formula>1</formula>
    </cfRule>
    <cfRule type="cellIs" dxfId="4641" priority="1538" operator="lessThan">
      <formula>0.8</formula>
    </cfRule>
  </conditionalFormatting>
  <conditionalFormatting sqref="Q32:Q40">
    <cfRule type="cellIs" dxfId="4640" priority="1535" operator="lessThan">
      <formula>0</formula>
    </cfRule>
  </conditionalFormatting>
  <conditionalFormatting sqref="R32:R40">
    <cfRule type="cellIs" dxfId="4639" priority="1533" operator="lessThan">
      <formula>0.8</formula>
    </cfRule>
    <cfRule type="cellIs" dxfId="4638" priority="1534" operator="greaterThan">
      <formula>1</formula>
    </cfRule>
  </conditionalFormatting>
  <conditionalFormatting sqref="R32:R40">
    <cfRule type="cellIs" dxfId="4637" priority="1531" operator="greaterThan">
      <formula>1</formula>
    </cfRule>
    <cfRule type="cellIs" dxfId="4636" priority="1532" operator="lessThan">
      <formula>0.8</formula>
    </cfRule>
  </conditionalFormatting>
  <conditionalFormatting sqref="Q32:Q40">
    <cfRule type="cellIs" dxfId="4635" priority="1530" operator="lessThan">
      <formula>0</formula>
    </cfRule>
  </conditionalFormatting>
  <conditionalFormatting sqref="R32:R40">
    <cfRule type="cellIs" dxfId="4634" priority="1528" operator="lessThan">
      <formula>0.8</formula>
    </cfRule>
    <cfRule type="cellIs" dxfId="4633" priority="1529" operator="greaterThan">
      <formula>1</formula>
    </cfRule>
  </conditionalFormatting>
  <conditionalFormatting sqref="R32:R40">
    <cfRule type="cellIs" dxfId="4632" priority="1526" operator="greaterThan">
      <formula>1</formula>
    </cfRule>
    <cfRule type="cellIs" dxfId="4631" priority="1527" operator="lessThan">
      <formula>0.8</formula>
    </cfRule>
  </conditionalFormatting>
  <conditionalFormatting sqref="Q32:Q40">
    <cfRule type="cellIs" dxfId="4630" priority="1521" operator="lessThan">
      <formula>0</formula>
    </cfRule>
  </conditionalFormatting>
  <conditionalFormatting sqref="R32:R40">
    <cfRule type="cellIs" dxfId="4629" priority="1524" operator="lessThan">
      <formula>0.8</formula>
    </cfRule>
    <cfRule type="cellIs" dxfId="4628" priority="1525" operator="greaterThan">
      <formula>1</formula>
    </cfRule>
  </conditionalFormatting>
  <conditionalFormatting sqref="R32:R40">
    <cfRule type="cellIs" dxfId="4627" priority="1522" operator="greaterThan">
      <formula>1</formula>
    </cfRule>
    <cfRule type="cellIs" dxfId="4626" priority="1523" operator="lessThan">
      <formula>0.8</formula>
    </cfRule>
  </conditionalFormatting>
  <conditionalFormatting sqref="Q32:Q40">
    <cfRule type="cellIs" dxfId="4625" priority="1520" operator="lessThan">
      <formula>0</formula>
    </cfRule>
  </conditionalFormatting>
  <conditionalFormatting sqref="R32:R40">
    <cfRule type="cellIs" dxfId="4624" priority="1518" operator="lessThan">
      <formula>0.8</formula>
    </cfRule>
    <cfRule type="cellIs" dxfId="4623" priority="1519" operator="greaterThan">
      <formula>1</formula>
    </cfRule>
  </conditionalFormatting>
  <conditionalFormatting sqref="R32:R40">
    <cfRule type="cellIs" dxfId="4622" priority="1516" operator="greaterThan">
      <formula>1</formula>
    </cfRule>
    <cfRule type="cellIs" dxfId="4621" priority="1517" operator="lessThan">
      <formula>0.8</formula>
    </cfRule>
  </conditionalFormatting>
  <conditionalFormatting sqref="Q32:Q40">
    <cfRule type="cellIs" dxfId="4620" priority="1515" operator="lessThan">
      <formula>0</formula>
    </cfRule>
  </conditionalFormatting>
  <conditionalFormatting sqref="R32:R40">
    <cfRule type="cellIs" dxfId="4619" priority="1513" operator="lessThan">
      <formula>0.8</formula>
    </cfRule>
    <cfRule type="cellIs" dxfId="4618" priority="1514" operator="greaterThan">
      <formula>1</formula>
    </cfRule>
  </conditionalFormatting>
  <conditionalFormatting sqref="R32:R40">
    <cfRule type="cellIs" dxfId="4617" priority="1511" operator="greaterThan">
      <formula>1</formula>
    </cfRule>
    <cfRule type="cellIs" dxfId="4616" priority="1512" operator="lessThan">
      <formula>0.8</formula>
    </cfRule>
  </conditionalFormatting>
  <conditionalFormatting sqref="Q32:Q40">
    <cfRule type="cellIs" dxfId="4615" priority="1510" operator="lessThan">
      <formula>0</formula>
    </cfRule>
  </conditionalFormatting>
  <conditionalFormatting sqref="R32:R40">
    <cfRule type="cellIs" dxfId="4614" priority="1508" operator="lessThan">
      <formula>0.8</formula>
    </cfRule>
    <cfRule type="cellIs" dxfId="4613" priority="1509" operator="greaterThan">
      <formula>1</formula>
    </cfRule>
  </conditionalFormatting>
  <conditionalFormatting sqref="R32:R40">
    <cfRule type="cellIs" dxfId="4612" priority="1506" operator="greaterThan">
      <formula>1</formula>
    </cfRule>
    <cfRule type="cellIs" dxfId="4611" priority="1507" operator="lessThan">
      <formula>0.8</formula>
    </cfRule>
  </conditionalFormatting>
  <conditionalFormatting sqref="Q32:Q40">
    <cfRule type="cellIs" dxfId="4610" priority="1505" operator="lessThan">
      <formula>0</formula>
    </cfRule>
  </conditionalFormatting>
  <conditionalFormatting sqref="R32:R40">
    <cfRule type="cellIs" dxfId="4609" priority="1503" operator="lessThan">
      <formula>0.8</formula>
    </cfRule>
    <cfRule type="cellIs" dxfId="4608" priority="1504" operator="greaterThan">
      <formula>1</formula>
    </cfRule>
  </conditionalFormatting>
  <conditionalFormatting sqref="R32:R40">
    <cfRule type="cellIs" dxfId="4607" priority="1501" operator="greaterThan">
      <formula>1</formula>
    </cfRule>
    <cfRule type="cellIs" dxfId="4606" priority="1502" operator="lessThan">
      <formula>0.8</formula>
    </cfRule>
  </conditionalFormatting>
  <conditionalFormatting sqref="Q32:Q40">
    <cfRule type="cellIs" dxfId="4605" priority="1500" operator="lessThan">
      <formula>0</formula>
    </cfRule>
  </conditionalFormatting>
  <conditionalFormatting sqref="R32:R40">
    <cfRule type="cellIs" dxfId="4604" priority="1498" operator="lessThan">
      <formula>0.8</formula>
    </cfRule>
    <cfRule type="cellIs" dxfId="4603" priority="1499" operator="greaterThan">
      <formula>1</formula>
    </cfRule>
  </conditionalFormatting>
  <conditionalFormatting sqref="R32:R40">
    <cfRule type="cellIs" dxfId="4602" priority="1496" operator="greaterThan">
      <formula>1</formula>
    </cfRule>
    <cfRule type="cellIs" dxfId="4601" priority="1497" operator="lessThan">
      <formula>0.8</formula>
    </cfRule>
  </conditionalFormatting>
  <conditionalFormatting sqref="Q32:Q40">
    <cfRule type="cellIs" dxfId="4600" priority="1495" operator="lessThan">
      <formula>0</formula>
    </cfRule>
  </conditionalFormatting>
  <conditionalFormatting sqref="R32:R40">
    <cfRule type="cellIs" dxfId="4599" priority="1493" operator="lessThan">
      <formula>0.8</formula>
    </cfRule>
    <cfRule type="cellIs" dxfId="4598" priority="1494" operator="greaterThan">
      <formula>1</formula>
    </cfRule>
  </conditionalFormatting>
  <conditionalFormatting sqref="R32:R40">
    <cfRule type="cellIs" dxfId="4597" priority="1491" operator="greaterThan">
      <formula>1</formula>
    </cfRule>
    <cfRule type="cellIs" dxfId="4596" priority="1492" operator="lessThan">
      <formula>0.8</formula>
    </cfRule>
  </conditionalFormatting>
  <conditionalFormatting sqref="Q32:Q40">
    <cfRule type="cellIs" dxfId="4595" priority="1490" operator="lessThan">
      <formula>0</formula>
    </cfRule>
  </conditionalFormatting>
  <conditionalFormatting sqref="R32:R40">
    <cfRule type="cellIs" dxfId="4594" priority="1488" operator="lessThan">
      <formula>0.8</formula>
    </cfRule>
    <cfRule type="cellIs" dxfId="4593" priority="1489" operator="greaterThan">
      <formula>1</formula>
    </cfRule>
  </conditionalFormatting>
  <conditionalFormatting sqref="R32:R40">
    <cfRule type="cellIs" dxfId="4592" priority="1486" operator="greaterThan">
      <formula>1</formula>
    </cfRule>
    <cfRule type="cellIs" dxfId="4591" priority="1487" operator="lessThan">
      <formula>0.8</formula>
    </cfRule>
  </conditionalFormatting>
  <conditionalFormatting sqref="R32:R40">
    <cfRule type="cellIs" dxfId="4590" priority="1483" operator="lessThan">
      <formula>0.8</formula>
    </cfRule>
    <cfRule type="cellIs" dxfId="4589" priority="1484" operator="greaterThan">
      <formula>1</formula>
    </cfRule>
  </conditionalFormatting>
  <conditionalFormatting sqref="R32:R40">
    <cfRule type="cellIs" dxfId="4588" priority="1481" operator="greaterThan">
      <formula>1</formula>
    </cfRule>
    <cfRule type="cellIs" dxfId="4587" priority="1482" operator="lessThan">
      <formula>0.8</formula>
    </cfRule>
  </conditionalFormatting>
  <conditionalFormatting sqref="Q32:Q40">
    <cfRule type="cellIs" dxfId="4586" priority="1485" operator="lessThan">
      <formula>0</formula>
    </cfRule>
  </conditionalFormatting>
  <conditionalFormatting sqref="Q32:Q40">
    <cfRule type="cellIs" dxfId="4585" priority="1476" operator="lessThan">
      <formula>0</formula>
    </cfRule>
  </conditionalFormatting>
  <conditionalFormatting sqref="R32:R40">
    <cfRule type="cellIs" dxfId="4584" priority="1479" operator="lessThan">
      <formula>0.8</formula>
    </cfRule>
    <cfRule type="cellIs" dxfId="4583" priority="1480" operator="greaterThan">
      <formula>1</formula>
    </cfRule>
  </conditionalFormatting>
  <conditionalFormatting sqref="R32:R40">
    <cfRule type="cellIs" dxfId="4582" priority="1477" operator="greaterThan">
      <formula>1</formula>
    </cfRule>
    <cfRule type="cellIs" dxfId="4581" priority="1478" operator="lessThan">
      <formula>0.8</formula>
    </cfRule>
  </conditionalFormatting>
  <conditionalFormatting sqref="Q32:Q40">
    <cfRule type="cellIs" dxfId="4580" priority="1471" operator="lessThan">
      <formula>0</formula>
    </cfRule>
  </conditionalFormatting>
  <conditionalFormatting sqref="R32:R40">
    <cfRule type="cellIs" dxfId="4579" priority="1474" operator="lessThan">
      <formula>0.8</formula>
    </cfRule>
    <cfRule type="cellIs" dxfId="4578" priority="1475" operator="greaterThan">
      <formula>1</formula>
    </cfRule>
  </conditionalFormatting>
  <conditionalFormatting sqref="R32:R40">
    <cfRule type="cellIs" dxfId="4577" priority="1472" operator="greaterThan">
      <formula>1</formula>
    </cfRule>
    <cfRule type="cellIs" dxfId="4576" priority="1473" operator="lessThan">
      <formula>0.8</formula>
    </cfRule>
  </conditionalFormatting>
  <conditionalFormatting sqref="Q32:Q40">
    <cfRule type="cellIs" dxfId="4575" priority="1470" operator="lessThan">
      <formula>0</formula>
    </cfRule>
  </conditionalFormatting>
  <conditionalFormatting sqref="R32:R40">
    <cfRule type="cellIs" dxfId="4574" priority="1468" operator="lessThan">
      <formula>0.8</formula>
    </cfRule>
    <cfRule type="cellIs" dxfId="4573" priority="1469" operator="greaterThan">
      <formula>1</formula>
    </cfRule>
  </conditionalFormatting>
  <conditionalFormatting sqref="R32:R40">
    <cfRule type="cellIs" dxfId="4572" priority="1466" operator="greaterThan">
      <formula>1</formula>
    </cfRule>
    <cfRule type="cellIs" dxfId="4571" priority="1467" operator="lessThan">
      <formula>0.8</formula>
    </cfRule>
  </conditionalFormatting>
  <conditionalFormatting sqref="Q32:Q40">
    <cfRule type="cellIs" dxfId="4570" priority="1465" operator="lessThan">
      <formula>0</formula>
    </cfRule>
  </conditionalFormatting>
  <conditionalFormatting sqref="R32:R40">
    <cfRule type="cellIs" dxfId="4569" priority="1463" operator="lessThan">
      <formula>0.8</formula>
    </cfRule>
    <cfRule type="cellIs" dxfId="4568" priority="1464" operator="greaterThan">
      <formula>1</formula>
    </cfRule>
  </conditionalFormatting>
  <conditionalFormatting sqref="R32:R40">
    <cfRule type="cellIs" dxfId="4567" priority="1461" operator="greaterThan">
      <formula>1</formula>
    </cfRule>
    <cfRule type="cellIs" dxfId="4566" priority="1462" operator="lessThan">
      <formula>0.8</formula>
    </cfRule>
  </conditionalFormatting>
  <conditionalFormatting sqref="Q32:Q40">
    <cfRule type="cellIs" dxfId="4565" priority="1456" operator="lessThan">
      <formula>0</formula>
    </cfRule>
  </conditionalFormatting>
  <conditionalFormatting sqref="R32:R40">
    <cfRule type="cellIs" dxfId="4564" priority="1459" operator="lessThan">
      <formula>0.8</formula>
    </cfRule>
    <cfRule type="cellIs" dxfId="4563" priority="1460" operator="greaterThan">
      <formula>1</formula>
    </cfRule>
  </conditionalFormatting>
  <conditionalFormatting sqref="R32:R40">
    <cfRule type="cellIs" dxfId="4562" priority="1457" operator="greaterThan">
      <formula>1</formula>
    </cfRule>
    <cfRule type="cellIs" dxfId="4561" priority="1458" operator="lessThan">
      <formula>0.8</formula>
    </cfRule>
  </conditionalFormatting>
  <conditionalFormatting sqref="Q32:Q40">
    <cfRule type="cellIs" dxfId="4560" priority="1451" operator="lessThan">
      <formula>0</formula>
    </cfRule>
  </conditionalFormatting>
  <conditionalFormatting sqref="R32:R40">
    <cfRule type="cellIs" dxfId="4559" priority="1454" operator="lessThan">
      <formula>0.8</formula>
    </cfRule>
    <cfRule type="cellIs" dxfId="4558" priority="1455" operator="greaterThan">
      <formula>1</formula>
    </cfRule>
  </conditionalFormatting>
  <conditionalFormatting sqref="R32:R40">
    <cfRule type="cellIs" dxfId="4557" priority="1452" operator="greaterThan">
      <formula>1</formula>
    </cfRule>
    <cfRule type="cellIs" dxfId="4556" priority="1453" operator="lessThan">
      <formula>0.8</formula>
    </cfRule>
  </conditionalFormatting>
  <conditionalFormatting sqref="Q32:Q40">
    <cfRule type="cellIs" dxfId="4555" priority="1450" operator="lessThan">
      <formula>0</formula>
    </cfRule>
  </conditionalFormatting>
  <conditionalFormatting sqref="R32:R40">
    <cfRule type="cellIs" dxfId="4554" priority="1448" operator="lessThan">
      <formula>0.8</formula>
    </cfRule>
    <cfRule type="cellIs" dxfId="4553" priority="1449" operator="greaterThan">
      <formula>1</formula>
    </cfRule>
  </conditionalFormatting>
  <conditionalFormatting sqref="R32:R40">
    <cfRule type="cellIs" dxfId="4552" priority="1446" operator="greaterThan">
      <formula>1</formula>
    </cfRule>
    <cfRule type="cellIs" dxfId="4551" priority="1447" operator="lessThan">
      <formula>0.8</formula>
    </cfRule>
  </conditionalFormatting>
  <conditionalFormatting sqref="Q32:Q40">
    <cfRule type="cellIs" dxfId="4550" priority="1445" operator="lessThan">
      <formula>0</formula>
    </cfRule>
  </conditionalFormatting>
  <conditionalFormatting sqref="R32:R40">
    <cfRule type="cellIs" dxfId="4549" priority="1443" operator="lessThan">
      <formula>0.8</formula>
    </cfRule>
    <cfRule type="cellIs" dxfId="4548" priority="1444" operator="greaterThan">
      <formula>1</formula>
    </cfRule>
  </conditionalFormatting>
  <conditionalFormatting sqref="R32:R40">
    <cfRule type="cellIs" dxfId="4547" priority="1441" operator="greaterThan">
      <formula>1</formula>
    </cfRule>
    <cfRule type="cellIs" dxfId="4546" priority="1442" operator="lessThan">
      <formula>0.8</formula>
    </cfRule>
  </conditionalFormatting>
  <conditionalFormatting sqref="Q19:Q25">
    <cfRule type="cellIs" dxfId="4545" priority="1440" operator="lessThan">
      <formula>0</formula>
    </cfRule>
  </conditionalFormatting>
  <conditionalFormatting sqref="R19:R25">
    <cfRule type="cellIs" dxfId="4544" priority="1438" operator="lessThan">
      <formula>0.8</formula>
    </cfRule>
    <cfRule type="cellIs" dxfId="4543" priority="1439" operator="greaterThan">
      <formula>1</formula>
    </cfRule>
  </conditionalFormatting>
  <conditionalFormatting sqref="R19:R25">
    <cfRule type="cellIs" dxfId="4542" priority="1436" operator="greaterThan">
      <formula>1</formula>
    </cfRule>
    <cfRule type="cellIs" dxfId="4541" priority="1437" operator="lessThan">
      <formula>0.8</formula>
    </cfRule>
  </conditionalFormatting>
  <conditionalFormatting sqref="R19:R25">
    <cfRule type="cellIs" dxfId="4540" priority="1433" operator="lessThan">
      <formula>0.8</formula>
    </cfRule>
    <cfRule type="cellIs" dxfId="4539" priority="1434" operator="greaterThan">
      <formula>1</formula>
    </cfRule>
  </conditionalFormatting>
  <conditionalFormatting sqref="R19:R25">
    <cfRule type="cellIs" dxfId="4538" priority="1431" operator="greaterThan">
      <formula>1</formula>
    </cfRule>
    <cfRule type="cellIs" dxfId="4537" priority="1432" operator="lessThan">
      <formula>0.8</formula>
    </cfRule>
  </conditionalFormatting>
  <conditionalFormatting sqref="Q19:Q25">
    <cfRule type="cellIs" dxfId="4536" priority="1435" operator="lessThan">
      <formula>0</formula>
    </cfRule>
  </conditionalFormatting>
  <conditionalFormatting sqref="R19:R25">
    <cfRule type="cellIs" dxfId="4535" priority="1428" operator="lessThan">
      <formula>0.8</formula>
    </cfRule>
    <cfRule type="cellIs" dxfId="4534" priority="1429" operator="greaterThan">
      <formula>1</formula>
    </cfRule>
  </conditionalFormatting>
  <conditionalFormatting sqref="R19:R25">
    <cfRule type="cellIs" dxfId="4533" priority="1426" operator="greaterThan">
      <formula>1</formula>
    </cfRule>
    <cfRule type="cellIs" dxfId="4532" priority="1427" operator="lessThan">
      <formula>0.8</formula>
    </cfRule>
  </conditionalFormatting>
  <conditionalFormatting sqref="Q19:Q25">
    <cfRule type="cellIs" dxfId="4531" priority="1430" operator="lessThan">
      <formula>0</formula>
    </cfRule>
  </conditionalFormatting>
  <conditionalFormatting sqref="Q19:Q25">
    <cfRule type="cellIs" dxfId="4530" priority="1425" operator="lessThan">
      <formula>0</formula>
    </cfRule>
  </conditionalFormatting>
  <conditionalFormatting sqref="R19:R25">
    <cfRule type="cellIs" dxfId="4529" priority="1423" operator="lessThan">
      <formula>0.8</formula>
    </cfRule>
    <cfRule type="cellIs" dxfId="4528" priority="1424" operator="greaterThan">
      <formula>1</formula>
    </cfRule>
  </conditionalFormatting>
  <conditionalFormatting sqref="R19:R25">
    <cfRule type="cellIs" dxfId="4527" priority="1421" operator="greaterThan">
      <formula>1</formula>
    </cfRule>
    <cfRule type="cellIs" dxfId="4526" priority="1422" operator="lessThan">
      <formula>0.8</formula>
    </cfRule>
  </conditionalFormatting>
  <conditionalFormatting sqref="Q135:Q136">
    <cfRule type="cellIs" dxfId="4525" priority="1420" operator="lessThan">
      <formula>0</formula>
    </cfRule>
  </conditionalFormatting>
  <conditionalFormatting sqref="R135:R136 R139:R145">
    <cfRule type="cellIs" dxfId="4524" priority="1418" operator="lessThan">
      <formula>0.8</formula>
    </cfRule>
    <cfRule type="cellIs" dxfId="4523" priority="1419" operator="greaterThan">
      <formula>1</formula>
    </cfRule>
  </conditionalFormatting>
  <conditionalFormatting sqref="R135:R136 R139:R145">
    <cfRule type="cellIs" dxfId="4522" priority="1416" operator="greaterThan">
      <formula>1</formula>
    </cfRule>
    <cfRule type="cellIs" dxfId="4521" priority="1417" operator="lessThan">
      <formula>0.8</formula>
    </cfRule>
  </conditionalFormatting>
  <conditionalFormatting sqref="P135:P136 P139 P141 P143 P145">
    <cfRule type="cellIs" dxfId="4520" priority="1415" operator="greaterThan">
      <formula>0</formula>
    </cfRule>
  </conditionalFormatting>
  <conditionalFormatting sqref="P135:P136 P139 P141 P143 P145">
    <cfRule type="cellIs" dxfId="4519" priority="1409" operator="greaterThan">
      <formula>0</formula>
    </cfRule>
  </conditionalFormatting>
  <conditionalFormatting sqref="Q135:Q136">
    <cfRule type="cellIs" dxfId="4518" priority="1414" operator="lessThan">
      <formula>0</formula>
    </cfRule>
  </conditionalFormatting>
  <conditionalFormatting sqref="R135:R136 R139:R145">
    <cfRule type="cellIs" dxfId="4517" priority="1412" operator="lessThan">
      <formula>0.8</formula>
    </cfRule>
    <cfRule type="cellIs" dxfId="4516" priority="1413" operator="greaterThan">
      <formula>1</formula>
    </cfRule>
  </conditionalFormatting>
  <conditionalFormatting sqref="R135:R136 R139:R145">
    <cfRule type="cellIs" dxfId="4515" priority="1410" operator="greaterThan">
      <formula>1</formula>
    </cfRule>
    <cfRule type="cellIs" dxfId="4514" priority="1411" operator="lessThan">
      <formula>0.8</formula>
    </cfRule>
  </conditionalFormatting>
  <conditionalFormatting sqref="Q19:Q25">
    <cfRule type="cellIs" dxfId="4513" priority="1408" operator="lessThan">
      <formula>0</formula>
    </cfRule>
  </conditionalFormatting>
  <conditionalFormatting sqref="R19:R25">
    <cfRule type="cellIs" dxfId="4512" priority="1406" operator="lessThan">
      <formula>0.8</formula>
    </cfRule>
    <cfRule type="cellIs" dxfId="4511" priority="1407" operator="greaterThan">
      <formula>1</formula>
    </cfRule>
  </conditionalFormatting>
  <conditionalFormatting sqref="R19:R25">
    <cfRule type="cellIs" dxfId="4510" priority="1404" operator="greaterThan">
      <formula>1</formula>
    </cfRule>
    <cfRule type="cellIs" dxfId="4509" priority="1405" operator="lessThan">
      <formula>0.8</formula>
    </cfRule>
  </conditionalFormatting>
  <conditionalFormatting sqref="Q19:Q25">
    <cfRule type="cellIs" dxfId="4508" priority="1403" operator="lessThan">
      <formula>0</formula>
    </cfRule>
  </conditionalFormatting>
  <conditionalFormatting sqref="R19:R25">
    <cfRule type="cellIs" dxfId="4507" priority="1401" operator="lessThan">
      <formula>0.8</formula>
    </cfRule>
    <cfRule type="cellIs" dxfId="4506" priority="1402" operator="greaterThan">
      <formula>1</formula>
    </cfRule>
  </conditionalFormatting>
  <conditionalFormatting sqref="R19:R25">
    <cfRule type="cellIs" dxfId="4505" priority="1399" operator="greaterThan">
      <formula>1</formula>
    </cfRule>
    <cfRule type="cellIs" dxfId="4504" priority="1400" operator="lessThan">
      <formula>0.8</formula>
    </cfRule>
  </conditionalFormatting>
  <conditionalFormatting sqref="Q19:Q25">
    <cfRule type="cellIs" dxfId="4503" priority="1398" operator="lessThan">
      <formula>0</formula>
    </cfRule>
  </conditionalFormatting>
  <conditionalFormatting sqref="R19:R25">
    <cfRule type="cellIs" dxfId="4502" priority="1396" operator="lessThan">
      <formula>0.8</formula>
    </cfRule>
    <cfRule type="cellIs" dxfId="4501" priority="1397" operator="greaterThan">
      <formula>1</formula>
    </cfRule>
  </conditionalFormatting>
  <conditionalFormatting sqref="R19:R25">
    <cfRule type="cellIs" dxfId="4500" priority="1394" operator="greaterThan">
      <formula>1</formula>
    </cfRule>
    <cfRule type="cellIs" dxfId="4499" priority="1395" operator="lessThan">
      <formula>0.8</formula>
    </cfRule>
  </conditionalFormatting>
  <conditionalFormatting sqref="Q19:Q25">
    <cfRule type="cellIs" dxfId="4498" priority="1393" operator="lessThan">
      <formula>0</formula>
    </cfRule>
  </conditionalFormatting>
  <conditionalFormatting sqref="R19:R25">
    <cfRule type="cellIs" dxfId="4497" priority="1391" operator="lessThan">
      <formula>0.8</formula>
    </cfRule>
    <cfRule type="cellIs" dxfId="4496" priority="1392" operator="greaterThan">
      <formula>1</formula>
    </cfRule>
  </conditionalFormatting>
  <conditionalFormatting sqref="R19:R25">
    <cfRule type="cellIs" dxfId="4495" priority="1389" operator="greaterThan">
      <formula>1</formula>
    </cfRule>
    <cfRule type="cellIs" dxfId="4494" priority="1390" operator="lessThan">
      <formula>0.8</formula>
    </cfRule>
  </conditionalFormatting>
  <conditionalFormatting sqref="R19:R25">
    <cfRule type="cellIs" dxfId="4493" priority="1386" operator="lessThan">
      <formula>0.8</formula>
    </cfRule>
    <cfRule type="cellIs" dxfId="4492" priority="1387" operator="greaterThan">
      <formula>1</formula>
    </cfRule>
  </conditionalFormatting>
  <conditionalFormatting sqref="R19:R25">
    <cfRule type="cellIs" dxfId="4491" priority="1384" operator="greaterThan">
      <formula>1</formula>
    </cfRule>
    <cfRule type="cellIs" dxfId="4490" priority="1385" operator="lessThan">
      <formula>0.8</formula>
    </cfRule>
  </conditionalFormatting>
  <conditionalFormatting sqref="Q19:Q25">
    <cfRule type="cellIs" dxfId="4489" priority="1388" operator="lessThan">
      <formula>0</formula>
    </cfRule>
  </conditionalFormatting>
  <conditionalFormatting sqref="Q19:Q25">
    <cfRule type="cellIs" dxfId="4488" priority="1383" operator="lessThan">
      <formula>0</formula>
    </cfRule>
  </conditionalFormatting>
  <conditionalFormatting sqref="R19:R25">
    <cfRule type="cellIs" dxfId="4487" priority="1381" operator="lessThan">
      <formula>0.8</formula>
    </cfRule>
    <cfRule type="cellIs" dxfId="4486" priority="1382" operator="greaterThan">
      <formula>1</formula>
    </cfRule>
  </conditionalFormatting>
  <conditionalFormatting sqref="R19:R25">
    <cfRule type="cellIs" dxfId="4485" priority="1379" operator="greaterThan">
      <formula>1</formula>
    </cfRule>
    <cfRule type="cellIs" dxfId="4484" priority="1380" operator="lessThan">
      <formula>0.8</formula>
    </cfRule>
  </conditionalFormatting>
  <conditionalFormatting sqref="Q19:Q25">
    <cfRule type="cellIs" dxfId="4483" priority="1378" operator="lessThan">
      <formula>0</formula>
    </cfRule>
  </conditionalFormatting>
  <conditionalFormatting sqref="R19:R25">
    <cfRule type="cellIs" dxfId="4482" priority="1376" operator="lessThan">
      <formula>0.8</formula>
    </cfRule>
    <cfRule type="cellIs" dxfId="4481" priority="1377" operator="greaterThan">
      <formula>1</formula>
    </cfRule>
  </conditionalFormatting>
  <conditionalFormatting sqref="R19:R25">
    <cfRule type="cellIs" dxfId="4480" priority="1374" operator="greaterThan">
      <formula>1</formula>
    </cfRule>
    <cfRule type="cellIs" dxfId="4479" priority="1375" operator="lessThan">
      <formula>0.8</formula>
    </cfRule>
  </conditionalFormatting>
  <conditionalFormatting sqref="Q19:Q25">
    <cfRule type="cellIs" dxfId="4478" priority="1373" operator="lessThan">
      <formula>0</formula>
    </cfRule>
  </conditionalFormatting>
  <conditionalFormatting sqref="R19:R25">
    <cfRule type="cellIs" dxfId="4477" priority="1371" operator="lessThan">
      <formula>0.8</formula>
    </cfRule>
    <cfRule type="cellIs" dxfId="4476" priority="1372" operator="greaterThan">
      <formula>1</formula>
    </cfRule>
  </conditionalFormatting>
  <conditionalFormatting sqref="R19:R25">
    <cfRule type="cellIs" dxfId="4475" priority="1369" operator="greaterThan">
      <formula>1</formula>
    </cfRule>
    <cfRule type="cellIs" dxfId="4474" priority="1370" operator="lessThan">
      <formula>0.8</formula>
    </cfRule>
  </conditionalFormatting>
  <conditionalFormatting sqref="Q19:Q25">
    <cfRule type="cellIs" dxfId="4473" priority="1368" operator="lessThan">
      <formula>0</formula>
    </cfRule>
  </conditionalFormatting>
  <conditionalFormatting sqref="R19:R25">
    <cfRule type="cellIs" dxfId="4472" priority="1366" operator="lessThan">
      <formula>0.8</formula>
    </cfRule>
    <cfRule type="cellIs" dxfId="4471" priority="1367" operator="greaterThan">
      <formula>1</formula>
    </cfRule>
  </conditionalFormatting>
  <conditionalFormatting sqref="R19:R25">
    <cfRule type="cellIs" dxfId="4470" priority="1364" operator="greaterThan">
      <formula>1</formula>
    </cfRule>
    <cfRule type="cellIs" dxfId="4469" priority="1365" operator="lessThan">
      <formula>0.8</formula>
    </cfRule>
  </conditionalFormatting>
  <conditionalFormatting sqref="Q19:Q25">
    <cfRule type="cellIs" dxfId="4468" priority="1363" operator="lessThan">
      <formula>0</formula>
    </cfRule>
  </conditionalFormatting>
  <conditionalFormatting sqref="R19:R25">
    <cfRule type="cellIs" dxfId="4467" priority="1361" operator="lessThan">
      <formula>0.8</formula>
    </cfRule>
    <cfRule type="cellIs" dxfId="4466" priority="1362" operator="greaterThan">
      <formula>1</formula>
    </cfRule>
  </conditionalFormatting>
  <conditionalFormatting sqref="R19:R25">
    <cfRule type="cellIs" dxfId="4465" priority="1359" operator="greaterThan">
      <formula>1</formula>
    </cfRule>
    <cfRule type="cellIs" dxfId="4464" priority="1360" operator="lessThan">
      <formula>0.8</formula>
    </cfRule>
  </conditionalFormatting>
  <conditionalFormatting sqref="Q19:Q25">
    <cfRule type="cellIs" dxfId="4463" priority="1358" operator="lessThan">
      <formula>0</formula>
    </cfRule>
  </conditionalFormatting>
  <conditionalFormatting sqref="R19:R25">
    <cfRule type="cellIs" dxfId="4462" priority="1356" operator="lessThan">
      <formula>0.8</formula>
    </cfRule>
    <cfRule type="cellIs" dxfId="4461" priority="1357" operator="greaterThan">
      <formula>1</formula>
    </cfRule>
  </conditionalFormatting>
  <conditionalFormatting sqref="R19:R25">
    <cfRule type="cellIs" dxfId="4460" priority="1354" operator="greaterThan">
      <formula>1</formula>
    </cfRule>
    <cfRule type="cellIs" dxfId="4459" priority="1355" operator="lessThan">
      <formula>0.8</formula>
    </cfRule>
  </conditionalFormatting>
  <conditionalFormatting sqref="Q19:Q25">
    <cfRule type="cellIs" dxfId="4458" priority="1353" operator="lessThan">
      <formula>0</formula>
    </cfRule>
  </conditionalFormatting>
  <conditionalFormatting sqref="R19:R25">
    <cfRule type="cellIs" dxfId="4457" priority="1351" operator="lessThan">
      <formula>0.8</formula>
    </cfRule>
    <cfRule type="cellIs" dxfId="4456" priority="1352" operator="greaterThan">
      <formula>1</formula>
    </cfRule>
  </conditionalFormatting>
  <conditionalFormatting sqref="R19:R25">
    <cfRule type="cellIs" dxfId="4455" priority="1349" operator="greaterThan">
      <formula>1</formula>
    </cfRule>
    <cfRule type="cellIs" dxfId="4454" priority="1350" operator="lessThan">
      <formula>0.8</formula>
    </cfRule>
  </conditionalFormatting>
  <conditionalFormatting sqref="Q19:Q25">
    <cfRule type="cellIs" dxfId="4453" priority="1348" operator="lessThan">
      <formula>0</formula>
    </cfRule>
  </conditionalFormatting>
  <conditionalFormatting sqref="R19:R25">
    <cfRule type="cellIs" dxfId="4452" priority="1346" operator="lessThan">
      <formula>0.8</formula>
    </cfRule>
    <cfRule type="cellIs" dxfId="4451" priority="1347" operator="greaterThan">
      <formula>1</formula>
    </cfRule>
  </conditionalFormatting>
  <conditionalFormatting sqref="R19:R25">
    <cfRule type="cellIs" dxfId="4450" priority="1344" operator="greaterThan">
      <formula>1</formula>
    </cfRule>
    <cfRule type="cellIs" dxfId="4449" priority="1345" operator="lessThan">
      <formula>0.8</formula>
    </cfRule>
  </conditionalFormatting>
  <conditionalFormatting sqref="Q19:Q25">
    <cfRule type="cellIs" dxfId="4448" priority="1343" operator="lessThan">
      <formula>0</formula>
    </cfRule>
  </conditionalFormatting>
  <conditionalFormatting sqref="R19:R25">
    <cfRule type="cellIs" dxfId="4447" priority="1341" operator="lessThan">
      <formula>0.8</formula>
    </cfRule>
    <cfRule type="cellIs" dxfId="4446" priority="1342" operator="greaterThan">
      <formula>1</formula>
    </cfRule>
  </conditionalFormatting>
  <conditionalFormatting sqref="R19:R25">
    <cfRule type="cellIs" dxfId="4445" priority="1339" operator="greaterThan">
      <formula>1</formula>
    </cfRule>
    <cfRule type="cellIs" dxfId="4444" priority="1340" operator="lessThan">
      <formula>0.8</formula>
    </cfRule>
  </conditionalFormatting>
  <conditionalFormatting sqref="R19:R25">
    <cfRule type="cellIs" dxfId="4443" priority="1336" operator="lessThan">
      <formula>0.8</formula>
    </cfRule>
    <cfRule type="cellIs" dxfId="4442" priority="1337" operator="greaterThan">
      <formula>1</formula>
    </cfRule>
  </conditionalFormatting>
  <conditionalFormatting sqref="R19:R25">
    <cfRule type="cellIs" dxfId="4441" priority="1334" operator="greaterThan">
      <formula>1</formula>
    </cfRule>
    <cfRule type="cellIs" dxfId="4440" priority="1335" operator="lessThan">
      <formula>0.8</formula>
    </cfRule>
  </conditionalFormatting>
  <conditionalFormatting sqref="Q19:Q25">
    <cfRule type="cellIs" dxfId="4439" priority="1338" operator="lessThan">
      <formula>0</formula>
    </cfRule>
  </conditionalFormatting>
  <conditionalFormatting sqref="Q32:Q40">
    <cfRule type="cellIs" dxfId="4438" priority="1333" operator="lessThan">
      <formula>0</formula>
    </cfRule>
  </conditionalFormatting>
  <conditionalFormatting sqref="R32:R40">
    <cfRule type="cellIs" dxfId="4437" priority="1331" operator="lessThan">
      <formula>0.8</formula>
    </cfRule>
    <cfRule type="cellIs" dxfId="4436" priority="1332" operator="greaterThan">
      <formula>1</formula>
    </cfRule>
  </conditionalFormatting>
  <conditionalFormatting sqref="R32:R40">
    <cfRule type="cellIs" dxfId="4435" priority="1329" operator="greaterThan">
      <formula>1</formula>
    </cfRule>
    <cfRule type="cellIs" dxfId="4434" priority="1330" operator="lessThan">
      <formula>0.8</formula>
    </cfRule>
  </conditionalFormatting>
  <conditionalFormatting sqref="Q32:Q40">
    <cfRule type="cellIs" dxfId="4433" priority="1328" operator="lessThan">
      <formula>0</formula>
    </cfRule>
  </conditionalFormatting>
  <conditionalFormatting sqref="R32:R40">
    <cfRule type="cellIs" dxfId="4432" priority="1326" operator="lessThan">
      <formula>0.8</formula>
    </cfRule>
    <cfRule type="cellIs" dxfId="4431" priority="1327" operator="greaterThan">
      <formula>1</formula>
    </cfRule>
  </conditionalFormatting>
  <conditionalFormatting sqref="R32:R40">
    <cfRule type="cellIs" dxfId="4430" priority="1324" operator="greaterThan">
      <formula>1</formula>
    </cfRule>
    <cfRule type="cellIs" dxfId="4429" priority="1325" operator="lessThan">
      <formula>0.8</formula>
    </cfRule>
  </conditionalFormatting>
  <conditionalFormatting sqref="Q32:Q40">
    <cfRule type="cellIs" dxfId="4428" priority="1323" operator="lessThan">
      <formula>0</formula>
    </cfRule>
  </conditionalFormatting>
  <conditionalFormatting sqref="R32:R40">
    <cfRule type="cellIs" dxfId="4427" priority="1321" operator="lessThan">
      <formula>0.8</formula>
    </cfRule>
    <cfRule type="cellIs" dxfId="4426" priority="1322" operator="greaterThan">
      <formula>1</formula>
    </cfRule>
  </conditionalFormatting>
  <conditionalFormatting sqref="R32:R40">
    <cfRule type="cellIs" dxfId="4425" priority="1319" operator="greaterThan">
      <formula>1</formula>
    </cfRule>
    <cfRule type="cellIs" dxfId="4424" priority="1320" operator="lessThan">
      <formula>0.8</formula>
    </cfRule>
  </conditionalFormatting>
  <conditionalFormatting sqref="Q32:Q40">
    <cfRule type="cellIs" dxfId="4423" priority="1318" operator="lessThan">
      <formula>0</formula>
    </cfRule>
  </conditionalFormatting>
  <conditionalFormatting sqref="R32:R40">
    <cfRule type="cellIs" dxfId="4422" priority="1316" operator="lessThan">
      <formula>0.8</formula>
    </cfRule>
    <cfRule type="cellIs" dxfId="4421" priority="1317" operator="greaterThan">
      <formula>1</formula>
    </cfRule>
  </conditionalFormatting>
  <conditionalFormatting sqref="R32:R40">
    <cfRule type="cellIs" dxfId="4420" priority="1314" operator="greaterThan">
      <formula>1</formula>
    </cfRule>
    <cfRule type="cellIs" dxfId="4419" priority="1315" operator="lessThan">
      <formula>0.8</formula>
    </cfRule>
  </conditionalFormatting>
  <conditionalFormatting sqref="Q32:Q40">
    <cfRule type="cellIs" dxfId="4418" priority="1313" operator="lessThan">
      <formula>0</formula>
    </cfRule>
  </conditionalFormatting>
  <conditionalFormatting sqref="R32:R40">
    <cfRule type="cellIs" dxfId="4417" priority="1311" operator="lessThan">
      <formula>0.8</formula>
    </cfRule>
    <cfRule type="cellIs" dxfId="4416" priority="1312" operator="greaterThan">
      <formula>1</formula>
    </cfRule>
  </conditionalFormatting>
  <conditionalFormatting sqref="R32:R40">
    <cfRule type="cellIs" dxfId="4415" priority="1309" operator="greaterThan">
      <formula>1</formula>
    </cfRule>
    <cfRule type="cellIs" dxfId="4414" priority="1310" operator="lessThan">
      <formula>0.8</formula>
    </cfRule>
  </conditionalFormatting>
  <conditionalFormatting sqref="Q32:Q40">
    <cfRule type="cellIs" dxfId="4413" priority="1308" operator="lessThan">
      <formula>0</formula>
    </cfRule>
  </conditionalFormatting>
  <conditionalFormatting sqref="R32:R40">
    <cfRule type="cellIs" dxfId="4412" priority="1306" operator="lessThan">
      <formula>0.8</formula>
    </cfRule>
    <cfRule type="cellIs" dxfId="4411" priority="1307" operator="greaterThan">
      <formula>1</formula>
    </cfRule>
  </conditionalFormatting>
  <conditionalFormatting sqref="R32:R40">
    <cfRule type="cellIs" dxfId="4410" priority="1304" operator="greaterThan">
      <formula>1</formula>
    </cfRule>
    <cfRule type="cellIs" dxfId="4409" priority="1305" operator="lessThan">
      <formula>0.8</formula>
    </cfRule>
  </conditionalFormatting>
  <conditionalFormatting sqref="R32:R40">
    <cfRule type="cellIs" dxfId="4408" priority="1301" operator="lessThan">
      <formula>0.8</formula>
    </cfRule>
    <cfRule type="cellIs" dxfId="4407" priority="1302" operator="greaterThan">
      <formula>1</formula>
    </cfRule>
  </conditionalFormatting>
  <conditionalFormatting sqref="R32:R40">
    <cfRule type="cellIs" dxfId="4406" priority="1299" operator="greaterThan">
      <formula>1</formula>
    </cfRule>
    <cfRule type="cellIs" dxfId="4405" priority="1300" operator="lessThan">
      <formula>0.8</formula>
    </cfRule>
  </conditionalFormatting>
  <conditionalFormatting sqref="Q32:Q40">
    <cfRule type="cellIs" dxfId="4404" priority="1303" operator="lessThan">
      <formula>0</formula>
    </cfRule>
  </conditionalFormatting>
  <conditionalFormatting sqref="Q32:Q40">
    <cfRule type="cellIs" dxfId="4403" priority="1298" operator="lessThan">
      <formula>0</formula>
    </cfRule>
  </conditionalFormatting>
  <conditionalFormatting sqref="R32:R40">
    <cfRule type="cellIs" dxfId="4402" priority="1296" operator="lessThan">
      <formula>0.8</formula>
    </cfRule>
    <cfRule type="cellIs" dxfId="4401" priority="1297" operator="greaterThan">
      <formula>1</formula>
    </cfRule>
  </conditionalFormatting>
  <conditionalFormatting sqref="R32:R40">
    <cfRule type="cellIs" dxfId="4400" priority="1294" operator="greaterThan">
      <formula>1</formula>
    </cfRule>
    <cfRule type="cellIs" dxfId="4399" priority="1295" operator="lessThan">
      <formula>0.8</formula>
    </cfRule>
  </conditionalFormatting>
  <conditionalFormatting sqref="Q32:Q40">
    <cfRule type="cellIs" dxfId="4398" priority="1293" operator="lessThan">
      <formula>0</formula>
    </cfRule>
  </conditionalFormatting>
  <conditionalFormatting sqref="R32:R40">
    <cfRule type="cellIs" dxfId="4397" priority="1291" operator="lessThan">
      <formula>0.8</formula>
    </cfRule>
    <cfRule type="cellIs" dxfId="4396" priority="1292" operator="greaterThan">
      <formula>1</formula>
    </cfRule>
  </conditionalFormatting>
  <conditionalFormatting sqref="R32:R40">
    <cfRule type="cellIs" dxfId="4395" priority="1289" operator="greaterThan">
      <formula>1</formula>
    </cfRule>
    <cfRule type="cellIs" dxfId="4394" priority="1290" operator="lessThan">
      <formula>0.8</formula>
    </cfRule>
  </conditionalFormatting>
  <conditionalFormatting sqref="Q32:Q40">
    <cfRule type="cellIs" dxfId="4393" priority="1288" operator="lessThan">
      <formula>0</formula>
    </cfRule>
  </conditionalFormatting>
  <conditionalFormatting sqref="R32:R40">
    <cfRule type="cellIs" dxfId="4392" priority="1286" operator="lessThan">
      <formula>0.8</formula>
    </cfRule>
    <cfRule type="cellIs" dxfId="4391" priority="1287" operator="greaterThan">
      <formula>1</formula>
    </cfRule>
  </conditionalFormatting>
  <conditionalFormatting sqref="R32:R40">
    <cfRule type="cellIs" dxfId="4390" priority="1284" operator="greaterThan">
      <formula>1</formula>
    </cfRule>
    <cfRule type="cellIs" dxfId="4389" priority="1285" operator="lessThan">
      <formula>0.8</formula>
    </cfRule>
  </conditionalFormatting>
  <conditionalFormatting sqref="R32:R40">
    <cfRule type="cellIs" dxfId="4388" priority="1281" operator="lessThan">
      <formula>0.8</formula>
    </cfRule>
    <cfRule type="cellIs" dxfId="4387" priority="1282" operator="greaterThan">
      <formula>1</formula>
    </cfRule>
  </conditionalFormatting>
  <conditionalFormatting sqref="R32:R40">
    <cfRule type="cellIs" dxfId="4386" priority="1279" operator="greaterThan">
      <formula>1</formula>
    </cfRule>
    <cfRule type="cellIs" dxfId="4385" priority="1280" operator="lessThan">
      <formula>0.8</formula>
    </cfRule>
  </conditionalFormatting>
  <conditionalFormatting sqref="Q32:Q40">
    <cfRule type="cellIs" dxfId="4384" priority="1283" operator="lessThan">
      <formula>0</formula>
    </cfRule>
  </conditionalFormatting>
  <conditionalFormatting sqref="Q32:Q40">
    <cfRule type="cellIs" dxfId="4383" priority="1278" operator="lessThan">
      <formula>0</formula>
    </cfRule>
  </conditionalFormatting>
  <conditionalFormatting sqref="R32:R40">
    <cfRule type="cellIs" dxfId="4382" priority="1276" operator="lessThan">
      <formula>0.8</formula>
    </cfRule>
    <cfRule type="cellIs" dxfId="4381" priority="1277" operator="greaterThan">
      <formula>1</formula>
    </cfRule>
  </conditionalFormatting>
  <conditionalFormatting sqref="R32:R40">
    <cfRule type="cellIs" dxfId="4380" priority="1274" operator="greaterThan">
      <formula>1</formula>
    </cfRule>
    <cfRule type="cellIs" dxfId="4379" priority="1275" operator="lessThan">
      <formula>0.8</formula>
    </cfRule>
  </conditionalFormatting>
  <conditionalFormatting sqref="R32:R40">
    <cfRule type="cellIs" dxfId="4378" priority="1271" operator="lessThan">
      <formula>0.8</formula>
    </cfRule>
    <cfRule type="cellIs" dxfId="4377" priority="1272" operator="greaterThan">
      <formula>1</formula>
    </cfRule>
  </conditionalFormatting>
  <conditionalFormatting sqref="R32:R40">
    <cfRule type="cellIs" dxfId="4376" priority="1269" operator="greaterThan">
      <formula>1</formula>
    </cfRule>
    <cfRule type="cellIs" dxfId="4375" priority="1270" operator="lessThan">
      <formula>0.8</formula>
    </cfRule>
  </conditionalFormatting>
  <conditionalFormatting sqref="Q32:Q40">
    <cfRule type="cellIs" dxfId="4374" priority="1273" operator="lessThan">
      <formula>0</formula>
    </cfRule>
  </conditionalFormatting>
  <conditionalFormatting sqref="R32:R40">
    <cfRule type="cellIs" dxfId="4373" priority="1266" operator="lessThan">
      <formula>0.8</formula>
    </cfRule>
    <cfRule type="cellIs" dxfId="4372" priority="1267" operator="greaterThan">
      <formula>1</formula>
    </cfRule>
  </conditionalFormatting>
  <conditionalFormatting sqref="R32:R40">
    <cfRule type="cellIs" dxfId="4371" priority="1264" operator="greaterThan">
      <formula>1</formula>
    </cfRule>
    <cfRule type="cellIs" dxfId="4370" priority="1265" operator="lessThan">
      <formula>0.8</formula>
    </cfRule>
  </conditionalFormatting>
  <conditionalFormatting sqref="Q32:Q40">
    <cfRule type="cellIs" dxfId="4369" priority="1268" operator="lessThan">
      <formula>0</formula>
    </cfRule>
  </conditionalFormatting>
  <conditionalFormatting sqref="Q32:Q40">
    <cfRule type="cellIs" dxfId="4368" priority="1263" operator="lessThan">
      <formula>0</formula>
    </cfRule>
  </conditionalFormatting>
  <conditionalFormatting sqref="R32:R40">
    <cfRule type="cellIs" dxfId="4367" priority="1261" operator="lessThan">
      <formula>0.8</formula>
    </cfRule>
    <cfRule type="cellIs" dxfId="4366" priority="1262" operator="greaterThan">
      <formula>1</formula>
    </cfRule>
  </conditionalFormatting>
  <conditionalFormatting sqref="R32:R40">
    <cfRule type="cellIs" dxfId="4365" priority="1259" operator="greaterThan">
      <formula>1</formula>
    </cfRule>
    <cfRule type="cellIs" dxfId="4364" priority="1260" operator="lessThan">
      <formula>0.8</formula>
    </cfRule>
  </conditionalFormatting>
  <conditionalFormatting sqref="Q32:Q40">
    <cfRule type="cellIs" dxfId="4363" priority="1254" operator="lessThan">
      <formula>0</formula>
    </cfRule>
  </conditionalFormatting>
  <conditionalFormatting sqref="R32:R40">
    <cfRule type="cellIs" dxfId="4362" priority="1257" operator="lessThan">
      <formula>0.8</formula>
    </cfRule>
    <cfRule type="cellIs" dxfId="4361" priority="1258" operator="greaterThan">
      <formula>1</formula>
    </cfRule>
  </conditionalFormatting>
  <conditionalFormatting sqref="R32:R40">
    <cfRule type="cellIs" dxfId="4360" priority="1255" operator="greaterThan">
      <formula>1</formula>
    </cfRule>
    <cfRule type="cellIs" dxfId="4359" priority="1256" operator="lessThan">
      <formula>0.8</formula>
    </cfRule>
  </conditionalFormatting>
  <conditionalFormatting sqref="Q32:Q40">
    <cfRule type="cellIs" dxfId="4358" priority="1253" operator="lessThan">
      <formula>0</formula>
    </cfRule>
  </conditionalFormatting>
  <conditionalFormatting sqref="R32:R40">
    <cfRule type="cellIs" dxfId="4357" priority="1251" operator="lessThan">
      <formula>0.8</formula>
    </cfRule>
    <cfRule type="cellIs" dxfId="4356" priority="1252" operator="greaterThan">
      <formula>1</formula>
    </cfRule>
  </conditionalFormatting>
  <conditionalFormatting sqref="R32:R40">
    <cfRule type="cellIs" dxfId="4355" priority="1249" operator="greaterThan">
      <formula>1</formula>
    </cfRule>
    <cfRule type="cellIs" dxfId="4354" priority="1250" operator="lessThan">
      <formula>0.8</formula>
    </cfRule>
  </conditionalFormatting>
  <conditionalFormatting sqref="Q32:Q40">
    <cfRule type="cellIs" dxfId="4353" priority="1248" operator="lessThan">
      <formula>0</formula>
    </cfRule>
  </conditionalFormatting>
  <conditionalFormatting sqref="R32:R40">
    <cfRule type="cellIs" dxfId="4352" priority="1246" operator="lessThan">
      <formula>0.8</formula>
    </cfRule>
    <cfRule type="cellIs" dxfId="4351" priority="1247" operator="greaterThan">
      <formula>1</formula>
    </cfRule>
  </conditionalFormatting>
  <conditionalFormatting sqref="R32:R40">
    <cfRule type="cellIs" dxfId="4350" priority="1244" operator="greaterThan">
      <formula>1</formula>
    </cfRule>
    <cfRule type="cellIs" dxfId="4349" priority="1245" operator="lessThan">
      <formula>0.8</formula>
    </cfRule>
  </conditionalFormatting>
  <conditionalFormatting sqref="Q32:Q40">
    <cfRule type="cellIs" dxfId="4348" priority="1243" operator="lessThan">
      <formula>0</formula>
    </cfRule>
  </conditionalFormatting>
  <conditionalFormatting sqref="R32:R40">
    <cfRule type="cellIs" dxfId="4347" priority="1241" operator="lessThan">
      <formula>0.8</formula>
    </cfRule>
    <cfRule type="cellIs" dxfId="4346" priority="1242" operator="greaterThan">
      <formula>1</formula>
    </cfRule>
  </conditionalFormatting>
  <conditionalFormatting sqref="R32:R40">
    <cfRule type="cellIs" dxfId="4345" priority="1239" operator="greaterThan">
      <formula>1</formula>
    </cfRule>
    <cfRule type="cellIs" dxfId="4344" priority="1240" operator="lessThan">
      <formula>0.8</formula>
    </cfRule>
  </conditionalFormatting>
  <conditionalFormatting sqref="Q32:Q40">
    <cfRule type="cellIs" dxfId="4343" priority="1238" operator="lessThan">
      <formula>0</formula>
    </cfRule>
  </conditionalFormatting>
  <conditionalFormatting sqref="R32:R40">
    <cfRule type="cellIs" dxfId="4342" priority="1236" operator="lessThan">
      <formula>0.8</formula>
    </cfRule>
    <cfRule type="cellIs" dxfId="4341" priority="1237" operator="greaterThan">
      <formula>1</formula>
    </cfRule>
  </conditionalFormatting>
  <conditionalFormatting sqref="R32:R40">
    <cfRule type="cellIs" dxfId="4340" priority="1234" operator="greaterThan">
      <formula>1</formula>
    </cfRule>
    <cfRule type="cellIs" dxfId="4339" priority="1235" operator="lessThan">
      <formula>0.8</formula>
    </cfRule>
  </conditionalFormatting>
  <conditionalFormatting sqref="Q32:Q40">
    <cfRule type="cellIs" dxfId="4338" priority="1233" operator="lessThan">
      <formula>0</formula>
    </cfRule>
  </conditionalFormatting>
  <conditionalFormatting sqref="R32:R40">
    <cfRule type="cellIs" dxfId="4337" priority="1231" operator="lessThan">
      <formula>0.8</formula>
    </cfRule>
    <cfRule type="cellIs" dxfId="4336" priority="1232" operator="greaterThan">
      <formula>1</formula>
    </cfRule>
  </conditionalFormatting>
  <conditionalFormatting sqref="R32:R40">
    <cfRule type="cellIs" dxfId="4335" priority="1229" operator="greaterThan">
      <formula>1</formula>
    </cfRule>
    <cfRule type="cellIs" dxfId="4334" priority="1230" operator="lessThan">
      <formula>0.8</formula>
    </cfRule>
  </conditionalFormatting>
  <conditionalFormatting sqref="Q32:Q40">
    <cfRule type="cellIs" dxfId="4333" priority="1228" operator="lessThan">
      <formula>0</formula>
    </cfRule>
  </conditionalFormatting>
  <conditionalFormatting sqref="R32:R40">
    <cfRule type="cellIs" dxfId="4332" priority="1226" operator="lessThan">
      <formula>0.8</formula>
    </cfRule>
    <cfRule type="cellIs" dxfId="4331" priority="1227" operator="greaterThan">
      <formula>1</formula>
    </cfRule>
  </conditionalFormatting>
  <conditionalFormatting sqref="R32:R40">
    <cfRule type="cellIs" dxfId="4330" priority="1224" operator="greaterThan">
      <formula>1</formula>
    </cfRule>
    <cfRule type="cellIs" dxfId="4329" priority="1225" operator="lessThan">
      <formula>0.8</formula>
    </cfRule>
  </conditionalFormatting>
  <conditionalFormatting sqref="Q32:Q40">
    <cfRule type="cellIs" dxfId="4328" priority="1223" operator="lessThan">
      <formula>0</formula>
    </cfRule>
  </conditionalFormatting>
  <conditionalFormatting sqref="R32:R40">
    <cfRule type="cellIs" dxfId="4327" priority="1221" operator="lessThan">
      <formula>0.8</formula>
    </cfRule>
    <cfRule type="cellIs" dxfId="4326" priority="1222" operator="greaterThan">
      <formula>1</formula>
    </cfRule>
  </conditionalFormatting>
  <conditionalFormatting sqref="R32:R40">
    <cfRule type="cellIs" dxfId="4325" priority="1219" operator="greaterThan">
      <formula>1</formula>
    </cfRule>
    <cfRule type="cellIs" dxfId="4324" priority="1220" operator="lessThan">
      <formula>0.8</formula>
    </cfRule>
  </conditionalFormatting>
  <conditionalFormatting sqref="R32:R40">
    <cfRule type="cellIs" dxfId="4323" priority="1216" operator="lessThan">
      <formula>0.8</formula>
    </cfRule>
    <cfRule type="cellIs" dxfId="4322" priority="1217" operator="greaterThan">
      <formula>1</formula>
    </cfRule>
  </conditionalFormatting>
  <conditionalFormatting sqref="R32:R40">
    <cfRule type="cellIs" dxfId="4321" priority="1214" operator="greaterThan">
      <formula>1</formula>
    </cfRule>
    <cfRule type="cellIs" dxfId="4320" priority="1215" operator="lessThan">
      <formula>0.8</formula>
    </cfRule>
  </conditionalFormatting>
  <conditionalFormatting sqref="Q32:Q40">
    <cfRule type="cellIs" dxfId="4319" priority="1218" operator="lessThan">
      <formula>0</formula>
    </cfRule>
  </conditionalFormatting>
  <conditionalFormatting sqref="Q32:Q40">
    <cfRule type="cellIs" dxfId="4318" priority="1209" operator="lessThan">
      <formula>0</formula>
    </cfRule>
  </conditionalFormatting>
  <conditionalFormatting sqref="R32:R40">
    <cfRule type="cellIs" dxfId="4317" priority="1212" operator="lessThan">
      <formula>0.8</formula>
    </cfRule>
    <cfRule type="cellIs" dxfId="4316" priority="1213" operator="greaterThan">
      <formula>1</formula>
    </cfRule>
  </conditionalFormatting>
  <conditionalFormatting sqref="R32:R40">
    <cfRule type="cellIs" dxfId="4315" priority="1210" operator="greaterThan">
      <formula>1</formula>
    </cfRule>
    <cfRule type="cellIs" dxfId="4314" priority="1211" operator="lessThan">
      <formula>0.8</formula>
    </cfRule>
  </conditionalFormatting>
  <conditionalFormatting sqref="Q32:Q40">
    <cfRule type="cellIs" dxfId="4313" priority="1204" operator="lessThan">
      <formula>0</formula>
    </cfRule>
  </conditionalFormatting>
  <conditionalFormatting sqref="R32:R40">
    <cfRule type="cellIs" dxfId="4312" priority="1207" operator="lessThan">
      <formula>0.8</formula>
    </cfRule>
    <cfRule type="cellIs" dxfId="4311" priority="1208" operator="greaterThan">
      <formula>1</formula>
    </cfRule>
  </conditionalFormatting>
  <conditionalFormatting sqref="R32:R40">
    <cfRule type="cellIs" dxfId="4310" priority="1205" operator="greaterThan">
      <formula>1</formula>
    </cfRule>
    <cfRule type="cellIs" dxfId="4309" priority="1206" operator="lessThan">
      <formula>0.8</formula>
    </cfRule>
  </conditionalFormatting>
  <conditionalFormatting sqref="Q32:Q40">
    <cfRule type="cellIs" dxfId="4308" priority="1203" operator="lessThan">
      <formula>0</formula>
    </cfRule>
  </conditionalFormatting>
  <conditionalFormatting sqref="R32:R40">
    <cfRule type="cellIs" dxfId="4307" priority="1201" operator="lessThan">
      <formula>0.8</formula>
    </cfRule>
    <cfRule type="cellIs" dxfId="4306" priority="1202" operator="greaterThan">
      <formula>1</formula>
    </cfRule>
  </conditionalFormatting>
  <conditionalFormatting sqref="R32:R40">
    <cfRule type="cellIs" dxfId="4305" priority="1199" operator="greaterThan">
      <formula>1</formula>
    </cfRule>
    <cfRule type="cellIs" dxfId="4304" priority="1200" operator="lessThan">
      <formula>0.8</formula>
    </cfRule>
  </conditionalFormatting>
  <conditionalFormatting sqref="Q32:Q40">
    <cfRule type="cellIs" dxfId="4303" priority="1198" operator="lessThan">
      <formula>0</formula>
    </cfRule>
  </conditionalFormatting>
  <conditionalFormatting sqref="R32:R40">
    <cfRule type="cellIs" dxfId="4302" priority="1196" operator="lessThan">
      <formula>0.8</formula>
    </cfRule>
    <cfRule type="cellIs" dxfId="4301" priority="1197" operator="greaterThan">
      <formula>1</formula>
    </cfRule>
  </conditionalFormatting>
  <conditionalFormatting sqref="R32:R40">
    <cfRule type="cellIs" dxfId="4300" priority="1194" operator="greaterThan">
      <formula>1</formula>
    </cfRule>
    <cfRule type="cellIs" dxfId="4299" priority="1195" operator="lessThan">
      <formula>0.8</formula>
    </cfRule>
  </conditionalFormatting>
  <conditionalFormatting sqref="Q32:Q40">
    <cfRule type="cellIs" dxfId="4298" priority="1193" operator="lessThan">
      <formula>0</formula>
    </cfRule>
  </conditionalFormatting>
  <conditionalFormatting sqref="R32:R40">
    <cfRule type="cellIs" dxfId="4297" priority="1191" operator="lessThan">
      <formula>0.8</formula>
    </cfRule>
    <cfRule type="cellIs" dxfId="4296" priority="1192" operator="greaterThan">
      <formula>1</formula>
    </cfRule>
  </conditionalFormatting>
  <conditionalFormatting sqref="R32:R40">
    <cfRule type="cellIs" dxfId="4295" priority="1189" operator="greaterThan">
      <formula>1</formula>
    </cfRule>
    <cfRule type="cellIs" dxfId="4294" priority="1190" operator="lessThan">
      <formula>0.8</formula>
    </cfRule>
  </conditionalFormatting>
  <conditionalFormatting sqref="Q32:Q40">
    <cfRule type="cellIs" dxfId="4293" priority="1188" operator="lessThan">
      <formula>0</formula>
    </cfRule>
  </conditionalFormatting>
  <conditionalFormatting sqref="R32:R40">
    <cfRule type="cellIs" dxfId="4292" priority="1186" operator="lessThan">
      <formula>0.8</formula>
    </cfRule>
    <cfRule type="cellIs" dxfId="4291" priority="1187" operator="greaterThan">
      <formula>1</formula>
    </cfRule>
  </conditionalFormatting>
  <conditionalFormatting sqref="R32:R40">
    <cfRule type="cellIs" dxfId="4290" priority="1184" operator="greaterThan">
      <formula>1</formula>
    </cfRule>
    <cfRule type="cellIs" dxfId="4289" priority="1185" operator="lessThan">
      <formula>0.8</formula>
    </cfRule>
  </conditionalFormatting>
  <conditionalFormatting sqref="Q96:Q105">
    <cfRule type="cellIs" dxfId="4288" priority="1178" operator="lessThan">
      <formula>0</formula>
    </cfRule>
  </conditionalFormatting>
  <conditionalFormatting sqref="P96:P105">
    <cfRule type="cellIs" dxfId="4287" priority="1179" operator="greaterThan">
      <formula>0</formula>
    </cfRule>
  </conditionalFormatting>
  <conditionalFormatting sqref="R96:R105">
    <cfRule type="cellIs" dxfId="4286" priority="1182" operator="lessThan">
      <formula>0.8</formula>
    </cfRule>
    <cfRule type="cellIs" dxfId="4285" priority="1183" operator="greaterThan">
      <formula>1</formula>
    </cfRule>
  </conditionalFormatting>
  <conditionalFormatting sqref="R96:R105">
    <cfRule type="cellIs" dxfId="4284" priority="1180" operator="greaterThan">
      <formula>1</formula>
    </cfRule>
    <cfRule type="cellIs" dxfId="4283" priority="1181" operator="lessThan">
      <formula>0.8</formula>
    </cfRule>
  </conditionalFormatting>
  <conditionalFormatting sqref="Q96:Q105">
    <cfRule type="cellIs" dxfId="4282" priority="1172" operator="lessThan">
      <formula>0</formula>
    </cfRule>
  </conditionalFormatting>
  <conditionalFormatting sqref="R96:R105">
    <cfRule type="cellIs" dxfId="4281" priority="1176" operator="lessThan">
      <formula>0.8</formula>
    </cfRule>
    <cfRule type="cellIs" dxfId="4280" priority="1177" operator="greaterThan">
      <formula>1</formula>
    </cfRule>
  </conditionalFormatting>
  <conditionalFormatting sqref="R96:R105">
    <cfRule type="cellIs" dxfId="4279" priority="1174" operator="greaterThan">
      <formula>1</formula>
    </cfRule>
    <cfRule type="cellIs" dxfId="4278" priority="1175" operator="lessThan">
      <formula>0.8</formula>
    </cfRule>
  </conditionalFormatting>
  <conditionalFormatting sqref="P96:P105">
    <cfRule type="cellIs" dxfId="4277" priority="1173" operator="greaterThan">
      <formula>0</formula>
    </cfRule>
  </conditionalFormatting>
  <conditionalFormatting sqref="Q96:Q105">
    <cfRule type="cellIs" dxfId="4276" priority="1171" operator="lessThan">
      <formula>0</formula>
    </cfRule>
  </conditionalFormatting>
  <conditionalFormatting sqref="R96:R105">
    <cfRule type="cellIs" dxfId="4275" priority="1169" operator="lessThan">
      <formula>0.8</formula>
    </cfRule>
    <cfRule type="cellIs" dxfId="4274" priority="1170" operator="greaterThan">
      <formula>1</formula>
    </cfRule>
  </conditionalFormatting>
  <conditionalFormatting sqref="R96:R105">
    <cfRule type="cellIs" dxfId="4273" priority="1167" operator="greaterThan">
      <formula>1</formula>
    </cfRule>
    <cfRule type="cellIs" dxfId="4272" priority="1168" operator="lessThan">
      <formula>0.8</formula>
    </cfRule>
  </conditionalFormatting>
  <conditionalFormatting sqref="P96:P105">
    <cfRule type="cellIs" dxfId="4271" priority="1166" operator="greaterThan">
      <formula>0</formula>
    </cfRule>
  </conditionalFormatting>
  <conditionalFormatting sqref="Q96:Q105">
    <cfRule type="cellIs" dxfId="4270" priority="1165" operator="lessThan">
      <formula>0</formula>
    </cfRule>
  </conditionalFormatting>
  <conditionalFormatting sqref="R96:R105">
    <cfRule type="cellIs" dxfId="4269" priority="1163" operator="lessThan">
      <formula>0.8</formula>
    </cfRule>
    <cfRule type="cellIs" dxfId="4268" priority="1164" operator="greaterThan">
      <formula>1</formula>
    </cfRule>
  </conditionalFormatting>
  <conditionalFormatting sqref="R96:R105">
    <cfRule type="cellIs" dxfId="4267" priority="1161" operator="greaterThan">
      <formula>1</formula>
    </cfRule>
    <cfRule type="cellIs" dxfId="4266" priority="1162" operator="lessThan">
      <formula>0.8</formula>
    </cfRule>
  </conditionalFormatting>
  <conditionalFormatting sqref="P96:P105">
    <cfRule type="cellIs" dxfId="4265" priority="1160" operator="greaterThan">
      <formula>0</formula>
    </cfRule>
  </conditionalFormatting>
  <conditionalFormatting sqref="Q96:Q105">
    <cfRule type="cellIs" dxfId="4264" priority="1154" operator="lessThan">
      <formula>0</formula>
    </cfRule>
  </conditionalFormatting>
  <conditionalFormatting sqref="R96:R105">
    <cfRule type="cellIs" dxfId="4263" priority="1158" operator="lessThan">
      <formula>0.8</formula>
    </cfRule>
    <cfRule type="cellIs" dxfId="4262" priority="1159" operator="greaterThan">
      <formula>1</formula>
    </cfRule>
  </conditionalFormatting>
  <conditionalFormatting sqref="R96:R105">
    <cfRule type="cellIs" dxfId="4261" priority="1156" operator="greaterThan">
      <formula>1</formula>
    </cfRule>
    <cfRule type="cellIs" dxfId="4260" priority="1157" operator="lessThan">
      <formula>0.8</formula>
    </cfRule>
  </conditionalFormatting>
  <conditionalFormatting sqref="P96:P105">
    <cfRule type="cellIs" dxfId="4259" priority="1155" operator="greaterThan">
      <formula>0</formula>
    </cfRule>
  </conditionalFormatting>
  <conditionalFormatting sqref="Q96:Q105">
    <cfRule type="cellIs" dxfId="4258" priority="1153" operator="lessThan">
      <formula>0</formula>
    </cfRule>
  </conditionalFormatting>
  <conditionalFormatting sqref="R96:R105">
    <cfRule type="cellIs" dxfId="4257" priority="1151" operator="lessThan">
      <formula>0.8</formula>
    </cfRule>
    <cfRule type="cellIs" dxfId="4256" priority="1152" operator="greaterThan">
      <formula>1</formula>
    </cfRule>
  </conditionalFormatting>
  <conditionalFormatting sqref="R96:R105">
    <cfRule type="cellIs" dxfId="4255" priority="1149" operator="greaterThan">
      <formula>1</formula>
    </cfRule>
    <cfRule type="cellIs" dxfId="4254" priority="1150" operator="lessThan">
      <formula>0.8</formula>
    </cfRule>
  </conditionalFormatting>
  <conditionalFormatting sqref="P96:P105">
    <cfRule type="cellIs" dxfId="4253" priority="1148" operator="greaterThan">
      <formula>0</formula>
    </cfRule>
  </conditionalFormatting>
  <conditionalFormatting sqref="Q96:Q105">
    <cfRule type="cellIs" dxfId="4252" priority="1147" operator="lessThan">
      <formula>0</formula>
    </cfRule>
  </conditionalFormatting>
  <conditionalFormatting sqref="R96:R105">
    <cfRule type="cellIs" dxfId="4251" priority="1145" operator="lessThan">
      <formula>0.8</formula>
    </cfRule>
    <cfRule type="cellIs" dxfId="4250" priority="1146" operator="greaterThan">
      <formula>1</formula>
    </cfRule>
  </conditionalFormatting>
  <conditionalFormatting sqref="R96:R105">
    <cfRule type="cellIs" dxfId="4249" priority="1143" operator="greaterThan">
      <formula>1</formula>
    </cfRule>
    <cfRule type="cellIs" dxfId="4248" priority="1144" operator="lessThan">
      <formula>0.8</formula>
    </cfRule>
  </conditionalFormatting>
  <conditionalFormatting sqref="P96:P105">
    <cfRule type="cellIs" dxfId="4247" priority="1142" operator="greaterThan">
      <formula>0</formula>
    </cfRule>
  </conditionalFormatting>
  <conditionalFormatting sqref="Q96:Q105">
    <cfRule type="cellIs" dxfId="4246" priority="1141" operator="lessThan">
      <formula>0</formula>
    </cfRule>
  </conditionalFormatting>
  <conditionalFormatting sqref="R96:R105">
    <cfRule type="cellIs" dxfId="4245" priority="1139" operator="lessThan">
      <formula>0.8</formula>
    </cfRule>
    <cfRule type="cellIs" dxfId="4244" priority="1140" operator="greaterThan">
      <formula>1</formula>
    </cfRule>
  </conditionalFormatting>
  <conditionalFormatting sqref="R96:R105">
    <cfRule type="cellIs" dxfId="4243" priority="1137" operator="greaterThan">
      <formula>1</formula>
    </cfRule>
    <cfRule type="cellIs" dxfId="4242" priority="1138" operator="lessThan">
      <formula>0.8</formula>
    </cfRule>
  </conditionalFormatting>
  <conditionalFormatting sqref="P96:P105">
    <cfRule type="cellIs" dxfId="4241" priority="1136" operator="greaterThan">
      <formula>0</formula>
    </cfRule>
  </conditionalFormatting>
  <conditionalFormatting sqref="Q96:Q105">
    <cfRule type="cellIs" dxfId="4240" priority="1135" operator="lessThan">
      <formula>0</formula>
    </cfRule>
  </conditionalFormatting>
  <conditionalFormatting sqref="R96:R105">
    <cfRule type="cellIs" dxfId="4239" priority="1133" operator="lessThan">
      <formula>0.8</formula>
    </cfRule>
    <cfRule type="cellIs" dxfId="4238" priority="1134" operator="greaterThan">
      <formula>1</formula>
    </cfRule>
  </conditionalFormatting>
  <conditionalFormatting sqref="R96:R105">
    <cfRule type="cellIs" dxfId="4237" priority="1131" operator="greaterThan">
      <formula>1</formula>
    </cfRule>
    <cfRule type="cellIs" dxfId="4236" priority="1132" operator="lessThan">
      <formula>0.8</formula>
    </cfRule>
  </conditionalFormatting>
  <conditionalFormatting sqref="P96:P105">
    <cfRule type="cellIs" dxfId="4235" priority="1130" operator="greaterThan">
      <formula>0</formula>
    </cfRule>
  </conditionalFormatting>
  <conditionalFormatting sqref="Q96:Q105">
    <cfRule type="cellIs" dxfId="4234" priority="1129" operator="lessThan">
      <formula>0</formula>
    </cfRule>
  </conditionalFormatting>
  <conditionalFormatting sqref="R96:R105">
    <cfRule type="cellIs" dxfId="4233" priority="1127" operator="lessThan">
      <formula>0.8</formula>
    </cfRule>
    <cfRule type="cellIs" dxfId="4232" priority="1128" operator="greaterThan">
      <formula>1</formula>
    </cfRule>
  </conditionalFormatting>
  <conditionalFormatting sqref="R96:R105">
    <cfRule type="cellIs" dxfId="4231" priority="1125" operator="greaterThan">
      <formula>1</formula>
    </cfRule>
    <cfRule type="cellIs" dxfId="4230" priority="1126" operator="lessThan">
      <formula>0.8</formula>
    </cfRule>
  </conditionalFormatting>
  <conditionalFormatting sqref="P96:P105">
    <cfRule type="cellIs" dxfId="4229" priority="1124" operator="greaterThan">
      <formula>0</formula>
    </cfRule>
  </conditionalFormatting>
  <conditionalFormatting sqref="P96:P105">
    <cfRule type="cellIs" dxfId="4228" priority="1118" operator="greaterThan">
      <formula>0</formula>
    </cfRule>
  </conditionalFormatting>
  <conditionalFormatting sqref="Q96:Q105">
    <cfRule type="cellIs" dxfId="4227" priority="1123" operator="lessThan">
      <formula>0</formula>
    </cfRule>
  </conditionalFormatting>
  <conditionalFormatting sqref="R96:R105">
    <cfRule type="cellIs" dxfId="4226" priority="1121" operator="lessThan">
      <formula>0.8</formula>
    </cfRule>
    <cfRule type="cellIs" dxfId="4225" priority="1122" operator="greaterThan">
      <formula>1</formula>
    </cfRule>
  </conditionalFormatting>
  <conditionalFormatting sqref="R96:R105">
    <cfRule type="cellIs" dxfId="4224" priority="1119" operator="greaterThan">
      <formula>1</formula>
    </cfRule>
    <cfRule type="cellIs" dxfId="4223" priority="1120" operator="lessThan">
      <formula>0.8</formula>
    </cfRule>
  </conditionalFormatting>
  <conditionalFormatting sqref="P96:P105">
    <cfRule type="cellIs" dxfId="4222" priority="1112" operator="greaterThan">
      <formula>0</formula>
    </cfRule>
  </conditionalFormatting>
  <conditionalFormatting sqref="Q96:Q105">
    <cfRule type="cellIs" dxfId="4221" priority="1117" operator="lessThan">
      <formula>0</formula>
    </cfRule>
  </conditionalFormatting>
  <conditionalFormatting sqref="R96:R105">
    <cfRule type="cellIs" dxfId="4220" priority="1115" operator="lessThan">
      <formula>0.8</formula>
    </cfRule>
    <cfRule type="cellIs" dxfId="4219" priority="1116" operator="greaterThan">
      <formula>1</formula>
    </cfRule>
  </conditionalFormatting>
  <conditionalFormatting sqref="R96:R105">
    <cfRule type="cellIs" dxfId="4218" priority="1113" operator="greaterThan">
      <formula>1</formula>
    </cfRule>
    <cfRule type="cellIs" dxfId="4217" priority="1114" operator="lessThan">
      <formula>0.8</formula>
    </cfRule>
  </conditionalFormatting>
  <conditionalFormatting sqref="R96:R105">
    <cfRule type="cellIs" dxfId="4216" priority="1109" operator="lessThan">
      <formula>0.8</formula>
    </cfRule>
    <cfRule type="cellIs" dxfId="4215" priority="1110" operator="greaterThan">
      <formula>1</formula>
    </cfRule>
  </conditionalFormatting>
  <conditionalFormatting sqref="R96:R105">
    <cfRule type="cellIs" dxfId="4214" priority="1107" operator="greaterThan">
      <formula>1</formula>
    </cfRule>
    <cfRule type="cellIs" dxfId="4213" priority="1108" operator="lessThan">
      <formula>0.8</formula>
    </cfRule>
  </conditionalFormatting>
  <conditionalFormatting sqref="P96:P105">
    <cfRule type="cellIs" dxfId="4212" priority="1106" operator="greaterThan">
      <formula>0</formula>
    </cfRule>
  </conditionalFormatting>
  <conditionalFormatting sqref="Q96:Q105">
    <cfRule type="cellIs" dxfId="4211" priority="1111" operator="lessThan">
      <formula>0</formula>
    </cfRule>
  </conditionalFormatting>
  <conditionalFormatting sqref="Q96:Q105">
    <cfRule type="cellIs" dxfId="4210" priority="1100" operator="lessThan">
      <formula>0</formula>
    </cfRule>
  </conditionalFormatting>
  <conditionalFormatting sqref="P96:P105">
    <cfRule type="cellIs" dxfId="4209" priority="1101" operator="greaterThan">
      <formula>0</formula>
    </cfRule>
  </conditionalFormatting>
  <conditionalFormatting sqref="R96:R105">
    <cfRule type="cellIs" dxfId="4208" priority="1104" operator="lessThan">
      <formula>0.8</formula>
    </cfRule>
    <cfRule type="cellIs" dxfId="4207" priority="1105" operator="greaterThan">
      <formula>1</formula>
    </cfRule>
  </conditionalFormatting>
  <conditionalFormatting sqref="R96:R105">
    <cfRule type="cellIs" dxfId="4206" priority="1102" operator="greaterThan">
      <formula>1</formula>
    </cfRule>
    <cfRule type="cellIs" dxfId="4205" priority="1103" operator="lessThan">
      <formula>0.8</formula>
    </cfRule>
  </conditionalFormatting>
  <conditionalFormatting sqref="Q96:Q105">
    <cfRule type="cellIs" dxfId="4204" priority="1094" operator="lessThan">
      <formula>0</formula>
    </cfRule>
  </conditionalFormatting>
  <conditionalFormatting sqref="R96:R105">
    <cfRule type="cellIs" dxfId="4203" priority="1098" operator="lessThan">
      <formula>0.8</formula>
    </cfRule>
    <cfRule type="cellIs" dxfId="4202" priority="1099" operator="greaterThan">
      <formula>1</formula>
    </cfRule>
  </conditionalFormatting>
  <conditionalFormatting sqref="R96:R105">
    <cfRule type="cellIs" dxfId="4201" priority="1096" operator="greaterThan">
      <formula>1</formula>
    </cfRule>
    <cfRule type="cellIs" dxfId="4200" priority="1097" operator="lessThan">
      <formula>0.8</formula>
    </cfRule>
  </conditionalFormatting>
  <conditionalFormatting sqref="P96:P105">
    <cfRule type="cellIs" dxfId="4199" priority="1095" operator="greaterThan">
      <formula>0</formula>
    </cfRule>
  </conditionalFormatting>
  <conditionalFormatting sqref="Q96:Q105">
    <cfRule type="cellIs" dxfId="4198" priority="1093" operator="lessThan">
      <formula>0</formula>
    </cfRule>
  </conditionalFormatting>
  <conditionalFormatting sqref="R96:R105">
    <cfRule type="cellIs" dxfId="4197" priority="1091" operator="lessThan">
      <formula>0.8</formula>
    </cfRule>
    <cfRule type="cellIs" dxfId="4196" priority="1092" operator="greaterThan">
      <formula>1</formula>
    </cfRule>
  </conditionalFormatting>
  <conditionalFormatting sqref="R96:R105">
    <cfRule type="cellIs" dxfId="4195" priority="1089" operator="greaterThan">
      <formula>1</formula>
    </cfRule>
    <cfRule type="cellIs" dxfId="4194" priority="1090" operator="lessThan">
      <formula>0.8</formula>
    </cfRule>
  </conditionalFormatting>
  <conditionalFormatting sqref="P96:P105">
    <cfRule type="cellIs" dxfId="4193" priority="1088" operator="greaterThan">
      <formula>0</formula>
    </cfRule>
  </conditionalFormatting>
  <conditionalFormatting sqref="Q96:Q105">
    <cfRule type="cellIs" dxfId="4192" priority="1087" operator="lessThan">
      <formula>0</formula>
    </cfRule>
  </conditionalFormatting>
  <conditionalFormatting sqref="R96:R105">
    <cfRule type="cellIs" dxfId="4191" priority="1085" operator="lessThan">
      <formula>0.8</formula>
    </cfRule>
    <cfRule type="cellIs" dxfId="4190" priority="1086" operator="greaterThan">
      <formula>1</formula>
    </cfRule>
  </conditionalFormatting>
  <conditionalFormatting sqref="R96:R105">
    <cfRule type="cellIs" dxfId="4189" priority="1083" operator="greaterThan">
      <formula>1</formula>
    </cfRule>
    <cfRule type="cellIs" dxfId="4188" priority="1084" operator="lessThan">
      <formula>0.8</formula>
    </cfRule>
  </conditionalFormatting>
  <conditionalFormatting sqref="P96:P105">
    <cfRule type="cellIs" dxfId="4187" priority="1082" operator="greaterThan">
      <formula>0</formula>
    </cfRule>
  </conditionalFormatting>
  <conditionalFormatting sqref="Q96:Q105">
    <cfRule type="cellIs" dxfId="4186" priority="1076" operator="lessThan">
      <formula>0</formula>
    </cfRule>
  </conditionalFormatting>
  <conditionalFormatting sqref="P96:P105">
    <cfRule type="cellIs" dxfId="4185" priority="1077" operator="greaterThan">
      <formula>0</formula>
    </cfRule>
  </conditionalFormatting>
  <conditionalFormatting sqref="R96:R105">
    <cfRule type="cellIs" dxfId="4184" priority="1080" operator="lessThan">
      <formula>0.8</formula>
    </cfRule>
    <cfRule type="cellIs" dxfId="4183" priority="1081" operator="greaterThan">
      <formula>1</formula>
    </cfRule>
  </conditionalFormatting>
  <conditionalFormatting sqref="R96:R105">
    <cfRule type="cellIs" dxfId="4182" priority="1078" operator="greaterThan">
      <formula>1</formula>
    </cfRule>
    <cfRule type="cellIs" dxfId="4181" priority="1079" operator="lessThan">
      <formula>0.8</formula>
    </cfRule>
  </conditionalFormatting>
  <conditionalFormatting sqref="Q96:Q105">
    <cfRule type="cellIs" dxfId="4180" priority="1070" operator="lessThan">
      <formula>0</formula>
    </cfRule>
  </conditionalFormatting>
  <conditionalFormatting sqref="R96:R105">
    <cfRule type="cellIs" dxfId="4179" priority="1074" operator="lessThan">
      <formula>0.8</formula>
    </cfRule>
    <cfRule type="cellIs" dxfId="4178" priority="1075" operator="greaterThan">
      <formula>1</formula>
    </cfRule>
  </conditionalFormatting>
  <conditionalFormatting sqref="R96:R105">
    <cfRule type="cellIs" dxfId="4177" priority="1072" operator="greaterThan">
      <formula>1</formula>
    </cfRule>
    <cfRule type="cellIs" dxfId="4176" priority="1073" operator="lessThan">
      <formula>0.8</formula>
    </cfRule>
  </conditionalFormatting>
  <conditionalFormatting sqref="P96:P105">
    <cfRule type="cellIs" dxfId="4175" priority="1071" operator="greaterThan">
      <formula>0</formula>
    </cfRule>
  </conditionalFormatting>
  <conditionalFormatting sqref="Q96:Q105">
    <cfRule type="cellIs" dxfId="4174" priority="1069" operator="lessThan">
      <formula>0</formula>
    </cfRule>
  </conditionalFormatting>
  <conditionalFormatting sqref="R96:R105">
    <cfRule type="cellIs" dxfId="4173" priority="1067" operator="lessThan">
      <formula>0.8</formula>
    </cfRule>
    <cfRule type="cellIs" dxfId="4172" priority="1068" operator="greaterThan">
      <formula>1</formula>
    </cfRule>
  </conditionalFormatting>
  <conditionalFormatting sqref="R96:R105">
    <cfRule type="cellIs" dxfId="4171" priority="1065" operator="greaterThan">
      <formula>1</formula>
    </cfRule>
    <cfRule type="cellIs" dxfId="4170" priority="1066" operator="lessThan">
      <formula>0.8</formula>
    </cfRule>
  </conditionalFormatting>
  <conditionalFormatting sqref="P96:P105">
    <cfRule type="cellIs" dxfId="4169" priority="1064" operator="greaterThan">
      <formula>0</formula>
    </cfRule>
  </conditionalFormatting>
  <conditionalFormatting sqref="Q96:Q105">
    <cfRule type="cellIs" dxfId="4168" priority="1063" operator="lessThan">
      <formula>0</formula>
    </cfRule>
  </conditionalFormatting>
  <conditionalFormatting sqref="R96:R105">
    <cfRule type="cellIs" dxfId="4167" priority="1061" operator="lessThan">
      <formula>0.8</formula>
    </cfRule>
    <cfRule type="cellIs" dxfId="4166" priority="1062" operator="greaterThan">
      <formula>1</formula>
    </cfRule>
  </conditionalFormatting>
  <conditionalFormatting sqref="R96:R105">
    <cfRule type="cellIs" dxfId="4165" priority="1059" operator="greaterThan">
      <formula>1</formula>
    </cfRule>
    <cfRule type="cellIs" dxfId="4164" priority="1060" operator="lessThan">
      <formula>0.8</formula>
    </cfRule>
  </conditionalFormatting>
  <conditionalFormatting sqref="P96:P105">
    <cfRule type="cellIs" dxfId="4163" priority="1058" operator="greaterThan">
      <formula>0</formula>
    </cfRule>
  </conditionalFormatting>
  <conditionalFormatting sqref="P124">
    <cfRule type="cellIs" dxfId="4162" priority="1052" operator="greaterThan">
      <formula>0</formula>
    </cfRule>
  </conditionalFormatting>
  <conditionalFormatting sqref="Q124">
    <cfRule type="cellIs" dxfId="4161" priority="1057" operator="lessThan">
      <formula>0</formula>
    </cfRule>
  </conditionalFormatting>
  <conditionalFormatting sqref="R124">
    <cfRule type="cellIs" dxfId="4160" priority="1055" operator="lessThan">
      <formula>0.8</formula>
    </cfRule>
    <cfRule type="cellIs" dxfId="4159" priority="1056" operator="greaterThan">
      <formula>1</formula>
    </cfRule>
  </conditionalFormatting>
  <conditionalFormatting sqref="R124">
    <cfRule type="cellIs" dxfId="4158" priority="1053" operator="greaterThan">
      <formula>1</formula>
    </cfRule>
    <cfRule type="cellIs" dxfId="4157" priority="1054" operator="lessThan">
      <formula>0.8</formula>
    </cfRule>
  </conditionalFormatting>
  <conditionalFormatting sqref="Q124">
    <cfRule type="cellIs" dxfId="4156" priority="1051" operator="lessThan">
      <formula>0</formula>
    </cfRule>
  </conditionalFormatting>
  <conditionalFormatting sqref="R124">
    <cfRule type="cellIs" dxfId="4155" priority="1049" operator="lessThan">
      <formula>0.8</formula>
    </cfRule>
    <cfRule type="cellIs" dxfId="4154" priority="1050" operator="greaterThan">
      <formula>1</formula>
    </cfRule>
  </conditionalFormatting>
  <conditionalFormatting sqref="R124">
    <cfRule type="cellIs" dxfId="4153" priority="1047" operator="greaterThan">
      <formula>1</formula>
    </cfRule>
    <cfRule type="cellIs" dxfId="4152" priority="1048" operator="lessThan">
      <formula>0.8</formula>
    </cfRule>
  </conditionalFormatting>
  <conditionalFormatting sqref="P124">
    <cfRule type="cellIs" dxfId="4151" priority="1046" operator="greaterThan">
      <formula>0</formula>
    </cfRule>
  </conditionalFormatting>
  <conditionalFormatting sqref="Q123 Q126:Q131">
    <cfRule type="cellIs" dxfId="4150" priority="1045" operator="lessThan">
      <formula>0</formula>
    </cfRule>
  </conditionalFormatting>
  <conditionalFormatting sqref="R123 R126:R131">
    <cfRule type="cellIs" dxfId="4149" priority="1043" operator="lessThan">
      <formula>0.8</formula>
    </cfRule>
    <cfRule type="cellIs" dxfId="4148" priority="1044" operator="greaterThan">
      <formula>1</formula>
    </cfRule>
  </conditionalFormatting>
  <conditionalFormatting sqref="R123 R126:R131">
    <cfRule type="cellIs" dxfId="4147" priority="1041" operator="greaterThan">
      <formula>1</formula>
    </cfRule>
    <cfRule type="cellIs" dxfId="4146" priority="1042" operator="lessThan">
      <formula>0.8</formula>
    </cfRule>
  </conditionalFormatting>
  <conditionalFormatting sqref="P123 P126:P131">
    <cfRule type="cellIs" dxfId="4145" priority="1040" operator="greaterThan">
      <formula>0</formula>
    </cfRule>
  </conditionalFormatting>
  <conditionalFormatting sqref="P123 P126:P131">
    <cfRule type="cellIs" dxfId="4144" priority="1034" operator="greaterThan">
      <formula>0</formula>
    </cfRule>
  </conditionalFormatting>
  <conditionalFormatting sqref="Q123 Q126:Q131">
    <cfRule type="cellIs" dxfId="4143" priority="1039" operator="lessThan">
      <formula>0</formula>
    </cfRule>
  </conditionalFormatting>
  <conditionalFormatting sqref="R123 R126:R131">
    <cfRule type="cellIs" dxfId="4142" priority="1037" operator="lessThan">
      <formula>0.8</formula>
    </cfRule>
    <cfRule type="cellIs" dxfId="4141" priority="1038" operator="greaterThan">
      <formula>1</formula>
    </cfRule>
  </conditionalFormatting>
  <conditionalFormatting sqref="R123 R126:R131">
    <cfRule type="cellIs" dxfId="4140" priority="1035" operator="greaterThan">
      <formula>1</formula>
    </cfRule>
    <cfRule type="cellIs" dxfId="4139" priority="1036" operator="lessThan">
      <formula>0.8</formula>
    </cfRule>
  </conditionalFormatting>
  <conditionalFormatting sqref="P122 P125">
    <cfRule type="cellIs" dxfId="4138" priority="1028" operator="greaterThan">
      <formula>0</formula>
    </cfRule>
  </conditionalFormatting>
  <conditionalFormatting sqref="Q122 Q125">
    <cfRule type="cellIs" dxfId="4137" priority="1033" operator="lessThan">
      <formula>0</formula>
    </cfRule>
  </conditionalFormatting>
  <conditionalFormatting sqref="R122 R125">
    <cfRule type="cellIs" dxfId="4136" priority="1031" operator="lessThan">
      <formula>0.8</formula>
    </cfRule>
    <cfRule type="cellIs" dxfId="4135" priority="1032" operator="greaterThan">
      <formula>1</formula>
    </cfRule>
  </conditionalFormatting>
  <conditionalFormatting sqref="R122 R125">
    <cfRule type="cellIs" dxfId="4134" priority="1029" operator="greaterThan">
      <formula>1</formula>
    </cfRule>
    <cfRule type="cellIs" dxfId="4133" priority="1030" operator="lessThan">
      <formula>0.8</formula>
    </cfRule>
  </conditionalFormatting>
  <conditionalFormatting sqref="P137 P140 P142 P144">
    <cfRule type="cellIs" dxfId="4132" priority="1027" operator="greaterThan">
      <formula>0</formula>
    </cfRule>
  </conditionalFormatting>
  <conditionalFormatting sqref="Q137:Q145">
    <cfRule type="cellIs" dxfId="4131" priority="1026" operator="lessThan">
      <formula>0</formula>
    </cfRule>
  </conditionalFormatting>
  <conditionalFormatting sqref="R137">
    <cfRule type="cellIs" dxfId="4130" priority="1024" operator="lessThan">
      <formula>0.8</formula>
    </cfRule>
    <cfRule type="cellIs" dxfId="4129" priority="1025" operator="greaterThan">
      <formula>1</formula>
    </cfRule>
  </conditionalFormatting>
  <conditionalFormatting sqref="R137">
    <cfRule type="cellIs" dxfId="4128" priority="1022" operator="greaterThan">
      <formula>1</formula>
    </cfRule>
    <cfRule type="cellIs" dxfId="4127" priority="1023" operator="lessThan">
      <formula>0.8</formula>
    </cfRule>
  </conditionalFormatting>
  <conditionalFormatting sqref="P137 P140 P142 P144">
    <cfRule type="cellIs" dxfId="4126" priority="1021" operator="greaterThan">
      <formula>0</formula>
    </cfRule>
  </conditionalFormatting>
  <conditionalFormatting sqref="Q137:Q145">
    <cfRule type="cellIs" dxfId="4125" priority="1020" operator="lessThan">
      <formula>0</formula>
    </cfRule>
  </conditionalFormatting>
  <conditionalFormatting sqref="R137">
    <cfRule type="cellIs" dxfId="4124" priority="1018" operator="lessThan">
      <formula>0.8</formula>
    </cfRule>
    <cfRule type="cellIs" dxfId="4123" priority="1019" operator="greaterThan">
      <formula>1</formula>
    </cfRule>
  </conditionalFormatting>
  <conditionalFormatting sqref="R137">
    <cfRule type="cellIs" dxfId="4122" priority="1016" operator="greaterThan">
      <formula>1</formula>
    </cfRule>
    <cfRule type="cellIs" dxfId="4121" priority="1017" operator="lessThan">
      <formula>0.8</formula>
    </cfRule>
  </conditionalFormatting>
  <conditionalFormatting sqref="P137 P140 P142 P144">
    <cfRule type="cellIs" dxfId="4120" priority="1015" operator="greaterThan">
      <formula>0</formula>
    </cfRule>
  </conditionalFormatting>
  <conditionalFormatting sqref="P137 P140 P142 P144">
    <cfRule type="cellIs" dxfId="4119" priority="1009" operator="greaterThan">
      <formula>0</formula>
    </cfRule>
  </conditionalFormatting>
  <conditionalFormatting sqref="Q137:Q145">
    <cfRule type="cellIs" dxfId="4118" priority="1014" operator="lessThan">
      <formula>0</formula>
    </cfRule>
  </conditionalFormatting>
  <conditionalFormatting sqref="R137">
    <cfRule type="cellIs" dxfId="4117" priority="1012" operator="lessThan">
      <formula>0.8</formula>
    </cfRule>
    <cfRule type="cellIs" dxfId="4116" priority="1013" operator="greaterThan">
      <formula>1</formula>
    </cfRule>
  </conditionalFormatting>
  <conditionalFormatting sqref="R137">
    <cfRule type="cellIs" dxfId="4115" priority="1010" operator="greaterThan">
      <formula>1</formula>
    </cfRule>
    <cfRule type="cellIs" dxfId="4114" priority="1011" operator="lessThan">
      <formula>0.8</formula>
    </cfRule>
  </conditionalFormatting>
  <conditionalFormatting sqref="Q137:Q145">
    <cfRule type="cellIs" dxfId="4113" priority="1008" operator="lessThan">
      <formula>0</formula>
    </cfRule>
  </conditionalFormatting>
  <conditionalFormatting sqref="R137">
    <cfRule type="cellIs" dxfId="4112" priority="1006" operator="lessThan">
      <formula>0.8</formula>
    </cfRule>
    <cfRule type="cellIs" dxfId="4111" priority="1007" operator="greaterThan">
      <formula>1</formula>
    </cfRule>
  </conditionalFormatting>
  <conditionalFormatting sqref="R137">
    <cfRule type="cellIs" dxfId="4110" priority="1004" operator="greaterThan">
      <formula>1</formula>
    </cfRule>
    <cfRule type="cellIs" dxfId="4109" priority="1005" operator="lessThan">
      <formula>0.8</formula>
    </cfRule>
  </conditionalFormatting>
  <conditionalFormatting sqref="P137 P140 P142 P144">
    <cfRule type="cellIs" dxfId="4108" priority="1003" operator="greaterThan">
      <formula>0</formula>
    </cfRule>
  </conditionalFormatting>
  <conditionalFormatting sqref="Q137:Q145">
    <cfRule type="cellIs" dxfId="4107" priority="1002" operator="lessThan">
      <formula>0</formula>
    </cfRule>
  </conditionalFormatting>
  <conditionalFormatting sqref="R137">
    <cfRule type="cellIs" dxfId="4106" priority="1000" operator="lessThan">
      <formula>0.8</formula>
    </cfRule>
    <cfRule type="cellIs" dxfId="4105" priority="1001" operator="greaterThan">
      <formula>1</formula>
    </cfRule>
  </conditionalFormatting>
  <conditionalFormatting sqref="R137">
    <cfRule type="cellIs" dxfId="4104" priority="998" operator="greaterThan">
      <formula>1</formula>
    </cfRule>
    <cfRule type="cellIs" dxfId="4103" priority="999" operator="lessThan">
      <formula>0.8</formula>
    </cfRule>
  </conditionalFormatting>
  <conditionalFormatting sqref="P137 P140 P142 P144">
    <cfRule type="cellIs" dxfId="4102" priority="997" operator="greaterThan">
      <formula>0</formula>
    </cfRule>
  </conditionalFormatting>
  <conditionalFormatting sqref="P137 P140 P142 P144">
    <cfRule type="cellIs" dxfId="4101" priority="991" operator="greaterThan">
      <formula>0</formula>
    </cfRule>
  </conditionalFormatting>
  <conditionalFormatting sqref="Q137:Q145">
    <cfRule type="cellIs" dxfId="4100" priority="996" operator="lessThan">
      <formula>0</formula>
    </cfRule>
  </conditionalFormatting>
  <conditionalFormatting sqref="R137">
    <cfRule type="cellIs" dxfId="4099" priority="994" operator="lessThan">
      <formula>0.8</formula>
    </cfRule>
    <cfRule type="cellIs" dxfId="4098" priority="995" operator="greaterThan">
      <formula>1</formula>
    </cfRule>
  </conditionalFormatting>
  <conditionalFormatting sqref="R137">
    <cfRule type="cellIs" dxfId="4097" priority="992" operator="greaterThan">
      <formula>1</formula>
    </cfRule>
    <cfRule type="cellIs" dxfId="4096" priority="993" operator="lessThan">
      <formula>0.8</formula>
    </cfRule>
  </conditionalFormatting>
  <conditionalFormatting sqref="Q137:Q145">
    <cfRule type="cellIs" dxfId="4095" priority="990" operator="lessThan">
      <formula>0</formula>
    </cfRule>
  </conditionalFormatting>
  <conditionalFormatting sqref="R137">
    <cfRule type="cellIs" dxfId="4094" priority="988" operator="lessThan">
      <formula>0.8</formula>
    </cfRule>
    <cfRule type="cellIs" dxfId="4093" priority="989" operator="greaterThan">
      <formula>1</formula>
    </cfRule>
  </conditionalFormatting>
  <conditionalFormatting sqref="R137">
    <cfRule type="cellIs" dxfId="4092" priority="986" operator="greaterThan">
      <formula>1</formula>
    </cfRule>
    <cfRule type="cellIs" dxfId="4091" priority="987" operator="lessThan">
      <formula>0.8</formula>
    </cfRule>
  </conditionalFormatting>
  <conditionalFormatting sqref="P137 P140 P142 P144">
    <cfRule type="cellIs" dxfId="4090" priority="985" operator="greaterThan">
      <formula>0</formula>
    </cfRule>
  </conditionalFormatting>
  <conditionalFormatting sqref="Q137:Q145">
    <cfRule type="cellIs" dxfId="4089" priority="984" operator="lessThan">
      <formula>0</formula>
    </cfRule>
  </conditionalFormatting>
  <conditionalFormatting sqref="R137">
    <cfRule type="cellIs" dxfId="4088" priority="982" operator="lessThan">
      <formula>0.8</formula>
    </cfRule>
    <cfRule type="cellIs" dxfId="4087" priority="983" operator="greaterThan">
      <formula>1</formula>
    </cfRule>
  </conditionalFormatting>
  <conditionalFormatting sqref="R137">
    <cfRule type="cellIs" dxfId="4086" priority="980" operator="greaterThan">
      <formula>1</formula>
    </cfRule>
    <cfRule type="cellIs" dxfId="4085" priority="981" operator="lessThan">
      <formula>0.8</formula>
    </cfRule>
  </conditionalFormatting>
  <conditionalFormatting sqref="P137 P140 P142 P144">
    <cfRule type="cellIs" dxfId="4084" priority="979" operator="greaterThan">
      <formula>0</formula>
    </cfRule>
  </conditionalFormatting>
  <conditionalFormatting sqref="P137 P140 P142 P144">
    <cfRule type="cellIs" dxfId="4083" priority="973" operator="greaterThan">
      <formula>0</formula>
    </cfRule>
  </conditionalFormatting>
  <conditionalFormatting sqref="Q137:Q145">
    <cfRule type="cellIs" dxfId="4082" priority="978" operator="lessThan">
      <formula>0</formula>
    </cfRule>
  </conditionalFormatting>
  <conditionalFormatting sqref="R137">
    <cfRule type="cellIs" dxfId="4081" priority="976" operator="lessThan">
      <formula>0.8</formula>
    </cfRule>
    <cfRule type="cellIs" dxfId="4080" priority="977" operator="greaterThan">
      <formula>1</formula>
    </cfRule>
  </conditionalFormatting>
  <conditionalFormatting sqref="R137">
    <cfRule type="cellIs" dxfId="4079" priority="974" operator="greaterThan">
      <formula>1</formula>
    </cfRule>
    <cfRule type="cellIs" dxfId="4078" priority="975" operator="lessThan">
      <formula>0.8</formula>
    </cfRule>
  </conditionalFormatting>
  <conditionalFormatting sqref="Q137:Q145">
    <cfRule type="cellIs" dxfId="4077" priority="972" operator="lessThan">
      <formula>0</formula>
    </cfRule>
  </conditionalFormatting>
  <conditionalFormatting sqref="R137">
    <cfRule type="cellIs" dxfId="4076" priority="970" operator="lessThan">
      <formula>0.8</formula>
    </cfRule>
    <cfRule type="cellIs" dxfId="4075" priority="971" operator="greaterThan">
      <formula>1</formula>
    </cfRule>
  </conditionalFormatting>
  <conditionalFormatting sqref="R137">
    <cfRule type="cellIs" dxfId="4074" priority="968" operator="greaterThan">
      <formula>1</formula>
    </cfRule>
    <cfRule type="cellIs" dxfId="4073" priority="969" operator="lessThan">
      <formula>0.8</formula>
    </cfRule>
  </conditionalFormatting>
  <conditionalFormatting sqref="P137 P140 P142 P144">
    <cfRule type="cellIs" dxfId="4072" priority="967" operator="greaterThan">
      <formula>0</formula>
    </cfRule>
  </conditionalFormatting>
  <conditionalFormatting sqref="P138">
    <cfRule type="cellIs" dxfId="4071" priority="962" operator="greaterThan">
      <formula>0</formula>
    </cfRule>
  </conditionalFormatting>
  <conditionalFormatting sqref="R138">
    <cfRule type="cellIs" dxfId="4070" priority="965" operator="lessThan">
      <formula>0.8</formula>
    </cfRule>
    <cfRule type="cellIs" dxfId="4069" priority="966" operator="greaterThan">
      <formula>1</formula>
    </cfRule>
  </conditionalFormatting>
  <conditionalFormatting sqref="R138">
    <cfRule type="cellIs" dxfId="4068" priority="963" operator="greaterThan">
      <formula>1</formula>
    </cfRule>
    <cfRule type="cellIs" dxfId="4067" priority="964" operator="lessThan">
      <formula>0.8</formula>
    </cfRule>
  </conditionalFormatting>
  <conditionalFormatting sqref="R138">
    <cfRule type="cellIs" dxfId="4066" priority="960" operator="lessThan">
      <formula>0.8</formula>
    </cfRule>
    <cfRule type="cellIs" dxfId="4065" priority="961" operator="greaterThan">
      <formula>1</formula>
    </cfRule>
  </conditionalFormatting>
  <conditionalFormatting sqref="R138">
    <cfRule type="cellIs" dxfId="4064" priority="958" operator="greaterThan">
      <formula>1</formula>
    </cfRule>
    <cfRule type="cellIs" dxfId="4063" priority="959" operator="lessThan">
      <formula>0.8</formula>
    </cfRule>
  </conditionalFormatting>
  <conditionalFormatting sqref="P138">
    <cfRule type="cellIs" dxfId="4062" priority="957" operator="greaterThan">
      <formula>0</formula>
    </cfRule>
  </conditionalFormatting>
  <conditionalFormatting sqref="R138">
    <cfRule type="cellIs" dxfId="4061" priority="955" operator="lessThan">
      <formula>0.8</formula>
    </cfRule>
    <cfRule type="cellIs" dxfId="4060" priority="956" operator="greaterThan">
      <formula>1</formula>
    </cfRule>
  </conditionalFormatting>
  <conditionalFormatting sqref="R138">
    <cfRule type="cellIs" dxfId="4059" priority="953" operator="greaterThan">
      <formula>1</formula>
    </cfRule>
    <cfRule type="cellIs" dxfId="4058" priority="954" operator="lessThan">
      <formula>0.8</formula>
    </cfRule>
  </conditionalFormatting>
  <conditionalFormatting sqref="P138">
    <cfRule type="cellIs" dxfId="4057" priority="952" operator="greaterThan">
      <formula>0</formula>
    </cfRule>
  </conditionalFormatting>
  <conditionalFormatting sqref="R138">
    <cfRule type="cellIs" dxfId="4056" priority="950" operator="lessThan">
      <formula>0.8</formula>
    </cfRule>
    <cfRule type="cellIs" dxfId="4055" priority="951" operator="greaterThan">
      <formula>1</formula>
    </cfRule>
  </conditionalFormatting>
  <conditionalFormatting sqref="R138">
    <cfRule type="cellIs" dxfId="4054" priority="948" operator="greaterThan">
      <formula>1</formula>
    </cfRule>
    <cfRule type="cellIs" dxfId="4053" priority="949" operator="lessThan">
      <formula>0.8</formula>
    </cfRule>
  </conditionalFormatting>
  <conditionalFormatting sqref="P138">
    <cfRule type="cellIs" dxfId="4052" priority="947" operator="greaterThan">
      <formula>0</formula>
    </cfRule>
  </conditionalFormatting>
  <conditionalFormatting sqref="R138">
    <cfRule type="cellIs" dxfId="4051" priority="945" operator="lessThan">
      <formula>0.8</formula>
    </cfRule>
    <cfRule type="cellIs" dxfId="4050" priority="946" operator="greaterThan">
      <formula>1</formula>
    </cfRule>
  </conditionalFormatting>
  <conditionalFormatting sqref="R138">
    <cfRule type="cellIs" dxfId="4049" priority="943" operator="greaterThan">
      <formula>1</formula>
    </cfRule>
    <cfRule type="cellIs" dxfId="4048" priority="944" operator="lessThan">
      <formula>0.8</formula>
    </cfRule>
  </conditionalFormatting>
  <conditionalFormatting sqref="R138">
    <cfRule type="cellIs" dxfId="4047" priority="941" operator="lessThan">
      <formula>0.8</formula>
    </cfRule>
    <cfRule type="cellIs" dxfId="4046" priority="942" operator="greaterThan">
      <formula>1</formula>
    </cfRule>
  </conditionalFormatting>
  <conditionalFormatting sqref="R138">
    <cfRule type="cellIs" dxfId="4045" priority="939" operator="greaterThan">
      <formula>1</formula>
    </cfRule>
    <cfRule type="cellIs" dxfId="4044" priority="940" operator="lessThan">
      <formula>0.8</formula>
    </cfRule>
  </conditionalFormatting>
  <conditionalFormatting sqref="P138">
    <cfRule type="cellIs" dxfId="4043" priority="938" operator="greaterThan">
      <formula>0</formula>
    </cfRule>
  </conditionalFormatting>
  <conditionalFormatting sqref="P138">
    <cfRule type="cellIs" dxfId="4042" priority="933" operator="greaterThan">
      <formula>0</formula>
    </cfRule>
  </conditionalFormatting>
  <conditionalFormatting sqref="R138">
    <cfRule type="cellIs" dxfId="4041" priority="936" operator="lessThan">
      <formula>0.8</formula>
    </cfRule>
    <cfRule type="cellIs" dxfId="4040" priority="937" operator="greaterThan">
      <formula>1</formula>
    </cfRule>
  </conditionalFormatting>
  <conditionalFormatting sqref="R138">
    <cfRule type="cellIs" dxfId="4039" priority="934" operator="greaterThan">
      <formula>1</formula>
    </cfRule>
    <cfRule type="cellIs" dxfId="4038" priority="935" operator="lessThan">
      <formula>0.8</formula>
    </cfRule>
  </conditionalFormatting>
  <conditionalFormatting sqref="R138">
    <cfRule type="cellIs" dxfId="4037" priority="931" operator="lessThan">
      <formula>0.8</formula>
    </cfRule>
    <cfRule type="cellIs" dxfId="4036" priority="932" operator="greaterThan">
      <formula>1</formula>
    </cfRule>
  </conditionalFormatting>
  <conditionalFormatting sqref="R138">
    <cfRule type="cellIs" dxfId="4035" priority="929" operator="greaterThan">
      <formula>1</formula>
    </cfRule>
    <cfRule type="cellIs" dxfId="4034" priority="930" operator="lessThan">
      <formula>0.8</formula>
    </cfRule>
  </conditionalFormatting>
  <conditionalFormatting sqref="P138">
    <cfRule type="cellIs" dxfId="4033" priority="928" operator="greaterThan">
      <formula>0</formula>
    </cfRule>
  </conditionalFormatting>
  <conditionalFormatting sqref="Q148:Q156">
    <cfRule type="cellIs" dxfId="4032" priority="927" operator="lessThan">
      <formula>0</formula>
    </cfRule>
  </conditionalFormatting>
  <conditionalFormatting sqref="R148:R156">
    <cfRule type="cellIs" dxfId="4031" priority="925" operator="lessThan">
      <formula>0.8</formula>
    </cfRule>
    <cfRule type="cellIs" dxfId="4030" priority="926" operator="greaterThan">
      <formula>1</formula>
    </cfRule>
  </conditionalFormatting>
  <conditionalFormatting sqref="R148:R156">
    <cfRule type="cellIs" dxfId="4029" priority="923" operator="greaterThan">
      <formula>1</formula>
    </cfRule>
    <cfRule type="cellIs" dxfId="4028" priority="924" operator="lessThan">
      <formula>0.8</formula>
    </cfRule>
  </conditionalFormatting>
  <conditionalFormatting sqref="P148:P156">
    <cfRule type="cellIs" dxfId="4027" priority="922" operator="greaterThan">
      <formula>0</formula>
    </cfRule>
  </conditionalFormatting>
  <conditionalFormatting sqref="P148:P156">
    <cfRule type="cellIs" dxfId="4026" priority="916" operator="greaterThan">
      <formula>0</formula>
    </cfRule>
  </conditionalFormatting>
  <conditionalFormatting sqref="Q148:Q156">
    <cfRule type="cellIs" dxfId="4025" priority="921" operator="lessThan">
      <formula>0</formula>
    </cfRule>
  </conditionalFormatting>
  <conditionalFormatting sqref="R148:R156">
    <cfRule type="cellIs" dxfId="4024" priority="919" operator="lessThan">
      <formula>0.8</formula>
    </cfRule>
    <cfRule type="cellIs" dxfId="4023" priority="920" operator="greaterThan">
      <formula>1</formula>
    </cfRule>
  </conditionalFormatting>
  <conditionalFormatting sqref="R148:R156">
    <cfRule type="cellIs" dxfId="4022" priority="917" operator="greaterThan">
      <formula>1</formula>
    </cfRule>
    <cfRule type="cellIs" dxfId="4021" priority="918" operator="lessThan">
      <formula>0.8</formula>
    </cfRule>
  </conditionalFormatting>
  <conditionalFormatting sqref="Q148:Q156">
    <cfRule type="cellIs" dxfId="4020" priority="915" operator="lessThan">
      <formula>0</formula>
    </cfRule>
  </conditionalFormatting>
  <conditionalFormatting sqref="R148:R156">
    <cfRule type="cellIs" dxfId="4019" priority="913" operator="lessThan">
      <formula>0.8</formula>
    </cfRule>
    <cfRule type="cellIs" dxfId="4018" priority="914" operator="greaterThan">
      <formula>1</formula>
    </cfRule>
  </conditionalFormatting>
  <conditionalFormatting sqref="R148:R156">
    <cfRule type="cellIs" dxfId="4017" priority="911" operator="greaterThan">
      <formula>1</formula>
    </cfRule>
    <cfRule type="cellIs" dxfId="4016" priority="912" operator="lessThan">
      <formula>0.8</formula>
    </cfRule>
  </conditionalFormatting>
  <conditionalFormatting sqref="P148:P156">
    <cfRule type="cellIs" dxfId="4015" priority="910" operator="greaterThan">
      <formula>0</formula>
    </cfRule>
  </conditionalFormatting>
  <conditionalFormatting sqref="Q148:Q156">
    <cfRule type="cellIs" dxfId="4014" priority="909" operator="lessThan">
      <formula>0</formula>
    </cfRule>
  </conditionalFormatting>
  <conditionalFormatting sqref="R148:R156">
    <cfRule type="cellIs" dxfId="4013" priority="907" operator="lessThan">
      <formula>0.8</formula>
    </cfRule>
    <cfRule type="cellIs" dxfId="4012" priority="908" operator="greaterThan">
      <formula>1</formula>
    </cfRule>
  </conditionalFormatting>
  <conditionalFormatting sqref="R148:R156">
    <cfRule type="cellIs" dxfId="4011" priority="905" operator="greaterThan">
      <formula>1</formula>
    </cfRule>
    <cfRule type="cellIs" dxfId="4010" priority="906" operator="lessThan">
      <formula>0.8</formula>
    </cfRule>
  </conditionalFormatting>
  <conditionalFormatting sqref="P148:P156">
    <cfRule type="cellIs" dxfId="4009" priority="904" operator="greaterThan">
      <formula>0</formula>
    </cfRule>
  </conditionalFormatting>
  <conditionalFormatting sqref="P148:P156">
    <cfRule type="cellIs" dxfId="4008" priority="898" operator="greaterThan">
      <formula>0</formula>
    </cfRule>
  </conditionalFormatting>
  <conditionalFormatting sqref="Q148:Q156">
    <cfRule type="cellIs" dxfId="4007" priority="903" operator="lessThan">
      <formula>0</formula>
    </cfRule>
  </conditionalFormatting>
  <conditionalFormatting sqref="R148:R156">
    <cfRule type="cellIs" dxfId="4006" priority="901" operator="lessThan">
      <formula>0.8</formula>
    </cfRule>
    <cfRule type="cellIs" dxfId="4005" priority="902" operator="greaterThan">
      <formula>1</formula>
    </cfRule>
  </conditionalFormatting>
  <conditionalFormatting sqref="R148:R156">
    <cfRule type="cellIs" dxfId="4004" priority="899" operator="greaterThan">
      <formula>1</formula>
    </cfRule>
    <cfRule type="cellIs" dxfId="4003" priority="900" operator="lessThan">
      <formula>0.8</formula>
    </cfRule>
  </conditionalFormatting>
  <conditionalFormatting sqref="Q148:Q156">
    <cfRule type="cellIs" dxfId="4002" priority="897" operator="lessThan">
      <formula>0</formula>
    </cfRule>
  </conditionalFormatting>
  <conditionalFormatting sqref="R148:R156">
    <cfRule type="cellIs" dxfId="4001" priority="895" operator="lessThan">
      <formula>0.8</formula>
    </cfRule>
    <cfRule type="cellIs" dxfId="4000" priority="896" operator="greaterThan">
      <formula>1</formula>
    </cfRule>
  </conditionalFormatting>
  <conditionalFormatting sqref="R148:R156">
    <cfRule type="cellIs" dxfId="3999" priority="893" operator="greaterThan">
      <formula>1</formula>
    </cfRule>
    <cfRule type="cellIs" dxfId="3998" priority="894" operator="lessThan">
      <formula>0.8</formula>
    </cfRule>
  </conditionalFormatting>
  <conditionalFormatting sqref="P148:P156">
    <cfRule type="cellIs" dxfId="3997" priority="892" operator="greaterThan">
      <formula>0</formula>
    </cfRule>
  </conditionalFormatting>
  <conditionalFormatting sqref="Q148:Q156">
    <cfRule type="cellIs" dxfId="3996" priority="886" operator="lessThan">
      <formula>0</formula>
    </cfRule>
  </conditionalFormatting>
  <conditionalFormatting sqref="P148:P156">
    <cfRule type="cellIs" dxfId="3995" priority="887" operator="greaterThan">
      <formula>0</formula>
    </cfRule>
  </conditionalFormatting>
  <conditionalFormatting sqref="R148:R156">
    <cfRule type="cellIs" dxfId="3994" priority="890" operator="lessThan">
      <formula>0.8</formula>
    </cfRule>
    <cfRule type="cellIs" dxfId="3993" priority="891" operator="greaterThan">
      <formula>1</formula>
    </cfRule>
  </conditionalFormatting>
  <conditionalFormatting sqref="R148:R156">
    <cfRule type="cellIs" dxfId="3992" priority="888" operator="greaterThan">
      <formula>1</formula>
    </cfRule>
    <cfRule type="cellIs" dxfId="3991" priority="889" operator="lessThan">
      <formula>0.8</formula>
    </cfRule>
  </conditionalFormatting>
  <conditionalFormatting sqref="Q148:Q156">
    <cfRule type="cellIs" dxfId="3990" priority="880" operator="lessThan">
      <formula>0</formula>
    </cfRule>
  </conditionalFormatting>
  <conditionalFormatting sqref="R148:R156">
    <cfRule type="cellIs" dxfId="3989" priority="884" operator="lessThan">
      <formula>0.8</formula>
    </cfRule>
    <cfRule type="cellIs" dxfId="3988" priority="885" operator="greaterThan">
      <formula>1</formula>
    </cfRule>
  </conditionalFormatting>
  <conditionalFormatting sqref="R148:R156">
    <cfRule type="cellIs" dxfId="3987" priority="882" operator="greaterThan">
      <formula>1</formula>
    </cfRule>
    <cfRule type="cellIs" dxfId="3986" priority="883" operator="lessThan">
      <formula>0.8</formula>
    </cfRule>
  </conditionalFormatting>
  <conditionalFormatting sqref="P148:P156">
    <cfRule type="cellIs" dxfId="3985" priority="881" operator="greaterThan">
      <formula>0</formula>
    </cfRule>
  </conditionalFormatting>
  <conditionalFormatting sqref="Q148:Q156">
    <cfRule type="cellIs" dxfId="3984" priority="879" operator="lessThan">
      <formula>0</formula>
    </cfRule>
  </conditionalFormatting>
  <conditionalFormatting sqref="R148:R156">
    <cfRule type="cellIs" dxfId="3983" priority="877" operator="lessThan">
      <formula>0.8</formula>
    </cfRule>
    <cfRule type="cellIs" dxfId="3982" priority="878" operator="greaterThan">
      <formula>1</formula>
    </cfRule>
  </conditionalFormatting>
  <conditionalFormatting sqref="R148:R156">
    <cfRule type="cellIs" dxfId="3981" priority="875" operator="greaterThan">
      <formula>1</formula>
    </cfRule>
    <cfRule type="cellIs" dxfId="3980" priority="876" operator="lessThan">
      <formula>0.8</formula>
    </cfRule>
  </conditionalFormatting>
  <conditionalFormatting sqref="P148:P156">
    <cfRule type="cellIs" dxfId="3979" priority="874" operator="greaterThan">
      <formula>0</formula>
    </cfRule>
  </conditionalFormatting>
  <conditionalFormatting sqref="Q148:Q156">
    <cfRule type="cellIs" dxfId="3978" priority="873" operator="lessThan">
      <formula>0</formula>
    </cfRule>
  </conditionalFormatting>
  <conditionalFormatting sqref="R148:R156">
    <cfRule type="cellIs" dxfId="3977" priority="871" operator="lessThan">
      <formula>0.8</formula>
    </cfRule>
    <cfRule type="cellIs" dxfId="3976" priority="872" operator="greaterThan">
      <formula>1</formula>
    </cfRule>
  </conditionalFormatting>
  <conditionalFormatting sqref="R148:R156">
    <cfRule type="cellIs" dxfId="3975" priority="869" operator="greaterThan">
      <formula>1</formula>
    </cfRule>
    <cfRule type="cellIs" dxfId="3974" priority="870" operator="lessThan">
      <formula>0.8</formula>
    </cfRule>
  </conditionalFormatting>
  <conditionalFormatting sqref="P148:P156">
    <cfRule type="cellIs" dxfId="3973" priority="868" operator="greaterThan">
      <formula>0</formula>
    </cfRule>
  </conditionalFormatting>
  <conditionalFormatting sqref="Q148:Q156">
    <cfRule type="cellIs" dxfId="3972" priority="867" operator="lessThan">
      <formula>0</formula>
    </cfRule>
  </conditionalFormatting>
  <conditionalFormatting sqref="R148:R156">
    <cfRule type="cellIs" dxfId="3971" priority="865" operator="lessThan">
      <formula>0.8</formula>
    </cfRule>
    <cfRule type="cellIs" dxfId="3970" priority="866" operator="greaterThan">
      <formula>1</formula>
    </cfRule>
  </conditionalFormatting>
  <conditionalFormatting sqref="R148:R156">
    <cfRule type="cellIs" dxfId="3969" priority="863" operator="greaterThan">
      <formula>1</formula>
    </cfRule>
    <cfRule type="cellIs" dxfId="3968" priority="864" operator="lessThan">
      <formula>0.8</formula>
    </cfRule>
  </conditionalFormatting>
  <conditionalFormatting sqref="P148:P156">
    <cfRule type="cellIs" dxfId="3967" priority="862" operator="greaterThan">
      <formula>0</formula>
    </cfRule>
  </conditionalFormatting>
  <conditionalFormatting sqref="Q148:Q156">
    <cfRule type="cellIs" dxfId="3966" priority="861" operator="lessThan">
      <formula>0</formula>
    </cfRule>
  </conditionalFormatting>
  <conditionalFormatting sqref="R148:R156">
    <cfRule type="cellIs" dxfId="3965" priority="859" operator="lessThan">
      <formula>0.8</formula>
    </cfRule>
    <cfRule type="cellIs" dxfId="3964" priority="860" operator="greaterThan">
      <formula>1</formula>
    </cfRule>
  </conditionalFormatting>
  <conditionalFormatting sqref="R148:R156">
    <cfRule type="cellIs" dxfId="3963" priority="857" operator="greaterThan">
      <formula>1</formula>
    </cfRule>
    <cfRule type="cellIs" dxfId="3962" priority="858" operator="lessThan">
      <formula>0.8</formula>
    </cfRule>
  </conditionalFormatting>
  <conditionalFormatting sqref="P148:P156">
    <cfRule type="cellIs" dxfId="3961" priority="856" operator="greaterThan">
      <formula>0</formula>
    </cfRule>
  </conditionalFormatting>
  <conditionalFormatting sqref="Q148:Q156">
    <cfRule type="cellIs" dxfId="3960" priority="855" operator="lessThan">
      <formula>0</formula>
    </cfRule>
  </conditionalFormatting>
  <conditionalFormatting sqref="R148:R156">
    <cfRule type="cellIs" dxfId="3959" priority="853" operator="lessThan">
      <formula>0.8</formula>
    </cfRule>
    <cfRule type="cellIs" dxfId="3958" priority="854" operator="greaterThan">
      <formula>1</formula>
    </cfRule>
  </conditionalFormatting>
  <conditionalFormatting sqref="R148:R156">
    <cfRule type="cellIs" dxfId="3957" priority="851" operator="greaterThan">
      <formula>1</formula>
    </cfRule>
    <cfRule type="cellIs" dxfId="3956" priority="852" operator="lessThan">
      <formula>0.8</formula>
    </cfRule>
  </conditionalFormatting>
  <conditionalFormatting sqref="P148:P156">
    <cfRule type="cellIs" dxfId="3955" priority="850" operator="greaterThan">
      <formula>0</formula>
    </cfRule>
  </conditionalFormatting>
  <conditionalFormatting sqref="Q148:Q156">
    <cfRule type="cellIs" dxfId="3954" priority="849" operator="lessThan">
      <formula>0</formula>
    </cfRule>
  </conditionalFormatting>
  <conditionalFormatting sqref="R148:R156">
    <cfRule type="cellIs" dxfId="3953" priority="847" operator="lessThan">
      <formula>0.8</formula>
    </cfRule>
    <cfRule type="cellIs" dxfId="3952" priority="848" operator="greaterThan">
      <formula>1</formula>
    </cfRule>
  </conditionalFormatting>
  <conditionalFormatting sqref="R148:R156">
    <cfRule type="cellIs" dxfId="3951" priority="845" operator="greaterThan">
      <formula>1</formula>
    </cfRule>
    <cfRule type="cellIs" dxfId="3950" priority="846" operator="lessThan">
      <formula>0.8</formula>
    </cfRule>
  </conditionalFormatting>
  <conditionalFormatting sqref="P148:P156">
    <cfRule type="cellIs" dxfId="3949" priority="844" operator="greaterThan">
      <formula>0</formula>
    </cfRule>
  </conditionalFormatting>
  <conditionalFormatting sqref="Q148:Q156">
    <cfRule type="cellIs" dxfId="3948" priority="843" operator="lessThan">
      <formula>0</formula>
    </cfRule>
  </conditionalFormatting>
  <conditionalFormatting sqref="R148:R156">
    <cfRule type="cellIs" dxfId="3947" priority="841" operator="lessThan">
      <formula>0.8</formula>
    </cfRule>
    <cfRule type="cellIs" dxfId="3946" priority="842" operator="greaterThan">
      <formula>1</formula>
    </cfRule>
  </conditionalFormatting>
  <conditionalFormatting sqref="R148:R156">
    <cfRule type="cellIs" dxfId="3945" priority="839" operator="greaterThan">
      <formula>1</formula>
    </cfRule>
    <cfRule type="cellIs" dxfId="3944" priority="840" operator="lessThan">
      <formula>0.8</formula>
    </cfRule>
  </conditionalFormatting>
  <conditionalFormatting sqref="P148:P156">
    <cfRule type="cellIs" dxfId="3943" priority="838" operator="greaterThan">
      <formula>0</formula>
    </cfRule>
  </conditionalFormatting>
  <conditionalFormatting sqref="P148:P156">
    <cfRule type="cellIs" dxfId="3942" priority="832" operator="greaterThan">
      <formula>0</formula>
    </cfRule>
  </conditionalFormatting>
  <conditionalFormatting sqref="Q148:Q156">
    <cfRule type="cellIs" dxfId="3941" priority="837" operator="lessThan">
      <formula>0</formula>
    </cfRule>
  </conditionalFormatting>
  <conditionalFormatting sqref="R148:R156">
    <cfRule type="cellIs" dxfId="3940" priority="835" operator="lessThan">
      <formula>0.8</formula>
    </cfRule>
    <cfRule type="cellIs" dxfId="3939" priority="836" operator="greaterThan">
      <formula>1</formula>
    </cfRule>
  </conditionalFormatting>
  <conditionalFormatting sqref="R148:R156">
    <cfRule type="cellIs" dxfId="3938" priority="833" operator="greaterThan">
      <formula>1</formula>
    </cfRule>
    <cfRule type="cellIs" dxfId="3937" priority="834" operator="lessThan">
      <formula>0.8</formula>
    </cfRule>
  </conditionalFormatting>
  <conditionalFormatting sqref="P148:P156">
    <cfRule type="cellIs" dxfId="3936" priority="826" operator="greaterThan">
      <formula>0</formula>
    </cfRule>
  </conditionalFormatting>
  <conditionalFormatting sqref="Q148:Q156">
    <cfRule type="cellIs" dxfId="3935" priority="831" operator="lessThan">
      <formula>0</formula>
    </cfRule>
  </conditionalFormatting>
  <conditionalFormatting sqref="R148:R156">
    <cfRule type="cellIs" dxfId="3934" priority="829" operator="lessThan">
      <formula>0.8</formula>
    </cfRule>
    <cfRule type="cellIs" dxfId="3933" priority="830" operator="greaterThan">
      <formula>1</formula>
    </cfRule>
  </conditionalFormatting>
  <conditionalFormatting sqref="R148:R156">
    <cfRule type="cellIs" dxfId="3932" priority="827" operator="greaterThan">
      <formula>1</formula>
    </cfRule>
    <cfRule type="cellIs" dxfId="3931" priority="828" operator="lessThan">
      <formula>0.8</formula>
    </cfRule>
  </conditionalFormatting>
  <conditionalFormatting sqref="R148:R156">
    <cfRule type="cellIs" dxfId="3930" priority="823" operator="lessThan">
      <formula>0.8</formula>
    </cfRule>
    <cfRule type="cellIs" dxfId="3929" priority="824" operator="greaterThan">
      <formula>1</formula>
    </cfRule>
  </conditionalFormatting>
  <conditionalFormatting sqref="R148:R156">
    <cfRule type="cellIs" dxfId="3928" priority="821" operator="greaterThan">
      <formula>1</formula>
    </cfRule>
    <cfRule type="cellIs" dxfId="3927" priority="822" operator="lessThan">
      <formula>0.8</formula>
    </cfRule>
  </conditionalFormatting>
  <conditionalFormatting sqref="P148:P156">
    <cfRule type="cellIs" dxfId="3926" priority="820" operator="greaterThan">
      <formula>0</formula>
    </cfRule>
  </conditionalFormatting>
  <conditionalFormatting sqref="Q148:Q156">
    <cfRule type="cellIs" dxfId="3925" priority="825" operator="lessThan">
      <formula>0</formula>
    </cfRule>
  </conditionalFormatting>
  <conditionalFormatting sqref="Q148:Q156">
    <cfRule type="cellIs" dxfId="3924" priority="819" operator="lessThan">
      <formula>0</formula>
    </cfRule>
  </conditionalFormatting>
  <conditionalFormatting sqref="R148:R156">
    <cfRule type="cellIs" dxfId="3923" priority="817" operator="lessThan">
      <formula>0.8</formula>
    </cfRule>
    <cfRule type="cellIs" dxfId="3922" priority="818" operator="greaterThan">
      <formula>1</formula>
    </cfRule>
  </conditionalFormatting>
  <conditionalFormatting sqref="R148:R156">
    <cfRule type="cellIs" dxfId="3921" priority="815" operator="greaterThan">
      <formula>1</formula>
    </cfRule>
    <cfRule type="cellIs" dxfId="3920" priority="816" operator="lessThan">
      <formula>0.8</formula>
    </cfRule>
  </conditionalFormatting>
  <conditionalFormatting sqref="P148:P156">
    <cfRule type="cellIs" dxfId="3919" priority="814" operator="greaterThan">
      <formula>0</formula>
    </cfRule>
  </conditionalFormatting>
  <conditionalFormatting sqref="P148:P156">
    <cfRule type="cellIs" dxfId="3918" priority="808" operator="greaterThan">
      <formula>0</formula>
    </cfRule>
  </conditionalFormatting>
  <conditionalFormatting sqref="Q148:Q156">
    <cfRule type="cellIs" dxfId="3917" priority="813" operator="lessThan">
      <formula>0</formula>
    </cfRule>
  </conditionalFormatting>
  <conditionalFormatting sqref="R148:R156">
    <cfRule type="cellIs" dxfId="3916" priority="811" operator="lessThan">
      <formula>0.8</formula>
    </cfRule>
    <cfRule type="cellIs" dxfId="3915" priority="812" operator="greaterThan">
      <formula>1</formula>
    </cfRule>
  </conditionalFormatting>
  <conditionalFormatting sqref="R148:R156">
    <cfRule type="cellIs" dxfId="3914" priority="809" operator="greaterThan">
      <formula>1</formula>
    </cfRule>
    <cfRule type="cellIs" dxfId="3913" priority="810" operator="lessThan">
      <formula>0.8</formula>
    </cfRule>
  </conditionalFormatting>
  <conditionalFormatting sqref="P148:P156">
    <cfRule type="cellIs" dxfId="3912" priority="802" operator="greaterThan">
      <formula>0</formula>
    </cfRule>
  </conditionalFormatting>
  <conditionalFormatting sqref="Q148:Q156">
    <cfRule type="cellIs" dxfId="3911" priority="807" operator="lessThan">
      <formula>0</formula>
    </cfRule>
  </conditionalFormatting>
  <conditionalFormatting sqref="R148:R156">
    <cfRule type="cellIs" dxfId="3910" priority="805" operator="lessThan">
      <formula>0.8</formula>
    </cfRule>
    <cfRule type="cellIs" dxfId="3909" priority="806" operator="greaterThan">
      <formula>1</formula>
    </cfRule>
  </conditionalFormatting>
  <conditionalFormatting sqref="R148:R156">
    <cfRule type="cellIs" dxfId="3908" priority="803" operator="greaterThan">
      <formula>1</formula>
    </cfRule>
    <cfRule type="cellIs" dxfId="3907" priority="804" operator="lessThan">
      <formula>0.8</formula>
    </cfRule>
  </conditionalFormatting>
  <conditionalFormatting sqref="R148:R156">
    <cfRule type="cellIs" dxfId="3906" priority="799" operator="lessThan">
      <formula>0.8</formula>
    </cfRule>
    <cfRule type="cellIs" dxfId="3905" priority="800" operator="greaterThan">
      <formula>1</formula>
    </cfRule>
  </conditionalFormatting>
  <conditionalFormatting sqref="R148:R156">
    <cfRule type="cellIs" dxfId="3904" priority="797" operator="greaterThan">
      <formula>1</formula>
    </cfRule>
    <cfRule type="cellIs" dxfId="3903" priority="798" operator="lessThan">
      <formula>0.8</formula>
    </cfRule>
  </conditionalFormatting>
  <conditionalFormatting sqref="P148:P156">
    <cfRule type="cellIs" dxfId="3902" priority="796" operator="greaterThan">
      <formula>0</formula>
    </cfRule>
  </conditionalFormatting>
  <conditionalFormatting sqref="Q148:Q156">
    <cfRule type="cellIs" dxfId="3901" priority="801" operator="lessThan">
      <formula>0</formula>
    </cfRule>
  </conditionalFormatting>
  <conditionalFormatting sqref="P148:P156">
    <cfRule type="cellIs" dxfId="3900" priority="790" operator="greaterThan">
      <formula>0</formula>
    </cfRule>
  </conditionalFormatting>
  <conditionalFormatting sqref="Q148:Q156">
    <cfRule type="cellIs" dxfId="3899" priority="795" operator="lessThan">
      <formula>0</formula>
    </cfRule>
  </conditionalFormatting>
  <conditionalFormatting sqref="R148:R156">
    <cfRule type="cellIs" dxfId="3898" priority="793" operator="lessThan">
      <formula>0.8</formula>
    </cfRule>
    <cfRule type="cellIs" dxfId="3897" priority="794" operator="greaterThan">
      <formula>1</formula>
    </cfRule>
  </conditionalFormatting>
  <conditionalFormatting sqref="R148:R156">
    <cfRule type="cellIs" dxfId="3896" priority="791" operator="greaterThan">
      <formula>1</formula>
    </cfRule>
    <cfRule type="cellIs" dxfId="3895" priority="792" operator="lessThan">
      <formula>0.8</formula>
    </cfRule>
  </conditionalFormatting>
  <conditionalFormatting sqref="R148:R156">
    <cfRule type="cellIs" dxfId="3894" priority="787" operator="lessThan">
      <formula>0.8</formula>
    </cfRule>
    <cfRule type="cellIs" dxfId="3893" priority="788" operator="greaterThan">
      <formula>1</formula>
    </cfRule>
  </conditionalFormatting>
  <conditionalFormatting sqref="R148:R156">
    <cfRule type="cellIs" dxfId="3892" priority="785" operator="greaterThan">
      <formula>1</formula>
    </cfRule>
    <cfRule type="cellIs" dxfId="3891" priority="786" operator="lessThan">
      <formula>0.8</formula>
    </cfRule>
  </conditionalFormatting>
  <conditionalFormatting sqref="P148:P156">
    <cfRule type="cellIs" dxfId="3890" priority="784" operator="greaterThan">
      <formula>0</formula>
    </cfRule>
  </conditionalFormatting>
  <conditionalFormatting sqref="Q148:Q156">
    <cfRule type="cellIs" dxfId="3889" priority="789" operator="lessThan">
      <formula>0</formula>
    </cfRule>
  </conditionalFormatting>
  <conditionalFormatting sqref="R148:R156">
    <cfRule type="cellIs" dxfId="3888" priority="781" operator="lessThan">
      <formula>0.8</formula>
    </cfRule>
    <cfRule type="cellIs" dxfId="3887" priority="782" operator="greaterThan">
      <formula>1</formula>
    </cfRule>
  </conditionalFormatting>
  <conditionalFormatting sqref="R148:R156">
    <cfRule type="cellIs" dxfId="3886" priority="779" operator="greaterThan">
      <formula>1</formula>
    </cfRule>
    <cfRule type="cellIs" dxfId="3885" priority="780" operator="lessThan">
      <formula>0.8</formula>
    </cfRule>
  </conditionalFormatting>
  <conditionalFormatting sqref="P148:P156">
    <cfRule type="cellIs" dxfId="3884" priority="778" operator="greaterThan">
      <formula>0</formula>
    </cfRule>
  </conditionalFormatting>
  <conditionalFormatting sqref="Q148:Q156">
    <cfRule type="cellIs" dxfId="3883" priority="783" operator="lessThan">
      <formula>0</formula>
    </cfRule>
  </conditionalFormatting>
  <conditionalFormatting sqref="Q148:Q156">
    <cfRule type="cellIs" dxfId="3882" priority="777" operator="lessThan">
      <formula>0</formula>
    </cfRule>
  </conditionalFormatting>
  <conditionalFormatting sqref="R148:R156">
    <cfRule type="cellIs" dxfId="3881" priority="775" operator="lessThan">
      <formula>0.8</formula>
    </cfRule>
    <cfRule type="cellIs" dxfId="3880" priority="776" operator="greaterThan">
      <formula>1</formula>
    </cfRule>
  </conditionalFormatting>
  <conditionalFormatting sqref="R148:R156">
    <cfRule type="cellIs" dxfId="3879" priority="773" operator="greaterThan">
      <formula>1</formula>
    </cfRule>
    <cfRule type="cellIs" dxfId="3878" priority="774" operator="lessThan">
      <formula>0.8</formula>
    </cfRule>
  </conditionalFormatting>
  <conditionalFormatting sqref="P148:P156">
    <cfRule type="cellIs" dxfId="3877" priority="772" operator="greaterThan">
      <formula>0</formula>
    </cfRule>
  </conditionalFormatting>
  <conditionalFormatting sqref="Q148:Q156">
    <cfRule type="cellIs" dxfId="3876" priority="766" operator="lessThan">
      <formula>0</formula>
    </cfRule>
  </conditionalFormatting>
  <conditionalFormatting sqref="R148:R156">
    <cfRule type="cellIs" dxfId="3875" priority="770" operator="lessThan">
      <formula>0.8</formula>
    </cfRule>
    <cfRule type="cellIs" dxfId="3874" priority="771" operator="greaterThan">
      <formula>1</formula>
    </cfRule>
  </conditionalFormatting>
  <conditionalFormatting sqref="R148:R156">
    <cfRule type="cellIs" dxfId="3873" priority="768" operator="greaterThan">
      <formula>1</formula>
    </cfRule>
    <cfRule type="cellIs" dxfId="3872" priority="769" operator="lessThan">
      <formula>0.8</formula>
    </cfRule>
  </conditionalFormatting>
  <conditionalFormatting sqref="P148:P156">
    <cfRule type="cellIs" dxfId="3871" priority="767" operator="greaterThan">
      <formula>0</formula>
    </cfRule>
  </conditionalFormatting>
  <conditionalFormatting sqref="Q148:Q156">
    <cfRule type="cellIs" dxfId="3870" priority="765" operator="lessThan">
      <formula>0</formula>
    </cfRule>
  </conditionalFormatting>
  <conditionalFormatting sqref="R148:R156">
    <cfRule type="cellIs" dxfId="3869" priority="763" operator="lessThan">
      <formula>0.8</formula>
    </cfRule>
    <cfRule type="cellIs" dxfId="3868" priority="764" operator="greaterThan">
      <formula>1</formula>
    </cfRule>
  </conditionalFormatting>
  <conditionalFormatting sqref="R148:R156">
    <cfRule type="cellIs" dxfId="3867" priority="761" operator="greaterThan">
      <formula>1</formula>
    </cfRule>
    <cfRule type="cellIs" dxfId="3866" priority="762" operator="lessThan">
      <formula>0.8</formula>
    </cfRule>
  </conditionalFormatting>
  <conditionalFormatting sqref="P148:P156">
    <cfRule type="cellIs" dxfId="3865" priority="760" operator="greaterThan">
      <formula>0</formula>
    </cfRule>
  </conditionalFormatting>
  <conditionalFormatting sqref="Q148:Q156">
    <cfRule type="cellIs" dxfId="3864" priority="759" operator="lessThan">
      <formula>0</formula>
    </cfRule>
  </conditionalFormatting>
  <conditionalFormatting sqref="R148:R156">
    <cfRule type="cellIs" dxfId="3863" priority="757" operator="lessThan">
      <formula>0.8</formula>
    </cfRule>
    <cfRule type="cellIs" dxfId="3862" priority="758" operator="greaterThan">
      <formula>1</formula>
    </cfRule>
  </conditionalFormatting>
  <conditionalFormatting sqref="R148:R156">
    <cfRule type="cellIs" dxfId="3861" priority="755" operator="greaterThan">
      <formula>1</formula>
    </cfRule>
    <cfRule type="cellIs" dxfId="3860" priority="756" operator="lessThan">
      <formula>0.8</formula>
    </cfRule>
  </conditionalFormatting>
  <conditionalFormatting sqref="P148:P156">
    <cfRule type="cellIs" dxfId="3859" priority="754" operator="greaterThan">
      <formula>0</formula>
    </cfRule>
  </conditionalFormatting>
  <conditionalFormatting sqref="Q148:Q156">
    <cfRule type="cellIs" dxfId="3858" priority="753" operator="lessThan">
      <formula>0</formula>
    </cfRule>
  </conditionalFormatting>
  <conditionalFormatting sqref="R148:R156">
    <cfRule type="cellIs" dxfId="3857" priority="751" operator="lessThan">
      <formula>0.8</formula>
    </cfRule>
    <cfRule type="cellIs" dxfId="3856" priority="752" operator="greaterThan">
      <formula>1</formula>
    </cfRule>
  </conditionalFormatting>
  <conditionalFormatting sqref="R148:R156">
    <cfRule type="cellIs" dxfId="3855" priority="749" operator="greaterThan">
      <formula>1</formula>
    </cfRule>
    <cfRule type="cellIs" dxfId="3854" priority="750" operator="lessThan">
      <formula>0.8</formula>
    </cfRule>
  </conditionalFormatting>
  <conditionalFormatting sqref="P148:P156">
    <cfRule type="cellIs" dxfId="3853" priority="748" operator="greaterThan">
      <formula>0</formula>
    </cfRule>
  </conditionalFormatting>
  <conditionalFormatting sqref="Q148:Q156">
    <cfRule type="cellIs" dxfId="3852" priority="747" operator="lessThan">
      <formula>0</formula>
    </cfRule>
  </conditionalFormatting>
  <conditionalFormatting sqref="R148:R156">
    <cfRule type="cellIs" dxfId="3851" priority="745" operator="lessThan">
      <formula>0.8</formula>
    </cfRule>
    <cfRule type="cellIs" dxfId="3850" priority="746" operator="greaterThan">
      <formula>1</formula>
    </cfRule>
  </conditionalFormatting>
  <conditionalFormatting sqref="R148:R156">
    <cfRule type="cellIs" dxfId="3849" priority="743" operator="greaterThan">
      <formula>1</formula>
    </cfRule>
    <cfRule type="cellIs" dxfId="3848" priority="744" operator="lessThan">
      <formula>0.8</formula>
    </cfRule>
  </conditionalFormatting>
  <conditionalFormatting sqref="P148:P156">
    <cfRule type="cellIs" dxfId="3847" priority="742" operator="greaterThan">
      <formula>0</formula>
    </cfRule>
  </conditionalFormatting>
  <conditionalFormatting sqref="Q148:Q156">
    <cfRule type="cellIs" dxfId="3846" priority="741" operator="lessThan">
      <formula>0</formula>
    </cfRule>
  </conditionalFormatting>
  <conditionalFormatting sqref="R148:R156">
    <cfRule type="cellIs" dxfId="3845" priority="739" operator="lessThan">
      <formula>0.8</formula>
    </cfRule>
    <cfRule type="cellIs" dxfId="3844" priority="740" operator="greaterThan">
      <formula>1</formula>
    </cfRule>
  </conditionalFormatting>
  <conditionalFormatting sqref="R148:R156">
    <cfRule type="cellIs" dxfId="3843" priority="737" operator="greaterThan">
      <formula>1</formula>
    </cfRule>
    <cfRule type="cellIs" dxfId="3842" priority="738" operator="lessThan">
      <formula>0.8</formula>
    </cfRule>
  </conditionalFormatting>
  <conditionalFormatting sqref="P148:P156">
    <cfRule type="cellIs" dxfId="3841" priority="736" operator="greaterThan">
      <formula>0</formula>
    </cfRule>
  </conditionalFormatting>
  <conditionalFormatting sqref="P148:P156">
    <cfRule type="cellIs" dxfId="3840" priority="730" operator="greaterThan">
      <formula>0</formula>
    </cfRule>
  </conditionalFormatting>
  <conditionalFormatting sqref="Q148:Q156">
    <cfRule type="cellIs" dxfId="3839" priority="735" operator="lessThan">
      <formula>0</formula>
    </cfRule>
  </conditionalFormatting>
  <conditionalFormatting sqref="R148:R156">
    <cfRule type="cellIs" dxfId="3838" priority="733" operator="lessThan">
      <formula>0.8</formula>
    </cfRule>
    <cfRule type="cellIs" dxfId="3837" priority="734" operator="greaterThan">
      <formula>1</formula>
    </cfRule>
  </conditionalFormatting>
  <conditionalFormatting sqref="R148:R156">
    <cfRule type="cellIs" dxfId="3836" priority="731" operator="greaterThan">
      <formula>1</formula>
    </cfRule>
    <cfRule type="cellIs" dxfId="3835" priority="732" operator="lessThan">
      <formula>0.8</formula>
    </cfRule>
  </conditionalFormatting>
  <conditionalFormatting sqref="P148:P156">
    <cfRule type="cellIs" dxfId="3834" priority="724" operator="greaterThan">
      <formula>0</formula>
    </cfRule>
  </conditionalFormatting>
  <conditionalFormatting sqref="Q148:Q156">
    <cfRule type="cellIs" dxfId="3833" priority="729" operator="lessThan">
      <formula>0</formula>
    </cfRule>
  </conditionalFormatting>
  <conditionalFormatting sqref="R148:R156">
    <cfRule type="cellIs" dxfId="3832" priority="727" operator="lessThan">
      <formula>0.8</formula>
    </cfRule>
    <cfRule type="cellIs" dxfId="3831" priority="728" operator="greaterThan">
      <formula>1</formula>
    </cfRule>
  </conditionalFormatting>
  <conditionalFormatting sqref="R148:R156">
    <cfRule type="cellIs" dxfId="3830" priority="725" operator="greaterThan">
      <formula>1</formula>
    </cfRule>
    <cfRule type="cellIs" dxfId="3829" priority="726" operator="lessThan">
      <formula>0.8</formula>
    </cfRule>
  </conditionalFormatting>
  <conditionalFormatting sqref="R148:R156">
    <cfRule type="cellIs" dxfId="3828" priority="721" operator="lessThan">
      <formula>0.8</formula>
    </cfRule>
    <cfRule type="cellIs" dxfId="3827" priority="722" operator="greaterThan">
      <formula>1</formula>
    </cfRule>
  </conditionalFormatting>
  <conditionalFormatting sqref="R148:R156">
    <cfRule type="cellIs" dxfId="3826" priority="719" operator="greaterThan">
      <formula>1</formula>
    </cfRule>
    <cfRule type="cellIs" dxfId="3825" priority="720" operator="lessThan">
      <formula>0.8</formula>
    </cfRule>
  </conditionalFormatting>
  <conditionalFormatting sqref="P148:P156">
    <cfRule type="cellIs" dxfId="3824" priority="718" operator="greaterThan">
      <formula>0</formula>
    </cfRule>
  </conditionalFormatting>
  <conditionalFormatting sqref="Q148:Q156">
    <cfRule type="cellIs" dxfId="3823" priority="723" operator="lessThan">
      <formula>0</formula>
    </cfRule>
  </conditionalFormatting>
  <conditionalFormatting sqref="P44:P52">
    <cfRule type="cellIs" dxfId="3822" priority="712" operator="greaterThan">
      <formula>0</formula>
    </cfRule>
  </conditionalFormatting>
  <conditionalFormatting sqref="Q44:Q52">
    <cfRule type="cellIs" dxfId="3821" priority="717" operator="lessThan">
      <formula>0</formula>
    </cfRule>
  </conditionalFormatting>
  <conditionalFormatting sqref="R44:R52">
    <cfRule type="cellIs" dxfId="3820" priority="715" operator="lessThan">
      <formula>0.8</formula>
    </cfRule>
    <cfRule type="cellIs" dxfId="3819" priority="716" operator="greaterThan">
      <formula>1</formula>
    </cfRule>
  </conditionalFormatting>
  <conditionalFormatting sqref="R44:R52">
    <cfRule type="cellIs" dxfId="3818" priority="713" operator="greaterThan">
      <formula>1</formula>
    </cfRule>
    <cfRule type="cellIs" dxfId="3817" priority="714" operator="lessThan">
      <formula>0.8</formula>
    </cfRule>
  </conditionalFormatting>
  <conditionalFormatting sqref="Q84:Q91">
    <cfRule type="cellIs" dxfId="3816" priority="711" operator="lessThan">
      <formula>0</formula>
    </cfRule>
  </conditionalFormatting>
  <conditionalFormatting sqref="R84:R91">
    <cfRule type="cellIs" dxfId="3815" priority="709" operator="lessThan">
      <formula>0.8</formula>
    </cfRule>
    <cfRule type="cellIs" dxfId="3814" priority="710" operator="greaterThan">
      <formula>1</formula>
    </cfRule>
  </conditionalFormatting>
  <conditionalFormatting sqref="R84:R91">
    <cfRule type="cellIs" dxfId="3813" priority="707" operator="greaterThan">
      <formula>1</formula>
    </cfRule>
    <cfRule type="cellIs" dxfId="3812" priority="708" operator="lessThan">
      <formula>0.8</formula>
    </cfRule>
  </conditionalFormatting>
  <conditionalFormatting sqref="P84:P91">
    <cfRule type="cellIs" dxfId="3811" priority="706" operator="greaterThan">
      <formula>0</formula>
    </cfRule>
  </conditionalFormatting>
  <conditionalFormatting sqref="Q84:Q91">
    <cfRule type="cellIs" dxfId="3810" priority="705" operator="lessThan">
      <formula>0</formula>
    </cfRule>
  </conditionalFormatting>
  <conditionalFormatting sqref="R84:R91">
    <cfRule type="cellIs" dxfId="3809" priority="703" operator="lessThan">
      <formula>0.8</formula>
    </cfRule>
    <cfRule type="cellIs" dxfId="3808" priority="704" operator="greaterThan">
      <formula>1</formula>
    </cfRule>
  </conditionalFormatting>
  <conditionalFormatting sqref="R84:R91">
    <cfRule type="cellIs" dxfId="3807" priority="701" operator="greaterThan">
      <formula>1</formula>
    </cfRule>
    <cfRule type="cellIs" dxfId="3806" priority="702" operator="lessThan">
      <formula>0.8</formula>
    </cfRule>
  </conditionalFormatting>
  <conditionalFormatting sqref="P84:P91">
    <cfRule type="cellIs" dxfId="3805" priority="700" operator="greaterThan">
      <formula>0</formula>
    </cfRule>
  </conditionalFormatting>
  <conditionalFormatting sqref="Q84:Q91">
    <cfRule type="cellIs" dxfId="3804" priority="699" operator="lessThan">
      <formula>0</formula>
    </cfRule>
  </conditionalFormatting>
  <conditionalFormatting sqref="R84:R91">
    <cfRule type="cellIs" dxfId="3803" priority="697" operator="lessThan">
      <formula>0.8</formula>
    </cfRule>
    <cfRule type="cellIs" dxfId="3802" priority="698" operator="greaterThan">
      <formula>1</formula>
    </cfRule>
  </conditionalFormatting>
  <conditionalFormatting sqref="R84:R91">
    <cfRule type="cellIs" dxfId="3801" priority="695" operator="greaterThan">
      <formula>1</formula>
    </cfRule>
    <cfRule type="cellIs" dxfId="3800" priority="696" operator="lessThan">
      <formula>0.8</formula>
    </cfRule>
  </conditionalFormatting>
  <conditionalFormatting sqref="P84:P91">
    <cfRule type="cellIs" dxfId="3799" priority="694" operator="greaterThan">
      <formula>0</formula>
    </cfRule>
  </conditionalFormatting>
  <conditionalFormatting sqref="Q84:Q91">
    <cfRule type="cellIs" dxfId="3798" priority="693" operator="lessThan">
      <formula>0</formula>
    </cfRule>
  </conditionalFormatting>
  <conditionalFormatting sqref="R84:R91">
    <cfRule type="cellIs" dxfId="3797" priority="691" operator="lessThan">
      <formula>0.8</formula>
    </cfRule>
    <cfRule type="cellIs" dxfId="3796" priority="692" operator="greaterThan">
      <formula>1</formula>
    </cfRule>
  </conditionalFormatting>
  <conditionalFormatting sqref="R84:R91">
    <cfRule type="cellIs" dxfId="3795" priority="689" operator="greaterThan">
      <formula>1</formula>
    </cfRule>
    <cfRule type="cellIs" dxfId="3794" priority="690" operator="lessThan">
      <formula>0.8</formula>
    </cfRule>
  </conditionalFormatting>
  <conditionalFormatting sqref="P84:P91">
    <cfRule type="cellIs" dxfId="3793" priority="688" operator="greaterThan">
      <formula>0</formula>
    </cfRule>
  </conditionalFormatting>
  <conditionalFormatting sqref="P84:P91">
    <cfRule type="cellIs" dxfId="3792" priority="682" operator="greaterThan">
      <formula>0</formula>
    </cfRule>
  </conditionalFormatting>
  <conditionalFormatting sqref="Q84:Q91">
    <cfRule type="cellIs" dxfId="3791" priority="687" operator="lessThan">
      <formula>0</formula>
    </cfRule>
  </conditionalFormatting>
  <conditionalFormatting sqref="R84:R91">
    <cfRule type="cellIs" dxfId="3790" priority="685" operator="lessThan">
      <formula>0.8</formula>
    </cfRule>
    <cfRule type="cellIs" dxfId="3789" priority="686" operator="greaterThan">
      <formula>1</formula>
    </cfRule>
  </conditionalFormatting>
  <conditionalFormatting sqref="R84:R91">
    <cfRule type="cellIs" dxfId="3788" priority="683" operator="greaterThan">
      <formula>1</formula>
    </cfRule>
    <cfRule type="cellIs" dxfId="3787" priority="684" operator="lessThan">
      <formula>0.8</formula>
    </cfRule>
  </conditionalFormatting>
  <conditionalFormatting sqref="P84:P91">
    <cfRule type="cellIs" dxfId="3786" priority="676" operator="greaterThan">
      <formula>0</formula>
    </cfRule>
  </conditionalFormatting>
  <conditionalFormatting sqref="Q84:Q91">
    <cfRule type="cellIs" dxfId="3785" priority="681" operator="lessThan">
      <formula>0</formula>
    </cfRule>
  </conditionalFormatting>
  <conditionalFormatting sqref="R84:R91">
    <cfRule type="cellIs" dxfId="3784" priority="679" operator="lessThan">
      <formula>0.8</formula>
    </cfRule>
    <cfRule type="cellIs" dxfId="3783" priority="680" operator="greaterThan">
      <formula>1</formula>
    </cfRule>
  </conditionalFormatting>
  <conditionalFormatting sqref="R84:R91">
    <cfRule type="cellIs" dxfId="3782" priority="677" operator="greaterThan">
      <formula>1</formula>
    </cfRule>
    <cfRule type="cellIs" dxfId="3781" priority="678" operator="lessThan">
      <formula>0.8</formula>
    </cfRule>
  </conditionalFormatting>
  <conditionalFormatting sqref="R84:R91">
    <cfRule type="cellIs" dxfId="3780" priority="673" operator="lessThan">
      <formula>0.8</formula>
    </cfRule>
    <cfRule type="cellIs" dxfId="3779" priority="674" operator="greaterThan">
      <formula>1</formula>
    </cfRule>
  </conditionalFormatting>
  <conditionalFormatting sqref="R84:R91">
    <cfRule type="cellIs" dxfId="3778" priority="671" operator="greaterThan">
      <formula>1</formula>
    </cfRule>
    <cfRule type="cellIs" dxfId="3777" priority="672" operator="lessThan">
      <formula>0.8</formula>
    </cfRule>
  </conditionalFormatting>
  <conditionalFormatting sqref="P84:P91">
    <cfRule type="cellIs" dxfId="3776" priority="670" operator="greaterThan">
      <formula>0</formula>
    </cfRule>
  </conditionalFormatting>
  <conditionalFormatting sqref="Q84:Q91">
    <cfRule type="cellIs" dxfId="3775" priority="675" operator="lessThan">
      <formula>0</formula>
    </cfRule>
  </conditionalFormatting>
  <conditionalFormatting sqref="Q84:Q91">
    <cfRule type="cellIs" dxfId="3774" priority="669" operator="lessThan">
      <formula>0</formula>
    </cfRule>
  </conditionalFormatting>
  <conditionalFormatting sqref="R84:R91">
    <cfRule type="cellIs" dxfId="3773" priority="667" operator="lessThan">
      <formula>0.8</formula>
    </cfRule>
    <cfRule type="cellIs" dxfId="3772" priority="668" operator="greaterThan">
      <formula>1</formula>
    </cfRule>
  </conditionalFormatting>
  <conditionalFormatting sqref="R84:R91">
    <cfRule type="cellIs" dxfId="3771" priority="665" operator="greaterThan">
      <formula>1</formula>
    </cfRule>
    <cfRule type="cellIs" dxfId="3770" priority="666" operator="lessThan">
      <formula>0.8</formula>
    </cfRule>
  </conditionalFormatting>
  <conditionalFormatting sqref="P84:P91">
    <cfRule type="cellIs" dxfId="3769" priority="664" operator="greaterThan">
      <formula>0</formula>
    </cfRule>
  </conditionalFormatting>
  <conditionalFormatting sqref="P84:P91">
    <cfRule type="cellIs" dxfId="3768" priority="658" operator="greaterThan">
      <formula>0</formula>
    </cfRule>
  </conditionalFormatting>
  <conditionalFormatting sqref="Q84:Q91">
    <cfRule type="cellIs" dxfId="3767" priority="663" operator="lessThan">
      <formula>0</formula>
    </cfRule>
  </conditionalFormatting>
  <conditionalFormatting sqref="R84:R91">
    <cfRule type="cellIs" dxfId="3766" priority="661" operator="lessThan">
      <formula>0.8</formula>
    </cfRule>
    <cfRule type="cellIs" dxfId="3765" priority="662" operator="greaterThan">
      <formula>1</formula>
    </cfRule>
  </conditionalFormatting>
  <conditionalFormatting sqref="R84:R91">
    <cfRule type="cellIs" dxfId="3764" priority="659" operator="greaterThan">
      <formula>1</formula>
    </cfRule>
    <cfRule type="cellIs" dxfId="3763" priority="660" operator="lessThan">
      <formula>0.8</formula>
    </cfRule>
  </conditionalFormatting>
  <conditionalFormatting sqref="P84:P91">
    <cfRule type="cellIs" dxfId="3762" priority="652" operator="greaterThan">
      <formula>0</formula>
    </cfRule>
  </conditionalFormatting>
  <conditionalFormatting sqref="Q84:Q91">
    <cfRule type="cellIs" dxfId="3761" priority="657" operator="lessThan">
      <formula>0</formula>
    </cfRule>
  </conditionalFormatting>
  <conditionalFormatting sqref="R84:R91">
    <cfRule type="cellIs" dxfId="3760" priority="655" operator="lessThan">
      <formula>0.8</formula>
    </cfRule>
    <cfRule type="cellIs" dxfId="3759" priority="656" operator="greaterThan">
      <formula>1</formula>
    </cfRule>
  </conditionalFormatting>
  <conditionalFormatting sqref="R84:R91">
    <cfRule type="cellIs" dxfId="3758" priority="653" operator="greaterThan">
      <formula>1</formula>
    </cfRule>
    <cfRule type="cellIs" dxfId="3757" priority="654" operator="lessThan">
      <formula>0.8</formula>
    </cfRule>
  </conditionalFormatting>
  <conditionalFormatting sqref="R84:R91">
    <cfRule type="cellIs" dxfId="3756" priority="649" operator="lessThan">
      <formula>0.8</formula>
    </cfRule>
    <cfRule type="cellIs" dxfId="3755" priority="650" operator="greaterThan">
      <formula>1</formula>
    </cfRule>
  </conditionalFormatting>
  <conditionalFormatting sqref="R84:R91">
    <cfRule type="cellIs" dxfId="3754" priority="647" operator="greaterThan">
      <formula>1</formula>
    </cfRule>
    <cfRule type="cellIs" dxfId="3753" priority="648" operator="lessThan">
      <formula>0.8</formula>
    </cfRule>
  </conditionalFormatting>
  <conditionalFormatting sqref="P84:P91">
    <cfRule type="cellIs" dxfId="3752" priority="646" operator="greaterThan">
      <formula>0</formula>
    </cfRule>
  </conditionalFormatting>
  <conditionalFormatting sqref="Q84:Q91">
    <cfRule type="cellIs" dxfId="3751" priority="651" operator="lessThan">
      <formula>0</formula>
    </cfRule>
  </conditionalFormatting>
  <conditionalFormatting sqref="P84:P91">
    <cfRule type="cellIs" dxfId="3750" priority="640" operator="greaterThan">
      <formula>0</formula>
    </cfRule>
  </conditionalFormatting>
  <conditionalFormatting sqref="Q84:Q91">
    <cfRule type="cellIs" dxfId="3749" priority="645" operator="lessThan">
      <formula>0</formula>
    </cfRule>
  </conditionalFormatting>
  <conditionalFormatting sqref="R84:R91">
    <cfRule type="cellIs" dxfId="3748" priority="643" operator="lessThan">
      <formula>0.8</formula>
    </cfRule>
    <cfRule type="cellIs" dxfId="3747" priority="644" operator="greaterThan">
      <formula>1</formula>
    </cfRule>
  </conditionalFormatting>
  <conditionalFormatting sqref="R84:R91">
    <cfRule type="cellIs" dxfId="3746" priority="641" operator="greaterThan">
      <formula>1</formula>
    </cfRule>
    <cfRule type="cellIs" dxfId="3745" priority="642" operator="lessThan">
      <formula>0.8</formula>
    </cfRule>
  </conditionalFormatting>
  <conditionalFormatting sqref="R84:R91">
    <cfRule type="cellIs" dxfId="3744" priority="637" operator="lessThan">
      <formula>0.8</formula>
    </cfRule>
    <cfRule type="cellIs" dxfId="3743" priority="638" operator="greaterThan">
      <formula>1</formula>
    </cfRule>
  </conditionalFormatting>
  <conditionalFormatting sqref="R84:R91">
    <cfRule type="cellIs" dxfId="3742" priority="635" operator="greaterThan">
      <formula>1</formula>
    </cfRule>
    <cfRule type="cellIs" dxfId="3741" priority="636" operator="lessThan">
      <formula>0.8</formula>
    </cfRule>
  </conditionalFormatting>
  <conditionalFormatting sqref="P84:P91">
    <cfRule type="cellIs" dxfId="3740" priority="634" operator="greaterThan">
      <formula>0</formula>
    </cfRule>
  </conditionalFormatting>
  <conditionalFormatting sqref="Q84:Q91">
    <cfRule type="cellIs" dxfId="3739" priority="639" operator="lessThan">
      <formula>0</formula>
    </cfRule>
  </conditionalFormatting>
  <conditionalFormatting sqref="R84:R91">
    <cfRule type="cellIs" dxfId="3738" priority="631" operator="lessThan">
      <formula>0.8</formula>
    </cfRule>
    <cfRule type="cellIs" dxfId="3737" priority="632" operator="greaterThan">
      <formula>1</formula>
    </cfRule>
  </conditionalFormatting>
  <conditionalFormatting sqref="R84:R91">
    <cfRule type="cellIs" dxfId="3736" priority="629" operator="greaterThan">
      <formula>1</formula>
    </cfRule>
    <cfRule type="cellIs" dxfId="3735" priority="630" operator="lessThan">
      <formula>0.8</formula>
    </cfRule>
  </conditionalFormatting>
  <conditionalFormatting sqref="P84:P91">
    <cfRule type="cellIs" dxfId="3734" priority="628" operator="greaterThan">
      <formula>0</formula>
    </cfRule>
  </conditionalFormatting>
  <conditionalFormatting sqref="Q84:Q91">
    <cfRule type="cellIs" dxfId="3733" priority="633" operator="lessThan">
      <formula>0</formula>
    </cfRule>
  </conditionalFormatting>
  <conditionalFormatting sqref="Q84:Q91">
    <cfRule type="cellIs" dxfId="3732" priority="627" operator="lessThan">
      <formula>0</formula>
    </cfRule>
  </conditionalFormatting>
  <conditionalFormatting sqref="R84:R91">
    <cfRule type="cellIs" dxfId="3731" priority="625" operator="lessThan">
      <formula>0.8</formula>
    </cfRule>
    <cfRule type="cellIs" dxfId="3730" priority="626" operator="greaterThan">
      <formula>1</formula>
    </cfRule>
  </conditionalFormatting>
  <conditionalFormatting sqref="R84:R91">
    <cfRule type="cellIs" dxfId="3729" priority="623" operator="greaterThan">
      <formula>1</formula>
    </cfRule>
    <cfRule type="cellIs" dxfId="3728" priority="624" operator="lessThan">
      <formula>0.8</formula>
    </cfRule>
  </conditionalFormatting>
  <conditionalFormatting sqref="P84:P91">
    <cfRule type="cellIs" dxfId="3727" priority="622" operator="greaterThan">
      <formula>0</formula>
    </cfRule>
  </conditionalFormatting>
  <conditionalFormatting sqref="Q84:Q91">
    <cfRule type="cellIs" dxfId="3726" priority="616" operator="lessThan">
      <formula>0</formula>
    </cfRule>
  </conditionalFormatting>
  <conditionalFormatting sqref="R84:R91">
    <cfRule type="cellIs" dxfId="3725" priority="620" operator="lessThan">
      <formula>0.8</formula>
    </cfRule>
    <cfRule type="cellIs" dxfId="3724" priority="621" operator="greaterThan">
      <formula>1</formula>
    </cfRule>
  </conditionalFormatting>
  <conditionalFormatting sqref="R84:R91">
    <cfRule type="cellIs" dxfId="3723" priority="618" operator="greaterThan">
      <formula>1</formula>
    </cfRule>
    <cfRule type="cellIs" dxfId="3722" priority="619" operator="lessThan">
      <formula>0.8</formula>
    </cfRule>
  </conditionalFormatting>
  <conditionalFormatting sqref="P84:P91">
    <cfRule type="cellIs" dxfId="3721" priority="617" operator="greaterThan">
      <formula>0</formula>
    </cfRule>
  </conditionalFormatting>
  <conditionalFormatting sqref="Q84:Q91">
    <cfRule type="cellIs" dxfId="3720" priority="615" operator="lessThan">
      <formula>0</formula>
    </cfRule>
  </conditionalFormatting>
  <conditionalFormatting sqref="R84:R91">
    <cfRule type="cellIs" dxfId="3719" priority="613" operator="lessThan">
      <formula>0.8</formula>
    </cfRule>
    <cfRule type="cellIs" dxfId="3718" priority="614" operator="greaterThan">
      <formula>1</formula>
    </cfRule>
  </conditionalFormatting>
  <conditionalFormatting sqref="R84:R91">
    <cfRule type="cellIs" dxfId="3717" priority="611" operator="greaterThan">
      <formula>1</formula>
    </cfRule>
    <cfRule type="cellIs" dxfId="3716" priority="612" operator="lessThan">
      <formula>0.8</formula>
    </cfRule>
  </conditionalFormatting>
  <conditionalFormatting sqref="P84:P91">
    <cfRule type="cellIs" dxfId="3715" priority="610" operator="greaterThan">
      <formula>0</formula>
    </cfRule>
  </conditionalFormatting>
  <conditionalFormatting sqref="Q84:Q91">
    <cfRule type="cellIs" dxfId="3714" priority="609" operator="lessThan">
      <formula>0</formula>
    </cfRule>
  </conditionalFormatting>
  <conditionalFormatting sqref="R84:R91">
    <cfRule type="cellIs" dxfId="3713" priority="607" operator="lessThan">
      <formula>0.8</formula>
    </cfRule>
    <cfRule type="cellIs" dxfId="3712" priority="608" operator="greaterThan">
      <formula>1</formula>
    </cfRule>
  </conditionalFormatting>
  <conditionalFormatting sqref="R84:R91">
    <cfRule type="cellIs" dxfId="3711" priority="605" operator="greaterThan">
      <formula>1</formula>
    </cfRule>
    <cfRule type="cellIs" dxfId="3710" priority="606" operator="lessThan">
      <formula>0.8</formula>
    </cfRule>
  </conditionalFormatting>
  <conditionalFormatting sqref="P84:P91">
    <cfRule type="cellIs" dxfId="3709" priority="604" operator="greaterThan">
      <formula>0</formula>
    </cfRule>
  </conditionalFormatting>
  <conditionalFormatting sqref="Q84:Q91">
    <cfRule type="cellIs" dxfId="3708" priority="603" operator="lessThan">
      <formula>0</formula>
    </cfRule>
  </conditionalFormatting>
  <conditionalFormatting sqref="R84:R91">
    <cfRule type="cellIs" dxfId="3707" priority="601" operator="lessThan">
      <formula>0.8</formula>
    </cfRule>
    <cfRule type="cellIs" dxfId="3706" priority="602" operator="greaterThan">
      <formula>1</formula>
    </cfRule>
  </conditionalFormatting>
  <conditionalFormatting sqref="R84:R91">
    <cfRule type="cellIs" dxfId="3705" priority="599" operator="greaterThan">
      <formula>1</formula>
    </cfRule>
    <cfRule type="cellIs" dxfId="3704" priority="600" operator="lessThan">
      <formula>0.8</formula>
    </cfRule>
  </conditionalFormatting>
  <conditionalFormatting sqref="P84:P91">
    <cfRule type="cellIs" dxfId="3703" priority="598" operator="greaterThan">
      <formula>0</formula>
    </cfRule>
  </conditionalFormatting>
  <conditionalFormatting sqref="Q84:Q91">
    <cfRule type="cellIs" dxfId="3702" priority="597" operator="lessThan">
      <formula>0</formula>
    </cfRule>
  </conditionalFormatting>
  <conditionalFormatting sqref="R84:R91">
    <cfRule type="cellIs" dxfId="3701" priority="595" operator="lessThan">
      <formula>0.8</formula>
    </cfRule>
    <cfRule type="cellIs" dxfId="3700" priority="596" operator="greaterThan">
      <formula>1</formula>
    </cfRule>
  </conditionalFormatting>
  <conditionalFormatting sqref="R84:R91">
    <cfRule type="cellIs" dxfId="3699" priority="593" operator="greaterThan">
      <formula>1</formula>
    </cfRule>
    <cfRule type="cellIs" dxfId="3698" priority="594" operator="lessThan">
      <formula>0.8</formula>
    </cfRule>
  </conditionalFormatting>
  <conditionalFormatting sqref="P84:P91">
    <cfRule type="cellIs" dxfId="3697" priority="592" operator="greaterThan">
      <formula>0</formula>
    </cfRule>
  </conditionalFormatting>
  <conditionalFormatting sqref="Q84:Q91">
    <cfRule type="cellIs" dxfId="3696" priority="591" operator="lessThan">
      <formula>0</formula>
    </cfRule>
  </conditionalFormatting>
  <conditionalFormatting sqref="R84:R91">
    <cfRule type="cellIs" dxfId="3695" priority="589" operator="lessThan">
      <formula>0.8</formula>
    </cfRule>
    <cfRule type="cellIs" dxfId="3694" priority="590" operator="greaterThan">
      <formula>1</formula>
    </cfRule>
  </conditionalFormatting>
  <conditionalFormatting sqref="R84:R91">
    <cfRule type="cellIs" dxfId="3693" priority="587" operator="greaterThan">
      <formula>1</formula>
    </cfRule>
    <cfRule type="cellIs" dxfId="3692" priority="588" operator="lessThan">
      <formula>0.8</formula>
    </cfRule>
  </conditionalFormatting>
  <conditionalFormatting sqref="P84:P91">
    <cfRule type="cellIs" dxfId="3691" priority="586" operator="greaterThan">
      <formula>0</formula>
    </cfRule>
  </conditionalFormatting>
  <conditionalFormatting sqref="P84:P91">
    <cfRule type="cellIs" dxfId="3690" priority="580" operator="greaterThan">
      <formula>0</formula>
    </cfRule>
  </conditionalFormatting>
  <conditionalFormatting sqref="Q84:Q91">
    <cfRule type="cellIs" dxfId="3689" priority="585" operator="lessThan">
      <formula>0</formula>
    </cfRule>
  </conditionalFormatting>
  <conditionalFormatting sqref="R84:R91">
    <cfRule type="cellIs" dxfId="3688" priority="583" operator="lessThan">
      <formula>0.8</formula>
    </cfRule>
    <cfRule type="cellIs" dxfId="3687" priority="584" operator="greaterThan">
      <formula>1</formula>
    </cfRule>
  </conditionalFormatting>
  <conditionalFormatting sqref="R84:R91">
    <cfRule type="cellIs" dxfId="3686" priority="581" operator="greaterThan">
      <formula>1</formula>
    </cfRule>
    <cfRule type="cellIs" dxfId="3685" priority="582" operator="lessThan">
      <formula>0.8</formula>
    </cfRule>
  </conditionalFormatting>
  <conditionalFormatting sqref="P84:P91">
    <cfRule type="cellIs" dxfId="3684" priority="574" operator="greaterThan">
      <formula>0</formula>
    </cfRule>
  </conditionalFormatting>
  <conditionalFormatting sqref="Q84:Q91">
    <cfRule type="cellIs" dxfId="3683" priority="579" operator="lessThan">
      <formula>0</formula>
    </cfRule>
  </conditionalFormatting>
  <conditionalFormatting sqref="R84:R91">
    <cfRule type="cellIs" dxfId="3682" priority="577" operator="lessThan">
      <formula>0.8</formula>
    </cfRule>
    <cfRule type="cellIs" dxfId="3681" priority="578" operator="greaterThan">
      <formula>1</formula>
    </cfRule>
  </conditionalFormatting>
  <conditionalFormatting sqref="R84:R91">
    <cfRule type="cellIs" dxfId="3680" priority="575" operator="greaterThan">
      <formula>1</formula>
    </cfRule>
    <cfRule type="cellIs" dxfId="3679" priority="576" operator="lessThan">
      <formula>0.8</formula>
    </cfRule>
  </conditionalFormatting>
  <conditionalFormatting sqref="R84:R91">
    <cfRule type="cellIs" dxfId="3678" priority="571" operator="lessThan">
      <formula>0.8</formula>
    </cfRule>
    <cfRule type="cellIs" dxfId="3677" priority="572" operator="greaterThan">
      <formula>1</formula>
    </cfRule>
  </conditionalFormatting>
  <conditionalFormatting sqref="R84:R91">
    <cfRule type="cellIs" dxfId="3676" priority="569" operator="greaterThan">
      <formula>1</formula>
    </cfRule>
    <cfRule type="cellIs" dxfId="3675" priority="570" operator="lessThan">
      <formula>0.8</formula>
    </cfRule>
  </conditionalFormatting>
  <conditionalFormatting sqref="P84:P91">
    <cfRule type="cellIs" dxfId="3674" priority="568" operator="greaterThan">
      <formula>0</formula>
    </cfRule>
  </conditionalFormatting>
  <conditionalFormatting sqref="Q84:Q91">
    <cfRule type="cellIs" dxfId="3673" priority="573" operator="lessThan">
      <formula>0</formula>
    </cfRule>
  </conditionalFormatting>
  <conditionalFormatting sqref="Q84:Q91">
    <cfRule type="cellIs" dxfId="3672" priority="567" operator="lessThan">
      <formula>0</formula>
    </cfRule>
  </conditionalFormatting>
  <conditionalFormatting sqref="R84:R91">
    <cfRule type="cellIs" dxfId="3671" priority="565" operator="lessThan">
      <formula>0.8</formula>
    </cfRule>
    <cfRule type="cellIs" dxfId="3670" priority="566" operator="greaterThan">
      <formula>1</formula>
    </cfRule>
  </conditionalFormatting>
  <conditionalFormatting sqref="R84:R91">
    <cfRule type="cellIs" dxfId="3669" priority="563" operator="greaterThan">
      <formula>1</formula>
    </cfRule>
    <cfRule type="cellIs" dxfId="3668" priority="564" operator="lessThan">
      <formula>0.8</formula>
    </cfRule>
  </conditionalFormatting>
  <conditionalFormatting sqref="P84:P91">
    <cfRule type="cellIs" dxfId="3667" priority="562" operator="greaterThan">
      <formula>0</formula>
    </cfRule>
  </conditionalFormatting>
  <conditionalFormatting sqref="Q84:Q91">
    <cfRule type="cellIs" dxfId="3666" priority="561" operator="lessThan">
      <formula>0</formula>
    </cfRule>
  </conditionalFormatting>
  <conditionalFormatting sqref="R84:R91">
    <cfRule type="cellIs" dxfId="3665" priority="559" operator="lessThan">
      <formula>0.8</formula>
    </cfRule>
    <cfRule type="cellIs" dxfId="3664" priority="560" operator="greaterThan">
      <formula>1</formula>
    </cfRule>
  </conditionalFormatting>
  <conditionalFormatting sqref="R84:R91">
    <cfRule type="cellIs" dxfId="3663" priority="557" operator="greaterThan">
      <formula>1</formula>
    </cfRule>
    <cfRule type="cellIs" dxfId="3662" priority="558" operator="lessThan">
      <formula>0.8</formula>
    </cfRule>
  </conditionalFormatting>
  <conditionalFormatting sqref="P84:P91">
    <cfRule type="cellIs" dxfId="3661" priority="556" operator="greaterThan">
      <formula>0</formula>
    </cfRule>
  </conditionalFormatting>
  <conditionalFormatting sqref="Q84:Q91">
    <cfRule type="cellIs" dxfId="3660" priority="555" operator="lessThan">
      <formula>0</formula>
    </cfRule>
  </conditionalFormatting>
  <conditionalFormatting sqref="R84:R91">
    <cfRule type="cellIs" dxfId="3659" priority="553" operator="lessThan">
      <formula>0.8</formula>
    </cfRule>
    <cfRule type="cellIs" dxfId="3658" priority="554" operator="greaterThan">
      <formula>1</formula>
    </cfRule>
  </conditionalFormatting>
  <conditionalFormatting sqref="R84:R91">
    <cfRule type="cellIs" dxfId="3657" priority="551" operator="greaterThan">
      <formula>1</formula>
    </cfRule>
    <cfRule type="cellIs" dxfId="3656" priority="552" operator="lessThan">
      <formula>0.8</formula>
    </cfRule>
  </conditionalFormatting>
  <conditionalFormatting sqref="P84:P91">
    <cfRule type="cellIs" dxfId="3655" priority="550" operator="greaterThan">
      <formula>0</formula>
    </cfRule>
  </conditionalFormatting>
  <conditionalFormatting sqref="Q84:Q91">
    <cfRule type="cellIs" dxfId="3654" priority="549" operator="lessThan">
      <formula>0</formula>
    </cfRule>
  </conditionalFormatting>
  <conditionalFormatting sqref="R84:R91">
    <cfRule type="cellIs" dxfId="3653" priority="547" operator="lessThan">
      <formula>0.8</formula>
    </cfRule>
    <cfRule type="cellIs" dxfId="3652" priority="548" operator="greaterThan">
      <formula>1</formula>
    </cfRule>
  </conditionalFormatting>
  <conditionalFormatting sqref="R84:R91">
    <cfRule type="cellIs" dxfId="3651" priority="545" operator="greaterThan">
      <formula>1</formula>
    </cfRule>
    <cfRule type="cellIs" dxfId="3650" priority="546" operator="lessThan">
      <formula>0.8</formula>
    </cfRule>
  </conditionalFormatting>
  <conditionalFormatting sqref="P84:P91">
    <cfRule type="cellIs" dxfId="3649" priority="544" operator="greaterThan">
      <formula>0</formula>
    </cfRule>
  </conditionalFormatting>
  <conditionalFormatting sqref="P84:P91">
    <cfRule type="cellIs" dxfId="3648" priority="538" operator="greaterThan">
      <formula>0</formula>
    </cfRule>
  </conditionalFormatting>
  <conditionalFormatting sqref="Q84:Q91">
    <cfRule type="cellIs" dxfId="3647" priority="543" operator="lessThan">
      <formula>0</formula>
    </cfRule>
  </conditionalFormatting>
  <conditionalFormatting sqref="R84:R91">
    <cfRule type="cellIs" dxfId="3646" priority="541" operator="lessThan">
      <formula>0.8</formula>
    </cfRule>
    <cfRule type="cellIs" dxfId="3645" priority="542" operator="greaterThan">
      <formula>1</formula>
    </cfRule>
  </conditionalFormatting>
  <conditionalFormatting sqref="R84:R91">
    <cfRule type="cellIs" dxfId="3644" priority="539" operator="greaterThan">
      <formula>1</formula>
    </cfRule>
    <cfRule type="cellIs" dxfId="3643" priority="540" operator="lessThan">
      <formula>0.8</formula>
    </cfRule>
  </conditionalFormatting>
  <conditionalFormatting sqref="P84:P91">
    <cfRule type="cellIs" dxfId="3642" priority="532" operator="greaterThan">
      <formula>0</formula>
    </cfRule>
  </conditionalFormatting>
  <conditionalFormatting sqref="Q84:Q91">
    <cfRule type="cellIs" dxfId="3641" priority="537" operator="lessThan">
      <formula>0</formula>
    </cfRule>
  </conditionalFormatting>
  <conditionalFormatting sqref="R84:R91">
    <cfRule type="cellIs" dxfId="3640" priority="535" operator="lessThan">
      <formula>0.8</formula>
    </cfRule>
    <cfRule type="cellIs" dxfId="3639" priority="536" operator="greaterThan">
      <formula>1</formula>
    </cfRule>
  </conditionalFormatting>
  <conditionalFormatting sqref="R84:R91">
    <cfRule type="cellIs" dxfId="3638" priority="533" operator="greaterThan">
      <formula>1</formula>
    </cfRule>
    <cfRule type="cellIs" dxfId="3637" priority="534" operator="lessThan">
      <formula>0.8</formula>
    </cfRule>
  </conditionalFormatting>
  <conditionalFormatting sqref="R84:R91">
    <cfRule type="cellIs" dxfId="3636" priority="529" operator="lessThan">
      <formula>0.8</formula>
    </cfRule>
    <cfRule type="cellIs" dxfId="3635" priority="530" operator="greaterThan">
      <formula>1</formula>
    </cfRule>
  </conditionalFormatting>
  <conditionalFormatting sqref="R84:R91">
    <cfRule type="cellIs" dxfId="3634" priority="527" operator="greaterThan">
      <formula>1</formula>
    </cfRule>
    <cfRule type="cellIs" dxfId="3633" priority="528" operator="lessThan">
      <formula>0.8</formula>
    </cfRule>
  </conditionalFormatting>
  <conditionalFormatting sqref="P84:P91">
    <cfRule type="cellIs" dxfId="3632" priority="526" operator="greaterThan">
      <formula>0</formula>
    </cfRule>
  </conditionalFormatting>
  <conditionalFormatting sqref="Q84:Q91">
    <cfRule type="cellIs" dxfId="3631" priority="531" operator="lessThan">
      <formula>0</formula>
    </cfRule>
  </conditionalFormatting>
  <conditionalFormatting sqref="Q84:Q91">
    <cfRule type="cellIs" dxfId="3630" priority="525" operator="lessThan">
      <formula>0</formula>
    </cfRule>
  </conditionalFormatting>
  <conditionalFormatting sqref="R84:R91">
    <cfRule type="cellIs" dxfId="3629" priority="523" operator="lessThan">
      <formula>0.8</formula>
    </cfRule>
    <cfRule type="cellIs" dxfId="3628" priority="524" operator="greaterThan">
      <formula>1</formula>
    </cfRule>
  </conditionalFormatting>
  <conditionalFormatting sqref="R84:R91">
    <cfRule type="cellIs" dxfId="3627" priority="521" operator="greaterThan">
      <formula>1</formula>
    </cfRule>
    <cfRule type="cellIs" dxfId="3626" priority="522" operator="lessThan">
      <formula>0.8</formula>
    </cfRule>
  </conditionalFormatting>
  <conditionalFormatting sqref="P84:P91">
    <cfRule type="cellIs" dxfId="3625" priority="520" operator="greaterThan">
      <formula>0</formula>
    </cfRule>
  </conditionalFormatting>
  <conditionalFormatting sqref="P84:P91">
    <cfRule type="cellIs" dxfId="3624" priority="514" operator="greaterThan">
      <formula>0</formula>
    </cfRule>
  </conditionalFormatting>
  <conditionalFormatting sqref="Q84:Q91">
    <cfRule type="cellIs" dxfId="3623" priority="519" operator="lessThan">
      <formula>0</formula>
    </cfRule>
  </conditionalFormatting>
  <conditionalFormatting sqref="R84:R91">
    <cfRule type="cellIs" dxfId="3622" priority="517" operator="lessThan">
      <formula>0.8</formula>
    </cfRule>
    <cfRule type="cellIs" dxfId="3621" priority="518" operator="greaterThan">
      <formula>1</formula>
    </cfRule>
  </conditionalFormatting>
  <conditionalFormatting sqref="R84:R91">
    <cfRule type="cellIs" dxfId="3620" priority="515" operator="greaterThan">
      <formula>1</formula>
    </cfRule>
    <cfRule type="cellIs" dxfId="3619" priority="516" operator="lessThan">
      <formula>0.8</formula>
    </cfRule>
  </conditionalFormatting>
  <conditionalFormatting sqref="P84:P91">
    <cfRule type="cellIs" dxfId="3618" priority="508" operator="greaterThan">
      <formula>0</formula>
    </cfRule>
  </conditionalFormatting>
  <conditionalFormatting sqref="Q84:Q91">
    <cfRule type="cellIs" dxfId="3617" priority="513" operator="lessThan">
      <formula>0</formula>
    </cfRule>
  </conditionalFormatting>
  <conditionalFormatting sqref="R84:R91">
    <cfRule type="cellIs" dxfId="3616" priority="511" operator="lessThan">
      <formula>0.8</formula>
    </cfRule>
    <cfRule type="cellIs" dxfId="3615" priority="512" operator="greaterThan">
      <formula>1</formula>
    </cfRule>
  </conditionalFormatting>
  <conditionalFormatting sqref="R84:R91">
    <cfRule type="cellIs" dxfId="3614" priority="509" operator="greaterThan">
      <formula>1</formula>
    </cfRule>
    <cfRule type="cellIs" dxfId="3613" priority="510" operator="lessThan">
      <formula>0.8</formula>
    </cfRule>
  </conditionalFormatting>
  <conditionalFormatting sqref="R84:R91">
    <cfRule type="cellIs" dxfId="3612" priority="505" operator="lessThan">
      <formula>0.8</formula>
    </cfRule>
    <cfRule type="cellIs" dxfId="3611" priority="506" operator="greaterThan">
      <formula>1</formula>
    </cfRule>
  </conditionalFormatting>
  <conditionalFormatting sqref="R84:R91">
    <cfRule type="cellIs" dxfId="3610" priority="503" operator="greaterThan">
      <formula>1</formula>
    </cfRule>
    <cfRule type="cellIs" dxfId="3609" priority="504" operator="lessThan">
      <formula>0.8</formula>
    </cfRule>
  </conditionalFormatting>
  <conditionalFormatting sqref="P84:P91">
    <cfRule type="cellIs" dxfId="3608" priority="502" operator="greaterThan">
      <formula>0</formula>
    </cfRule>
  </conditionalFormatting>
  <conditionalFormatting sqref="Q84:Q91">
    <cfRule type="cellIs" dxfId="3607" priority="507" operator="lessThan">
      <formula>0</formula>
    </cfRule>
  </conditionalFormatting>
  <conditionalFormatting sqref="P84:P91">
    <cfRule type="cellIs" dxfId="3606" priority="496" operator="greaterThan">
      <formula>0</formula>
    </cfRule>
  </conditionalFormatting>
  <conditionalFormatting sqref="Q84:Q91">
    <cfRule type="cellIs" dxfId="3605" priority="501" operator="lessThan">
      <formula>0</formula>
    </cfRule>
  </conditionalFormatting>
  <conditionalFormatting sqref="R84:R91">
    <cfRule type="cellIs" dxfId="3604" priority="499" operator="lessThan">
      <formula>0.8</formula>
    </cfRule>
    <cfRule type="cellIs" dxfId="3603" priority="500" operator="greaterThan">
      <formula>1</formula>
    </cfRule>
  </conditionalFormatting>
  <conditionalFormatting sqref="R84:R91">
    <cfRule type="cellIs" dxfId="3602" priority="497" operator="greaterThan">
      <formula>1</formula>
    </cfRule>
    <cfRule type="cellIs" dxfId="3601" priority="498" operator="lessThan">
      <formula>0.8</formula>
    </cfRule>
  </conditionalFormatting>
  <conditionalFormatting sqref="R84:R91">
    <cfRule type="cellIs" dxfId="3600" priority="493" operator="lessThan">
      <formula>0.8</formula>
    </cfRule>
    <cfRule type="cellIs" dxfId="3599" priority="494" operator="greaterThan">
      <formula>1</formula>
    </cfRule>
  </conditionalFormatting>
  <conditionalFormatting sqref="R84:R91">
    <cfRule type="cellIs" dxfId="3598" priority="491" operator="greaterThan">
      <formula>1</formula>
    </cfRule>
    <cfRule type="cellIs" dxfId="3597" priority="492" operator="lessThan">
      <formula>0.8</formula>
    </cfRule>
  </conditionalFormatting>
  <conditionalFormatting sqref="P84:P91">
    <cfRule type="cellIs" dxfId="3596" priority="490" operator="greaterThan">
      <formula>0</formula>
    </cfRule>
  </conditionalFormatting>
  <conditionalFormatting sqref="Q84:Q91">
    <cfRule type="cellIs" dxfId="3595" priority="495" operator="lessThan">
      <formula>0</formula>
    </cfRule>
  </conditionalFormatting>
  <conditionalFormatting sqref="R84:R91">
    <cfRule type="cellIs" dxfId="3594" priority="487" operator="lessThan">
      <formula>0.8</formula>
    </cfRule>
    <cfRule type="cellIs" dxfId="3593" priority="488" operator="greaterThan">
      <formula>1</formula>
    </cfRule>
  </conditionalFormatting>
  <conditionalFormatting sqref="R84:R91">
    <cfRule type="cellIs" dxfId="3592" priority="485" operator="greaterThan">
      <formula>1</formula>
    </cfRule>
    <cfRule type="cellIs" dxfId="3591" priority="486" operator="lessThan">
      <formula>0.8</formula>
    </cfRule>
  </conditionalFormatting>
  <conditionalFormatting sqref="P84:P91">
    <cfRule type="cellIs" dxfId="3590" priority="484" operator="greaterThan">
      <formula>0</formula>
    </cfRule>
  </conditionalFormatting>
  <conditionalFormatting sqref="Q84:Q91">
    <cfRule type="cellIs" dxfId="3589" priority="489" operator="lessThan">
      <formula>0</formula>
    </cfRule>
  </conditionalFormatting>
  <conditionalFormatting sqref="Q84:Q91">
    <cfRule type="cellIs" dxfId="3588" priority="483" operator="lessThan">
      <formula>0</formula>
    </cfRule>
  </conditionalFormatting>
  <conditionalFormatting sqref="R84:R91">
    <cfRule type="cellIs" dxfId="3587" priority="481" operator="lessThan">
      <formula>0.8</formula>
    </cfRule>
    <cfRule type="cellIs" dxfId="3586" priority="482" operator="greaterThan">
      <formula>1</formula>
    </cfRule>
  </conditionalFormatting>
  <conditionalFormatting sqref="R84:R91">
    <cfRule type="cellIs" dxfId="3585" priority="479" operator="greaterThan">
      <formula>1</formula>
    </cfRule>
    <cfRule type="cellIs" dxfId="3584" priority="480" operator="lessThan">
      <formula>0.8</formula>
    </cfRule>
  </conditionalFormatting>
  <conditionalFormatting sqref="P84:P91">
    <cfRule type="cellIs" dxfId="3583" priority="478" operator="greaterThan">
      <formula>0</formula>
    </cfRule>
  </conditionalFormatting>
  <conditionalFormatting sqref="Q84:Q91">
    <cfRule type="cellIs" dxfId="3582" priority="472" operator="lessThan">
      <formula>0</formula>
    </cfRule>
  </conditionalFormatting>
  <conditionalFormatting sqref="R84:R91">
    <cfRule type="cellIs" dxfId="3581" priority="476" operator="lessThan">
      <formula>0.8</formula>
    </cfRule>
    <cfRule type="cellIs" dxfId="3580" priority="477" operator="greaterThan">
      <formula>1</formula>
    </cfRule>
  </conditionalFormatting>
  <conditionalFormatting sqref="R84:R91">
    <cfRule type="cellIs" dxfId="3579" priority="474" operator="greaterThan">
      <formula>1</formula>
    </cfRule>
    <cfRule type="cellIs" dxfId="3578" priority="475" operator="lessThan">
      <formula>0.8</formula>
    </cfRule>
  </conditionalFormatting>
  <conditionalFormatting sqref="P84:P91">
    <cfRule type="cellIs" dxfId="3577" priority="473" operator="greaterThan">
      <formula>0</formula>
    </cfRule>
  </conditionalFormatting>
  <conditionalFormatting sqref="Q84:Q91">
    <cfRule type="cellIs" dxfId="3576" priority="471" operator="lessThan">
      <formula>0</formula>
    </cfRule>
  </conditionalFormatting>
  <conditionalFormatting sqref="R84:R91">
    <cfRule type="cellIs" dxfId="3575" priority="469" operator="lessThan">
      <formula>0.8</formula>
    </cfRule>
    <cfRule type="cellIs" dxfId="3574" priority="470" operator="greaterThan">
      <formula>1</formula>
    </cfRule>
  </conditionalFormatting>
  <conditionalFormatting sqref="R84:R91">
    <cfRule type="cellIs" dxfId="3573" priority="467" operator="greaterThan">
      <formula>1</formula>
    </cfRule>
    <cfRule type="cellIs" dxfId="3572" priority="468" operator="lessThan">
      <formula>0.8</formula>
    </cfRule>
  </conditionalFormatting>
  <conditionalFormatting sqref="P84:P91">
    <cfRule type="cellIs" dxfId="3571" priority="466" operator="greaterThan">
      <formula>0</formula>
    </cfRule>
  </conditionalFormatting>
  <conditionalFormatting sqref="Q84:Q91">
    <cfRule type="cellIs" dxfId="3570" priority="465" operator="lessThan">
      <formula>0</formula>
    </cfRule>
  </conditionalFormatting>
  <conditionalFormatting sqref="R84:R91">
    <cfRule type="cellIs" dxfId="3569" priority="463" operator="lessThan">
      <formula>0.8</formula>
    </cfRule>
    <cfRule type="cellIs" dxfId="3568" priority="464" operator="greaterThan">
      <formula>1</formula>
    </cfRule>
  </conditionalFormatting>
  <conditionalFormatting sqref="R84:R91">
    <cfRule type="cellIs" dxfId="3567" priority="461" operator="greaterThan">
      <formula>1</formula>
    </cfRule>
    <cfRule type="cellIs" dxfId="3566" priority="462" operator="lessThan">
      <formula>0.8</formula>
    </cfRule>
  </conditionalFormatting>
  <conditionalFormatting sqref="P84:P91">
    <cfRule type="cellIs" dxfId="3565" priority="460" operator="greaterThan">
      <formula>0</formula>
    </cfRule>
  </conditionalFormatting>
  <conditionalFormatting sqref="Q84:Q91">
    <cfRule type="cellIs" dxfId="3564" priority="459" operator="lessThan">
      <formula>0</formula>
    </cfRule>
  </conditionalFormatting>
  <conditionalFormatting sqref="R84:R91">
    <cfRule type="cellIs" dxfId="3563" priority="457" operator="lessThan">
      <formula>0.8</formula>
    </cfRule>
    <cfRule type="cellIs" dxfId="3562" priority="458" operator="greaterThan">
      <formula>1</formula>
    </cfRule>
  </conditionalFormatting>
  <conditionalFormatting sqref="R84:R91">
    <cfRule type="cellIs" dxfId="3561" priority="455" operator="greaterThan">
      <formula>1</formula>
    </cfRule>
    <cfRule type="cellIs" dxfId="3560" priority="456" operator="lessThan">
      <formula>0.8</formula>
    </cfRule>
  </conditionalFormatting>
  <conditionalFormatting sqref="P84:P91">
    <cfRule type="cellIs" dxfId="3559" priority="454" operator="greaterThan">
      <formula>0</formula>
    </cfRule>
  </conditionalFormatting>
  <conditionalFormatting sqref="Q84:Q91">
    <cfRule type="cellIs" dxfId="3558" priority="453" operator="lessThan">
      <formula>0</formula>
    </cfRule>
  </conditionalFormatting>
  <conditionalFormatting sqref="R84:R91">
    <cfRule type="cellIs" dxfId="3557" priority="451" operator="lessThan">
      <formula>0.8</formula>
    </cfRule>
    <cfRule type="cellIs" dxfId="3556" priority="452" operator="greaterThan">
      <formula>1</formula>
    </cfRule>
  </conditionalFormatting>
  <conditionalFormatting sqref="R84:R91">
    <cfRule type="cellIs" dxfId="3555" priority="449" operator="greaterThan">
      <formula>1</formula>
    </cfRule>
    <cfRule type="cellIs" dxfId="3554" priority="450" operator="lessThan">
      <formula>0.8</formula>
    </cfRule>
  </conditionalFormatting>
  <conditionalFormatting sqref="P84:P91">
    <cfRule type="cellIs" dxfId="3553" priority="448" operator="greaterThan">
      <formula>0</formula>
    </cfRule>
  </conditionalFormatting>
  <conditionalFormatting sqref="Q84:Q91">
    <cfRule type="cellIs" dxfId="3552" priority="447" operator="lessThan">
      <formula>0</formula>
    </cfRule>
  </conditionalFormatting>
  <conditionalFormatting sqref="R84:R91">
    <cfRule type="cellIs" dxfId="3551" priority="445" operator="lessThan">
      <formula>0.8</formula>
    </cfRule>
    <cfRule type="cellIs" dxfId="3550" priority="446" operator="greaterThan">
      <formula>1</formula>
    </cfRule>
  </conditionalFormatting>
  <conditionalFormatting sqref="R84:R91">
    <cfRule type="cellIs" dxfId="3549" priority="443" operator="greaterThan">
      <formula>1</formula>
    </cfRule>
    <cfRule type="cellIs" dxfId="3548" priority="444" operator="lessThan">
      <formula>0.8</formula>
    </cfRule>
  </conditionalFormatting>
  <conditionalFormatting sqref="P84:P91">
    <cfRule type="cellIs" dxfId="3547" priority="442" operator="greaterThan">
      <formula>0</formula>
    </cfRule>
  </conditionalFormatting>
  <conditionalFormatting sqref="P84:P91">
    <cfRule type="cellIs" dxfId="3546" priority="436" operator="greaterThan">
      <formula>0</formula>
    </cfRule>
  </conditionalFormatting>
  <conditionalFormatting sqref="Q84:Q91">
    <cfRule type="cellIs" dxfId="3545" priority="441" operator="lessThan">
      <formula>0</formula>
    </cfRule>
  </conditionalFormatting>
  <conditionalFormatting sqref="R84:R91">
    <cfRule type="cellIs" dxfId="3544" priority="439" operator="lessThan">
      <formula>0.8</formula>
    </cfRule>
    <cfRule type="cellIs" dxfId="3543" priority="440" operator="greaterThan">
      <formula>1</formula>
    </cfRule>
  </conditionalFormatting>
  <conditionalFormatting sqref="R84:R91">
    <cfRule type="cellIs" dxfId="3542" priority="437" operator="greaterThan">
      <formula>1</formula>
    </cfRule>
    <cfRule type="cellIs" dxfId="3541" priority="438" operator="lessThan">
      <formula>0.8</formula>
    </cfRule>
  </conditionalFormatting>
  <conditionalFormatting sqref="P84:P91">
    <cfRule type="cellIs" dxfId="3540" priority="430" operator="greaterThan">
      <formula>0</formula>
    </cfRule>
  </conditionalFormatting>
  <conditionalFormatting sqref="Q84:Q91">
    <cfRule type="cellIs" dxfId="3539" priority="435" operator="lessThan">
      <formula>0</formula>
    </cfRule>
  </conditionalFormatting>
  <conditionalFormatting sqref="R84:R91">
    <cfRule type="cellIs" dxfId="3538" priority="433" operator="lessThan">
      <formula>0.8</formula>
    </cfRule>
    <cfRule type="cellIs" dxfId="3537" priority="434" operator="greaterThan">
      <formula>1</formula>
    </cfRule>
  </conditionalFormatting>
  <conditionalFormatting sqref="R84:R91">
    <cfRule type="cellIs" dxfId="3536" priority="431" operator="greaterThan">
      <formula>1</formula>
    </cfRule>
    <cfRule type="cellIs" dxfId="3535" priority="432" operator="lessThan">
      <formula>0.8</formula>
    </cfRule>
  </conditionalFormatting>
  <conditionalFormatting sqref="R84:R91">
    <cfRule type="cellIs" dxfId="3534" priority="427" operator="lessThan">
      <formula>0.8</formula>
    </cfRule>
    <cfRule type="cellIs" dxfId="3533" priority="428" operator="greaterThan">
      <formula>1</formula>
    </cfRule>
  </conditionalFormatting>
  <conditionalFormatting sqref="R84:R91">
    <cfRule type="cellIs" dxfId="3532" priority="425" operator="greaterThan">
      <formula>1</formula>
    </cfRule>
    <cfRule type="cellIs" dxfId="3531" priority="426" operator="lessThan">
      <formula>0.8</formula>
    </cfRule>
  </conditionalFormatting>
  <conditionalFormatting sqref="P84:P91">
    <cfRule type="cellIs" dxfId="3530" priority="424" operator="greaterThan">
      <formula>0</formula>
    </cfRule>
  </conditionalFormatting>
  <conditionalFormatting sqref="Q84:Q91">
    <cfRule type="cellIs" dxfId="3529" priority="429" operator="lessThan">
      <formula>0</formula>
    </cfRule>
  </conditionalFormatting>
  <conditionalFormatting sqref="Q84:Q91">
    <cfRule type="cellIs" dxfId="3528" priority="418" operator="lessThan">
      <formula>0</formula>
    </cfRule>
  </conditionalFormatting>
  <conditionalFormatting sqref="P84:P91">
    <cfRule type="cellIs" dxfId="3527" priority="419" operator="greaterThan">
      <formula>0</formula>
    </cfRule>
  </conditionalFormatting>
  <conditionalFormatting sqref="R84:R91">
    <cfRule type="cellIs" dxfId="3526" priority="422" operator="lessThan">
      <formula>0.8</formula>
    </cfRule>
    <cfRule type="cellIs" dxfId="3525" priority="423" operator="greaterThan">
      <formula>1</formula>
    </cfRule>
  </conditionalFormatting>
  <conditionalFormatting sqref="R84:R91">
    <cfRule type="cellIs" dxfId="3524" priority="420" operator="greaterThan">
      <formula>1</formula>
    </cfRule>
    <cfRule type="cellIs" dxfId="3523" priority="421" operator="lessThan">
      <formula>0.8</formula>
    </cfRule>
  </conditionalFormatting>
  <conditionalFormatting sqref="Q84:Q91">
    <cfRule type="cellIs" dxfId="3522" priority="412" operator="lessThan">
      <formula>0</formula>
    </cfRule>
  </conditionalFormatting>
  <conditionalFormatting sqref="R84:R91">
    <cfRule type="cellIs" dxfId="3521" priority="416" operator="lessThan">
      <formula>0.8</formula>
    </cfRule>
    <cfRule type="cellIs" dxfId="3520" priority="417" operator="greaterThan">
      <formula>1</formula>
    </cfRule>
  </conditionalFormatting>
  <conditionalFormatting sqref="R84:R91">
    <cfRule type="cellIs" dxfId="3519" priority="414" operator="greaterThan">
      <formula>1</formula>
    </cfRule>
    <cfRule type="cellIs" dxfId="3518" priority="415" operator="lessThan">
      <formula>0.8</formula>
    </cfRule>
  </conditionalFormatting>
  <conditionalFormatting sqref="P84:P91">
    <cfRule type="cellIs" dxfId="3517" priority="413" operator="greaterThan">
      <formula>0</formula>
    </cfRule>
  </conditionalFormatting>
  <conditionalFormatting sqref="Q84:Q91">
    <cfRule type="cellIs" dxfId="3516" priority="411" operator="lessThan">
      <formula>0</formula>
    </cfRule>
  </conditionalFormatting>
  <conditionalFormatting sqref="R84:R91">
    <cfRule type="cellIs" dxfId="3515" priority="409" operator="lessThan">
      <formula>0.8</formula>
    </cfRule>
    <cfRule type="cellIs" dxfId="3514" priority="410" operator="greaterThan">
      <formula>1</formula>
    </cfRule>
  </conditionalFormatting>
  <conditionalFormatting sqref="R84:R91">
    <cfRule type="cellIs" dxfId="3513" priority="407" operator="greaterThan">
      <formula>1</formula>
    </cfRule>
    <cfRule type="cellIs" dxfId="3512" priority="408" operator="lessThan">
      <formula>0.8</formula>
    </cfRule>
  </conditionalFormatting>
  <conditionalFormatting sqref="P84:P91">
    <cfRule type="cellIs" dxfId="3511" priority="406" operator="greaterThan">
      <formula>0</formula>
    </cfRule>
  </conditionalFormatting>
  <conditionalFormatting sqref="Q84:Q91">
    <cfRule type="cellIs" dxfId="3510" priority="405" operator="lessThan">
      <formula>0</formula>
    </cfRule>
  </conditionalFormatting>
  <conditionalFormatting sqref="R84:R91">
    <cfRule type="cellIs" dxfId="3509" priority="403" operator="lessThan">
      <formula>0.8</formula>
    </cfRule>
    <cfRule type="cellIs" dxfId="3508" priority="404" operator="greaterThan">
      <formula>1</formula>
    </cfRule>
  </conditionalFormatting>
  <conditionalFormatting sqref="R84:R91">
    <cfRule type="cellIs" dxfId="3507" priority="401" operator="greaterThan">
      <formula>1</formula>
    </cfRule>
    <cfRule type="cellIs" dxfId="3506" priority="402" operator="lessThan">
      <formula>0.8</formula>
    </cfRule>
  </conditionalFormatting>
  <conditionalFormatting sqref="P84:P91">
    <cfRule type="cellIs" dxfId="3505" priority="400" operator="greaterThan">
      <formula>0</formula>
    </cfRule>
  </conditionalFormatting>
  <conditionalFormatting sqref="Q84:Q91">
    <cfRule type="cellIs" dxfId="3504" priority="399" operator="lessThan">
      <formula>0</formula>
    </cfRule>
  </conditionalFormatting>
  <conditionalFormatting sqref="R84:R91">
    <cfRule type="cellIs" dxfId="3503" priority="397" operator="lessThan">
      <formula>0.8</formula>
    </cfRule>
    <cfRule type="cellIs" dxfId="3502" priority="398" operator="greaterThan">
      <formula>1</formula>
    </cfRule>
  </conditionalFormatting>
  <conditionalFormatting sqref="R84:R91">
    <cfRule type="cellIs" dxfId="3501" priority="395" operator="greaterThan">
      <formula>1</formula>
    </cfRule>
    <cfRule type="cellIs" dxfId="3500" priority="396" operator="lessThan">
      <formula>0.8</formula>
    </cfRule>
  </conditionalFormatting>
  <conditionalFormatting sqref="P84:P91">
    <cfRule type="cellIs" dxfId="3499" priority="394" operator="greaterThan">
      <formula>0</formula>
    </cfRule>
  </conditionalFormatting>
  <conditionalFormatting sqref="Q84:Q91">
    <cfRule type="cellIs" dxfId="3498" priority="393" operator="lessThan">
      <formula>0</formula>
    </cfRule>
  </conditionalFormatting>
  <conditionalFormatting sqref="R84:R91">
    <cfRule type="cellIs" dxfId="3497" priority="391" operator="lessThan">
      <formula>0.8</formula>
    </cfRule>
    <cfRule type="cellIs" dxfId="3496" priority="392" operator="greaterThan">
      <formula>1</formula>
    </cfRule>
  </conditionalFormatting>
  <conditionalFormatting sqref="R84:R91">
    <cfRule type="cellIs" dxfId="3495" priority="389" operator="greaterThan">
      <formula>1</formula>
    </cfRule>
    <cfRule type="cellIs" dxfId="3494" priority="390" operator="lessThan">
      <formula>0.8</formula>
    </cfRule>
  </conditionalFormatting>
  <conditionalFormatting sqref="P84:P91">
    <cfRule type="cellIs" dxfId="3493" priority="388" operator="greaterThan">
      <formula>0</formula>
    </cfRule>
  </conditionalFormatting>
  <conditionalFormatting sqref="Q84:Q91">
    <cfRule type="cellIs" dxfId="3492" priority="387" operator="lessThan">
      <formula>0</formula>
    </cfRule>
  </conditionalFormatting>
  <conditionalFormatting sqref="R84:R91">
    <cfRule type="cellIs" dxfId="3491" priority="385" operator="lessThan">
      <formula>0.8</formula>
    </cfRule>
    <cfRule type="cellIs" dxfId="3490" priority="386" operator="greaterThan">
      <formula>1</formula>
    </cfRule>
  </conditionalFormatting>
  <conditionalFormatting sqref="R84:R91">
    <cfRule type="cellIs" dxfId="3489" priority="383" operator="greaterThan">
      <formula>1</formula>
    </cfRule>
    <cfRule type="cellIs" dxfId="3488" priority="384" operator="lessThan">
      <formula>0.8</formula>
    </cfRule>
  </conditionalFormatting>
  <conditionalFormatting sqref="P84:P91">
    <cfRule type="cellIs" dxfId="3487" priority="382" operator="greaterThan">
      <formula>0</formula>
    </cfRule>
  </conditionalFormatting>
  <conditionalFormatting sqref="Q84:Q91">
    <cfRule type="cellIs" dxfId="3486" priority="381" operator="lessThan">
      <formula>0</formula>
    </cfRule>
  </conditionalFormatting>
  <conditionalFormatting sqref="R84:R91">
    <cfRule type="cellIs" dxfId="3485" priority="379" operator="lessThan">
      <formula>0.8</formula>
    </cfRule>
    <cfRule type="cellIs" dxfId="3484" priority="380" operator="greaterThan">
      <formula>1</formula>
    </cfRule>
  </conditionalFormatting>
  <conditionalFormatting sqref="R84:R91">
    <cfRule type="cellIs" dxfId="3483" priority="377" operator="greaterThan">
      <formula>1</formula>
    </cfRule>
    <cfRule type="cellIs" dxfId="3482" priority="378" operator="lessThan">
      <formula>0.8</formula>
    </cfRule>
  </conditionalFormatting>
  <conditionalFormatting sqref="P84:P91">
    <cfRule type="cellIs" dxfId="3481" priority="376" operator="greaterThan">
      <formula>0</formula>
    </cfRule>
  </conditionalFormatting>
  <conditionalFormatting sqref="Q84:Q91">
    <cfRule type="cellIs" dxfId="3480" priority="375" operator="lessThan">
      <formula>0</formula>
    </cfRule>
  </conditionalFormatting>
  <conditionalFormatting sqref="R84:R91">
    <cfRule type="cellIs" dxfId="3479" priority="373" operator="lessThan">
      <formula>0.8</formula>
    </cfRule>
    <cfRule type="cellIs" dxfId="3478" priority="374" operator="greaterThan">
      <formula>1</formula>
    </cfRule>
  </conditionalFormatting>
  <conditionalFormatting sqref="R84:R91">
    <cfRule type="cellIs" dxfId="3477" priority="371" operator="greaterThan">
      <formula>1</formula>
    </cfRule>
    <cfRule type="cellIs" dxfId="3476" priority="372" operator="lessThan">
      <formula>0.8</formula>
    </cfRule>
  </conditionalFormatting>
  <conditionalFormatting sqref="P84:P91">
    <cfRule type="cellIs" dxfId="3475" priority="370" operator="greaterThan">
      <formula>0</formula>
    </cfRule>
  </conditionalFormatting>
  <conditionalFormatting sqref="P84:P91">
    <cfRule type="cellIs" dxfId="3474" priority="364" operator="greaterThan">
      <formula>0</formula>
    </cfRule>
  </conditionalFormatting>
  <conditionalFormatting sqref="Q84:Q91">
    <cfRule type="cellIs" dxfId="3473" priority="369" operator="lessThan">
      <formula>0</formula>
    </cfRule>
  </conditionalFormatting>
  <conditionalFormatting sqref="R84:R91">
    <cfRule type="cellIs" dxfId="3472" priority="367" operator="lessThan">
      <formula>0.8</formula>
    </cfRule>
    <cfRule type="cellIs" dxfId="3471" priority="368" operator="greaterThan">
      <formula>1</formula>
    </cfRule>
  </conditionalFormatting>
  <conditionalFormatting sqref="R84:R91">
    <cfRule type="cellIs" dxfId="3470" priority="365" operator="greaterThan">
      <formula>1</formula>
    </cfRule>
    <cfRule type="cellIs" dxfId="3469" priority="366" operator="lessThan">
      <formula>0.8</formula>
    </cfRule>
  </conditionalFormatting>
  <conditionalFormatting sqref="P84:P91">
    <cfRule type="cellIs" dxfId="3468" priority="358" operator="greaterThan">
      <formula>0</formula>
    </cfRule>
  </conditionalFormatting>
  <conditionalFormatting sqref="Q84:Q91">
    <cfRule type="cellIs" dxfId="3467" priority="363" operator="lessThan">
      <formula>0</formula>
    </cfRule>
  </conditionalFormatting>
  <conditionalFormatting sqref="R84:R91">
    <cfRule type="cellIs" dxfId="3466" priority="361" operator="lessThan">
      <formula>0.8</formula>
    </cfRule>
    <cfRule type="cellIs" dxfId="3465" priority="362" operator="greaterThan">
      <formula>1</formula>
    </cfRule>
  </conditionalFormatting>
  <conditionalFormatting sqref="R84:R91">
    <cfRule type="cellIs" dxfId="3464" priority="359" operator="greaterThan">
      <formula>1</formula>
    </cfRule>
    <cfRule type="cellIs" dxfId="3463" priority="360" operator="lessThan">
      <formula>0.8</formula>
    </cfRule>
  </conditionalFormatting>
  <conditionalFormatting sqref="R84:R91">
    <cfRule type="cellIs" dxfId="3462" priority="355" operator="lessThan">
      <formula>0.8</formula>
    </cfRule>
    <cfRule type="cellIs" dxfId="3461" priority="356" operator="greaterThan">
      <formula>1</formula>
    </cfRule>
  </conditionalFormatting>
  <conditionalFormatting sqref="R84:R91">
    <cfRule type="cellIs" dxfId="3460" priority="353" operator="greaterThan">
      <formula>1</formula>
    </cfRule>
    <cfRule type="cellIs" dxfId="3459" priority="354" operator="lessThan">
      <formula>0.8</formula>
    </cfRule>
  </conditionalFormatting>
  <conditionalFormatting sqref="P84:P91">
    <cfRule type="cellIs" dxfId="3458" priority="352" operator="greaterThan">
      <formula>0</formula>
    </cfRule>
  </conditionalFormatting>
  <conditionalFormatting sqref="Q84:Q91">
    <cfRule type="cellIs" dxfId="3457" priority="357" operator="lessThan">
      <formula>0</formula>
    </cfRule>
  </conditionalFormatting>
  <conditionalFormatting sqref="Q84:Q91">
    <cfRule type="cellIs" dxfId="3456" priority="351" operator="lessThan">
      <formula>0</formula>
    </cfRule>
  </conditionalFormatting>
  <conditionalFormatting sqref="R84:R91">
    <cfRule type="cellIs" dxfId="3455" priority="349" operator="lessThan">
      <formula>0.8</formula>
    </cfRule>
    <cfRule type="cellIs" dxfId="3454" priority="350" operator="greaterThan">
      <formula>1</formula>
    </cfRule>
  </conditionalFormatting>
  <conditionalFormatting sqref="R84:R91">
    <cfRule type="cellIs" dxfId="3453" priority="347" operator="greaterThan">
      <formula>1</formula>
    </cfRule>
    <cfRule type="cellIs" dxfId="3452" priority="348" operator="lessThan">
      <formula>0.8</formula>
    </cfRule>
  </conditionalFormatting>
  <conditionalFormatting sqref="P84:P91">
    <cfRule type="cellIs" dxfId="3451" priority="346" operator="greaterThan">
      <formula>0</formula>
    </cfRule>
  </conditionalFormatting>
  <conditionalFormatting sqref="P84:P91">
    <cfRule type="cellIs" dxfId="3450" priority="340" operator="greaterThan">
      <formula>0</formula>
    </cfRule>
  </conditionalFormatting>
  <conditionalFormatting sqref="Q84:Q91">
    <cfRule type="cellIs" dxfId="3449" priority="345" operator="lessThan">
      <formula>0</formula>
    </cfRule>
  </conditionalFormatting>
  <conditionalFormatting sqref="R84:R91">
    <cfRule type="cellIs" dxfId="3448" priority="343" operator="lessThan">
      <formula>0.8</formula>
    </cfRule>
    <cfRule type="cellIs" dxfId="3447" priority="344" operator="greaterThan">
      <formula>1</formula>
    </cfRule>
  </conditionalFormatting>
  <conditionalFormatting sqref="R84:R91">
    <cfRule type="cellIs" dxfId="3446" priority="341" operator="greaterThan">
      <formula>1</formula>
    </cfRule>
    <cfRule type="cellIs" dxfId="3445" priority="342" operator="lessThan">
      <formula>0.8</formula>
    </cfRule>
  </conditionalFormatting>
  <conditionalFormatting sqref="P84:P91">
    <cfRule type="cellIs" dxfId="3444" priority="334" operator="greaterThan">
      <formula>0</formula>
    </cfRule>
  </conditionalFormatting>
  <conditionalFormatting sqref="Q84:Q91">
    <cfRule type="cellIs" dxfId="3443" priority="339" operator="lessThan">
      <formula>0</formula>
    </cfRule>
  </conditionalFormatting>
  <conditionalFormatting sqref="R84:R91">
    <cfRule type="cellIs" dxfId="3442" priority="337" operator="lessThan">
      <formula>0.8</formula>
    </cfRule>
    <cfRule type="cellIs" dxfId="3441" priority="338" operator="greaterThan">
      <formula>1</formula>
    </cfRule>
  </conditionalFormatting>
  <conditionalFormatting sqref="R84:R91">
    <cfRule type="cellIs" dxfId="3440" priority="335" operator="greaterThan">
      <formula>1</formula>
    </cfRule>
    <cfRule type="cellIs" dxfId="3439" priority="336" operator="lessThan">
      <formula>0.8</formula>
    </cfRule>
  </conditionalFormatting>
  <conditionalFormatting sqref="R84:R91">
    <cfRule type="cellIs" dxfId="3438" priority="331" operator="lessThan">
      <formula>0.8</formula>
    </cfRule>
    <cfRule type="cellIs" dxfId="3437" priority="332" operator="greaterThan">
      <formula>1</formula>
    </cfRule>
  </conditionalFormatting>
  <conditionalFormatting sqref="R84:R91">
    <cfRule type="cellIs" dxfId="3436" priority="329" operator="greaterThan">
      <formula>1</formula>
    </cfRule>
    <cfRule type="cellIs" dxfId="3435" priority="330" operator="lessThan">
      <formula>0.8</formula>
    </cfRule>
  </conditionalFormatting>
  <conditionalFormatting sqref="P84:P91">
    <cfRule type="cellIs" dxfId="3434" priority="328" operator="greaterThan">
      <formula>0</formula>
    </cfRule>
  </conditionalFormatting>
  <conditionalFormatting sqref="Q84:Q91">
    <cfRule type="cellIs" dxfId="3433" priority="333" operator="lessThan">
      <formula>0</formula>
    </cfRule>
  </conditionalFormatting>
  <conditionalFormatting sqref="P84:P91">
    <cfRule type="cellIs" dxfId="3432" priority="322" operator="greaterThan">
      <formula>0</formula>
    </cfRule>
  </conditionalFormatting>
  <conditionalFormatting sqref="Q84:Q91">
    <cfRule type="cellIs" dxfId="3431" priority="327" operator="lessThan">
      <formula>0</formula>
    </cfRule>
  </conditionalFormatting>
  <conditionalFormatting sqref="R84:R91">
    <cfRule type="cellIs" dxfId="3430" priority="325" operator="lessThan">
      <formula>0.8</formula>
    </cfRule>
    <cfRule type="cellIs" dxfId="3429" priority="326" operator="greaterThan">
      <formula>1</formula>
    </cfRule>
  </conditionalFormatting>
  <conditionalFormatting sqref="R84:R91">
    <cfRule type="cellIs" dxfId="3428" priority="323" operator="greaterThan">
      <formula>1</formula>
    </cfRule>
    <cfRule type="cellIs" dxfId="3427" priority="324" operator="lessThan">
      <formula>0.8</formula>
    </cfRule>
  </conditionalFormatting>
  <conditionalFormatting sqref="R84:R91">
    <cfRule type="cellIs" dxfId="3426" priority="319" operator="lessThan">
      <formula>0.8</formula>
    </cfRule>
    <cfRule type="cellIs" dxfId="3425" priority="320" operator="greaterThan">
      <formula>1</formula>
    </cfRule>
  </conditionalFormatting>
  <conditionalFormatting sqref="R84:R91">
    <cfRule type="cellIs" dxfId="3424" priority="317" operator="greaterThan">
      <formula>1</formula>
    </cfRule>
    <cfRule type="cellIs" dxfId="3423" priority="318" operator="lessThan">
      <formula>0.8</formula>
    </cfRule>
  </conditionalFormatting>
  <conditionalFormatting sqref="P84:P91">
    <cfRule type="cellIs" dxfId="3422" priority="316" operator="greaterThan">
      <formula>0</formula>
    </cfRule>
  </conditionalFormatting>
  <conditionalFormatting sqref="Q84:Q91">
    <cfRule type="cellIs" dxfId="3421" priority="321" operator="lessThan">
      <formula>0</formula>
    </cfRule>
  </conditionalFormatting>
  <conditionalFormatting sqref="R84:R91">
    <cfRule type="cellIs" dxfId="3420" priority="313" operator="lessThan">
      <formula>0.8</formula>
    </cfRule>
    <cfRule type="cellIs" dxfId="3419" priority="314" operator="greaterThan">
      <formula>1</formula>
    </cfRule>
  </conditionalFormatting>
  <conditionalFormatting sqref="R84:R91">
    <cfRule type="cellIs" dxfId="3418" priority="311" operator="greaterThan">
      <formula>1</formula>
    </cfRule>
    <cfRule type="cellIs" dxfId="3417" priority="312" operator="lessThan">
      <formula>0.8</formula>
    </cfRule>
  </conditionalFormatting>
  <conditionalFormatting sqref="P84:P91">
    <cfRule type="cellIs" dxfId="3416" priority="310" operator="greaterThan">
      <formula>0</formula>
    </cfRule>
  </conditionalFormatting>
  <conditionalFormatting sqref="Q84:Q91">
    <cfRule type="cellIs" dxfId="3415" priority="315" operator="lessThan">
      <formula>0</formula>
    </cfRule>
  </conditionalFormatting>
  <conditionalFormatting sqref="Q84:Q91">
    <cfRule type="cellIs" dxfId="3414" priority="309" operator="lessThan">
      <formula>0</formula>
    </cfRule>
  </conditionalFormatting>
  <conditionalFormatting sqref="R84:R91">
    <cfRule type="cellIs" dxfId="3413" priority="307" operator="lessThan">
      <formula>0.8</formula>
    </cfRule>
    <cfRule type="cellIs" dxfId="3412" priority="308" operator="greaterThan">
      <formula>1</formula>
    </cfRule>
  </conditionalFormatting>
  <conditionalFormatting sqref="R84:R91">
    <cfRule type="cellIs" dxfId="3411" priority="305" operator="greaterThan">
      <formula>1</formula>
    </cfRule>
    <cfRule type="cellIs" dxfId="3410" priority="306" operator="lessThan">
      <formula>0.8</formula>
    </cfRule>
  </conditionalFormatting>
  <conditionalFormatting sqref="P84:P91">
    <cfRule type="cellIs" dxfId="3409" priority="304" operator="greaterThan">
      <formula>0</formula>
    </cfRule>
  </conditionalFormatting>
  <conditionalFormatting sqref="Q84:Q91">
    <cfRule type="cellIs" dxfId="3408" priority="298" operator="lessThan">
      <formula>0</formula>
    </cfRule>
  </conditionalFormatting>
  <conditionalFormatting sqref="R84:R91">
    <cfRule type="cellIs" dxfId="3407" priority="302" operator="lessThan">
      <formula>0.8</formula>
    </cfRule>
    <cfRule type="cellIs" dxfId="3406" priority="303" operator="greaterThan">
      <formula>1</formula>
    </cfRule>
  </conditionalFormatting>
  <conditionalFormatting sqref="R84:R91">
    <cfRule type="cellIs" dxfId="3405" priority="300" operator="greaterThan">
      <formula>1</formula>
    </cfRule>
    <cfRule type="cellIs" dxfId="3404" priority="301" operator="lessThan">
      <formula>0.8</formula>
    </cfRule>
  </conditionalFormatting>
  <conditionalFormatting sqref="P84:P91">
    <cfRule type="cellIs" dxfId="3403" priority="299" operator="greaterThan">
      <formula>0</formula>
    </cfRule>
  </conditionalFormatting>
  <conditionalFormatting sqref="Q84:Q91">
    <cfRule type="cellIs" dxfId="3402" priority="297" operator="lessThan">
      <formula>0</formula>
    </cfRule>
  </conditionalFormatting>
  <conditionalFormatting sqref="R84:R91">
    <cfRule type="cellIs" dxfId="3401" priority="295" operator="lessThan">
      <formula>0.8</formula>
    </cfRule>
    <cfRule type="cellIs" dxfId="3400" priority="296" operator="greaterThan">
      <formula>1</formula>
    </cfRule>
  </conditionalFormatting>
  <conditionalFormatting sqref="R84:R91">
    <cfRule type="cellIs" dxfId="3399" priority="293" operator="greaterThan">
      <formula>1</formula>
    </cfRule>
    <cfRule type="cellIs" dxfId="3398" priority="294" operator="lessThan">
      <formula>0.8</formula>
    </cfRule>
  </conditionalFormatting>
  <conditionalFormatting sqref="P84:P91">
    <cfRule type="cellIs" dxfId="3397" priority="292" operator="greaterThan">
      <formula>0</formula>
    </cfRule>
  </conditionalFormatting>
  <conditionalFormatting sqref="Q84:Q91">
    <cfRule type="cellIs" dxfId="3396" priority="291" operator="lessThan">
      <formula>0</formula>
    </cfRule>
  </conditionalFormatting>
  <conditionalFormatting sqref="R84:R91">
    <cfRule type="cellIs" dxfId="3395" priority="289" operator="lessThan">
      <formula>0.8</formula>
    </cfRule>
    <cfRule type="cellIs" dxfId="3394" priority="290" operator="greaterThan">
      <formula>1</formula>
    </cfRule>
  </conditionalFormatting>
  <conditionalFormatting sqref="R84:R91">
    <cfRule type="cellIs" dxfId="3393" priority="287" operator="greaterThan">
      <formula>1</formula>
    </cfRule>
    <cfRule type="cellIs" dxfId="3392" priority="288" operator="lessThan">
      <formula>0.8</formula>
    </cfRule>
  </conditionalFormatting>
  <conditionalFormatting sqref="P84:P91">
    <cfRule type="cellIs" dxfId="3391" priority="286" operator="greaterThan">
      <formula>0</formula>
    </cfRule>
  </conditionalFormatting>
  <conditionalFormatting sqref="Q84:Q91">
    <cfRule type="cellIs" dxfId="3390" priority="285" operator="lessThan">
      <formula>0</formula>
    </cfRule>
  </conditionalFormatting>
  <conditionalFormatting sqref="R84:R91">
    <cfRule type="cellIs" dxfId="3389" priority="283" operator="lessThan">
      <formula>0.8</formula>
    </cfRule>
    <cfRule type="cellIs" dxfId="3388" priority="284" operator="greaterThan">
      <formula>1</formula>
    </cfRule>
  </conditionalFormatting>
  <conditionalFormatting sqref="R84:R91">
    <cfRule type="cellIs" dxfId="3387" priority="281" operator="greaterThan">
      <formula>1</formula>
    </cfRule>
    <cfRule type="cellIs" dxfId="3386" priority="282" operator="lessThan">
      <formula>0.8</formula>
    </cfRule>
  </conditionalFormatting>
  <conditionalFormatting sqref="P84:P91">
    <cfRule type="cellIs" dxfId="3385" priority="280" operator="greaterThan">
      <formula>0</formula>
    </cfRule>
  </conditionalFormatting>
  <conditionalFormatting sqref="Q84:Q91">
    <cfRule type="cellIs" dxfId="3384" priority="279" operator="lessThan">
      <formula>0</formula>
    </cfRule>
  </conditionalFormatting>
  <conditionalFormatting sqref="R84:R91">
    <cfRule type="cellIs" dxfId="3383" priority="277" operator="lessThan">
      <formula>0.8</formula>
    </cfRule>
    <cfRule type="cellIs" dxfId="3382" priority="278" operator="greaterThan">
      <formula>1</formula>
    </cfRule>
  </conditionalFormatting>
  <conditionalFormatting sqref="R84:R91">
    <cfRule type="cellIs" dxfId="3381" priority="275" operator="greaterThan">
      <formula>1</formula>
    </cfRule>
    <cfRule type="cellIs" dxfId="3380" priority="276" operator="lessThan">
      <formula>0.8</formula>
    </cfRule>
  </conditionalFormatting>
  <conditionalFormatting sqref="P84:P91">
    <cfRule type="cellIs" dxfId="3379" priority="274" operator="greaterThan">
      <formula>0</formula>
    </cfRule>
  </conditionalFormatting>
  <conditionalFormatting sqref="Q84:Q91">
    <cfRule type="cellIs" dxfId="3378" priority="273" operator="lessThan">
      <formula>0</formula>
    </cfRule>
  </conditionalFormatting>
  <conditionalFormatting sqref="R84:R91">
    <cfRule type="cellIs" dxfId="3377" priority="271" operator="lessThan">
      <formula>0.8</formula>
    </cfRule>
    <cfRule type="cellIs" dxfId="3376" priority="272" operator="greaterThan">
      <formula>1</formula>
    </cfRule>
  </conditionalFormatting>
  <conditionalFormatting sqref="R84:R91">
    <cfRule type="cellIs" dxfId="3375" priority="269" operator="greaterThan">
      <formula>1</formula>
    </cfRule>
    <cfRule type="cellIs" dxfId="3374" priority="270" operator="lessThan">
      <formula>0.8</formula>
    </cfRule>
  </conditionalFormatting>
  <conditionalFormatting sqref="P84:P91">
    <cfRule type="cellIs" dxfId="3373" priority="268" operator="greaterThan">
      <formula>0</formula>
    </cfRule>
  </conditionalFormatting>
  <conditionalFormatting sqref="P84:P91">
    <cfRule type="cellIs" dxfId="3372" priority="262" operator="greaterThan">
      <formula>0</formula>
    </cfRule>
  </conditionalFormatting>
  <conditionalFormatting sqref="Q84:Q91">
    <cfRule type="cellIs" dxfId="3371" priority="267" operator="lessThan">
      <formula>0</formula>
    </cfRule>
  </conditionalFormatting>
  <conditionalFormatting sqref="R84:R91">
    <cfRule type="cellIs" dxfId="3370" priority="265" operator="lessThan">
      <formula>0.8</formula>
    </cfRule>
    <cfRule type="cellIs" dxfId="3369" priority="266" operator="greaterThan">
      <formula>1</formula>
    </cfRule>
  </conditionalFormatting>
  <conditionalFormatting sqref="R84:R91">
    <cfRule type="cellIs" dxfId="3368" priority="263" operator="greaterThan">
      <formula>1</formula>
    </cfRule>
    <cfRule type="cellIs" dxfId="3367" priority="264" operator="lessThan">
      <formula>0.8</formula>
    </cfRule>
  </conditionalFormatting>
  <conditionalFormatting sqref="P84:P91">
    <cfRule type="cellIs" dxfId="3366" priority="256" operator="greaterThan">
      <formula>0</formula>
    </cfRule>
  </conditionalFormatting>
  <conditionalFormatting sqref="Q84:Q91">
    <cfRule type="cellIs" dxfId="3365" priority="261" operator="lessThan">
      <formula>0</formula>
    </cfRule>
  </conditionalFormatting>
  <conditionalFormatting sqref="R84:R91">
    <cfRule type="cellIs" dxfId="3364" priority="259" operator="lessThan">
      <formula>0.8</formula>
    </cfRule>
    <cfRule type="cellIs" dxfId="3363" priority="260" operator="greaterThan">
      <formula>1</formula>
    </cfRule>
  </conditionalFormatting>
  <conditionalFormatting sqref="R84:R91">
    <cfRule type="cellIs" dxfId="3362" priority="257" operator="greaterThan">
      <formula>1</formula>
    </cfRule>
    <cfRule type="cellIs" dxfId="3361" priority="258" operator="lessThan">
      <formula>0.8</formula>
    </cfRule>
  </conditionalFormatting>
  <conditionalFormatting sqref="R84:R91">
    <cfRule type="cellIs" dxfId="3360" priority="253" operator="lessThan">
      <formula>0.8</formula>
    </cfRule>
    <cfRule type="cellIs" dxfId="3359" priority="254" operator="greaterThan">
      <formula>1</formula>
    </cfRule>
  </conditionalFormatting>
  <conditionalFormatting sqref="R84:R91">
    <cfRule type="cellIs" dxfId="3358" priority="251" operator="greaterThan">
      <formula>1</formula>
    </cfRule>
    <cfRule type="cellIs" dxfId="3357" priority="252" operator="lessThan">
      <formula>0.8</formula>
    </cfRule>
  </conditionalFormatting>
  <conditionalFormatting sqref="P84:P91">
    <cfRule type="cellIs" dxfId="3356" priority="250" operator="greaterThan">
      <formula>0</formula>
    </cfRule>
  </conditionalFormatting>
  <conditionalFormatting sqref="Q84:Q91">
    <cfRule type="cellIs" dxfId="3355" priority="255" operator="lessThan">
      <formula>0</formula>
    </cfRule>
  </conditionalFormatting>
  <conditionalFormatting sqref="Q84:Q91">
    <cfRule type="cellIs" dxfId="3354" priority="249" operator="lessThan">
      <formula>0</formula>
    </cfRule>
  </conditionalFormatting>
  <conditionalFormatting sqref="R84:R91">
    <cfRule type="cellIs" dxfId="3353" priority="247" operator="lessThan">
      <formula>0.8</formula>
    </cfRule>
    <cfRule type="cellIs" dxfId="3352" priority="248" operator="greaterThan">
      <formula>1</formula>
    </cfRule>
  </conditionalFormatting>
  <conditionalFormatting sqref="R84:R91">
    <cfRule type="cellIs" dxfId="3351" priority="245" operator="greaterThan">
      <formula>1</formula>
    </cfRule>
    <cfRule type="cellIs" dxfId="3350" priority="246" operator="lessThan">
      <formula>0.8</formula>
    </cfRule>
  </conditionalFormatting>
  <conditionalFormatting sqref="P84:P91">
    <cfRule type="cellIs" dxfId="3349" priority="244" operator="greaterThan">
      <formula>0</formula>
    </cfRule>
  </conditionalFormatting>
  <conditionalFormatting sqref="Q84:Q91">
    <cfRule type="cellIs" dxfId="3348" priority="243" operator="lessThan">
      <formula>0</formula>
    </cfRule>
  </conditionalFormatting>
  <conditionalFormatting sqref="R84:R91">
    <cfRule type="cellIs" dxfId="3347" priority="241" operator="lessThan">
      <formula>0.8</formula>
    </cfRule>
    <cfRule type="cellIs" dxfId="3346" priority="242" operator="greaterThan">
      <formula>1</formula>
    </cfRule>
  </conditionalFormatting>
  <conditionalFormatting sqref="R84:R91">
    <cfRule type="cellIs" dxfId="3345" priority="239" operator="greaterThan">
      <formula>1</formula>
    </cfRule>
    <cfRule type="cellIs" dxfId="3344" priority="240" operator="lessThan">
      <formula>0.8</formula>
    </cfRule>
  </conditionalFormatting>
  <conditionalFormatting sqref="P84:P91">
    <cfRule type="cellIs" dxfId="3343" priority="238" operator="greaterThan">
      <formula>0</formula>
    </cfRule>
  </conditionalFormatting>
  <conditionalFormatting sqref="Q84:Q91">
    <cfRule type="cellIs" dxfId="3342" priority="237" operator="lessThan">
      <formula>0</formula>
    </cfRule>
  </conditionalFormatting>
  <conditionalFormatting sqref="R84:R91">
    <cfRule type="cellIs" dxfId="3341" priority="235" operator="lessThan">
      <formula>0.8</formula>
    </cfRule>
    <cfRule type="cellIs" dxfId="3340" priority="236" operator="greaterThan">
      <formula>1</formula>
    </cfRule>
  </conditionalFormatting>
  <conditionalFormatting sqref="R84:R91">
    <cfRule type="cellIs" dxfId="3339" priority="233" operator="greaterThan">
      <formula>1</formula>
    </cfRule>
    <cfRule type="cellIs" dxfId="3338" priority="234" operator="lessThan">
      <formula>0.8</formula>
    </cfRule>
  </conditionalFormatting>
  <conditionalFormatting sqref="P84:P91">
    <cfRule type="cellIs" dxfId="3337" priority="232" operator="greaterThan">
      <formula>0</formula>
    </cfRule>
  </conditionalFormatting>
  <conditionalFormatting sqref="Q84:Q91">
    <cfRule type="cellIs" dxfId="3336" priority="231" operator="lessThan">
      <formula>0</formula>
    </cfRule>
  </conditionalFormatting>
  <conditionalFormatting sqref="R84:R91">
    <cfRule type="cellIs" dxfId="3335" priority="229" operator="lessThan">
      <formula>0.8</formula>
    </cfRule>
    <cfRule type="cellIs" dxfId="3334" priority="230" operator="greaterThan">
      <formula>1</formula>
    </cfRule>
  </conditionalFormatting>
  <conditionalFormatting sqref="R84:R91">
    <cfRule type="cellIs" dxfId="3333" priority="227" operator="greaterThan">
      <formula>1</formula>
    </cfRule>
    <cfRule type="cellIs" dxfId="3332" priority="228" operator="lessThan">
      <formula>0.8</formula>
    </cfRule>
  </conditionalFormatting>
  <conditionalFormatting sqref="P84:P91">
    <cfRule type="cellIs" dxfId="3331" priority="226" operator="greaterThan">
      <formula>0</formula>
    </cfRule>
  </conditionalFormatting>
  <conditionalFormatting sqref="P84:P91">
    <cfRule type="cellIs" dxfId="3330" priority="220" operator="greaterThan">
      <formula>0</formula>
    </cfRule>
  </conditionalFormatting>
  <conditionalFormatting sqref="Q84:Q91">
    <cfRule type="cellIs" dxfId="3329" priority="225" operator="lessThan">
      <formula>0</formula>
    </cfRule>
  </conditionalFormatting>
  <conditionalFormatting sqref="R84:R91">
    <cfRule type="cellIs" dxfId="3328" priority="223" operator="lessThan">
      <formula>0.8</formula>
    </cfRule>
    <cfRule type="cellIs" dxfId="3327" priority="224" operator="greaterThan">
      <formula>1</formula>
    </cfRule>
  </conditionalFormatting>
  <conditionalFormatting sqref="R84:R91">
    <cfRule type="cellIs" dxfId="3326" priority="221" operator="greaterThan">
      <formula>1</formula>
    </cfRule>
    <cfRule type="cellIs" dxfId="3325" priority="222" operator="lessThan">
      <formula>0.8</formula>
    </cfRule>
  </conditionalFormatting>
  <conditionalFormatting sqref="P84:P91">
    <cfRule type="cellIs" dxfId="3324" priority="214" operator="greaterThan">
      <formula>0</formula>
    </cfRule>
  </conditionalFormatting>
  <conditionalFormatting sqref="Q84:Q91">
    <cfRule type="cellIs" dxfId="3323" priority="219" operator="lessThan">
      <formula>0</formula>
    </cfRule>
  </conditionalFormatting>
  <conditionalFormatting sqref="R84:R91">
    <cfRule type="cellIs" dxfId="3322" priority="217" operator="lessThan">
      <formula>0.8</formula>
    </cfRule>
    <cfRule type="cellIs" dxfId="3321" priority="218" operator="greaterThan">
      <formula>1</formula>
    </cfRule>
  </conditionalFormatting>
  <conditionalFormatting sqref="R84:R91">
    <cfRule type="cellIs" dxfId="3320" priority="215" operator="greaterThan">
      <formula>1</formula>
    </cfRule>
    <cfRule type="cellIs" dxfId="3319" priority="216" operator="lessThan">
      <formula>0.8</formula>
    </cfRule>
  </conditionalFormatting>
  <conditionalFormatting sqref="R84:R91">
    <cfRule type="cellIs" dxfId="3318" priority="211" operator="lessThan">
      <formula>0.8</formula>
    </cfRule>
    <cfRule type="cellIs" dxfId="3317" priority="212" operator="greaterThan">
      <formula>1</formula>
    </cfRule>
  </conditionalFormatting>
  <conditionalFormatting sqref="R84:R91">
    <cfRule type="cellIs" dxfId="3316" priority="209" operator="greaterThan">
      <formula>1</formula>
    </cfRule>
    <cfRule type="cellIs" dxfId="3315" priority="210" operator="lessThan">
      <formula>0.8</formula>
    </cfRule>
  </conditionalFormatting>
  <conditionalFormatting sqref="P84:P91">
    <cfRule type="cellIs" dxfId="3314" priority="208" operator="greaterThan">
      <formula>0</formula>
    </cfRule>
  </conditionalFormatting>
  <conditionalFormatting sqref="Q84:Q91">
    <cfRule type="cellIs" dxfId="3313" priority="213" operator="lessThan">
      <formula>0</formula>
    </cfRule>
  </conditionalFormatting>
  <conditionalFormatting sqref="Q84:Q91">
    <cfRule type="cellIs" dxfId="3312" priority="207" operator="lessThan">
      <formula>0</formula>
    </cfRule>
  </conditionalFormatting>
  <conditionalFormatting sqref="R84:R91">
    <cfRule type="cellIs" dxfId="3311" priority="205" operator="lessThan">
      <formula>0.8</formula>
    </cfRule>
    <cfRule type="cellIs" dxfId="3310" priority="206" operator="greaterThan">
      <formula>1</formula>
    </cfRule>
  </conditionalFormatting>
  <conditionalFormatting sqref="R84:R91">
    <cfRule type="cellIs" dxfId="3309" priority="203" operator="greaterThan">
      <formula>1</formula>
    </cfRule>
    <cfRule type="cellIs" dxfId="3308" priority="204" operator="lessThan">
      <formula>0.8</formula>
    </cfRule>
  </conditionalFormatting>
  <conditionalFormatting sqref="P84:P91">
    <cfRule type="cellIs" dxfId="3307" priority="202" operator="greaterThan">
      <formula>0</formula>
    </cfRule>
  </conditionalFormatting>
  <conditionalFormatting sqref="P84:P91">
    <cfRule type="cellIs" dxfId="3306" priority="196" operator="greaterThan">
      <formula>0</formula>
    </cfRule>
  </conditionalFormatting>
  <conditionalFormatting sqref="Q84:Q91">
    <cfRule type="cellIs" dxfId="3305" priority="201" operator="lessThan">
      <formula>0</formula>
    </cfRule>
  </conditionalFormatting>
  <conditionalFormatting sqref="R84:R91">
    <cfRule type="cellIs" dxfId="3304" priority="199" operator="lessThan">
      <formula>0.8</formula>
    </cfRule>
    <cfRule type="cellIs" dxfId="3303" priority="200" operator="greaterThan">
      <formula>1</formula>
    </cfRule>
  </conditionalFormatting>
  <conditionalFormatting sqref="R84:R91">
    <cfRule type="cellIs" dxfId="3302" priority="197" operator="greaterThan">
      <formula>1</formula>
    </cfRule>
    <cfRule type="cellIs" dxfId="3301" priority="198" operator="lessThan">
      <formula>0.8</formula>
    </cfRule>
  </conditionalFormatting>
  <conditionalFormatting sqref="P84:P91">
    <cfRule type="cellIs" dxfId="3300" priority="190" operator="greaterThan">
      <formula>0</formula>
    </cfRule>
  </conditionalFormatting>
  <conditionalFormatting sqref="Q84:Q91">
    <cfRule type="cellIs" dxfId="3299" priority="195" operator="lessThan">
      <formula>0</formula>
    </cfRule>
  </conditionalFormatting>
  <conditionalFormatting sqref="R84:R91">
    <cfRule type="cellIs" dxfId="3298" priority="193" operator="lessThan">
      <formula>0.8</formula>
    </cfRule>
    <cfRule type="cellIs" dxfId="3297" priority="194" operator="greaterThan">
      <formula>1</formula>
    </cfRule>
  </conditionalFormatting>
  <conditionalFormatting sqref="R84:R91">
    <cfRule type="cellIs" dxfId="3296" priority="191" operator="greaterThan">
      <formula>1</formula>
    </cfRule>
    <cfRule type="cellIs" dxfId="3295" priority="192" operator="lessThan">
      <formula>0.8</formula>
    </cfRule>
  </conditionalFormatting>
  <conditionalFormatting sqref="R84:R91">
    <cfRule type="cellIs" dxfId="3294" priority="187" operator="lessThan">
      <formula>0.8</formula>
    </cfRule>
    <cfRule type="cellIs" dxfId="3293" priority="188" operator="greaterThan">
      <formula>1</formula>
    </cfRule>
  </conditionalFormatting>
  <conditionalFormatting sqref="R84:R91">
    <cfRule type="cellIs" dxfId="3292" priority="185" operator="greaterThan">
      <formula>1</formula>
    </cfRule>
    <cfRule type="cellIs" dxfId="3291" priority="186" operator="lessThan">
      <formula>0.8</formula>
    </cfRule>
  </conditionalFormatting>
  <conditionalFormatting sqref="P84:P91">
    <cfRule type="cellIs" dxfId="3290" priority="184" operator="greaterThan">
      <formula>0</formula>
    </cfRule>
  </conditionalFormatting>
  <conditionalFormatting sqref="Q84:Q91">
    <cfRule type="cellIs" dxfId="3289" priority="189" operator="lessThan">
      <formula>0</formula>
    </cfRule>
  </conditionalFormatting>
  <conditionalFormatting sqref="P84:P91">
    <cfRule type="cellIs" dxfId="3288" priority="178" operator="greaterThan">
      <formula>0</formula>
    </cfRule>
  </conditionalFormatting>
  <conditionalFormatting sqref="Q84:Q91">
    <cfRule type="cellIs" dxfId="3287" priority="183" operator="lessThan">
      <formula>0</formula>
    </cfRule>
  </conditionalFormatting>
  <conditionalFormatting sqref="R84:R91">
    <cfRule type="cellIs" dxfId="3286" priority="181" operator="lessThan">
      <formula>0.8</formula>
    </cfRule>
    <cfRule type="cellIs" dxfId="3285" priority="182" operator="greaterThan">
      <formula>1</formula>
    </cfRule>
  </conditionalFormatting>
  <conditionalFormatting sqref="R84:R91">
    <cfRule type="cellIs" dxfId="3284" priority="179" operator="greaterThan">
      <formula>1</formula>
    </cfRule>
    <cfRule type="cellIs" dxfId="3283" priority="180" operator="lessThan">
      <formula>0.8</formula>
    </cfRule>
  </conditionalFormatting>
  <conditionalFormatting sqref="R84:R91">
    <cfRule type="cellIs" dxfId="3282" priority="175" operator="lessThan">
      <formula>0.8</formula>
    </cfRule>
    <cfRule type="cellIs" dxfId="3281" priority="176" operator="greaterThan">
      <formula>1</formula>
    </cfRule>
  </conditionalFormatting>
  <conditionalFormatting sqref="R84:R91">
    <cfRule type="cellIs" dxfId="3280" priority="173" operator="greaterThan">
      <formula>1</formula>
    </cfRule>
    <cfRule type="cellIs" dxfId="3279" priority="174" operator="lessThan">
      <formula>0.8</formula>
    </cfRule>
  </conditionalFormatting>
  <conditionalFormatting sqref="P84:P91">
    <cfRule type="cellIs" dxfId="3278" priority="172" operator="greaterThan">
      <formula>0</formula>
    </cfRule>
  </conditionalFormatting>
  <conditionalFormatting sqref="Q84:Q91">
    <cfRule type="cellIs" dxfId="3277" priority="177" operator="lessThan">
      <formula>0</formula>
    </cfRule>
  </conditionalFormatting>
  <conditionalFormatting sqref="R84:R91">
    <cfRule type="cellIs" dxfId="3276" priority="169" operator="lessThan">
      <formula>0.8</formula>
    </cfRule>
    <cfRule type="cellIs" dxfId="3275" priority="170" operator="greaterThan">
      <formula>1</formula>
    </cfRule>
  </conditionalFormatting>
  <conditionalFormatting sqref="R84:R91">
    <cfRule type="cellIs" dxfId="3274" priority="167" operator="greaterThan">
      <formula>1</formula>
    </cfRule>
    <cfRule type="cellIs" dxfId="3273" priority="168" operator="lessThan">
      <formula>0.8</formula>
    </cfRule>
  </conditionalFormatting>
  <conditionalFormatting sqref="P84:P91">
    <cfRule type="cellIs" dxfId="3272" priority="166" operator="greaterThan">
      <formula>0</formula>
    </cfRule>
  </conditionalFormatting>
  <conditionalFormatting sqref="Q84:Q91">
    <cfRule type="cellIs" dxfId="3271" priority="171" operator="lessThan">
      <formula>0</formula>
    </cfRule>
  </conditionalFormatting>
  <conditionalFormatting sqref="Q84:Q91">
    <cfRule type="cellIs" dxfId="3270" priority="165" operator="lessThan">
      <formula>0</formula>
    </cfRule>
  </conditionalFormatting>
  <conditionalFormatting sqref="R84:R91">
    <cfRule type="cellIs" dxfId="3269" priority="163" operator="lessThan">
      <formula>0.8</formula>
    </cfRule>
    <cfRule type="cellIs" dxfId="3268" priority="164" operator="greaterThan">
      <formula>1</formula>
    </cfRule>
  </conditionalFormatting>
  <conditionalFormatting sqref="R84:R91">
    <cfRule type="cellIs" dxfId="3267" priority="161" operator="greaterThan">
      <formula>1</formula>
    </cfRule>
    <cfRule type="cellIs" dxfId="3266" priority="162" operator="lessThan">
      <formula>0.8</formula>
    </cfRule>
  </conditionalFormatting>
  <conditionalFormatting sqref="P84:P91">
    <cfRule type="cellIs" dxfId="3265" priority="160" operator="greaterThan">
      <formula>0</formula>
    </cfRule>
  </conditionalFormatting>
  <conditionalFormatting sqref="Q84:Q91">
    <cfRule type="cellIs" dxfId="3264" priority="154" operator="lessThan">
      <formula>0</formula>
    </cfRule>
  </conditionalFormatting>
  <conditionalFormatting sqref="R84:R91">
    <cfRule type="cellIs" dxfId="3263" priority="158" operator="lessThan">
      <formula>0.8</formula>
    </cfRule>
    <cfRule type="cellIs" dxfId="3262" priority="159" operator="greaterThan">
      <formula>1</formula>
    </cfRule>
  </conditionalFormatting>
  <conditionalFormatting sqref="R84:R91">
    <cfRule type="cellIs" dxfId="3261" priority="156" operator="greaterThan">
      <formula>1</formula>
    </cfRule>
    <cfRule type="cellIs" dxfId="3260" priority="157" operator="lessThan">
      <formula>0.8</formula>
    </cfRule>
  </conditionalFormatting>
  <conditionalFormatting sqref="P84:P91">
    <cfRule type="cellIs" dxfId="3259" priority="155" operator="greaterThan">
      <formula>0</formula>
    </cfRule>
  </conditionalFormatting>
  <conditionalFormatting sqref="Q84:Q91">
    <cfRule type="cellIs" dxfId="3258" priority="153" operator="lessThan">
      <formula>0</formula>
    </cfRule>
  </conditionalFormatting>
  <conditionalFormatting sqref="R84:R91">
    <cfRule type="cellIs" dxfId="3257" priority="151" operator="lessThan">
      <formula>0.8</formula>
    </cfRule>
    <cfRule type="cellIs" dxfId="3256" priority="152" operator="greaterThan">
      <formula>1</formula>
    </cfRule>
  </conditionalFormatting>
  <conditionalFormatting sqref="R84:R91">
    <cfRule type="cellIs" dxfId="3255" priority="149" operator="greaterThan">
      <formula>1</formula>
    </cfRule>
    <cfRule type="cellIs" dxfId="3254" priority="150" operator="lessThan">
      <formula>0.8</formula>
    </cfRule>
  </conditionalFormatting>
  <conditionalFormatting sqref="P84:P91">
    <cfRule type="cellIs" dxfId="3253" priority="148" operator="greaterThan">
      <formula>0</formula>
    </cfRule>
  </conditionalFormatting>
  <conditionalFormatting sqref="Q84:Q91">
    <cfRule type="cellIs" dxfId="3252" priority="147" operator="lessThan">
      <formula>0</formula>
    </cfRule>
  </conditionalFormatting>
  <conditionalFormatting sqref="R84:R91">
    <cfRule type="cellIs" dxfId="3251" priority="145" operator="lessThan">
      <formula>0.8</formula>
    </cfRule>
    <cfRule type="cellIs" dxfId="3250" priority="146" operator="greaterThan">
      <formula>1</formula>
    </cfRule>
  </conditionalFormatting>
  <conditionalFormatting sqref="R84:R91">
    <cfRule type="cellIs" dxfId="3249" priority="143" operator="greaterThan">
      <formula>1</formula>
    </cfRule>
    <cfRule type="cellIs" dxfId="3248" priority="144" operator="lessThan">
      <formula>0.8</formula>
    </cfRule>
  </conditionalFormatting>
  <conditionalFormatting sqref="P84:P91">
    <cfRule type="cellIs" dxfId="3247" priority="142" operator="greaterThan">
      <formula>0</formula>
    </cfRule>
  </conditionalFormatting>
  <conditionalFormatting sqref="Q84:Q91">
    <cfRule type="cellIs" dxfId="3246" priority="141" operator="lessThan">
      <formula>0</formula>
    </cfRule>
  </conditionalFormatting>
  <conditionalFormatting sqref="R84:R91">
    <cfRule type="cellIs" dxfId="3245" priority="139" operator="lessThan">
      <formula>0.8</formula>
    </cfRule>
    <cfRule type="cellIs" dxfId="3244" priority="140" operator="greaterThan">
      <formula>1</formula>
    </cfRule>
  </conditionalFormatting>
  <conditionalFormatting sqref="R84:R91">
    <cfRule type="cellIs" dxfId="3243" priority="137" operator="greaterThan">
      <formula>1</formula>
    </cfRule>
    <cfRule type="cellIs" dxfId="3242" priority="138" operator="lessThan">
      <formula>0.8</formula>
    </cfRule>
  </conditionalFormatting>
  <conditionalFormatting sqref="P84:P91">
    <cfRule type="cellIs" dxfId="3241" priority="136" operator="greaterThan">
      <formula>0</formula>
    </cfRule>
  </conditionalFormatting>
  <conditionalFormatting sqref="Q84:Q91">
    <cfRule type="cellIs" dxfId="3240" priority="135" operator="lessThan">
      <formula>0</formula>
    </cfRule>
  </conditionalFormatting>
  <conditionalFormatting sqref="R84:R91">
    <cfRule type="cellIs" dxfId="3239" priority="133" operator="lessThan">
      <formula>0.8</formula>
    </cfRule>
    <cfRule type="cellIs" dxfId="3238" priority="134" operator="greaterThan">
      <formula>1</formula>
    </cfRule>
  </conditionalFormatting>
  <conditionalFormatting sqref="R84:R91">
    <cfRule type="cellIs" dxfId="3237" priority="131" operator="greaterThan">
      <formula>1</formula>
    </cfRule>
    <cfRule type="cellIs" dxfId="3236" priority="132" operator="lessThan">
      <formula>0.8</formula>
    </cfRule>
  </conditionalFormatting>
  <conditionalFormatting sqref="P84:P91">
    <cfRule type="cellIs" dxfId="3235" priority="130" operator="greaterThan">
      <formula>0</formula>
    </cfRule>
  </conditionalFormatting>
  <conditionalFormatting sqref="Q84:Q91">
    <cfRule type="cellIs" dxfId="3234" priority="129" operator="lessThan">
      <formula>0</formula>
    </cfRule>
  </conditionalFormatting>
  <conditionalFormatting sqref="R84:R91">
    <cfRule type="cellIs" dxfId="3233" priority="127" operator="lessThan">
      <formula>0.8</formula>
    </cfRule>
    <cfRule type="cellIs" dxfId="3232" priority="128" operator="greaterThan">
      <formula>1</formula>
    </cfRule>
  </conditionalFormatting>
  <conditionalFormatting sqref="R84:R91">
    <cfRule type="cellIs" dxfId="3231" priority="125" operator="greaterThan">
      <formula>1</formula>
    </cfRule>
    <cfRule type="cellIs" dxfId="3230" priority="126" operator="lessThan">
      <formula>0.8</formula>
    </cfRule>
  </conditionalFormatting>
  <conditionalFormatting sqref="P84:P91">
    <cfRule type="cellIs" dxfId="3229" priority="124" operator="greaterThan">
      <formula>0</formula>
    </cfRule>
  </conditionalFormatting>
  <conditionalFormatting sqref="P84:P91">
    <cfRule type="cellIs" dxfId="3228" priority="118" operator="greaterThan">
      <formula>0</formula>
    </cfRule>
  </conditionalFormatting>
  <conditionalFormatting sqref="Q84:Q91">
    <cfRule type="cellIs" dxfId="3227" priority="123" operator="lessThan">
      <formula>0</formula>
    </cfRule>
  </conditionalFormatting>
  <conditionalFormatting sqref="R84:R91">
    <cfRule type="cellIs" dxfId="3226" priority="121" operator="lessThan">
      <formula>0.8</formula>
    </cfRule>
    <cfRule type="cellIs" dxfId="3225" priority="122" operator="greaterThan">
      <formula>1</formula>
    </cfRule>
  </conditionalFormatting>
  <conditionalFormatting sqref="R84:R91">
    <cfRule type="cellIs" dxfId="3224" priority="119" operator="greaterThan">
      <formula>1</formula>
    </cfRule>
    <cfRule type="cellIs" dxfId="3223" priority="120" operator="lessThan">
      <formula>0.8</formula>
    </cfRule>
  </conditionalFormatting>
  <conditionalFormatting sqref="P84:P91">
    <cfRule type="cellIs" dxfId="3222" priority="112" operator="greaterThan">
      <formula>0</formula>
    </cfRule>
  </conditionalFormatting>
  <conditionalFormatting sqref="Q84:Q91">
    <cfRule type="cellIs" dxfId="3221" priority="117" operator="lessThan">
      <formula>0</formula>
    </cfRule>
  </conditionalFormatting>
  <conditionalFormatting sqref="R84:R91">
    <cfRule type="cellIs" dxfId="3220" priority="115" operator="lessThan">
      <formula>0.8</formula>
    </cfRule>
    <cfRule type="cellIs" dxfId="3219" priority="116" operator="greaterThan">
      <formula>1</formula>
    </cfRule>
  </conditionalFormatting>
  <conditionalFormatting sqref="R84:R91">
    <cfRule type="cellIs" dxfId="3218" priority="113" operator="greaterThan">
      <formula>1</formula>
    </cfRule>
    <cfRule type="cellIs" dxfId="3217" priority="114" operator="lessThan">
      <formula>0.8</formula>
    </cfRule>
  </conditionalFormatting>
  <conditionalFormatting sqref="R84:R91">
    <cfRule type="cellIs" dxfId="3216" priority="109" operator="lessThan">
      <formula>0.8</formula>
    </cfRule>
    <cfRule type="cellIs" dxfId="3215" priority="110" operator="greaterThan">
      <formula>1</formula>
    </cfRule>
  </conditionalFormatting>
  <conditionalFormatting sqref="R84:R91">
    <cfRule type="cellIs" dxfId="3214" priority="107" operator="greaterThan">
      <formula>1</formula>
    </cfRule>
    <cfRule type="cellIs" dxfId="3213" priority="108" operator="lessThan">
      <formula>0.8</formula>
    </cfRule>
  </conditionalFormatting>
  <conditionalFormatting sqref="P84:P91">
    <cfRule type="cellIs" dxfId="3212" priority="106" operator="greaterThan">
      <formula>0</formula>
    </cfRule>
  </conditionalFormatting>
  <conditionalFormatting sqref="Q84:Q91">
    <cfRule type="cellIs" dxfId="3211" priority="111" operator="lessThan">
      <formula>0</formula>
    </cfRule>
  </conditionalFormatting>
  <conditionalFormatting sqref="Q84:Q91">
    <cfRule type="cellIs" dxfId="3210" priority="100" operator="lessThan">
      <formula>0</formula>
    </cfRule>
  </conditionalFormatting>
  <conditionalFormatting sqref="P84:P91">
    <cfRule type="cellIs" dxfId="3209" priority="101" operator="greaterThan">
      <formula>0</formula>
    </cfRule>
  </conditionalFormatting>
  <conditionalFormatting sqref="R84:R91">
    <cfRule type="cellIs" dxfId="3208" priority="104" operator="lessThan">
      <formula>0.8</formula>
    </cfRule>
    <cfRule type="cellIs" dxfId="3207" priority="105" operator="greaterThan">
      <formula>1</formula>
    </cfRule>
  </conditionalFormatting>
  <conditionalFormatting sqref="R84:R91">
    <cfRule type="cellIs" dxfId="3206" priority="102" operator="greaterThan">
      <formula>1</formula>
    </cfRule>
    <cfRule type="cellIs" dxfId="3205" priority="103" operator="lessThan">
      <formula>0.8</formula>
    </cfRule>
  </conditionalFormatting>
  <conditionalFormatting sqref="Q84:Q91">
    <cfRule type="cellIs" dxfId="3204" priority="94" operator="lessThan">
      <formula>0</formula>
    </cfRule>
  </conditionalFormatting>
  <conditionalFormatting sqref="R84:R91">
    <cfRule type="cellIs" dxfId="3203" priority="98" operator="lessThan">
      <formula>0.8</formula>
    </cfRule>
    <cfRule type="cellIs" dxfId="3202" priority="99" operator="greaterThan">
      <formula>1</formula>
    </cfRule>
  </conditionalFormatting>
  <conditionalFormatting sqref="R84:R91">
    <cfRule type="cellIs" dxfId="3201" priority="96" operator="greaterThan">
      <formula>1</formula>
    </cfRule>
    <cfRule type="cellIs" dxfId="3200" priority="97" operator="lessThan">
      <formula>0.8</formula>
    </cfRule>
  </conditionalFormatting>
  <conditionalFormatting sqref="P84:P91">
    <cfRule type="cellIs" dxfId="3199" priority="95" operator="greaterThan">
      <formula>0</formula>
    </cfRule>
  </conditionalFormatting>
  <conditionalFormatting sqref="Q84:Q91">
    <cfRule type="cellIs" dxfId="3198" priority="93" operator="lessThan">
      <formula>0</formula>
    </cfRule>
  </conditionalFormatting>
  <conditionalFormatting sqref="R84:R91">
    <cfRule type="cellIs" dxfId="3197" priority="91" operator="lessThan">
      <formula>0.8</formula>
    </cfRule>
    <cfRule type="cellIs" dxfId="3196" priority="92" operator="greaterThan">
      <formula>1</formula>
    </cfRule>
  </conditionalFormatting>
  <conditionalFormatting sqref="R84:R91">
    <cfRule type="cellIs" dxfId="3195" priority="89" operator="greaterThan">
      <formula>1</formula>
    </cfRule>
    <cfRule type="cellIs" dxfId="3194" priority="90" operator="lessThan">
      <formula>0.8</formula>
    </cfRule>
  </conditionalFormatting>
  <conditionalFormatting sqref="P84:P91">
    <cfRule type="cellIs" dxfId="3193" priority="88" operator="greaterThan">
      <formula>0</formula>
    </cfRule>
  </conditionalFormatting>
  <conditionalFormatting sqref="Q84:Q91">
    <cfRule type="cellIs" dxfId="3192" priority="87" operator="lessThan">
      <formula>0</formula>
    </cfRule>
  </conditionalFormatting>
  <conditionalFormatting sqref="R84:R91">
    <cfRule type="cellIs" dxfId="3191" priority="85" operator="lessThan">
      <formula>0.8</formula>
    </cfRule>
    <cfRule type="cellIs" dxfId="3190" priority="86" operator="greaterThan">
      <formula>1</formula>
    </cfRule>
  </conditionalFormatting>
  <conditionalFormatting sqref="R84:R91">
    <cfRule type="cellIs" dxfId="3189" priority="83" operator="greaterThan">
      <formula>1</formula>
    </cfRule>
    <cfRule type="cellIs" dxfId="3188" priority="84" operator="lessThan">
      <formula>0.8</formula>
    </cfRule>
  </conditionalFormatting>
  <conditionalFormatting sqref="P84:P91">
    <cfRule type="cellIs" dxfId="3187" priority="82" operator="greaterThan">
      <formula>0</formula>
    </cfRule>
  </conditionalFormatting>
  <conditionalFormatting sqref="Q84:Q91">
    <cfRule type="cellIs" dxfId="3186" priority="81" operator="lessThan">
      <formula>0</formula>
    </cfRule>
  </conditionalFormatting>
  <conditionalFormatting sqref="R84:R91">
    <cfRule type="cellIs" dxfId="3185" priority="79" operator="lessThan">
      <formula>0.8</formula>
    </cfRule>
    <cfRule type="cellIs" dxfId="3184" priority="80" operator="greaterThan">
      <formula>1</formula>
    </cfRule>
  </conditionalFormatting>
  <conditionalFormatting sqref="R84:R91">
    <cfRule type="cellIs" dxfId="3183" priority="77" operator="greaterThan">
      <formula>1</formula>
    </cfRule>
    <cfRule type="cellIs" dxfId="3182" priority="78" operator="lessThan">
      <formula>0.8</formula>
    </cfRule>
  </conditionalFormatting>
  <conditionalFormatting sqref="P84:P91">
    <cfRule type="cellIs" dxfId="3181" priority="76" operator="greaterThan">
      <formula>0</formula>
    </cfRule>
  </conditionalFormatting>
  <conditionalFormatting sqref="Q162:Q167">
    <cfRule type="cellIs" dxfId="3180" priority="75" operator="lessThan">
      <formula>0</formula>
    </cfRule>
  </conditionalFormatting>
  <conditionalFormatting sqref="R162:R167">
    <cfRule type="cellIs" dxfId="3179" priority="73" operator="lessThan">
      <formula>0.8</formula>
    </cfRule>
    <cfRule type="cellIs" dxfId="3178" priority="74" operator="greaterThan">
      <formula>1</formula>
    </cfRule>
  </conditionalFormatting>
  <conditionalFormatting sqref="R162:R167">
    <cfRule type="cellIs" dxfId="3177" priority="71" operator="greaterThan">
      <formula>1</formula>
    </cfRule>
    <cfRule type="cellIs" dxfId="3176" priority="72" operator="lessThan">
      <formula>0.8</formula>
    </cfRule>
  </conditionalFormatting>
  <conditionalFormatting sqref="P162:P167">
    <cfRule type="cellIs" dxfId="3175" priority="70" operator="greaterThan">
      <formula>0</formula>
    </cfRule>
  </conditionalFormatting>
  <conditionalFormatting sqref="P168">
    <cfRule type="cellIs" dxfId="3174" priority="64" operator="greaterThan">
      <formula>0</formula>
    </cfRule>
  </conditionalFormatting>
  <conditionalFormatting sqref="R168">
    <cfRule type="cellIs" dxfId="3173" priority="67" operator="lessThan">
      <formula>0.8</formula>
    </cfRule>
    <cfRule type="cellIs" dxfId="3172" priority="68" operator="greaterThan">
      <formula>1</formula>
    </cfRule>
  </conditionalFormatting>
  <conditionalFormatting sqref="R168">
    <cfRule type="cellIs" dxfId="3171" priority="65" operator="greaterThan">
      <formula>1</formula>
    </cfRule>
    <cfRule type="cellIs" dxfId="3170" priority="66" operator="lessThan">
      <formula>0.8</formula>
    </cfRule>
  </conditionalFormatting>
  <conditionalFormatting sqref="Q168">
    <cfRule type="cellIs" dxfId="3169" priority="69" operator="lessThan">
      <formula>0</formula>
    </cfRule>
  </conditionalFormatting>
  <conditionalFormatting sqref="Q161">
    <cfRule type="cellIs" dxfId="3168" priority="63" operator="lessThan">
      <formula>0</formula>
    </cfRule>
  </conditionalFormatting>
  <conditionalFormatting sqref="R161">
    <cfRule type="cellIs" dxfId="3167" priority="61" operator="lessThan">
      <formula>0.8</formula>
    </cfRule>
    <cfRule type="cellIs" dxfId="3166" priority="62" operator="greaterThan">
      <formula>1</formula>
    </cfRule>
  </conditionalFormatting>
  <conditionalFormatting sqref="R161">
    <cfRule type="cellIs" dxfId="3165" priority="59" operator="greaterThan">
      <formula>1</formula>
    </cfRule>
    <cfRule type="cellIs" dxfId="3164" priority="60" operator="lessThan">
      <formula>0.8</formula>
    </cfRule>
  </conditionalFormatting>
  <conditionalFormatting sqref="P161">
    <cfRule type="cellIs" dxfId="3163" priority="58" operator="greaterThan">
      <formula>0</formula>
    </cfRule>
  </conditionalFormatting>
  <conditionalFormatting sqref="Q162:Q167">
    <cfRule type="cellIs" dxfId="3162" priority="57" operator="lessThan">
      <formula>0</formula>
    </cfRule>
  </conditionalFormatting>
  <conditionalFormatting sqref="R162:R167">
    <cfRule type="cellIs" dxfId="3161" priority="55" operator="lessThan">
      <formula>0.8</formula>
    </cfRule>
    <cfRule type="cellIs" dxfId="3160" priority="56" operator="greaterThan">
      <formula>1</formula>
    </cfRule>
  </conditionalFormatting>
  <conditionalFormatting sqref="R162:R167">
    <cfRule type="cellIs" dxfId="3159" priority="53" operator="greaterThan">
      <formula>1</formula>
    </cfRule>
    <cfRule type="cellIs" dxfId="3158" priority="54" operator="lessThan">
      <formula>0.8</formula>
    </cfRule>
  </conditionalFormatting>
  <conditionalFormatting sqref="P162:P167">
    <cfRule type="cellIs" dxfId="3157" priority="52" operator="greaterThan">
      <formula>0</formula>
    </cfRule>
  </conditionalFormatting>
  <conditionalFormatting sqref="Q162:Q167">
    <cfRule type="cellIs" dxfId="3156" priority="51" operator="lessThan">
      <formula>0</formula>
    </cfRule>
  </conditionalFormatting>
  <conditionalFormatting sqref="R162:R167">
    <cfRule type="cellIs" dxfId="3155" priority="49" operator="lessThan">
      <formula>0.8</formula>
    </cfRule>
    <cfRule type="cellIs" dxfId="3154" priority="50" operator="greaterThan">
      <formula>1</formula>
    </cfRule>
  </conditionalFormatting>
  <conditionalFormatting sqref="R162:R167">
    <cfRule type="cellIs" dxfId="3153" priority="47" operator="greaterThan">
      <formula>1</formula>
    </cfRule>
    <cfRule type="cellIs" dxfId="3152" priority="48" operator="lessThan">
      <formula>0.8</formula>
    </cfRule>
  </conditionalFormatting>
  <conditionalFormatting sqref="P162:P167">
    <cfRule type="cellIs" dxfId="3151" priority="46" operator="greaterThan">
      <formula>0</formula>
    </cfRule>
  </conditionalFormatting>
  <conditionalFormatting sqref="Q168">
    <cfRule type="cellIs" dxfId="3150" priority="45" operator="lessThan">
      <formula>0</formula>
    </cfRule>
  </conditionalFormatting>
  <conditionalFormatting sqref="R168">
    <cfRule type="cellIs" dxfId="3149" priority="43" operator="lessThan">
      <formula>0.8</formula>
    </cfRule>
    <cfRule type="cellIs" dxfId="3148" priority="44" operator="greaterThan">
      <formula>1</formula>
    </cfRule>
  </conditionalFormatting>
  <conditionalFormatting sqref="R168">
    <cfRule type="cellIs" dxfId="3147" priority="41" operator="greaterThan">
      <formula>1</formula>
    </cfRule>
    <cfRule type="cellIs" dxfId="3146" priority="42" operator="lessThan">
      <formula>0.8</formula>
    </cfRule>
  </conditionalFormatting>
  <conditionalFormatting sqref="P168">
    <cfRule type="cellIs" dxfId="3145" priority="40" operator="greaterThan">
      <formula>0</formula>
    </cfRule>
  </conditionalFormatting>
  <conditionalFormatting sqref="Q161">
    <cfRule type="cellIs" dxfId="3144" priority="39" operator="lessThan">
      <formula>0</formula>
    </cfRule>
  </conditionalFormatting>
  <conditionalFormatting sqref="R161">
    <cfRule type="cellIs" dxfId="3143" priority="37" operator="lessThan">
      <formula>0.8</formula>
    </cfRule>
    <cfRule type="cellIs" dxfId="3142" priority="38" operator="greaterThan">
      <formula>1</formula>
    </cfRule>
  </conditionalFormatting>
  <conditionalFormatting sqref="R161">
    <cfRule type="cellIs" dxfId="3141" priority="35" operator="greaterThan">
      <formula>1</formula>
    </cfRule>
    <cfRule type="cellIs" dxfId="3140" priority="36" operator="lessThan">
      <formula>0.8</formula>
    </cfRule>
  </conditionalFormatting>
  <conditionalFormatting sqref="P161">
    <cfRule type="cellIs" dxfId="3139" priority="34" operator="greaterThan">
      <formula>0</formula>
    </cfRule>
  </conditionalFormatting>
  <conditionalFormatting sqref="Q162:Q167">
    <cfRule type="cellIs" dxfId="3138" priority="33" operator="lessThan">
      <formula>0</formula>
    </cfRule>
  </conditionalFormatting>
  <conditionalFormatting sqref="R162:R167">
    <cfRule type="cellIs" dxfId="3137" priority="31" operator="lessThan">
      <formula>0.8</formula>
    </cfRule>
    <cfRule type="cellIs" dxfId="3136" priority="32" operator="greaterThan">
      <formula>1</formula>
    </cfRule>
  </conditionalFormatting>
  <conditionalFormatting sqref="R162:R167">
    <cfRule type="cellIs" dxfId="3135" priority="29" operator="greaterThan">
      <formula>1</formula>
    </cfRule>
    <cfRule type="cellIs" dxfId="3134" priority="30" operator="lessThan">
      <formula>0.8</formula>
    </cfRule>
  </conditionalFormatting>
  <conditionalFormatting sqref="P162:P167">
    <cfRule type="cellIs" dxfId="3133" priority="28" operator="greaterThan">
      <formula>0</formula>
    </cfRule>
  </conditionalFormatting>
  <conditionalFormatting sqref="Q161">
    <cfRule type="cellIs" dxfId="3132" priority="27" operator="lessThan">
      <formula>0</formula>
    </cfRule>
  </conditionalFormatting>
  <conditionalFormatting sqref="R161">
    <cfRule type="cellIs" dxfId="3131" priority="25" operator="lessThan">
      <formula>0.8</formula>
    </cfRule>
    <cfRule type="cellIs" dxfId="3130" priority="26" operator="greaterThan">
      <formula>1</formula>
    </cfRule>
  </conditionalFormatting>
  <conditionalFormatting sqref="R161">
    <cfRule type="cellIs" dxfId="3129" priority="23" operator="greaterThan">
      <formula>1</formula>
    </cfRule>
    <cfRule type="cellIs" dxfId="3128" priority="24" operator="lessThan">
      <formula>0.8</formula>
    </cfRule>
  </conditionalFormatting>
  <conditionalFormatting sqref="P161">
    <cfRule type="cellIs" dxfId="3127" priority="22" operator="greaterThan">
      <formula>0</formula>
    </cfRule>
  </conditionalFormatting>
  <conditionalFormatting sqref="Q162:Q167">
    <cfRule type="cellIs" dxfId="3126" priority="21" operator="lessThan">
      <formula>0</formula>
    </cfRule>
  </conditionalFormatting>
  <conditionalFormatting sqref="R162:R167">
    <cfRule type="cellIs" dxfId="3125" priority="19" operator="lessThan">
      <formula>0.8</formula>
    </cfRule>
    <cfRule type="cellIs" dxfId="3124" priority="20" operator="greaterThan">
      <formula>1</formula>
    </cfRule>
  </conditionalFormatting>
  <conditionalFormatting sqref="R162:R167">
    <cfRule type="cellIs" dxfId="3123" priority="17" operator="greaterThan">
      <formula>1</formula>
    </cfRule>
    <cfRule type="cellIs" dxfId="3122" priority="18" operator="lessThan">
      <formula>0.8</formula>
    </cfRule>
  </conditionalFormatting>
  <conditionalFormatting sqref="P162:P167">
    <cfRule type="cellIs" dxfId="3121" priority="16" operator="greaterThan">
      <formula>0</formula>
    </cfRule>
  </conditionalFormatting>
  <conditionalFormatting sqref="Q161">
    <cfRule type="cellIs" dxfId="3120" priority="15" operator="lessThan">
      <formula>0</formula>
    </cfRule>
  </conditionalFormatting>
  <conditionalFormatting sqref="R161">
    <cfRule type="cellIs" dxfId="3119" priority="13" operator="lessThan">
      <formula>0.8</formula>
    </cfRule>
    <cfRule type="cellIs" dxfId="3118" priority="14" operator="greaterThan">
      <formula>1</formula>
    </cfRule>
  </conditionalFormatting>
  <conditionalFormatting sqref="R161">
    <cfRule type="cellIs" dxfId="3117" priority="11" operator="greaterThan">
      <formula>1</formula>
    </cfRule>
    <cfRule type="cellIs" dxfId="3116" priority="12" operator="lessThan">
      <formula>0.8</formula>
    </cfRule>
  </conditionalFormatting>
  <conditionalFormatting sqref="P161">
    <cfRule type="cellIs" dxfId="3115" priority="10" operator="greaterThan">
      <formula>0</formula>
    </cfRule>
  </conditionalFormatting>
  <conditionalFormatting sqref="P168">
    <cfRule type="cellIs" dxfId="3114" priority="4" operator="greaterThan">
      <formula>0</formula>
    </cfRule>
  </conditionalFormatting>
  <conditionalFormatting sqref="R168">
    <cfRule type="cellIs" dxfId="3113" priority="7" operator="lessThan">
      <formula>0.8</formula>
    </cfRule>
    <cfRule type="cellIs" dxfId="3112" priority="8" operator="greaterThan">
      <formula>1</formula>
    </cfRule>
  </conditionalFormatting>
  <conditionalFormatting sqref="R168">
    <cfRule type="cellIs" dxfId="3111" priority="5" operator="greaterThan">
      <formula>1</formula>
    </cfRule>
    <cfRule type="cellIs" dxfId="3110" priority="6" operator="lessThan">
      <formula>0.8</formula>
    </cfRule>
  </conditionalFormatting>
  <conditionalFormatting sqref="Q168">
    <cfRule type="cellIs" dxfId="3109" priority="9" operator="lessThan">
      <formula>0</formula>
    </cfRule>
  </conditionalFormatting>
  <conditionalFormatting sqref="AF30">
    <cfRule type="cellIs" dxfId="3108" priority="3" operator="lessThan">
      <formula>0</formula>
    </cfRule>
  </conditionalFormatting>
  <conditionalFormatting sqref="AG30">
    <cfRule type="cellIs" dxfId="3107" priority="1" operator="greaterThan">
      <formula>1</formula>
    </cfRule>
    <cfRule type="cellIs" dxfId="310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44" t="s">
        <v>0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  <c r="N1" s="1"/>
      <c r="O1" s="1"/>
    </row>
    <row r="2" spans="2:17" ht="27.75" customHeight="1">
      <c r="B2" s="544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1"/>
      <c r="O2" s="1"/>
    </row>
    <row r="3" spans="2:17" ht="46.5" customHeight="1">
      <c r="B3" s="537" t="s">
        <v>1</v>
      </c>
      <c r="C3" s="496"/>
      <c r="D3" s="547" t="s">
        <v>312</v>
      </c>
      <c r="E3" s="548"/>
      <c r="F3" s="537" t="s">
        <v>2</v>
      </c>
      <c r="G3" s="496"/>
      <c r="H3" s="549">
        <v>282040.34999999998</v>
      </c>
      <c r="I3" s="550"/>
      <c r="J3" s="537" t="s">
        <v>3</v>
      </c>
      <c r="K3" s="496"/>
      <c r="L3" s="542">
        <v>9170817.5219675228</v>
      </c>
      <c r="M3" s="543"/>
      <c r="N3" s="374"/>
      <c r="O3" s="374"/>
      <c r="P3" s="374"/>
      <c r="Q3" s="374"/>
    </row>
    <row r="4" spans="2:17" ht="24" customHeight="1">
      <c r="B4" s="537" t="s">
        <v>135</v>
      </c>
      <c r="C4" s="496"/>
      <c r="D4" s="529" t="s">
        <v>135</v>
      </c>
      <c r="E4" s="530"/>
      <c r="F4" s="540" t="s">
        <v>136</v>
      </c>
      <c r="G4" s="541"/>
      <c r="H4" s="540" t="s">
        <v>137</v>
      </c>
      <c r="I4" s="541"/>
      <c r="J4" s="540" t="s">
        <v>138</v>
      </c>
      <c r="K4" s="541"/>
      <c r="L4" s="542" t="s">
        <v>139</v>
      </c>
      <c r="M4" s="543"/>
      <c r="N4" s="523" t="s">
        <v>4</v>
      </c>
      <c r="O4" s="524"/>
      <c r="P4" s="524" t="s">
        <v>5</v>
      </c>
      <c r="Q4" s="524"/>
    </row>
    <row r="5" spans="2:17" ht="24" customHeight="1">
      <c r="B5" s="525" t="s">
        <v>35</v>
      </c>
      <c r="C5" s="504"/>
      <c r="D5" s="529" t="s">
        <v>140</v>
      </c>
      <c r="E5" s="530"/>
      <c r="F5" s="529" t="s">
        <v>6</v>
      </c>
      <c r="G5" s="530"/>
      <c r="H5" s="531" t="s">
        <v>7</v>
      </c>
      <c r="I5" s="532"/>
      <c r="J5" s="533" t="s">
        <v>8</v>
      </c>
      <c r="K5" s="534"/>
      <c r="L5" s="535" t="s">
        <v>9</v>
      </c>
      <c r="M5" s="536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526"/>
      <c r="C6" s="527"/>
      <c r="D6" s="537" t="s">
        <v>10</v>
      </c>
      <c r="E6" s="496"/>
      <c r="F6" s="538">
        <f>AVERAGE(D13:O13,P13:Q13,D30:E30,G30:H30,J30:M30)</f>
        <v>382.72010151817216</v>
      </c>
      <c r="G6" s="539"/>
      <c r="H6" s="517">
        <f>AVERAGE(D13:P13,Q13)</f>
        <v>139.27444524284192</v>
      </c>
      <c r="I6" s="518"/>
      <c r="J6" s="517">
        <f>AVERAGE(D30:E30,G30:H30)</f>
        <v>736.25</v>
      </c>
      <c r="K6" s="518"/>
      <c r="L6" s="519">
        <f>AVERAGE(J30:M30)</f>
        <v>881.25</v>
      </c>
      <c r="M6" s="520"/>
      <c r="N6" s="521">
        <v>0</v>
      </c>
      <c r="O6" s="506">
        <v>0</v>
      </c>
      <c r="P6" s="522">
        <v>17</v>
      </c>
      <c r="Q6" s="506">
        <v>7</v>
      </c>
    </row>
    <row r="7" spans="2:17" s="5" customFormat="1" ht="39.6" customHeight="1">
      <c r="B7" s="526"/>
      <c r="C7" s="527"/>
      <c r="D7" s="507" t="s">
        <v>11</v>
      </c>
      <c r="E7" s="508"/>
      <c r="F7" s="509">
        <f>AVERAGE(D14:O14,P14:Q14,D31:E31,J31:M31,G31:H31)</f>
        <v>366.86756063717303</v>
      </c>
      <c r="G7" s="510"/>
      <c r="H7" s="511">
        <f>AVERAGE(D14:P14,Q14)</f>
        <v>126.95338206485259</v>
      </c>
      <c r="I7" s="512"/>
      <c r="J7" s="511">
        <f>AVERAGE(D31:E31,G31:H31)</f>
        <v>704.08838180808277</v>
      </c>
      <c r="K7" s="512"/>
      <c r="L7" s="513">
        <f>AVERAGE(J31:M31)</f>
        <v>869.34636446938475</v>
      </c>
      <c r="M7" s="514"/>
      <c r="N7" s="521"/>
      <c r="O7" s="506"/>
      <c r="P7" s="522"/>
      <c r="Q7" s="506"/>
    </row>
    <row r="8" spans="2:17" s="5" customFormat="1" ht="39.6" customHeight="1">
      <c r="B8" s="528"/>
      <c r="C8" s="505"/>
      <c r="D8" s="507" t="s">
        <v>12</v>
      </c>
      <c r="E8" s="508"/>
      <c r="F8" s="515">
        <f>AVERAGE(D15:O15,P15:Q15,D32:E32,G32:H32,J32:M32)</f>
        <v>0.91667107794029934</v>
      </c>
      <c r="G8" s="516"/>
      <c r="H8" s="515">
        <f>AVERAGE(D15:O15,P15:Q15)</f>
        <v>0.905360705944809</v>
      </c>
      <c r="I8" s="516"/>
      <c r="J8" s="515">
        <f>AVERAGE(D32:E32,G32:H32)</f>
        <v>0.88029613370691262</v>
      </c>
      <c r="K8" s="516"/>
      <c r="L8" s="515">
        <f>AVERAGE(J32:M32)</f>
        <v>0.99263232415790215</v>
      </c>
      <c r="M8" s="516"/>
      <c r="N8" s="521"/>
      <c r="O8" s="506"/>
      <c r="P8" s="522"/>
      <c r="Q8" s="506"/>
    </row>
    <row r="9" spans="2:17" ht="25.5" customHeight="1" thickBot="1"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</row>
    <row r="10" spans="2:17" ht="30" customHeight="1">
      <c r="B10" s="498" t="s">
        <v>145</v>
      </c>
      <c r="C10" s="500"/>
      <c r="D10" s="501" t="s">
        <v>146</v>
      </c>
      <c r="E10" s="502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3"/>
    </row>
    <row r="11" spans="2:17" ht="17.25" customHeight="1">
      <c r="B11" s="485" t="s">
        <v>147</v>
      </c>
      <c r="C11" s="504"/>
      <c r="D11" s="375">
        <v>1</v>
      </c>
      <c r="E11" s="375">
        <v>2</v>
      </c>
      <c r="F11" s="375">
        <v>3</v>
      </c>
      <c r="G11" s="375">
        <v>4</v>
      </c>
      <c r="H11" s="375">
        <v>5</v>
      </c>
      <c r="I11" s="375">
        <v>6</v>
      </c>
      <c r="J11" s="375">
        <v>7</v>
      </c>
      <c r="K11" s="375">
        <v>8</v>
      </c>
      <c r="L11" s="375">
        <v>9</v>
      </c>
      <c r="M11" s="375">
        <v>10</v>
      </c>
      <c r="N11" s="375">
        <v>11</v>
      </c>
      <c r="O11" s="375">
        <v>12</v>
      </c>
      <c r="P11" s="375">
        <v>13</v>
      </c>
      <c r="Q11" s="376">
        <v>14</v>
      </c>
    </row>
    <row r="12" spans="2:17" ht="33.9" customHeight="1">
      <c r="B12" s="487"/>
      <c r="C12" s="505"/>
      <c r="D12" s="14" t="s">
        <v>148</v>
      </c>
      <c r="E12" s="375" t="s">
        <v>149</v>
      </c>
      <c r="F12" s="375" t="s">
        <v>150</v>
      </c>
      <c r="G12" s="375" t="s">
        <v>151</v>
      </c>
      <c r="H12" s="14" t="s">
        <v>152</v>
      </c>
      <c r="I12" s="375" t="s">
        <v>153</v>
      </c>
      <c r="J12" s="375" t="s">
        <v>154</v>
      </c>
      <c r="K12" s="375" t="s">
        <v>155</v>
      </c>
      <c r="L12" s="375" t="s">
        <v>156</v>
      </c>
      <c r="M12" s="375" t="s">
        <v>157</v>
      </c>
      <c r="N12" s="375" t="s">
        <v>158</v>
      </c>
      <c r="O12" s="375" t="s">
        <v>159</v>
      </c>
      <c r="P12" s="375" t="s">
        <v>160</v>
      </c>
      <c r="Q12" s="376" t="s">
        <v>13</v>
      </c>
    </row>
    <row r="13" spans="2:17" ht="39.9" customHeight="1">
      <c r="B13" s="489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490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491"/>
      <c r="C15" s="375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7">
        <f t="shared" si="0"/>
        <v>0.92755841986959209</v>
      </c>
      <c r="Q15" s="11">
        <f t="shared" si="0"/>
        <v>0.97245826450238249</v>
      </c>
    </row>
    <row r="16" spans="2:17" ht="22.8" customHeight="1">
      <c r="B16" s="492" t="s">
        <v>164</v>
      </c>
      <c r="C16" s="375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8">
        <v>0.17361111111111113</v>
      </c>
    </row>
    <row r="17" spans="2:23" ht="22.8" customHeight="1">
      <c r="B17" s="493"/>
      <c r="C17" s="375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8">
        <v>0.59722222222222221</v>
      </c>
    </row>
    <row r="18" spans="2:23" ht="22.8" customHeight="1">
      <c r="B18" s="494" t="s">
        <v>14</v>
      </c>
      <c r="C18" s="379" t="s">
        <v>166</v>
      </c>
      <c r="D18" s="380" t="s">
        <v>15</v>
      </c>
      <c r="E18" s="380" t="s">
        <v>15</v>
      </c>
      <c r="F18" s="380" t="s">
        <v>15</v>
      </c>
      <c r="G18" s="380" t="s">
        <v>15</v>
      </c>
      <c r="H18" s="380" t="s">
        <v>15</v>
      </c>
      <c r="I18" s="380" t="s">
        <v>15</v>
      </c>
      <c r="J18" s="380" t="s">
        <v>15</v>
      </c>
      <c r="K18" s="380" t="s">
        <v>15</v>
      </c>
      <c r="L18" s="380" t="s">
        <v>15</v>
      </c>
      <c r="M18" s="380" t="s">
        <v>15</v>
      </c>
      <c r="N18" s="380" t="s">
        <v>15</v>
      </c>
      <c r="O18" s="380" t="s">
        <v>15</v>
      </c>
      <c r="P18" s="380" t="s">
        <v>15</v>
      </c>
      <c r="Q18" s="381"/>
    </row>
    <row r="19" spans="2:23" ht="22.8" customHeight="1">
      <c r="B19" s="495"/>
      <c r="C19" s="379" t="s">
        <v>167</v>
      </c>
      <c r="D19" s="380" t="s">
        <v>15</v>
      </c>
      <c r="E19" s="380" t="s">
        <v>15</v>
      </c>
      <c r="F19" s="380" t="s">
        <v>15</v>
      </c>
      <c r="G19" s="380" t="s">
        <v>15</v>
      </c>
      <c r="H19" s="380" t="s">
        <v>15</v>
      </c>
      <c r="I19" s="380" t="s">
        <v>15</v>
      </c>
      <c r="J19" s="380" t="s">
        <v>15</v>
      </c>
      <c r="K19" s="380" t="s">
        <v>15</v>
      </c>
      <c r="L19" s="380" t="s">
        <v>15</v>
      </c>
      <c r="M19" s="380" t="s">
        <v>15</v>
      </c>
      <c r="N19" s="380" t="s">
        <v>15</v>
      </c>
      <c r="O19" s="380" t="s">
        <v>15</v>
      </c>
      <c r="P19" s="380" t="s">
        <v>15</v>
      </c>
      <c r="Q19" s="381"/>
    </row>
    <row r="20" spans="2:23" ht="22.8" customHeight="1">
      <c r="B20" s="494" t="s">
        <v>16</v>
      </c>
      <c r="C20" s="379" t="s">
        <v>166</v>
      </c>
      <c r="D20" s="380">
        <v>2</v>
      </c>
      <c r="E20" s="380">
        <v>2</v>
      </c>
      <c r="F20" s="380">
        <v>1</v>
      </c>
      <c r="G20" s="380">
        <v>2</v>
      </c>
      <c r="H20" s="380">
        <v>1</v>
      </c>
      <c r="I20" s="380" t="s">
        <v>15</v>
      </c>
      <c r="J20" s="380">
        <v>3</v>
      </c>
      <c r="K20" s="380">
        <v>1</v>
      </c>
      <c r="L20" s="380">
        <v>1</v>
      </c>
      <c r="M20" s="380">
        <v>1</v>
      </c>
      <c r="N20" s="380">
        <v>2</v>
      </c>
      <c r="O20" s="380" t="s">
        <v>15</v>
      </c>
      <c r="P20" s="380">
        <v>1</v>
      </c>
      <c r="Q20" s="381"/>
    </row>
    <row r="21" spans="2:23" ht="22.8" customHeight="1">
      <c r="B21" s="495"/>
      <c r="C21" s="379" t="s">
        <v>168</v>
      </c>
      <c r="D21" s="380">
        <v>1</v>
      </c>
      <c r="E21" s="380">
        <v>1</v>
      </c>
      <c r="F21" s="380">
        <v>1</v>
      </c>
      <c r="G21" s="380" t="s">
        <v>15</v>
      </c>
      <c r="H21" s="380">
        <v>1</v>
      </c>
      <c r="I21" s="380" t="s">
        <v>15</v>
      </c>
      <c r="J21" s="380">
        <v>1</v>
      </c>
      <c r="K21" s="380">
        <v>1</v>
      </c>
      <c r="L21" s="380" t="s">
        <v>15</v>
      </c>
      <c r="M21" s="380" t="s">
        <v>15</v>
      </c>
      <c r="N21" s="380" t="s">
        <v>15</v>
      </c>
      <c r="O21" s="380" t="s">
        <v>15</v>
      </c>
      <c r="P21" s="380">
        <v>1</v>
      </c>
      <c r="Q21" s="381"/>
    </row>
    <row r="22" spans="2:23" ht="22.8" customHeight="1">
      <c r="B22" s="475" t="s">
        <v>169</v>
      </c>
      <c r="C22" s="496"/>
      <c r="D22" s="382">
        <v>18.285714285714285</v>
      </c>
      <c r="E22" s="382">
        <v>17.285714285714285</v>
      </c>
      <c r="F22" s="382">
        <v>15</v>
      </c>
      <c r="G22" s="382">
        <v>6.7142857142857144</v>
      </c>
      <c r="H22" s="382">
        <v>6.666666666666667</v>
      </c>
      <c r="I22" s="382">
        <v>17</v>
      </c>
      <c r="J22" s="382">
        <v>17.625</v>
      </c>
      <c r="K22" s="382">
        <v>17.3</v>
      </c>
      <c r="L22" s="382">
        <v>16.888888888888889</v>
      </c>
      <c r="M22" s="382">
        <v>18.222222222222221</v>
      </c>
      <c r="N22" s="382">
        <v>17.222222222222221</v>
      </c>
      <c r="O22" s="382">
        <v>14</v>
      </c>
      <c r="P22" s="382">
        <v>11.333333333333334</v>
      </c>
      <c r="Q22" s="383">
        <v>11.5</v>
      </c>
    </row>
    <row r="23" spans="2:23" ht="22.8" customHeight="1">
      <c r="B23" s="475" t="s">
        <v>170</v>
      </c>
      <c r="C23" s="49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475" t="s">
        <v>171</v>
      </c>
      <c r="C24" s="49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477" t="s">
        <v>172</v>
      </c>
      <c r="C25" s="497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4"/>
      <c r="C26" s="374"/>
      <c r="D26" s="374"/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</row>
    <row r="27" spans="2:23" ht="30" customHeight="1">
      <c r="B27" s="498"/>
      <c r="C27" s="499"/>
      <c r="D27" s="479" t="s">
        <v>173</v>
      </c>
      <c r="E27" s="480"/>
      <c r="F27" s="480"/>
      <c r="G27" s="480"/>
      <c r="H27" s="481"/>
      <c r="I27" s="482" t="s">
        <v>174</v>
      </c>
      <c r="J27" s="483"/>
      <c r="K27" s="483"/>
      <c r="L27" s="483"/>
      <c r="M27" s="484"/>
      <c r="N27" s="374"/>
      <c r="O27" s="374"/>
      <c r="P27" s="374"/>
      <c r="Q27" s="374"/>
    </row>
    <row r="28" spans="2:23" ht="17.25" customHeight="1">
      <c r="B28" s="485" t="s">
        <v>147</v>
      </c>
      <c r="C28" s="486"/>
      <c r="D28" s="384">
        <v>1</v>
      </c>
      <c r="E28" s="442">
        <v>2</v>
      </c>
      <c r="F28" s="375">
        <v>3</v>
      </c>
      <c r="G28" s="375">
        <v>4</v>
      </c>
      <c r="H28" s="376">
        <v>5</v>
      </c>
      <c r="I28" s="384">
        <v>1</v>
      </c>
      <c r="J28" s="375">
        <v>2</v>
      </c>
      <c r="K28" s="375">
        <v>3</v>
      </c>
      <c r="L28" s="375">
        <v>4</v>
      </c>
      <c r="M28" s="376">
        <v>5</v>
      </c>
      <c r="N28" s="374"/>
      <c r="O28" s="374"/>
      <c r="P28" s="374"/>
      <c r="Q28" s="374"/>
    </row>
    <row r="29" spans="2:23" ht="37.5" customHeight="1">
      <c r="B29" s="487"/>
      <c r="C29" s="488"/>
      <c r="D29" s="385" t="s">
        <v>26</v>
      </c>
      <c r="E29" s="386" t="s">
        <v>27</v>
      </c>
      <c r="F29" s="14" t="s">
        <v>28</v>
      </c>
      <c r="G29" s="14" t="s">
        <v>29</v>
      </c>
      <c r="H29" s="387" t="s">
        <v>30</v>
      </c>
      <c r="I29" s="385" t="s">
        <v>31</v>
      </c>
      <c r="J29" s="14" t="s">
        <v>27</v>
      </c>
      <c r="K29" s="14" t="s">
        <v>28</v>
      </c>
      <c r="L29" s="14" t="s">
        <v>29</v>
      </c>
      <c r="M29" s="387" t="s">
        <v>30</v>
      </c>
      <c r="N29" s="374"/>
      <c r="O29" s="374"/>
      <c r="P29" s="374"/>
      <c r="Q29" s="374"/>
    </row>
    <row r="30" spans="2:23" ht="39.9" customHeight="1">
      <c r="B30" s="489" t="s">
        <v>35</v>
      </c>
      <c r="C30" s="388" t="s">
        <v>161</v>
      </c>
      <c r="D30" s="20">
        <v>320</v>
      </c>
      <c r="E30" s="444">
        <v>825</v>
      </c>
      <c r="F30" s="19">
        <v>825</v>
      </c>
      <c r="G30" s="19">
        <v>900</v>
      </c>
      <c r="H30" s="21">
        <v>900</v>
      </c>
      <c r="I30" s="389">
        <v>680</v>
      </c>
      <c r="J30" s="19">
        <v>825</v>
      </c>
      <c r="K30" s="19">
        <v>900</v>
      </c>
      <c r="L30" s="19">
        <v>900</v>
      </c>
      <c r="M30" s="21">
        <v>900</v>
      </c>
      <c r="N30" s="374"/>
      <c r="O30" s="374"/>
      <c r="P30" s="374"/>
      <c r="Q30" s="374"/>
    </row>
    <row r="31" spans="2:23" ht="39.9" customHeight="1">
      <c r="B31" s="490"/>
      <c r="C31" s="388" t="s">
        <v>162</v>
      </c>
      <c r="D31" s="390">
        <v>153.40000000000015</v>
      </c>
      <c r="E31" s="8">
        <v>821.42559523809541</v>
      </c>
      <c r="F31" s="8">
        <v>0</v>
      </c>
      <c r="G31" s="8">
        <v>857.38004339666907</v>
      </c>
      <c r="H31" s="391">
        <v>984.14788859756652</v>
      </c>
      <c r="I31" s="390">
        <v>0</v>
      </c>
      <c r="J31" s="8">
        <v>1056.9999999999952</v>
      </c>
      <c r="K31" s="8">
        <v>659.60714285714107</v>
      </c>
      <c r="L31" s="8">
        <v>889.86212454212307</v>
      </c>
      <c r="M31" s="391">
        <v>870.91619047827976</v>
      </c>
      <c r="N31" s="374"/>
      <c r="O31" s="374"/>
      <c r="P31" s="374"/>
      <c r="Q31" s="374"/>
    </row>
    <row r="32" spans="2:23" ht="39.9" customHeight="1">
      <c r="B32" s="491"/>
      <c r="C32" s="443" t="s">
        <v>163</v>
      </c>
      <c r="D32" s="392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90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4"/>
      <c r="O32" s="374"/>
      <c r="P32" s="374"/>
      <c r="Q32" s="374"/>
    </row>
    <row r="33" spans="2:17" ht="25.8" customHeight="1">
      <c r="B33" s="492" t="s">
        <v>164</v>
      </c>
      <c r="C33" s="443" t="s">
        <v>165</v>
      </c>
      <c r="D33" s="393">
        <v>0.36805555555555558</v>
      </c>
      <c r="E33" s="12">
        <v>0.18055555555555555</v>
      </c>
      <c r="F33" s="12">
        <v>0</v>
      </c>
      <c r="G33" s="12">
        <v>2964.0000000000009</v>
      </c>
      <c r="H33" s="378">
        <v>0.18055555555555555</v>
      </c>
      <c r="I33" s="393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4"/>
      <c r="O33" s="374"/>
      <c r="P33" s="374"/>
      <c r="Q33" s="374"/>
    </row>
    <row r="34" spans="2:17" ht="25.8" customHeight="1">
      <c r="B34" s="493"/>
      <c r="C34" s="443" t="s">
        <v>36</v>
      </c>
      <c r="D34" s="393">
        <v>0.3888888888888889</v>
      </c>
      <c r="E34" s="12">
        <v>0.36944444444444446</v>
      </c>
      <c r="F34" s="12">
        <v>0</v>
      </c>
      <c r="G34" s="12">
        <v>1065.30612244898</v>
      </c>
      <c r="H34" s="378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4"/>
      <c r="O34" s="374"/>
      <c r="P34" s="374"/>
      <c r="Q34" s="374"/>
    </row>
    <row r="35" spans="2:17" ht="25.8" customHeight="1">
      <c r="B35" s="475" t="s">
        <v>169</v>
      </c>
      <c r="C35" s="476"/>
      <c r="D35" s="394">
        <v>10</v>
      </c>
      <c r="E35" s="395">
        <v>3.5</v>
      </c>
      <c r="F35" s="395">
        <v>0</v>
      </c>
      <c r="G35" s="395">
        <v>3.6666666666666665</v>
      </c>
      <c r="H35" s="396">
        <v>3.25</v>
      </c>
      <c r="I35" s="397">
        <v>0</v>
      </c>
      <c r="J35" s="395">
        <v>3</v>
      </c>
      <c r="K35" s="395">
        <v>3.5</v>
      </c>
      <c r="L35" s="395">
        <v>3.4</v>
      </c>
      <c r="M35" s="383">
        <v>3.4285714285714284</v>
      </c>
      <c r="N35" s="374"/>
      <c r="O35" s="374"/>
      <c r="P35" s="374"/>
      <c r="Q35" s="374"/>
    </row>
    <row r="36" spans="2:17" ht="25.8" customHeight="1">
      <c r="B36" s="475" t="s">
        <v>170</v>
      </c>
      <c r="C36" s="476"/>
      <c r="D36" s="398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9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4"/>
      <c r="O36" s="374"/>
      <c r="P36" s="374"/>
      <c r="Q36" s="374"/>
    </row>
    <row r="37" spans="2:17" ht="25.8" customHeight="1">
      <c r="B37" s="475" t="s">
        <v>171</v>
      </c>
      <c r="C37" s="476"/>
      <c r="D37" s="400"/>
      <c r="E37" s="401"/>
      <c r="F37" s="402"/>
      <c r="G37" s="402"/>
      <c r="H37" s="403"/>
      <c r="I37" s="25"/>
      <c r="J37" s="24"/>
      <c r="K37" s="24"/>
      <c r="L37" s="24"/>
      <c r="M37" s="15"/>
      <c r="N37" s="374"/>
      <c r="O37" s="374"/>
      <c r="P37" s="374"/>
      <c r="Q37" s="374"/>
    </row>
    <row r="38" spans="2:17" ht="25.8" customHeight="1" thickBot="1">
      <c r="B38" s="477" t="s">
        <v>172</v>
      </c>
      <c r="C38" s="478"/>
      <c r="D38" s="26"/>
      <c r="E38" s="404"/>
      <c r="F38" s="17"/>
      <c r="G38" s="16"/>
      <c r="H38" s="18"/>
      <c r="I38" s="26"/>
      <c r="J38" s="16"/>
      <c r="K38" s="16"/>
      <c r="L38" s="16"/>
      <c r="M38" s="18"/>
      <c r="N38" s="374"/>
      <c r="O38" s="374"/>
      <c r="P38" s="374"/>
      <c r="Q38" s="374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215" priority="4" operator="lessThan">
      <formula>0.8</formula>
    </cfRule>
  </conditionalFormatting>
  <conditionalFormatting sqref="J32:L32">
    <cfRule type="cellIs" dxfId="6214" priority="3" operator="lessThan">
      <formula>0.8</formula>
    </cfRule>
  </conditionalFormatting>
  <conditionalFormatting sqref="M32">
    <cfRule type="cellIs" dxfId="6213" priority="2" operator="lessThan">
      <formula>0.8</formula>
    </cfRule>
  </conditionalFormatting>
  <conditionalFormatting sqref="H32">
    <cfRule type="cellIs" dxfId="621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6" hidden="1" customWidth="1"/>
    <col min="4" max="5" width="18.33203125" style="285" customWidth="1"/>
    <col min="6" max="6" width="9.77734375" style="354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5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599" t="s">
        <v>437</v>
      </c>
      <c r="K1" s="600"/>
      <c r="L1" s="601"/>
      <c r="M1" s="599" t="s">
        <v>438</v>
      </c>
      <c r="N1" s="600"/>
      <c r="O1" s="600"/>
      <c r="P1" s="600"/>
      <c r="Q1" s="600"/>
      <c r="R1" s="601"/>
    </row>
    <row r="2" spans="1:18" ht="26.25" customHeight="1" thickBot="1">
      <c r="A2" s="605" t="s">
        <v>481</v>
      </c>
      <c r="B2" s="606"/>
      <c r="C2" s="286"/>
      <c r="D2" s="445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602"/>
      <c r="K2" s="603"/>
      <c r="L2" s="604"/>
      <c r="M2" s="602"/>
      <c r="N2" s="603"/>
      <c r="O2" s="603"/>
      <c r="P2" s="603"/>
      <c r="Q2" s="603"/>
      <c r="R2" s="604"/>
    </row>
    <row r="3" spans="1:18" ht="23.25" customHeight="1">
      <c r="A3" s="607" t="s">
        <v>335</v>
      </c>
      <c r="B3" s="609" t="s">
        <v>441</v>
      </c>
      <c r="C3" s="447"/>
      <c r="D3" s="610" t="s">
        <v>337</v>
      </c>
      <c r="E3" s="610"/>
      <c r="F3" s="611" t="s">
        <v>43</v>
      </c>
      <c r="G3" s="612" t="s">
        <v>442</v>
      </c>
      <c r="H3" s="613" t="s">
        <v>443</v>
      </c>
      <c r="I3" s="614" t="s">
        <v>339</v>
      </c>
      <c r="J3" s="580" t="s">
        <v>343</v>
      </c>
      <c r="K3" s="592" t="s">
        <v>341</v>
      </c>
      <c r="L3" s="594" t="s">
        <v>333</v>
      </c>
      <c r="M3" s="596" t="s">
        <v>48</v>
      </c>
      <c r="N3" s="596"/>
      <c r="O3" s="580" t="s">
        <v>106</v>
      </c>
      <c r="P3" s="597" t="s">
        <v>444</v>
      </c>
      <c r="Q3" s="580" t="s">
        <v>445</v>
      </c>
      <c r="R3" s="580"/>
    </row>
    <row r="4" spans="1:18" ht="15.75" customHeight="1">
      <c r="A4" s="608"/>
      <c r="B4" s="609"/>
      <c r="C4" s="447"/>
      <c r="D4" s="610"/>
      <c r="E4" s="610"/>
      <c r="F4" s="611"/>
      <c r="G4" s="612"/>
      <c r="H4" s="613"/>
      <c r="I4" s="615"/>
      <c r="J4" s="591"/>
      <c r="K4" s="593"/>
      <c r="L4" s="595"/>
      <c r="M4" s="451" t="s">
        <v>50</v>
      </c>
      <c r="N4" s="451" t="s">
        <v>51</v>
      </c>
      <c r="O4" s="591"/>
      <c r="P4" s="598"/>
      <c r="Q4" s="292" t="s">
        <v>446</v>
      </c>
      <c r="R4" s="292" t="s">
        <v>447</v>
      </c>
    </row>
    <row r="5" spans="1:18">
      <c r="A5" s="581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47">
        <v>1822</v>
      </c>
      <c r="H5" s="296">
        <f>F5*G5</f>
        <v>54597.129054520352</v>
      </c>
      <c r="I5" s="449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52">
        <f t="shared" ref="P5:P10" si="2">(N5-M5)*24*60</f>
        <v>90</v>
      </c>
      <c r="Q5" s="301"/>
      <c r="R5" s="301"/>
    </row>
    <row r="6" spans="1:18">
      <c r="A6" s="581"/>
      <c r="B6" s="293">
        <v>0</v>
      </c>
      <c r="C6" s="293"/>
      <c r="D6" s="294" t="s">
        <v>192</v>
      </c>
      <c r="E6" s="294"/>
      <c r="F6" s="295" t="s">
        <v>133</v>
      </c>
      <c r="G6" s="447">
        <v>2391</v>
      </c>
      <c r="H6" s="296">
        <f t="shared" ref="H6:H15" si="3">F6*G6</f>
        <v>0</v>
      </c>
      <c r="I6" s="449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52">
        <f t="shared" si="2"/>
        <v>89.999999999999957</v>
      </c>
      <c r="Q6" s="292"/>
      <c r="R6" s="292"/>
    </row>
    <row r="7" spans="1:18">
      <c r="A7" s="581"/>
      <c r="B7" s="293">
        <v>0</v>
      </c>
      <c r="C7" s="293"/>
      <c r="D7" s="294" t="s">
        <v>193</v>
      </c>
      <c r="E7" s="294"/>
      <c r="F7" s="295" t="s">
        <v>133</v>
      </c>
      <c r="G7" s="447">
        <v>2289</v>
      </c>
      <c r="H7" s="296">
        <f t="shared" si="3"/>
        <v>0</v>
      </c>
      <c r="I7" s="449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52">
        <f t="shared" si="2"/>
        <v>85.000000000000014</v>
      </c>
      <c r="Q7" s="301"/>
      <c r="R7" s="301"/>
    </row>
    <row r="8" spans="1:18">
      <c r="A8" s="581"/>
      <c r="B8" s="293" t="s">
        <v>134</v>
      </c>
      <c r="C8" s="293"/>
      <c r="D8" s="294" t="s">
        <v>194</v>
      </c>
      <c r="E8" s="294"/>
      <c r="F8" s="295">
        <v>36.450000000000003</v>
      </c>
      <c r="G8" s="447">
        <v>1825</v>
      </c>
      <c r="H8" s="296">
        <f t="shared" si="3"/>
        <v>66521.25</v>
      </c>
      <c r="I8" s="449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52">
        <f t="shared" si="2"/>
        <v>74.999999999999972</v>
      </c>
      <c r="Q8" s="301">
        <v>0.4513888888888889</v>
      </c>
      <c r="R8" s="301">
        <v>0.4826388888888889</v>
      </c>
    </row>
    <row r="9" spans="1:18">
      <c r="A9" s="581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49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52">
        <f t="shared" si="2"/>
        <v>79.999999999999957</v>
      </c>
      <c r="Q9" s="301"/>
      <c r="R9" s="301"/>
    </row>
    <row r="10" spans="1:18">
      <c r="A10" s="581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49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52">
        <f t="shared" si="2"/>
        <v>74.999999999999886</v>
      </c>
      <c r="Q10" s="301"/>
      <c r="R10" s="301"/>
    </row>
    <row r="11" spans="1:18">
      <c r="A11" s="581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49"/>
      <c r="J11" s="297"/>
      <c r="K11" s="298"/>
      <c r="L11" s="299"/>
      <c r="M11" s="300"/>
      <c r="N11" s="300"/>
      <c r="O11" s="292"/>
      <c r="P11" s="452"/>
      <c r="Q11" s="301"/>
      <c r="R11" s="301"/>
    </row>
    <row r="12" spans="1:18">
      <c r="A12" s="582"/>
      <c r="B12" s="293">
        <v>0</v>
      </c>
      <c r="C12" s="448"/>
      <c r="D12" s="294"/>
      <c r="E12" s="294"/>
      <c r="F12" s="295" t="s">
        <v>133</v>
      </c>
      <c r="G12" s="446"/>
      <c r="H12" s="296">
        <f t="shared" si="3"/>
        <v>0</v>
      </c>
      <c r="I12" s="449"/>
      <c r="J12" s="297"/>
      <c r="K12" s="298"/>
      <c r="L12" s="299"/>
      <c r="M12" s="300"/>
      <c r="N12" s="300"/>
      <c r="O12" s="292"/>
      <c r="P12" s="452"/>
      <c r="Q12" s="301"/>
      <c r="R12" s="292"/>
    </row>
    <row r="13" spans="1:18">
      <c r="A13" s="582"/>
      <c r="B13" s="293">
        <v>0</v>
      </c>
      <c r="C13" s="293"/>
      <c r="D13" s="453"/>
      <c r="E13" s="454"/>
      <c r="F13" s="295" t="s">
        <v>133</v>
      </c>
      <c r="G13" s="302"/>
      <c r="H13" s="296">
        <f t="shared" si="3"/>
        <v>0</v>
      </c>
      <c r="I13" s="449"/>
      <c r="J13" s="297"/>
      <c r="K13" s="298"/>
      <c r="L13" s="299"/>
      <c r="M13" s="300"/>
      <c r="N13" s="300"/>
      <c r="O13" s="292"/>
      <c r="P13" s="452"/>
      <c r="Q13" s="292"/>
      <c r="R13" s="292"/>
    </row>
    <row r="14" spans="1:18">
      <c r="A14" s="582"/>
      <c r="B14" s="293">
        <v>0</v>
      </c>
      <c r="C14" s="293"/>
      <c r="D14" s="453"/>
      <c r="E14" s="454"/>
      <c r="F14" s="295" t="s">
        <v>133</v>
      </c>
      <c r="G14" s="302"/>
      <c r="H14" s="296">
        <f t="shared" si="3"/>
        <v>0</v>
      </c>
      <c r="I14" s="449"/>
      <c r="J14" s="297"/>
      <c r="K14" s="298"/>
      <c r="L14" s="299"/>
      <c r="M14" s="300"/>
      <c r="N14" s="300"/>
      <c r="O14" s="292"/>
      <c r="P14" s="452"/>
      <c r="Q14" s="292"/>
      <c r="R14" s="292"/>
    </row>
    <row r="15" spans="1:18">
      <c r="A15" s="582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49"/>
      <c r="J15" s="297"/>
      <c r="K15" s="298"/>
      <c r="L15" s="299"/>
      <c r="M15" s="300"/>
      <c r="N15" s="300"/>
      <c r="O15" s="292"/>
      <c r="P15" s="452"/>
      <c r="Q15" s="292"/>
      <c r="R15" s="292"/>
    </row>
    <row r="16" spans="1:18" ht="15.75" customHeight="1">
      <c r="A16" s="583"/>
      <c r="B16" s="293">
        <v>0</v>
      </c>
      <c r="C16" s="304" t="s">
        <v>482</v>
      </c>
      <c r="D16" s="567" t="s">
        <v>376</v>
      </c>
      <c r="E16" s="567"/>
      <c r="F16" s="305"/>
      <c r="G16" s="306"/>
      <c r="H16" s="307"/>
      <c r="I16" s="308"/>
      <c r="J16" s="309">
        <f>AVERAGE(J5:J15)</f>
        <v>11.5</v>
      </c>
      <c r="K16" s="309">
        <f>AVERAGE(K5:K15)</f>
        <v>1584.8135620915043</v>
      </c>
      <c r="L16" s="310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584" t="s">
        <v>483</v>
      </c>
      <c r="B17" s="293" t="s">
        <v>134</v>
      </c>
      <c r="C17" s="448"/>
      <c r="D17" s="587" t="s">
        <v>180</v>
      </c>
      <c r="E17" s="588"/>
      <c r="F17" s="295">
        <v>25.64</v>
      </c>
      <c r="G17" s="447">
        <v>767</v>
      </c>
      <c r="H17" s="311">
        <f t="shared" ref="H17:H23" si="4">F17*G17</f>
        <v>19665.88</v>
      </c>
      <c r="I17" s="312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52">
        <f>(N17-M17)*24*60</f>
        <v>29.999999999999972</v>
      </c>
      <c r="Q17" s="292"/>
      <c r="R17" s="292"/>
    </row>
    <row r="18" spans="1:18" ht="15.75" customHeight="1">
      <c r="A18" s="584"/>
      <c r="B18" s="293">
        <v>0</v>
      </c>
      <c r="C18" s="448"/>
      <c r="D18" s="589"/>
      <c r="E18" s="590"/>
      <c r="F18" s="295" t="s">
        <v>133</v>
      </c>
      <c r="G18" s="446"/>
      <c r="H18" s="296">
        <f t="shared" si="4"/>
        <v>0</v>
      </c>
      <c r="I18" s="449"/>
      <c r="J18" s="297"/>
      <c r="K18" s="298"/>
      <c r="L18" s="299"/>
      <c r="M18" s="300"/>
      <c r="N18" s="300"/>
      <c r="O18" s="292"/>
      <c r="P18" s="452"/>
      <c r="Q18" s="301"/>
      <c r="R18" s="301"/>
    </row>
    <row r="19" spans="1:18" ht="15.75" customHeight="1">
      <c r="A19" s="584"/>
      <c r="B19" s="293">
        <v>0</v>
      </c>
      <c r="C19" s="448"/>
      <c r="D19" s="589"/>
      <c r="E19" s="590"/>
      <c r="F19" s="295" t="s">
        <v>133</v>
      </c>
      <c r="G19" s="446"/>
      <c r="H19" s="296">
        <f t="shared" si="4"/>
        <v>0</v>
      </c>
      <c r="I19" s="449"/>
      <c r="J19" s="297"/>
      <c r="K19" s="298"/>
      <c r="L19" s="299"/>
      <c r="M19" s="300"/>
      <c r="N19" s="300"/>
      <c r="O19" s="292"/>
      <c r="P19" s="452"/>
      <c r="Q19" s="301"/>
      <c r="R19" s="301"/>
    </row>
    <row r="20" spans="1:18" ht="15.75" customHeight="1">
      <c r="A20" s="585"/>
      <c r="B20" s="293">
        <v>0</v>
      </c>
      <c r="C20" s="448"/>
      <c r="D20" s="313"/>
      <c r="E20" s="454"/>
      <c r="F20" s="295" t="s">
        <v>133</v>
      </c>
      <c r="G20" s="446"/>
      <c r="H20" s="296">
        <f t="shared" si="4"/>
        <v>0</v>
      </c>
      <c r="I20" s="449"/>
      <c r="J20" s="297"/>
      <c r="K20" s="298"/>
      <c r="L20" s="299"/>
      <c r="M20" s="300"/>
      <c r="N20" s="300"/>
      <c r="O20" s="292"/>
      <c r="P20" s="452"/>
      <c r="Q20" s="292"/>
      <c r="R20" s="292"/>
    </row>
    <row r="21" spans="1:18" ht="15.75" customHeight="1">
      <c r="A21" s="585"/>
      <c r="B21" s="293">
        <v>0</v>
      </c>
      <c r="C21" s="448"/>
      <c r="D21" s="313"/>
      <c r="E21" s="454"/>
      <c r="F21" s="295" t="s">
        <v>133</v>
      </c>
      <c r="G21" s="446"/>
      <c r="H21" s="296">
        <f t="shared" si="4"/>
        <v>0</v>
      </c>
      <c r="I21" s="449"/>
      <c r="J21" s="297"/>
      <c r="K21" s="298"/>
      <c r="L21" s="299"/>
      <c r="M21" s="300"/>
      <c r="N21" s="300"/>
      <c r="O21" s="292"/>
      <c r="P21" s="452"/>
      <c r="Q21" s="292"/>
      <c r="R21" s="292"/>
    </row>
    <row r="22" spans="1:18" ht="15.75" customHeight="1">
      <c r="A22" s="585"/>
      <c r="B22" s="293">
        <v>0</v>
      </c>
      <c r="C22" s="448"/>
      <c r="D22" s="313"/>
      <c r="E22" s="454"/>
      <c r="F22" s="295" t="s">
        <v>133</v>
      </c>
      <c r="G22" s="446"/>
      <c r="H22" s="296">
        <f t="shared" si="4"/>
        <v>0</v>
      </c>
      <c r="I22" s="449"/>
      <c r="J22" s="297"/>
      <c r="K22" s="298"/>
      <c r="L22" s="299"/>
      <c r="M22" s="300"/>
      <c r="N22" s="300"/>
      <c r="O22" s="292"/>
      <c r="P22" s="452"/>
      <c r="Q22" s="292"/>
      <c r="R22" s="292"/>
    </row>
    <row r="23" spans="1:18" ht="15.75" customHeight="1">
      <c r="A23" s="585"/>
      <c r="B23" s="293">
        <v>0</v>
      </c>
      <c r="C23" s="448"/>
      <c r="D23" s="313"/>
      <c r="E23" s="454"/>
      <c r="F23" s="295" t="s">
        <v>133</v>
      </c>
      <c r="G23" s="446"/>
      <c r="H23" s="296">
        <f t="shared" si="4"/>
        <v>0</v>
      </c>
      <c r="I23" s="449"/>
      <c r="J23" s="297"/>
      <c r="K23" s="298"/>
      <c r="L23" s="299"/>
      <c r="M23" s="300"/>
      <c r="N23" s="300"/>
      <c r="O23" s="292"/>
      <c r="P23" s="452"/>
      <c r="Q23" s="292"/>
      <c r="R23" s="292"/>
    </row>
    <row r="24" spans="1:18" ht="17.399999999999999" customHeight="1">
      <c r="A24" s="586"/>
      <c r="B24" s="293">
        <v>0</v>
      </c>
      <c r="C24" s="6" t="s">
        <v>484</v>
      </c>
      <c r="D24" s="567" t="s">
        <v>376</v>
      </c>
      <c r="E24" s="567"/>
      <c r="F24" s="305"/>
      <c r="G24" s="314"/>
      <c r="H24" s="307"/>
      <c r="I24" s="308"/>
      <c r="J24" s="309">
        <f>AVERAGE(J17:J23)</f>
        <v>10</v>
      </c>
      <c r="K24" s="309">
        <f>AVERAGE(K17:K23)</f>
        <v>1534.0000000000014</v>
      </c>
      <c r="L24" s="310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571" t="s">
        <v>485</v>
      </c>
      <c r="B25" s="293" t="s">
        <v>131</v>
      </c>
      <c r="C25" s="315"/>
      <c r="D25" s="317" t="s">
        <v>486</v>
      </c>
      <c r="E25" s="316"/>
      <c r="F25" s="295">
        <v>15.03</v>
      </c>
      <c r="G25" s="447">
        <v>1273</v>
      </c>
      <c r="H25" s="296">
        <f t="shared" ref="H25:H37" si="6">F25*G25</f>
        <v>19133.189999999999</v>
      </c>
      <c r="I25" s="449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52">
        <f t="shared" ref="P25:P28" si="9">(N25-M25)*24*60</f>
        <v>27.999999999999979</v>
      </c>
      <c r="Q25" s="301"/>
      <c r="R25" s="301"/>
    </row>
    <row r="26" spans="1:18">
      <c r="A26" s="571"/>
      <c r="B26" s="293" t="s">
        <v>131</v>
      </c>
      <c r="C26" s="315"/>
      <c r="D26" s="313" t="s">
        <v>107</v>
      </c>
      <c r="E26" s="318"/>
      <c r="F26" s="295">
        <v>18.18</v>
      </c>
      <c r="G26" s="447">
        <v>3223</v>
      </c>
      <c r="H26" s="296">
        <f t="shared" si="6"/>
        <v>58594.14</v>
      </c>
      <c r="I26" s="449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52">
        <f t="shared" si="9"/>
        <v>69.999999999999986</v>
      </c>
      <c r="Q26" s="301"/>
      <c r="R26" s="301"/>
    </row>
    <row r="27" spans="1:18">
      <c r="A27" s="571"/>
      <c r="B27" s="293" t="s">
        <v>131</v>
      </c>
      <c r="C27" s="315"/>
      <c r="D27" s="317" t="s">
        <v>109</v>
      </c>
      <c r="E27" s="318"/>
      <c r="F27" s="295">
        <v>18.53</v>
      </c>
      <c r="G27" s="447">
        <v>1942</v>
      </c>
      <c r="H27" s="296">
        <f t="shared" si="6"/>
        <v>35985.26</v>
      </c>
      <c r="I27" s="449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52">
        <f t="shared" si="9"/>
        <v>42.000000000000014</v>
      </c>
      <c r="Q27" s="301"/>
      <c r="R27" s="301"/>
    </row>
    <row r="28" spans="1:18">
      <c r="A28" s="571"/>
      <c r="B28" s="293" t="s">
        <v>131</v>
      </c>
      <c r="C28" s="448"/>
      <c r="D28" s="313" t="s">
        <v>487</v>
      </c>
      <c r="E28" s="318"/>
      <c r="F28" s="295">
        <v>24.93</v>
      </c>
      <c r="G28" s="447">
        <v>3558</v>
      </c>
      <c r="H28" s="296">
        <f t="shared" si="6"/>
        <v>88700.94</v>
      </c>
      <c r="I28" s="449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52">
        <f t="shared" si="9"/>
        <v>71.999999999999986</v>
      </c>
      <c r="Q28" s="301"/>
      <c r="R28" s="301"/>
    </row>
    <row r="29" spans="1:18">
      <c r="A29" s="571"/>
      <c r="B29" s="293">
        <v>0</v>
      </c>
      <c r="C29" s="447"/>
      <c r="D29" s="317"/>
      <c r="E29" s="318"/>
      <c r="F29" s="295" t="s">
        <v>133</v>
      </c>
      <c r="G29" s="447"/>
      <c r="H29" s="296">
        <f t="shared" si="6"/>
        <v>0</v>
      </c>
      <c r="I29" s="449"/>
      <c r="J29" s="297"/>
      <c r="K29" s="298"/>
      <c r="L29" s="299"/>
      <c r="M29" s="300"/>
      <c r="N29" s="300"/>
      <c r="O29" s="292"/>
      <c r="P29" s="452"/>
      <c r="Q29" s="301"/>
      <c r="R29" s="301"/>
    </row>
    <row r="30" spans="1:18">
      <c r="A30" s="571"/>
      <c r="B30" s="293">
        <v>0</v>
      </c>
      <c r="C30" s="447"/>
      <c r="D30" s="319"/>
      <c r="E30" s="318"/>
      <c r="F30" s="295" t="s">
        <v>133</v>
      </c>
      <c r="G30" s="447"/>
      <c r="H30" s="296">
        <f t="shared" si="6"/>
        <v>0</v>
      </c>
      <c r="I30" s="449"/>
      <c r="J30" s="297"/>
      <c r="K30" s="298"/>
      <c r="L30" s="299"/>
      <c r="M30" s="300"/>
      <c r="N30" s="300"/>
      <c r="O30" s="292"/>
      <c r="P30" s="452"/>
      <c r="Q30" s="301"/>
      <c r="R30" s="301"/>
    </row>
    <row r="31" spans="1:18" ht="15.75" customHeight="1">
      <c r="A31" s="571"/>
      <c r="B31" s="293">
        <v>0</v>
      </c>
      <c r="C31" s="448"/>
      <c r="D31" s="313"/>
      <c r="E31" s="318"/>
      <c r="F31" s="295" t="s">
        <v>133</v>
      </c>
      <c r="G31" s="447"/>
      <c r="H31" s="296">
        <f t="shared" si="6"/>
        <v>0</v>
      </c>
      <c r="I31" s="449"/>
      <c r="J31" s="297"/>
      <c r="K31" s="298"/>
      <c r="L31" s="299"/>
      <c r="M31" s="300"/>
      <c r="N31" s="300"/>
      <c r="O31" s="292"/>
      <c r="P31" s="452"/>
      <c r="Q31" s="301"/>
      <c r="R31" s="301"/>
    </row>
    <row r="32" spans="1:18">
      <c r="A32" s="571"/>
      <c r="B32" s="293">
        <v>0</v>
      </c>
      <c r="C32" s="448"/>
      <c r="D32" s="313"/>
      <c r="E32" s="454"/>
      <c r="F32" s="295" t="s">
        <v>133</v>
      </c>
      <c r="G32" s="447"/>
      <c r="H32" s="296">
        <f t="shared" si="6"/>
        <v>0</v>
      </c>
      <c r="I32" s="449"/>
      <c r="J32" s="297"/>
      <c r="K32" s="298"/>
      <c r="L32" s="299"/>
      <c r="M32" s="300"/>
      <c r="N32" s="300"/>
      <c r="O32" s="292"/>
      <c r="P32" s="452"/>
      <c r="Q32" s="301"/>
      <c r="R32" s="301"/>
    </row>
    <row r="33" spans="1:18">
      <c r="A33" s="571"/>
      <c r="B33" s="293">
        <v>0</v>
      </c>
      <c r="C33" s="447"/>
      <c r="D33" s="317"/>
      <c r="E33" s="318"/>
      <c r="F33" s="295" t="s">
        <v>133</v>
      </c>
      <c r="G33" s="447"/>
      <c r="H33" s="296">
        <f t="shared" si="6"/>
        <v>0</v>
      </c>
      <c r="I33" s="449"/>
      <c r="J33" s="297"/>
      <c r="K33" s="298"/>
      <c r="L33" s="299"/>
      <c r="M33" s="300"/>
      <c r="N33" s="300"/>
      <c r="O33" s="292"/>
      <c r="P33" s="452"/>
      <c r="Q33" s="301"/>
      <c r="R33" s="301"/>
    </row>
    <row r="34" spans="1:18">
      <c r="A34" s="571"/>
      <c r="B34" s="293">
        <v>0</v>
      </c>
      <c r="C34" s="315"/>
      <c r="D34" s="317"/>
      <c r="E34" s="318"/>
      <c r="F34" s="295" t="s">
        <v>133</v>
      </c>
      <c r="G34" s="320"/>
      <c r="H34" s="296">
        <f t="shared" si="6"/>
        <v>0</v>
      </c>
      <c r="I34" s="449"/>
      <c r="J34" s="297"/>
      <c r="K34" s="298"/>
      <c r="L34" s="299"/>
      <c r="M34" s="300"/>
      <c r="N34" s="300"/>
      <c r="O34" s="292"/>
      <c r="P34" s="452"/>
      <c r="Q34" s="301"/>
      <c r="R34" s="301"/>
    </row>
    <row r="35" spans="1:18">
      <c r="A35" s="571"/>
      <c r="B35" s="293">
        <v>0</v>
      </c>
      <c r="C35" s="315"/>
      <c r="D35" s="317"/>
      <c r="E35" s="318"/>
      <c r="F35" s="295" t="s">
        <v>133</v>
      </c>
      <c r="G35" s="320"/>
      <c r="H35" s="296">
        <f t="shared" si="6"/>
        <v>0</v>
      </c>
      <c r="I35" s="449"/>
      <c r="J35" s="297"/>
      <c r="K35" s="298"/>
      <c r="L35" s="299"/>
      <c r="M35" s="300"/>
      <c r="N35" s="300"/>
      <c r="O35" s="292"/>
      <c r="P35" s="452"/>
      <c r="Q35" s="301"/>
      <c r="R35" s="301"/>
    </row>
    <row r="36" spans="1:18">
      <c r="A36" s="571"/>
      <c r="B36" s="293">
        <v>0</v>
      </c>
      <c r="C36" s="315"/>
      <c r="D36" s="317"/>
      <c r="E36" s="317"/>
      <c r="F36" s="295" t="s">
        <v>133</v>
      </c>
      <c r="G36" s="320"/>
      <c r="H36" s="296">
        <f t="shared" si="6"/>
        <v>0</v>
      </c>
      <c r="I36" s="449"/>
      <c r="J36" s="297"/>
      <c r="K36" s="298"/>
      <c r="L36" s="299"/>
      <c r="M36" s="300"/>
      <c r="N36" s="300"/>
      <c r="O36" s="292"/>
      <c r="P36" s="452"/>
      <c r="Q36" s="301"/>
      <c r="R36" s="301"/>
    </row>
    <row r="37" spans="1:18">
      <c r="A37" s="571"/>
      <c r="B37" s="293">
        <v>0</v>
      </c>
      <c r="C37" s="315"/>
      <c r="D37" s="316"/>
      <c r="E37" s="316"/>
      <c r="F37" s="295" t="s">
        <v>133</v>
      </c>
      <c r="G37" s="320"/>
      <c r="H37" s="296">
        <f t="shared" si="6"/>
        <v>0</v>
      </c>
      <c r="I37" s="449"/>
      <c r="J37" s="297"/>
      <c r="K37" s="298"/>
      <c r="L37" s="299"/>
      <c r="M37" s="300"/>
      <c r="N37" s="300"/>
      <c r="O37" s="292"/>
      <c r="P37" s="452"/>
      <c r="Q37" s="301"/>
      <c r="R37" s="301"/>
    </row>
    <row r="38" spans="1:18" ht="17.399999999999999" customHeight="1">
      <c r="A38" s="572"/>
      <c r="B38" s="293">
        <v>0</v>
      </c>
      <c r="C38" s="6" t="s">
        <v>27</v>
      </c>
      <c r="D38" s="562" t="s">
        <v>108</v>
      </c>
      <c r="E38" s="562"/>
      <c r="F38" s="305"/>
      <c r="G38" s="321"/>
      <c r="H38" s="307"/>
      <c r="I38" s="308"/>
      <c r="J38" s="309">
        <f>AVERAGE(J25:J37)</f>
        <v>3.5</v>
      </c>
      <c r="K38" s="309">
        <f>AVERAGE(K25:K37)</f>
        <v>2807.4285714285725</v>
      </c>
      <c r="L38" s="310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573" t="s">
        <v>488</v>
      </c>
      <c r="B39" s="293">
        <v>0</v>
      </c>
      <c r="C39" s="448"/>
      <c r="D39" s="316"/>
      <c r="E39" s="454"/>
      <c r="F39" s="295" t="s">
        <v>133</v>
      </c>
      <c r="G39" s="447"/>
      <c r="H39" s="296">
        <f t="shared" ref="H39:H47" si="10">F39*G39</f>
        <v>0</v>
      </c>
      <c r="I39" s="449"/>
      <c r="J39" s="297"/>
      <c r="K39" s="298"/>
      <c r="L39" s="299"/>
      <c r="M39" s="300"/>
      <c r="N39" s="300"/>
      <c r="O39" s="292"/>
      <c r="P39" s="322"/>
      <c r="Q39" s="301"/>
      <c r="R39" s="301"/>
    </row>
    <row r="40" spans="1:18">
      <c r="A40" s="574"/>
      <c r="B40" s="293">
        <v>0</v>
      </c>
      <c r="C40" s="448"/>
      <c r="D40" s="316"/>
      <c r="E40" s="454"/>
      <c r="F40" s="295" t="s">
        <v>133</v>
      </c>
      <c r="G40" s="447"/>
      <c r="H40" s="296">
        <f t="shared" si="10"/>
        <v>0</v>
      </c>
      <c r="I40" s="449"/>
      <c r="J40" s="297"/>
      <c r="K40" s="298"/>
      <c r="L40" s="299"/>
      <c r="M40" s="300"/>
      <c r="N40" s="300"/>
      <c r="O40" s="292"/>
      <c r="P40" s="322"/>
      <c r="Q40" s="301"/>
      <c r="R40" s="301"/>
    </row>
    <row r="41" spans="1:18">
      <c r="A41" s="574"/>
      <c r="B41" s="293">
        <v>0</v>
      </c>
      <c r="C41" s="448"/>
      <c r="D41" s="316"/>
      <c r="E41" s="454"/>
      <c r="F41" s="295" t="s">
        <v>133</v>
      </c>
      <c r="G41" s="447"/>
      <c r="H41" s="296">
        <f t="shared" si="10"/>
        <v>0</v>
      </c>
      <c r="I41" s="449"/>
      <c r="J41" s="297"/>
      <c r="K41" s="298"/>
      <c r="L41" s="299"/>
      <c r="M41" s="300"/>
      <c r="N41" s="300"/>
      <c r="O41" s="292"/>
      <c r="P41" s="322"/>
      <c r="Q41" s="301"/>
      <c r="R41" s="301"/>
    </row>
    <row r="42" spans="1:18">
      <c r="A42" s="574"/>
      <c r="B42" s="293">
        <v>0</v>
      </c>
      <c r="C42" s="448"/>
      <c r="D42" s="334"/>
      <c r="E42" s="454"/>
      <c r="F42" s="295" t="s">
        <v>133</v>
      </c>
      <c r="G42" s="447"/>
      <c r="H42" s="296">
        <f t="shared" si="10"/>
        <v>0</v>
      </c>
      <c r="I42" s="449"/>
      <c r="J42" s="297"/>
      <c r="K42" s="298"/>
      <c r="L42" s="299"/>
      <c r="M42" s="300"/>
      <c r="N42" s="300"/>
      <c r="O42" s="292"/>
      <c r="P42" s="322"/>
      <c r="Q42" s="301"/>
      <c r="R42" s="301"/>
    </row>
    <row r="43" spans="1:18" ht="15.75" customHeight="1">
      <c r="A43" s="574"/>
      <c r="B43" s="293">
        <v>0</v>
      </c>
      <c r="C43" s="448"/>
      <c r="D43" s="317"/>
      <c r="E43" s="454"/>
      <c r="F43" s="295" t="s">
        <v>133</v>
      </c>
      <c r="G43" s="447"/>
      <c r="H43" s="296">
        <f t="shared" si="10"/>
        <v>0</v>
      </c>
      <c r="I43" s="449"/>
      <c r="J43" s="297"/>
      <c r="K43" s="298"/>
      <c r="L43" s="299"/>
      <c r="M43" s="300"/>
      <c r="N43" s="300"/>
      <c r="O43" s="292"/>
      <c r="P43" s="452"/>
      <c r="Q43" s="301"/>
      <c r="R43" s="301"/>
    </row>
    <row r="44" spans="1:18">
      <c r="A44" s="574"/>
      <c r="B44" s="293">
        <v>0</v>
      </c>
      <c r="C44" s="448"/>
      <c r="D44" s="317"/>
      <c r="E44" s="323"/>
      <c r="F44" s="295" t="s">
        <v>133</v>
      </c>
      <c r="G44" s="324"/>
      <c r="H44" s="325">
        <f t="shared" si="10"/>
        <v>0</v>
      </c>
      <c r="I44" s="450"/>
      <c r="J44" s="297"/>
      <c r="K44" s="298"/>
      <c r="L44" s="299"/>
      <c r="M44" s="300"/>
      <c r="N44" s="300"/>
      <c r="O44" s="292"/>
      <c r="P44" s="452"/>
      <c r="Q44" s="301"/>
      <c r="R44" s="301"/>
    </row>
    <row r="45" spans="1:18">
      <c r="A45" s="574"/>
      <c r="B45" s="293">
        <v>0</v>
      </c>
      <c r="C45" s="448"/>
      <c r="D45" s="317"/>
      <c r="E45" s="318"/>
      <c r="F45" s="295" t="s">
        <v>133</v>
      </c>
      <c r="G45" s="447"/>
      <c r="H45" s="296">
        <f t="shared" si="10"/>
        <v>0</v>
      </c>
      <c r="I45" s="449"/>
      <c r="J45" s="297"/>
      <c r="K45" s="298"/>
      <c r="L45" s="299"/>
      <c r="M45" s="300"/>
      <c r="N45" s="300"/>
      <c r="O45" s="292"/>
      <c r="P45" s="452"/>
      <c r="Q45" s="301"/>
      <c r="R45" s="301"/>
    </row>
    <row r="46" spans="1:18">
      <c r="A46" s="574"/>
      <c r="B46" s="293">
        <v>0</v>
      </c>
      <c r="C46" s="448"/>
      <c r="D46" s="333"/>
      <c r="E46" s="323"/>
      <c r="F46" s="295" t="s">
        <v>133</v>
      </c>
      <c r="G46" s="324"/>
      <c r="H46" s="325">
        <f t="shared" si="10"/>
        <v>0</v>
      </c>
      <c r="I46" s="450"/>
      <c r="J46" s="297"/>
      <c r="K46" s="298"/>
      <c r="L46" s="299"/>
      <c r="M46" s="300"/>
      <c r="N46" s="300"/>
      <c r="O46" s="292"/>
      <c r="P46" s="452"/>
      <c r="Q46" s="301"/>
      <c r="R46" s="301"/>
    </row>
    <row r="47" spans="1:18">
      <c r="A47" s="574"/>
      <c r="B47" s="293">
        <v>0</v>
      </c>
      <c r="C47" s="448"/>
      <c r="D47" s="316"/>
      <c r="E47" s="318"/>
      <c r="F47" s="295" t="s">
        <v>133</v>
      </c>
      <c r="G47" s="447"/>
      <c r="H47" s="296">
        <f t="shared" si="10"/>
        <v>0</v>
      </c>
      <c r="I47" s="449"/>
      <c r="J47" s="297"/>
      <c r="K47" s="298"/>
      <c r="L47" s="299"/>
      <c r="M47" s="300"/>
      <c r="N47" s="300"/>
      <c r="O47" s="292"/>
      <c r="P47" s="452"/>
      <c r="Q47" s="301"/>
      <c r="R47" s="301"/>
    </row>
    <row r="48" spans="1:18">
      <c r="A48" s="575"/>
      <c r="B48" s="293">
        <v>0</v>
      </c>
      <c r="C48" s="447"/>
      <c r="D48" s="333"/>
      <c r="E48" s="372"/>
      <c r="F48" s="295" t="s">
        <v>133</v>
      </c>
      <c r="G48" s="447"/>
      <c r="H48" s="296"/>
      <c r="I48" s="449"/>
      <c r="J48" s="297"/>
      <c r="K48" s="298"/>
      <c r="L48" s="299"/>
      <c r="M48" s="300"/>
      <c r="N48" s="300"/>
      <c r="O48" s="292"/>
      <c r="P48" s="452"/>
      <c r="Q48" s="301"/>
      <c r="R48" s="301"/>
    </row>
    <row r="49" spans="1:18">
      <c r="A49" s="575"/>
      <c r="B49" s="293">
        <v>0</v>
      </c>
      <c r="C49" s="447"/>
      <c r="D49" s="326"/>
      <c r="E49" s="327"/>
      <c r="F49" s="295" t="s">
        <v>133</v>
      </c>
      <c r="G49" s="292"/>
      <c r="H49" s="325">
        <f>F49*G49</f>
        <v>0</v>
      </c>
      <c r="I49" s="452"/>
      <c r="J49" s="297"/>
      <c r="K49" s="298"/>
      <c r="L49" s="299"/>
      <c r="M49" s="300"/>
      <c r="N49" s="300"/>
      <c r="O49" s="292"/>
      <c r="P49" s="452"/>
      <c r="Q49" s="301"/>
      <c r="R49" s="301"/>
    </row>
    <row r="50" spans="1:18">
      <c r="A50" s="575"/>
      <c r="B50" s="293">
        <v>0</v>
      </c>
      <c r="C50" s="447"/>
      <c r="D50" s="326"/>
      <c r="E50" s="327"/>
      <c r="F50" s="295" t="s">
        <v>133</v>
      </c>
      <c r="G50" s="292"/>
      <c r="H50" s="325">
        <f>F50*G50</f>
        <v>0</v>
      </c>
      <c r="I50" s="452"/>
      <c r="J50" s="297"/>
      <c r="K50" s="298"/>
      <c r="L50" s="299"/>
      <c r="M50" s="300"/>
      <c r="N50" s="300"/>
      <c r="O50" s="292"/>
      <c r="P50" s="452"/>
      <c r="Q50" s="301"/>
      <c r="R50" s="301"/>
    </row>
    <row r="51" spans="1:18" ht="15.75" customHeight="1">
      <c r="A51" s="576"/>
      <c r="B51" s="293">
        <v>0</v>
      </c>
      <c r="C51" s="6" t="s">
        <v>28</v>
      </c>
      <c r="D51" s="567" t="s">
        <v>376</v>
      </c>
      <c r="E51" s="567"/>
      <c r="F51" s="305"/>
      <c r="G51" s="310"/>
      <c r="H51" s="328"/>
      <c r="I51" s="329"/>
      <c r="J51" s="309"/>
      <c r="K51" s="309"/>
      <c r="L51" s="310"/>
      <c r="M51" s="330"/>
      <c r="N51" s="300"/>
      <c r="O51" s="298"/>
      <c r="P51" s="298"/>
      <c r="Q51" s="299"/>
      <c r="R51" s="299"/>
    </row>
    <row r="52" spans="1:18" ht="15.6" customHeight="1">
      <c r="A52" s="577" t="s">
        <v>489</v>
      </c>
      <c r="B52" s="293" t="s">
        <v>131</v>
      </c>
      <c r="C52" s="448"/>
      <c r="D52" s="316" t="s">
        <v>114</v>
      </c>
      <c r="E52" s="331"/>
      <c r="F52" s="295">
        <v>18.18</v>
      </c>
      <c r="G52" s="447">
        <v>1028</v>
      </c>
      <c r="H52" s="296">
        <f>F52*G52</f>
        <v>18689.04</v>
      </c>
      <c r="I52" s="449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52">
        <f>(N52-M52)*24*60</f>
        <v>20.000000000000089</v>
      </c>
      <c r="Q52" s="301"/>
      <c r="R52" s="301"/>
    </row>
    <row r="53" spans="1:18" ht="15.6" customHeight="1">
      <c r="A53" s="578"/>
      <c r="B53" s="293" t="s">
        <v>131</v>
      </c>
      <c r="C53" s="448"/>
      <c r="D53" s="316" t="s">
        <v>110</v>
      </c>
      <c r="E53" s="332"/>
      <c r="F53" s="295">
        <v>25.03</v>
      </c>
      <c r="G53" s="302">
        <v>759</v>
      </c>
      <c r="H53" s="296">
        <f t="shared" ref="H53:H116" si="11">F53*G53</f>
        <v>18997.77</v>
      </c>
      <c r="I53" s="449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52">
        <f t="shared" ref="P53:P57" si="14">(N53-M53)*24*60</f>
        <v>15.000000000000027</v>
      </c>
      <c r="Q53" s="301"/>
      <c r="R53" s="301"/>
    </row>
    <row r="54" spans="1:18" ht="15.6" customHeight="1">
      <c r="A54" s="578"/>
      <c r="B54" s="293" t="s">
        <v>131</v>
      </c>
      <c r="C54" s="448"/>
      <c r="D54" s="316" t="s">
        <v>111</v>
      </c>
      <c r="E54" s="454"/>
      <c r="F54" s="295">
        <v>24.82</v>
      </c>
      <c r="G54" s="302">
        <v>1019</v>
      </c>
      <c r="H54" s="296">
        <f t="shared" si="11"/>
        <v>25291.58</v>
      </c>
      <c r="I54" s="449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52">
        <f t="shared" si="14"/>
        <v>19.999999999999929</v>
      </c>
      <c r="Q54" s="301"/>
      <c r="R54" s="301"/>
    </row>
    <row r="55" spans="1:18" ht="15.6" customHeight="1">
      <c r="A55" s="578"/>
      <c r="B55" s="293" t="s">
        <v>131</v>
      </c>
      <c r="C55" s="448"/>
      <c r="D55" s="316" t="s">
        <v>112</v>
      </c>
      <c r="E55" s="318"/>
      <c r="F55" s="295">
        <v>30</v>
      </c>
      <c r="G55" s="302">
        <v>1521</v>
      </c>
      <c r="H55" s="296">
        <f t="shared" si="11"/>
        <v>45630</v>
      </c>
      <c r="I55" s="449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52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578"/>
      <c r="B56" s="293" t="s">
        <v>131</v>
      </c>
      <c r="C56" s="448"/>
      <c r="D56" s="317" t="s">
        <v>490</v>
      </c>
      <c r="E56" s="318"/>
      <c r="F56" s="295">
        <v>23.72</v>
      </c>
      <c r="G56" s="302">
        <v>1235</v>
      </c>
      <c r="H56" s="296">
        <f t="shared" si="11"/>
        <v>29294.199999999997</v>
      </c>
      <c r="I56" s="449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52">
        <f t="shared" si="14"/>
        <v>24.999999999999993</v>
      </c>
      <c r="Q56" s="301"/>
      <c r="R56" s="301"/>
    </row>
    <row r="57" spans="1:18" ht="15.75" customHeight="1">
      <c r="A57" s="578"/>
      <c r="B57" s="293" t="s">
        <v>131</v>
      </c>
      <c r="C57" s="6" t="s">
        <v>31</v>
      </c>
      <c r="D57" s="316" t="s">
        <v>491</v>
      </c>
      <c r="E57" s="318"/>
      <c r="F57" s="295">
        <v>17.07</v>
      </c>
      <c r="G57" s="302">
        <v>2610</v>
      </c>
      <c r="H57" s="296">
        <f t="shared" si="11"/>
        <v>44552.700000000004</v>
      </c>
      <c r="I57" s="449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52">
        <f t="shared" si="14"/>
        <v>48.999999999999986</v>
      </c>
      <c r="Q57" s="301"/>
      <c r="R57" s="301"/>
    </row>
    <row r="58" spans="1:18" ht="15.6" customHeight="1">
      <c r="A58" s="578"/>
      <c r="B58" s="293">
        <v>0</v>
      </c>
      <c r="C58" s="335"/>
      <c r="D58" s="316"/>
      <c r="E58" s="318"/>
      <c r="F58" s="295" t="s">
        <v>133</v>
      </c>
      <c r="G58" s="336"/>
      <c r="H58" s="296">
        <f t="shared" si="11"/>
        <v>0</v>
      </c>
      <c r="I58" s="449"/>
      <c r="J58" s="297"/>
      <c r="K58" s="298"/>
      <c r="L58" s="299"/>
      <c r="M58" s="300"/>
      <c r="N58" s="300"/>
      <c r="O58" s="298"/>
      <c r="P58" s="452"/>
      <c r="Q58" s="301"/>
      <c r="R58" s="301"/>
    </row>
    <row r="59" spans="1:18" ht="15.6" customHeight="1">
      <c r="A59" s="578"/>
      <c r="B59" s="293">
        <v>0</v>
      </c>
      <c r="C59" s="448"/>
      <c r="D59" s="333"/>
      <c r="E59" s="318"/>
      <c r="F59" s="295" t="s">
        <v>133</v>
      </c>
      <c r="G59" s="302"/>
      <c r="H59" s="296">
        <f t="shared" si="11"/>
        <v>0</v>
      </c>
      <c r="I59" s="449"/>
      <c r="J59" s="297"/>
      <c r="K59" s="298"/>
      <c r="L59" s="299"/>
      <c r="M59" s="300"/>
      <c r="N59" s="300"/>
      <c r="O59" s="298"/>
      <c r="P59" s="452"/>
      <c r="Q59" s="301"/>
      <c r="R59" s="301"/>
    </row>
    <row r="60" spans="1:18" ht="15.6" customHeight="1">
      <c r="A60" s="578"/>
      <c r="B60" s="293">
        <v>0</v>
      </c>
      <c r="C60" s="448"/>
      <c r="D60" s="334"/>
      <c r="E60" s="337"/>
      <c r="F60" s="295" t="s">
        <v>133</v>
      </c>
      <c r="G60" s="302"/>
      <c r="H60" s="296">
        <f t="shared" si="11"/>
        <v>0</v>
      </c>
      <c r="I60" s="449"/>
      <c r="J60" s="297"/>
      <c r="K60" s="298"/>
      <c r="L60" s="299"/>
      <c r="M60" s="300"/>
      <c r="N60" s="300"/>
      <c r="O60" s="298"/>
      <c r="P60" s="452"/>
      <c r="Q60" s="301"/>
      <c r="R60" s="301"/>
    </row>
    <row r="61" spans="1:18" ht="15.6" customHeight="1">
      <c r="A61" s="578"/>
      <c r="B61" s="293">
        <v>0</v>
      </c>
      <c r="C61" s="448"/>
      <c r="D61" s="316"/>
      <c r="E61" s="318"/>
      <c r="F61" s="295" t="s">
        <v>133</v>
      </c>
      <c r="G61" s="302"/>
      <c r="H61" s="296">
        <f t="shared" si="11"/>
        <v>0</v>
      </c>
      <c r="I61" s="449"/>
      <c r="J61" s="297"/>
      <c r="K61" s="298"/>
      <c r="L61" s="299"/>
      <c r="M61" s="300"/>
      <c r="N61" s="300"/>
      <c r="O61" s="298"/>
      <c r="P61" s="452"/>
      <c r="Q61" s="301"/>
      <c r="R61" s="301"/>
    </row>
    <row r="62" spans="1:18" ht="15.6" customHeight="1">
      <c r="A62" s="578"/>
      <c r="B62" s="293">
        <v>0</v>
      </c>
      <c r="C62" s="448"/>
      <c r="D62" s="333"/>
      <c r="E62" s="338"/>
      <c r="F62" s="295" t="s">
        <v>133</v>
      </c>
      <c r="G62" s="302"/>
      <c r="H62" s="296">
        <f t="shared" si="11"/>
        <v>0</v>
      </c>
      <c r="I62" s="449"/>
      <c r="J62" s="297"/>
      <c r="K62" s="298"/>
      <c r="L62" s="299"/>
      <c r="M62" s="300"/>
      <c r="N62" s="300"/>
      <c r="O62" s="298"/>
      <c r="P62" s="452"/>
      <c r="Q62" s="301"/>
      <c r="R62" s="301"/>
    </row>
    <row r="63" spans="1:18" ht="15.6" customHeight="1">
      <c r="A63" s="578"/>
      <c r="B63" s="293">
        <v>0</v>
      </c>
      <c r="C63" s="335"/>
      <c r="D63" s="339"/>
      <c r="E63" s="337"/>
      <c r="F63" s="295" t="s">
        <v>133</v>
      </c>
      <c r="G63" s="302"/>
      <c r="H63" s="296">
        <f t="shared" si="11"/>
        <v>0</v>
      </c>
      <c r="I63" s="450"/>
      <c r="J63" s="297"/>
      <c r="K63" s="298"/>
      <c r="L63" s="299"/>
      <c r="M63" s="300"/>
      <c r="N63" s="300"/>
      <c r="O63" s="292"/>
      <c r="P63" s="452"/>
      <c r="Q63" s="301"/>
      <c r="R63" s="301"/>
    </row>
    <row r="64" spans="1:18" ht="15.75" customHeight="1">
      <c r="A64" s="579"/>
      <c r="B64" s="293">
        <v>0</v>
      </c>
      <c r="C64" s="6" t="s">
        <v>492</v>
      </c>
      <c r="D64" s="567" t="s">
        <v>376</v>
      </c>
      <c r="E64" s="567"/>
      <c r="F64" s="305"/>
      <c r="G64" s="310"/>
      <c r="H64" s="328"/>
      <c r="I64" s="329"/>
      <c r="J64" s="309">
        <f>AVERAGE(J52:J63)</f>
        <v>3.6666666666666665</v>
      </c>
      <c r="K64" s="309">
        <f>AVERAGE(K52:K63)</f>
        <v>3080.6358198451803</v>
      </c>
      <c r="L64" s="310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564" t="s">
        <v>493</v>
      </c>
      <c r="B65" s="293" t="s">
        <v>131</v>
      </c>
      <c r="C65" s="448"/>
      <c r="D65" s="317" t="s">
        <v>494</v>
      </c>
      <c r="E65" s="331"/>
      <c r="F65" s="295">
        <v>22.281818181818181</v>
      </c>
      <c r="G65" s="447">
        <v>714</v>
      </c>
      <c r="H65" s="296">
        <f>F65*G65</f>
        <v>15909.218181818182</v>
      </c>
      <c r="I65" s="449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52">
        <f>(N65-M65)*24*60</f>
        <v>13.999999999999989</v>
      </c>
      <c r="Q65" s="301"/>
      <c r="R65" s="301"/>
    </row>
    <row r="66" spans="1:18" ht="15.6" customHeight="1">
      <c r="A66" s="565"/>
      <c r="B66" s="293" t="s">
        <v>131</v>
      </c>
      <c r="C66" s="448"/>
      <c r="D66" s="317" t="s">
        <v>115</v>
      </c>
      <c r="E66" s="332"/>
      <c r="F66" s="295">
        <v>18.18</v>
      </c>
      <c r="G66" s="302">
        <v>1605</v>
      </c>
      <c r="H66" s="296">
        <f t="shared" ref="H66:H74" si="17">F66*G66</f>
        <v>29178.899999999998</v>
      </c>
      <c r="I66" s="449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52">
        <f t="shared" ref="P66:P72" si="18">(N66-M66)*24*60</f>
        <v>30.999999999999972</v>
      </c>
      <c r="Q66" s="301"/>
      <c r="R66" s="301"/>
    </row>
    <row r="67" spans="1:18" ht="15.6" customHeight="1">
      <c r="A67" s="565"/>
      <c r="B67" s="293" t="s">
        <v>131</v>
      </c>
      <c r="C67" s="448"/>
      <c r="D67" s="333" t="s">
        <v>495</v>
      </c>
      <c r="E67" s="318"/>
      <c r="F67" s="295">
        <v>17.890909090909091</v>
      </c>
      <c r="G67" s="302">
        <v>1912</v>
      </c>
      <c r="H67" s="296">
        <f t="shared" si="17"/>
        <v>34207.418181818182</v>
      </c>
      <c r="I67" s="449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52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565"/>
      <c r="B68" s="293" t="s">
        <v>131</v>
      </c>
      <c r="C68" s="448"/>
      <c r="D68" s="333" t="s">
        <v>116</v>
      </c>
      <c r="E68" s="318"/>
      <c r="F68" s="295">
        <v>14.285714285714283</v>
      </c>
      <c r="G68" s="302">
        <v>4894</v>
      </c>
      <c r="H68" s="296">
        <f t="shared" si="17"/>
        <v>69914.285714285696</v>
      </c>
      <c r="I68" s="449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52">
        <f t="shared" si="18"/>
        <v>92</v>
      </c>
      <c r="Q68" s="301"/>
      <c r="R68" s="301"/>
    </row>
    <row r="69" spans="1:18" ht="15.6" customHeight="1">
      <c r="A69" s="565"/>
      <c r="B69" s="293" t="s">
        <v>131</v>
      </c>
      <c r="C69" s="448"/>
      <c r="D69" s="317" t="s">
        <v>496</v>
      </c>
      <c r="E69" s="318"/>
      <c r="F69" s="295">
        <v>16.66</v>
      </c>
      <c r="G69" s="302">
        <v>3223</v>
      </c>
      <c r="H69" s="296">
        <f t="shared" si="17"/>
        <v>53695.18</v>
      </c>
      <c r="I69" s="449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52">
        <f t="shared" si="18"/>
        <v>61.000000000000099</v>
      </c>
      <c r="Q69" s="301"/>
      <c r="R69" s="301"/>
    </row>
    <row r="70" spans="1:18" ht="15.75" customHeight="1">
      <c r="A70" s="565"/>
      <c r="B70" s="293" t="s">
        <v>131</v>
      </c>
      <c r="C70" s="6" t="s">
        <v>31</v>
      </c>
      <c r="D70" s="334" t="s">
        <v>113</v>
      </c>
      <c r="E70" s="318"/>
      <c r="F70" s="295">
        <v>14.03</v>
      </c>
      <c r="G70" s="302">
        <v>3082</v>
      </c>
      <c r="H70" s="296">
        <f t="shared" si="17"/>
        <v>43240.46</v>
      </c>
      <c r="I70" s="449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52">
        <f t="shared" si="18"/>
        <v>57.999999999999957</v>
      </c>
      <c r="Q70" s="301"/>
      <c r="R70" s="301"/>
    </row>
    <row r="71" spans="1:18" ht="15.6" customHeight="1">
      <c r="A71" s="565"/>
      <c r="B71" s="293" t="s">
        <v>131</v>
      </c>
      <c r="C71" s="335"/>
      <c r="D71" s="333" t="s">
        <v>497</v>
      </c>
      <c r="E71" s="318"/>
      <c r="F71" s="295">
        <v>25.2</v>
      </c>
      <c r="G71" s="336">
        <v>1240</v>
      </c>
      <c r="H71" s="296">
        <f t="shared" si="17"/>
        <v>31248</v>
      </c>
      <c r="I71" s="449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52">
        <f t="shared" si="18"/>
        <v>24.000000000000075</v>
      </c>
      <c r="Q71" s="301"/>
      <c r="R71" s="301"/>
    </row>
    <row r="72" spans="1:18" ht="15.6" customHeight="1">
      <c r="A72" s="565"/>
      <c r="B72" s="293" t="s">
        <v>131</v>
      </c>
      <c r="C72" s="448"/>
      <c r="D72" s="333" t="s">
        <v>498</v>
      </c>
      <c r="E72" s="318"/>
      <c r="F72" s="295">
        <v>20.72</v>
      </c>
      <c r="G72" s="302">
        <v>3068</v>
      </c>
      <c r="H72" s="296">
        <f t="shared" si="17"/>
        <v>63568.959999999999</v>
      </c>
      <c r="I72" s="449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52">
        <f t="shared" si="18"/>
        <v>57.999999999999794</v>
      </c>
      <c r="Q72" s="301"/>
      <c r="R72" s="301"/>
    </row>
    <row r="73" spans="1:18" ht="15.6" customHeight="1">
      <c r="A73" s="565"/>
      <c r="B73" s="293">
        <v>0</v>
      </c>
      <c r="C73" s="448"/>
      <c r="D73" s="333"/>
      <c r="E73" s="318"/>
      <c r="F73" s="295" t="s">
        <v>133</v>
      </c>
      <c r="G73" s="302"/>
      <c r="H73" s="296">
        <f t="shared" si="17"/>
        <v>0</v>
      </c>
      <c r="I73" s="449"/>
      <c r="J73" s="297"/>
      <c r="K73" s="298"/>
      <c r="L73" s="299"/>
      <c r="M73" s="300"/>
      <c r="N73" s="300"/>
      <c r="O73" s="298"/>
      <c r="P73" s="452"/>
      <c r="Q73" s="301"/>
      <c r="R73" s="301"/>
    </row>
    <row r="74" spans="1:18" ht="15.6" customHeight="1">
      <c r="A74" s="565"/>
      <c r="B74" s="293">
        <v>0</v>
      </c>
      <c r="C74" s="448"/>
      <c r="D74" s="333"/>
      <c r="E74" s="318"/>
      <c r="F74" s="295" t="s">
        <v>133</v>
      </c>
      <c r="G74" s="302"/>
      <c r="H74" s="296">
        <f t="shared" si="17"/>
        <v>0</v>
      </c>
      <c r="I74" s="449"/>
      <c r="J74" s="297"/>
      <c r="K74" s="298"/>
      <c r="L74" s="299"/>
      <c r="M74" s="300"/>
      <c r="N74" s="300"/>
      <c r="O74" s="298"/>
      <c r="P74" s="452"/>
      <c r="Q74" s="301"/>
      <c r="R74" s="301"/>
    </row>
    <row r="75" spans="1:18" ht="15.75" customHeight="1">
      <c r="A75" s="566"/>
      <c r="B75" s="293">
        <v>0</v>
      </c>
      <c r="C75" s="6" t="s">
        <v>499</v>
      </c>
      <c r="D75" s="567" t="s">
        <v>376</v>
      </c>
      <c r="E75" s="567"/>
      <c r="F75" s="305"/>
      <c r="G75" s="310"/>
      <c r="H75" s="328"/>
      <c r="I75" s="329"/>
      <c r="J75" s="309">
        <f>AVERAGE(J65:J74)</f>
        <v>3.25</v>
      </c>
      <c r="K75" s="309">
        <f>AVERAGE(K65:K74)</f>
        <v>3147.1362887435189</v>
      </c>
      <c r="L75" s="310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568" t="s">
        <v>117</v>
      </c>
      <c r="B76" s="293">
        <v>0</v>
      </c>
      <c r="C76" s="304"/>
      <c r="D76" s="569"/>
      <c r="E76" s="570"/>
      <c r="F76" s="295" t="s">
        <v>133</v>
      </c>
      <c r="G76" s="340"/>
      <c r="H76" s="311">
        <f t="shared" si="11"/>
        <v>0</v>
      </c>
      <c r="I76" s="312"/>
      <c r="J76" s="297">
        <v>0</v>
      </c>
      <c r="K76" s="298">
        <v>0</v>
      </c>
      <c r="L76" s="299">
        <v>0</v>
      </c>
      <c r="M76" s="300"/>
      <c r="N76" s="300"/>
      <c r="O76" s="292"/>
      <c r="P76" s="452"/>
      <c r="Q76" s="301"/>
      <c r="R76" s="301"/>
    </row>
    <row r="77" spans="1:18">
      <c r="A77" s="568"/>
      <c r="B77" s="293">
        <v>0</v>
      </c>
      <c r="C77" s="304"/>
      <c r="D77" s="569"/>
      <c r="E77" s="570"/>
      <c r="F77" s="295" t="s">
        <v>133</v>
      </c>
      <c r="G77" s="447"/>
      <c r="H77" s="296">
        <f t="shared" si="11"/>
        <v>0</v>
      </c>
      <c r="I77" s="449"/>
      <c r="J77" s="297"/>
      <c r="K77" s="298"/>
      <c r="L77" s="299"/>
      <c r="M77" s="300"/>
      <c r="N77" s="300"/>
      <c r="O77" s="292"/>
      <c r="P77" s="452"/>
      <c r="Q77" s="292"/>
      <c r="R77" s="292"/>
    </row>
    <row r="78" spans="1:18">
      <c r="A78" s="568"/>
      <c r="B78" s="293">
        <v>0</v>
      </c>
      <c r="C78" s="304"/>
      <c r="D78" s="455"/>
      <c r="E78" s="455"/>
      <c r="F78" s="295" t="s">
        <v>133</v>
      </c>
      <c r="G78" s="320"/>
      <c r="H78" s="296">
        <f t="shared" si="11"/>
        <v>0</v>
      </c>
      <c r="I78" s="449"/>
      <c r="J78" s="297"/>
      <c r="K78" s="298"/>
      <c r="L78" s="299"/>
      <c r="M78" s="300"/>
      <c r="N78" s="300"/>
      <c r="O78" s="292"/>
      <c r="P78" s="452"/>
      <c r="Q78" s="292"/>
      <c r="R78" s="292"/>
    </row>
    <row r="79" spans="1:18">
      <c r="A79" s="568"/>
      <c r="B79" s="293">
        <v>0</v>
      </c>
      <c r="C79" s="304"/>
      <c r="D79" s="455"/>
      <c r="E79" s="455"/>
      <c r="F79" s="295" t="s">
        <v>133</v>
      </c>
      <c r="G79" s="320"/>
      <c r="H79" s="296">
        <f t="shared" si="11"/>
        <v>0</v>
      </c>
      <c r="I79" s="449"/>
      <c r="J79" s="297"/>
      <c r="K79" s="298"/>
      <c r="L79" s="299"/>
      <c r="M79" s="300"/>
      <c r="N79" s="300"/>
      <c r="O79" s="292"/>
      <c r="P79" s="452"/>
      <c r="Q79" s="292"/>
      <c r="R79" s="292"/>
    </row>
    <row r="80" spans="1:18">
      <c r="A80" s="568"/>
      <c r="B80" s="293">
        <v>0</v>
      </c>
      <c r="C80" s="304"/>
      <c r="D80" s="455"/>
      <c r="E80" s="455"/>
      <c r="F80" s="295" t="s">
        <v>133</v>
      </c>
      <c r="G80" s="320"/>
      <c r="H80" s="296">
        <f t="shared" si="11"/>
        <v>0</v>
      </c>
      <c r="I80" s="449"/>
      <c r="J80" s="297"/>
      <c r="K80" s="298"/>
      <c r="L80" s="299"/>
      <c r="M80" s="300"/>
      <c r="N80" s="300"/>
      <c r="O80" s="292"/>
      <c r="P80" s="452"/>
      <c r="Q80" s="292"/>
      <c r="R80" s="292"/>
    </row>
    <row r="81" spans="1:18" ht="15.75" customHeight="1">
      <c r="A81" s="568"/>
      <c r="B81" s="293">
        <v>0</v>
      </c>
      <c r="C81" s="6" t="s">
        <v>31</v>
      </c>
      <c r="D81" s="562" t="s">
        <v>376</v>
      </c>
      <c r="E81" s="562"/>
      <c r="F81" s="305"/>
      <c r="G81" s="341"/>
      <c r="H81" s="307"/>
      <c r="I81" s="308"/>
      <c r="J81" s="309">
        <f>AVERAGE(J76:J80)</f>
        <v>0</v>
      </c>
      <c r="K81" s="309">
        <f>AVERAGE(K76:K80)</f>
        <v>0</v>
      </c>
      <c r="L81" s="310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553" t="s">
        <v>500</v>
      </c>
      <c r="B82" s="293" t="s">
        <v>131</v>
      </c>
      <c r="C82" s="315"/>
      <c r="D82" s="316" t="s">
        <v>501</v>
      </c>
      <c r="E82" s="342"/>
      <c r="F82" s="295">
        <v>17.22</v>
      </c>
      <c r="G82" s="320">
        <v>1057</v>
      </c>
      <c r="H82" s="343">
        <f t="shared" ref="H82:H90" si="19">F82*G82</f>
        <v>18201.539999999997</v>
      </c>
      <c r="I82" s="449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52">
        <f t="shared" ref="P82" si="22">(N82-M82)*24*60</f>
        <v>20.000000000000089</v>
      </c>
      <c r="Q82" s="301"/>
      <c r="R82" s="301"/>
    </row>
    <row r="83" spans="1:18">
      <c r="A83" s="554"/>
      <c r="B83" s="293">
        <v>0</v>
      </c>
      <c r="C83" s="315"/>
      <c r="D83" s="333"/>
      <c r="E83" s="342"/>
      <c r="F83" s="295" t="s">
        <v>133</v>
      </c>
      <c r="G83" s="320"/>
      <c r="H83" s="343">
        <f t="shared" si="19"/>
        <v>0</v>
      </c>
      <c r="I83" s="449"/>
      <c r="J83" s="297"/>
      <c r="K83" s="298"/>
      <c r="L83" s="299"/>
      <c r="M83" s="300"/>
      <c r="N83" s="300"/>
      <c r="O83" s="298"/>
      <c r="P83" s="452"/>
      <c r="Q83" s="301"/>
      <c r="R83" s="301"/>
    </row>
    <row r="84" spans="1:18">
      <c r="A84" s="554"/>
      <c r="B84" s="293">
        <v>0</v>
      </c>
      <c r="C84" s="315"/>
      <c r="D84" s="316"/>
      <c r="E84" s="342"/>
      <c r="F84" s="295" t="s">
        <v>133</v>
      </c>
      <c r="G84" s="320"/>
      <c r="H84" s="343">
        <f t="shared" si="19"/>
        <v>0</v>
      </c>
      <c r="I84" s="449"/>
      <c r="J84" s="297"/>
      <c r="K84" s="298"/>
      <c r="L84" s="299"/>
      <c r="M84" s="300"/>
      <c r="N84" s="300"/>
      <c r="O84" s="298"/>
      <c r="P84" s="322"/>
      <c r="Q84" s="301"/>
      <c r="R84" s="301"/>
    </row>
    <row r="85" spans="1:18">
      <c r="A85" s="554"/>
      <c r="B85" s="293">
        <v>0</v>
      </c>
      <c r="C85" s="315"/>
      <c r="D85" s="316"/>
      <c r="E85" s="342"/>
      <c r="F85" s="295" t="s">
        <v>133</v>
      </c>
      <c r="G85" s="320"/>
      <c r="H85" s="344">
        <f t="shared" si="19"/>
        <v>0</v>
      </c>
      <c r="I85" s="449"/>
      <c r="J85" s="297"/>
      <c r="K85" s="298"/>
      <c r="L85" s="299"/>
      <c r="M85" s="300"/>
      <c r="N85" s="300"/>
      <c r="O85" s="298"/>
      <c r="P85" s="322"/>
      <c r="Q85" s="292"/>
      <c r="R85" s="292"/>
    </row>
    <row r="86" spans="1:18">
      <c r="A86" s="554"/>
      <c r="B86" s="293">
        <v>0</v>
      </c>
      <c r="C86" s="315"/>
      <c r="D86" s="316"/>
      <c r="E86" s="342"/>
      <c r="F86" s="295" t="s">
        <v>133</v>
      </c>
      <c r="G86" s="447"/>
      <c r="H86" s="344">
        <f t="shared" si="19"/>
        <v>0</v>
      </c>
      <c r="I86" s="449"/>
      <c r="J86" s="297"/>
      <c r="K86" s="298"/>
      <c r="L86" s="299"/>
      <c r="M86" s="300"/>
      <c r="N86" s="345"/>
      <c r="O86" s="292"/>
      <c r="P86" s="322"/>
      <c r="Q86" s="292"/>
      <c r="R86" s="292"/>
    </row>
    <row r="87" spans="1:18">
      <c r="A87" s="554"/>
      <c r="B87" s="293"/>
      <c r="C87" s="315"/>
      <c r="D87" s="316"/>
      <c r="E87" s="342"/>
      <c r="F87" s="295" t="s">
        <v>133</v>
      </c>
      <c r="G87" s="447"/>
      <c r="H87" s="344">
        <f t="shared" si="19"/>
        <v>0</v>
      </c>
      <c r="I87" s="449"/>
      <c r="J87" s="297"/>
      <c r="K87" s="298"/>
      <c r="L87" s="299"/>
      <c r="M87" s="300"/>
      <c r="N87" s="345"/>
      <c r="O87" s="292"/>
      <c r="P87" s="322"/>
      <c r="Q87" s="292"/>
      <c r="R87" s="292"/>
    </row>
    <row r="88" spans="1:18">
      <c r="A88" s="554"/>
      <c r="B88" s="293">
        <v>0</v>
      </c>
      <c r="C88" s="315"/>
      <c r="D88" s="316"/>
      <c r="E88" s="342"/>
      <c r="F88" s="295" t="s">
        <v>133</v>
      </c>
      <c r="G88" s="447"/>
      <c r="H88" s="344">
        <f t="shared" si="19"/>
        <v>0</v>
      </c>
      <c r="I88" s="449"/>
      <c r="J88" s="297"/>
      <c r="K88" s="298"/>
      <c r="L88" s="299"/>
      <c r="M88" s="300"/>
      <c r="N88" s="345"/>
      <c r="O88" s="292"/>
      <c r="P88" s="322"/>
      <c r="Q88" s="292"/>
      <c r="R88" s="292"/>
    </row>
    <row r="89" spans="1:18">
      <c r="A89" s="554"/>
      <c r="B89" s="293">
        <v>0</v>
      </c>
      <c r="C89" s="315"/>
      <c r="D89" s="316"/>
      <c r="E89" s="342"/>
      <c r="F89" s="295" t="s">
        <v>133</v>
      </c>
      <c r="G89" s="447"/>
      <c r="H89" s="344">
        <f t="shared" si="19"/>
        <v>0</v>
      </c>
      <c r="I89" s="449"/>
      <c r="J89" s="297"/>
      <c r="K89" s="298"/>
      <c r="L89" s="299"/>
      <c r="M89" s="300"/>
      <c r="N89" s="345"/>
      <c r="O89" s="292"/>
      <c r="P89" s="322"/>
      <c r="Q89" s="292"/>
      <c r="R89" s="292"/>
    </row>
    <row r="90" spans="1:18">
      <c r="A90" s="554"/>
      <c r="B90" s="293">
        <v>0</v>
      </c>
      <c r="C90" s="315"/>
      <c r="D90" s="316"/>
      <c r="E90" s="342"/>
      <c r="F90" s="295" t="s">
        <v>133</v>
      </c>
      <c r="G90" s="447"/>
      <c r="H90" s="344">
        <f t="shared" si="19"/>
        <v>0</v>
      </c>
      <c r="I90" s="449"/>
      <c r="J90" s="297"/>
      <c r="K90" s="298"/>
      <c r="L90" s="299"/>
      <c r="M90" s="300"/>
      <c r="N90" s="345"/>
      <c r="O90" s="292"/>
      <c r="P90" s="322"/>
      <c r="Q90" s="292"/>
      <c r="R90" s="292"/>
    </row>
    <row r="91" spans="1:18" ht="17.399999999999999" customHeight="1">
      <c r="A91" s="554"/>
      <c r="B91" s="293">
        <v>0</v>
      </c>
      <c r="C91" s="6" t="s">
        <v>485</v>
      </c>
      <c r="D91" s="555" t="s">
        <v>376</v>
      </c>
      <c r="E91" s="555"/>
      <c r="F91" s="305"/>
      <c r="G91" s="346"/>
      <c r="H91" s="347"/>
      <c r="I91" s="308"/>
      <c r="J91" s="309">
        <f>AVERAGE(J82:J90)</f>
        <v>3</v>
      </c>
      <c r="K91" s="309">
        <f>AVERAGE(K82:K90)</f>
        <v>3170.9999999999859</v>
      </c>
      <c r="L91" s="310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556" t="s">
        <v>502</v>
      </c>
      <c r="B92" s="293" t="s">
        <v>131</v>
      </c>
      <c r="C92" s="304"/>
      <c r="D92" s="348" t="s">
        <v>503</v>
      </c>
      <c r="E92" s="342"/>
      <c r="F92" s="295">
        <v>24.54</v>
      </c>
      <c r="G92" s="447">
        <v>1555</v>
      </c>
      <c r="H92" s="296">
        <f t="shared" ref="H92:H99" si="23">F92*G92</f>
        <v>38159.699999999997</v>
      </c>
      <c r="I92" s="449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52">
        <f>(N92-M92)*24*60</f>
        <v>40.000000000000014</v>
      </c>
      <c r="Q92" s="301"/>
      <c r="R92" s="301"/>
    </row>
    <row r="93" spans="1:18">
      <c r="A93" s="557"/>
      <c r="B93" s="293" t="s">
        <v>131</v>
      </c>
      <c r="C93" s="304"/>
      <c r="D93" s="316" t="s">
        <v>504</v>
      </c>
      <c r="E93" s="337"/>
      <c r="F93" s="295">
        <v>23.27</v>
      </c>
      <c r="G93" s="302">
        <v>1264</v>
      </c>
      <c r="H93" s="296">
        <f t="shared" si="23"/>
        <v>29413.279999999999</v>
      </c>
      <c r="I93" s="449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52">
        <f>(N93-M93)*24*60</f>
        <v>35.000000000000199</v>
      </c>
      <c r="Q93" s="301"/>
      <c r="R93" s="301"/>
    </row>
    <row r="94" spans="1:18">
      <c r="A94" s="557"/>
      <c r="B94" s="293">
        <v>0</v>
      </c>
      <c r="C94" s="304"/>
      <c r="D94" s="316"/>
      <c r="E94" s="337"/>
      <c r="F94" s="295" t="s">
        <v>133</v>
      </c>
      <c r="G94" s="302"/>
      <c r="H94" s="296">
        <f t="shared" si="23"/>
        <v>0</v>
      </c>
      <c r="I94" s="449"/>
      <c r="J94" s="297"/>
      <c r="K94" s="298"/>
      <c r="L94" s="299"/>
      <c r="M94" s="300"/>
      <c r="N94" s="300"/>
      <c r="O94" s="292"/>
      <c r="P94" s="452"/>
      <c r="Q94" s="301"/>
      <c r="R94" s="301"/>
    </row>
    <row r="95" spans="1:18">
      <c r="A95" s="558"/>
      <c r="B95" s="293">
        <v>0</v>
      </c>
      <c r="C95" s="304"/>
      <c r="D95" s="316"/>
      <c r="E95" s="337"/>
      <c r="F95" s="295" t="s">
        <v>133</v>
      </c>
      <c r="G95" s="302"/>
      <c r="H95" s="296">
        <f t="shared" si="23"/>
        <v>0</v>
      </c>
      <c r="I95" s="449"/>
      <c r="J95" s="297"/>
      <c r="K95" s="298"/>
      <c r="L95" s="299"/>
      <c r="M95" s="300"/>
      <c r="N95" s="300"/>
      <c r="O95" s="292"/>
      <c r="P95" s="452"/>
      <c r="Q95" s="301"/>
      <c r="R95" s="301"/>
    </row>
    <row r="96" spans="1:18">
      <c r="A96" s="558"/>
      <c r="B96" s="293">
        <v>0</v>
      </c>
      <c r="C96" s="304"/>
      <c r="D96" s="316"/>
      <c r="E96" s="337"/>
      <c r="F96" s="295" t="s">
        <v>133</v>
      </c>
      <c r="G96" s="302"/>
      <c r="H96" s="296">
        <f t="shared" si="23"/>
        <v>0</v>
      </c>
      <c r="I96" s="449"/>
      <c r="J96" s="297"/>
      <c r="K96" s="298"/>
      <c r="L96" s="299"/>
      <c r="M96" s="300"/>
      <c r="N96" s="300"/>
      <c r="O96" s="292"/>
      <c r="P96" s="452"/>
      <c r="Q96" s="301"/>
      <c r="R96" s="301"/>
    </row>
    <row r="97" spans="1:18">
      <c r="A97" s="558"/>
      <c r="B97" s="293">
        <v>0</v>
      </c>
      <c r="C97" s="304"/>
      <c r="D97" s="316"/>
      <c r="E97" s="337"/>
      <c r="F97" s="295" t="s">
        <v>133</v>
      </c>
      <c r="G97" s="302"/>
      <c r="H97" s="296">
        <f t="shared" si="23"/>
        <v>0</v>
      </c>
      <c r="I97" s="449"/>
      <c r="J97" s="297"/>
      <c r="K97" s="298"/>
      <c r="L97" s="299"/>
      <c r="M97" s="300"/>
      <c r="N97" s="300"/>
      <c r="O97" s="292"/>
      <c r="P97" s="452"/>
      <c r="Q97" s="301"/>
      <c r="R97" s="301"/>
    </row>
    <row r="98" spans="1:18">
      <c r="A98" s="558"/>
      <c r="B98" s="293">
        <v>0</v>
      </c>
      <c r="C98" s="304"/>
      <c r="D98" s="316"/>
      <c r="E98" s="337"/>
      <c r="F98" s="295" t="s">
        <v>133</v>
      </c>
      <c r="G98" s="302"/>
      <c r="H98" s="296">
        <f t="shared" si="23"/>
        <v>0</v>
      </c>
      <c r="I98" s="449"/>
      <c r="J98" s="297"/>
      <c r="K98" s="298"/>
      <c r="L98" s="299"/>
      <c r="M98" s="300"/>
      <c r="N98" s="300"/>
      <c r="O98" s="292"/>
      <c r="P98" s="452"/>
      <c r="Q98" s="301"/>
      <c r="R98" s="301"/>
    </row>
    <row r="99" spans="1:18">
      <c r="A99" s="558"/>
      <c r="B99" s="293">
        <v>0</v>
      </c>
      <c r="C99" s="304"/>
      <c r="D99" s="316"/>
      <c r="E99" s="337"/>
      <c r="F99" s="295" t="s">
        <v>133</v>
      </c>
      <c r="G99" s="302"/>
      <c r="H99" s="296">
        <f t="shared" si="23"/>
        <v>0</v>
      </c>
      <c r="I99" s="449"/>
      <c r="J99" s="297"/>
      <c r="K99" s="298"/>
      <c r="L99" s="299"/>
      <c r="M99" s="300"/>
      <c r="N99" s="300"/>
      <c r="O99" s="292"/>
      <c r="P99" s="452"/>
      <c r="Q99" s="301"/>
      <c r="R99" s="301"/>
    </row>
    <row r="100" spans="1:18" ht="15.75" customHeight="1">
      <c r="A100" s="558"/>
      <c r="B100" s="293">
        <v>0</v>
      </c>
      <c r="C100" s="6" t="s">
        <v>505</v>
      </c>
      <c r="D100" s="559" t="s">
        <v>376</v>
      </c>
      <c r="E100" s="560"/>
      <c r="F100" s="305"/>
      <c r="G100" s="306"/>
      <c r="H100" s="349"/>
      <c r="I100" s="308"/>
      <c r="J100" s="309">
        <f>AVERAGE(J92:J99)</f>
        <v>3.5</v>
      </c>
      <c r="K100" s="309">
        <f>AVERAGE(K92:K99)</f>
        <v>2249.6785714285647</v>
      </c>
      <c r="L100" s="310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561" t="s">
        <v>506</v>
      </c>
      <c r="B101" s="293" t="s">
        <v>131</v>
      </c>
      <c r="C101" s="6"/>
      <c r="D101" s="337" t="s">
        <v>122</v>
      </c>
      <c r="E101" s="350"/>
      <c r="F101" s="295">
        <v>25.03</v>
      </c>
      <c r="G101" s="447">
        <v>1196</v>
      </c>
      <c r="H101" s="296">
        <f t="shared" ref="H101:H110" si="26">F101*G101</f>
        <v>29935.88</v>
      </c>
      <c r="I101" s="449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561"/>
      <c r="B102" s="293" t="s">
        <v>131</v>
      </c>
      <c r="C102" s="6"/>
      <c r="D102" s="316" t="s">
        <v>123</v>
      </c>
      <c r="E102" s="350"/>
      <c r="F102" s="295">
        <v>24.82</v>
      </c>
      <c r="G102" s="447">
        <v>1870</v>
      </c>
      <c r="H102" s="296">
        <f t="shared" si="26"/>
        <v>46413.4</v>
      </c>
      <c r="I102" s="449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561"/>
      <c r="B103" s="293" t="s">
        <v>131</v>
      </c>
      <c r="C103" s="6"/>
      <c r="D103" s="316" t="s">
        <v>507</v>
      </c>
      <c r="E103" s="316"/>
      <c r="F103" s="295">
        <v>30</v>
      </c>
      <c r="G103" s="447">
        <v>2104</v>
      </c>
      <c r="H103" s="296">
        <f t="shared" si="26"/>
        <v>63120</v>
      </c>
      <c r="I103" s="449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561"/>
      <c r="B104" s="293" t="s">
        <v>131</v>
      </c>
      <c r="C104" s="6"/>
      <c r="D104" s="333" t="s">
        <v>124</v>
      </c>
      <c r="E104" s="337"/>
      <c r="F104" s="295">
        <v>28.57</v>
      </c>
      <c r="G104" s="447">
        <v>3213</v>
      </c>
      <c r="H104" s="296">
        <f t="shared" si="26"/>
        <v>91795.41</v>
      </c>
      <c r="I104" s="449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561"/>
      <c r="B105" s="293" t="s">
        <v>131</v>
      </c>
      <c r="C105" s="6"/>
      <c r="D105" s="316" t="s">
        <v>125</v>
      </c>
      <c r="E105" s="333"/>
      <c r="F105" s="295">
        <v>14.285714285714283</v>
      </c>
      <c r="G105" s="447">
        <v>9059</v>
      </c>
      <c r="H105" s="296">
        <f t="shared" si="26"/>
        <v>129414.2857142857</v>
      </c>
      <c r="I105" s="449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561"/>
      <c r="B106" s="293">
        <v>0</v>
      </c>
      <c r="C106" s="6"/>
      <c r="D106" s="316"/>
      <c r="E106" s="350"/>
      <c r="F106" s="295" t="s">
        <v>133</v>
      </c>
      <c r="G106" s="302"/>
      <c r="H106" s="296">
        <f t="shared" si="26"/>
        <v>0</v>
      </c>
      <c r="I106" s="44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561"/>
      <c r="B107" s="293">
        <v>0</v>
      </c>
      <c r="C107" s="6"/>
      <c r="D107" s="316"/>
      <c r="E107" s="333"/>
      <c r="F107" s="295" t="s">
        <v>133</v>
      </c>
      <c r="G107" s="447"/>
      <c r="H107" s="296">
        <f t="shared" si="26"/>
        <v>0</v>
      </c>
      <c r="I107" s="44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561"/>
      <c r="B108" s="293">
        <v>0</v>
      </c>
      <c r="C108" s="6"/>
      <c r="D108" s="316"/>
      <c r="E108" s="333"/>
      <c r="F108" s="295" t="s">
        <v>133</v>
      </c>
      <c r="G108" s="447"/>
      <c r="H108" s="296">
        <f t="shared" si="26"/>
        <v>0</v>
      </c>
      <c r="I108" s="44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561"/>
      <c r="B109" s="293">
        <v>0</v>
      </c>
      <c r="C109" s="304"/>
      <c r="D109" s="316"/>
      <c r="E109" s="333"/>
      <c r="F109" s="295" t="s">
        <v>133</v>
      </c>
      <c r="G109" s="447"/>
      <c r="H109" s="296">
        <f t="shared" si="26"/>
        <v>0</v>
      </c>
      <c r="I109" s="44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561"/>
      <c r="B110" s="293">
        <v>0</v>
      </c>
      <c r="C110" s="304"/>
      <c r="D110" s="316"/>
      <c r="E110" s="333"/>
      <c r="F110" s="295" t="s">
        <v>133</v>
      </c>
      <c r="G110" s="447"/>
      <c r="H110" s="296">
        <f t="shared" si="26"/>
        <v>0</v>
      </c>
      <c r="I110" s="44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561"/>
      <c r="B111" s="293">
        <v>0</v>
      </c>
      <c r="C111" s="6" t="s">
        <v>492</v>
      </c>
      <c r="D111" s="562" t="s">
        <v>376</v>
      </c>
      <c r="E111" s="563"/>
      <c r="F111" s="351"/>
      <c r="G111" s="352"/>
      <c r="H111" s="307"/>
      <c r="I111" s="308"/>
      <c r="J111" s="309">
        <f>AVERAGE(J101:J110)</f>
        <v>3.4</v>
      </c>
      <c r="K111" s="309">
        <f>AVERAGE(K101:K110)</f>
        <v>2973.3920879120833</v>
      </c>
      <c r="L111" s="310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551" t="s">
        <v>508</v>
      </c>
      <c r="B112" s="293" t="s">
        <v>131</v>
      </c>
      <c r="C112" s="6"/>
      <c r="D112" s="333" t="s">
        <v>119</v>
      </c>
      <c r="E112" s="353"/>
      <c r="F112" s="295">
        <v>16.7</v>
      </c>
      <c r="G112" s="447">
        <v>1628</v>
      </c>
      <c r="H112" s="343">
        <f t="shared" si="11"/>
        <v>27187.599999999999</v>
      </c>
      <c r="I112" s="449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52">
        <f t="shared" ref="P112:P118" si="32">(N112-M112)*24*60</f>
        <v>29.999999999999893</v>
      </c>
      <c r="Q112" s="292"/>
      <c r="R112" s="292"/>
    </row>
    <row r="113" spans="1:18">
      <c r="A113" s="551"/>
      <c r="B113" s="293" t="s">
        <v>131</v>
      </c>
      <c r="C113" s="315"/>
      <c r="D113" s="455" t="s">
        <v>126</v>
      </c>
      <c r="E113" s="455"/>
      <c r="F113" s="295">
        <v>18.18</v>
      </c>
      <c r="G113" s="447">
        <v>1037</v>
      </c>
      <c r="H113" s="343">
        <f t="shared" si="11"/>
        <v>18852.66</v>
      </c>
      <c r="I113" s="449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52">
        <f t="shared" si="32"/>
        <v>24.999999999999751</v>
      </c>
      <c r="Q113" s="301"/>
      <c r="R113" s="301"/>
    </row>
    <row r="114" spans="1:18">
      <c r="A114" s="551"/>
      <c r="B114" s="293" t="s">
        <v>131</v>
      </c>
      <c r="C114" s="315"/>
      <c r="D114" s="455" t="s">
        <v>509</v>
      </c>
      <c r="E114" s="316"/>
      <c r="F114" s="295">
        <v>18.18</v>
      </c>
      <c r="G114" s="447">
        <v>1169</v>
      </c>
      <c r="H114" s="343">
        <f t="shared" si="11"/>
        <v>21252.42</v>
      </c>
      <c r="I114" s="449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52">
        <f t="shared" si="32"/>
        <v>25.000000000000071</v>
      </c>
      <c r="Q114" s="301"/>
      <c r="R114" s="301"/>
    </row>
    <row r="115" spans="1:18">
      <c r="A115" s="551"/>
      <c r="B115" s="293" t="s">
        <v>131</v>
      </c>
      <c r="C115" s="315"/>
      <c r="D115" s="316" t="s">
        <v>118</v>
      </c>
      <c r="E115" s="337"/>
      <c r="F115" s="295">
        <v>16.66</v>
      </c>
      <c r="G115" s="447">
        <v>6040</v>
      </c>
      <c r="H115" s="343">
        <f t="shared" si="11"/>
        <v>100626.4</v>
      </c>
      <c r="I115" s="449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52">
        <f t="shared" si="32"/>
        <v>119.99999999999989</v>
      </c>
      <c r="Q115" s="301"/>
      <c r="R115" s="301"/>
    </row>
    <row r="116" spans="1:18">
      <c r="A116" s="551"/>
      <c r="B116" s="293" t="s">
        <v>131</v>
      </c>
      <c r="C116" s="315"/>
      <c r="D116" s="316" t="s">
        <v>120</v>
      </c>
      <c r="E116" s="333"/>
      <c r="F116" s="295">
        <v>22.281818181818181</v>
      </c>
      <c r="G116" s="447">
        <v>1105</v>
      </c>
      <c r="H116" s="343">
        <f t="shared" si="11"/>
        <v>24621.409090909092</v>
      </c>
      <c r="I116" s="449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5">
        <v>0.93055555555555547</v>
      </c>
      <c r="O116" s="292">
        <v>20</v>
      </c>
      <c r="P116" s="452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551"/>
      <c r="B117" s="293" t="s">
        <v>131</v>
      </c>
      <c r="C117" s="315"/>
      <c r="D117" s="316" t="s">
        <v>121</v>
      </c>
      <c r="E117" s="332"/>
      <c r="F117" s="295">
        <v>17.890909090909091</v>
      </c>
      <c r="G117" s="447">
        <v>4016</v>
      </c>
      <c r="H117" s="343">
        <f t="shared" ref="H117:H123" si="33">F117*G117</f>
        <v>71849.890909090915</v>
      </c>
      <c r="I117" s="449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52">
        <f t="shared" si="32"/>
        <v>79.999999998835847</v>
      </c>
      <c r="Q117" s="301"/>
      <c r="R117" s="301"/>
    </row>
    <row r="118" spans="1:18">
      <c r="A118" s="551"/>
      <c r="B118" s="293" t="s">
        <v>131</v>
      </c>
      <c r="C118" s="315"/>
      <c r="D118" s="316" t="s">
        <v>510</v>
      </c>
      <c r="E118" s="332"/>
      <c r="F118" s="295">
        <v>14.03</v>
      </c>
      <c r="G118" s="447">
        <v>6448</v>
      </c>
      <c r="H118" s="343">
        <f t="shared" si="33"/>
        <v>90465.44</v>
      </c>
      <c r="I118" s="449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52">
        <f t="shared" si="32"/>
        <v>124.99999999999999</v>
      </c>
      <c r="Q118" s="301"/>
      <c r="R118" s="301"/>
    </row>
    <row r="119" spans="1:18">
      <c r="A119" s="551"/>
      <c r="B119" s="293">
        <v>0</v>
      </c>
      <c r="C119" s="315"/>
      <c r="D119" s="333"/>
      <c r="E119" s="332"/>
      <c r="F119" s="295" t="s">
        <v>133</v>
      </c>
      <c r="G119" s="447"/>
      <c r="H119" s="343">
        <f t="shared" si="33"/>
        <v>0</v>
      </c>
      <c r="I119" s="449"/>
      <c r="J119" s="297"/>
      <c r="K119" s="298"/>
      <c r="L119" s="299"/>
      <c r="M119" s="300"/>
      <c r="N119" s="300"/>
      <c r="O119" s="292"/>
      <c r="P119" s="452"/>
      <c r="Q119" s="301"/>
      <c r="R119" s="301"/>
    </row>
    <row r="120" spans="1:18">
      <c r="A120" s="551"/>
      <c r="B120" s="293">
        <v>0</v>
      </c>
      <c r="C120" s="315"/>
      <c r="D120" s="333"/>
      <c r="E120" s="332"/>
      <c r="F120" s="295" t="s">
        <v>133</v>
      </c>
      <c r="G120" s="447"/>
      <c r="H120" s="343">
        <f t="shared" si="33"/>
        <v>0</v>
      </c>
      <c r="I120" s="449"/>
      <c r="J120" s="297"/>
      <c r="K120" s="298"/>
      <c r="L120" s="299"/>
      <c r="M120" s="300"/>
      <c r="N120" s="300"/>
      <c r="O120" s="292"/>
      <c r="P120" s="452"/>
      <c r="Q120" s="301"/>
      <c r="R120" s="301"/>
    </row>
    <row r="121" spans="1:18">
      <c r="A121" s="551"/>
      <c r="B121" s="293">
        <v>0</v>
      </c>
      <c r="C121" s="315"/>
      <c r="D121" s="333"/>
      <c r="E121" s="332"/>
      <c r="F121" s="295" t="s">
        <v>133</v>
      </c>
      <c r="G121" s="447"/>
      <c r="H121" s="343">
        <f t="shared" si="33"/>
        <v>0</v>
      </c>
      <c r="I121" s="449"/>
      <c r="J121" s="297"/>
      <c r="K121" s="298"/>
      <c r="L121" s="299"/>
      <c r="M121" s="300"/>
      <c r="N121" s="300"/>
      <c r="O121" s="292"/>
      <c r="P121" s="452"/>
      <c r="Q121" s="301"/>
      <c r="R121" s="301"/>
    </row>
    <row r="122" spans="1:18" ht="15.6" customHeight="1">
      <c r="A122" s="551"/>
      <c r="B122" s="293">
        <v>0</v>
      </c>
      <c r="C122" s="315"/>
      <c r="D122" s="333"/>
      <c r="E122" s="332"/>
      <c r="F122" s="295" t="s">
        <v>133</v>
      </c>
      <c r="G122" s="447"/>
      <c r="H122" s="343">
        <f t="shared" si="33"/>
        <v>0</v>
      </c>
      <c r="I122" s="449"/>
      <c r="J122" s="297"/>
      <c r="K122" s="298"/>
      <c r="L122" s="299"/>
      <c r="M122" s="300"/>
      <c r="N122" s="300"/>
      <c r="O122" s="292"/>
      <c r="P122" s="452"/>
      <c r="Q122" s="301"/>
      <c r="R122" s="301"/>
    </row>
    <row r="123" spans="1:18">
      <c r="A123" s="551"/>
      <c r="B123" s="293">
        <v>0</v>
      </c>
      <c r="C123" s="315"/>
      <c r="D123" s="333"/>
      <c r="E123" s="332"/>
      <c r="F123" s="295" t="s">
        <v>133</v>
      </c>
      <c r="G123" s="447"/>
      <c r="H123" s="343">
        <f t="shared" si="33"/>
        <v>0</v>
      </c>
      <c r="I123" s="449"/>
      <c r="J123" s="297"/>
      <c r="K123" s="298"/>
      <c r="L123" s="299"/>
      <c r="M123" s="300"/>
      <c r="N123" s="300"/>
      <c r="O123" s="292"/>
      <c r="P123" s="452"/>
      <c r="Q123" s="301"/>
      <c r="R123" s="301"/>
    </row>
    <row r="124" spans="1:18" ht="17.399999999999999" customHeight="1">
      <c r="A124" s="551"/>
      <c r="B124" s="304">
        <v>0</v>
      </c>
      <c r="C124" s="6" t="s">
        <v>499</v>
      </c>
      <c r="D124" s="552" t="s">
        <v>376</v>
      </c>
      <c r="E124" s="552"/>
      <c r="F124" s="305"/>
      <c r="G124" s="346"/>
      <c r="H124" s="347"/>
      <c r="I124" s="308"/>
      <c r="J124" s="309">
        <f>AVERAGE(J112:J123)</f>
        <v>3.4285714285714284</v>
      </c>
      <c r="K124" s="309">
        <f>AVERAGE(K112:K123)</f>
        <v>2904.2057142919839</v>
      </c>
      <c r="L124" s="310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5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abSelected="1"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59" t="s">
        <v>315</v>
      </c>
      <c r="E1" s="29">
        <f>SUM(G5:G173)</f>
        <v>187599.35</v>
      </c>
      <c r="F1" s="460" t="s">
        <v>3</v>
      </c>
      <c r="G1" s="30">
        <f>SUM(H5:H173)</f>
        <v>7363950.0751207955</v>
      </c>
      <c r="H1" s="456" t="s">
        <v>37</v>
      </c>
      <c r="I1" s="31">
        <f>M17+M30+M43+M56+M69+M82+M95+M108+M121+M134+M147+M160+M173</f>
        <v>193.41904761904763</v>
      </c>
      <c r="J1" s="684" t="s">
        <v>38</v>
      </c>
      <c r="K1" s="684"/>
      <c r="L1" s="684"/>
      <c r="M1" s="684" t="s">
        <v>39</v>
      </c>
      <c r="N1" s="684"/>
      <c r="O1" s="684"/>
      <c r="P1" s="684" t="s">
        <v>317</v>
      </c>
      <c r="Q1" s="684"/>
      <c r="R1" s="684"/>
      <c r="S1" s="684"/>
      <c r="T1" s="684" t="s">
        <v>319</v>
      </c>
      <c r="U1" s="684"/>
      <c r="V1" s="684"/>
      <c r="W1" s="684"/>
      <c r="X1" s="684"/>
      <c r="Y1" s="684"/>
      <c r="Z1" s="32" t="s">
        <v>321</v>
      </c>
      <c r="AA1" s="32" t="s">
        <v>323</v>
      </c>
      <c r="AB1" s="685" t="s">
        <v>325</v>
      </c>
      <c r="AC1" s="686"/>
      <c r="AD1" s="32" t="s">
        <v>321</v>
      </c>
      <c r="AE1" s="32" t="s">
        <v>327</v>
      </c>
      <c r="AF1" s="684" t="s">
        <v>329</v>
      </c>
      <c r="AG1" s="689"/>
      <c r="AH1" s="689"/>
    </row>
    <row r="2" spans="1:34" ht="26.25" customHeight="1">
      <c r="A2" s="683" t="s">
        <v>428</v>
      </c>
      <c r="B2" s="683"/>
      <c r="C2" s="459"/>
      <c r="D2" s="459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56" t="s">
        <v>41</v>
      </c>
      <c r="I2" s="456">
        <f>COUNT(I5:I173)</f>
        <v>16</v>
      </c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684"/>
      <c r="X2" s="684"/>
      <c r="Y2" s="68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87"/>
      <c r="AC2" s="688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689"/>
      <c r="AG2" s="689"/>
      <c r="AH2" s="689"/>
    </row>
    <row r="3" spans="1:34" ht="30.6" customHeight="1">
      <c r="A3" s="616" t="s">
        <v>334</v>
      </c>
      <c r="B3" s="616" t="s">
        <v>42</v>
      </c>
      <c r="C3" s="681"/>
      <c r="D3" s="616" t="s">
        <v>336</v>
      </c>
      <c r="E3" s="616"/>
      <c r="F3" s="681" t="s">
        <v>43</v>
      </c>
      <c r="G3" s="675" t="s">
        <v>44</v>
      </c>
      <c r="H3" s="681" t="s">
        <v>45</v>
      </c>
      <c r="I3" s="677" t="s">
        <v>338</v>
      </c>
      <c r="J3" s="680" t="s">
        <v>46</v>
      </c>
      <c r="K3" s="670" t="s">
        <v>47</v>
      </c>
      <c r="L3" s="651" t="s">
        <v>35</v>
      </c>
      <c r="M3" s="675" t="s">
        <v>46</v>
      </c>
      <c r="N3" s="670" t="s">
        <v>340</v>
      </c>
      <c r="O3" s="651" t="s">
        <v>332</v>
      </c>
      <c r="P3" s="680" t="s">
        <v>342</v>
      </c>
      <c r="Q3" s="651" t="s">
        <v>332</v>
      </c>
      <c r="R3" s="671" t="s">
        <v>344</v>
      </c>
      <c r="S3" s="647" t="s">
        <v>346</v>
      </c>
      <c r="T3" s="675" t="s">
        <v>48</v>
      </c>
      <c r="U3" s="675"/>
      <c r="V3" s="676" t="s">
        <v>49</v>
      </c>
      <c r="W3" s="677" t="s">
        <v>348</v>
      </c>
      <c r="X3" s="675" t="s">
        <v>350</v>
      </c>
      <c r="Y3" s="675"/>
      <c r="Z3" s="678" t="s">
        <v>429</v>
      </c>
      <c r="AA3" s="679"/>
      <c r="AB3" s="666" t="s">
        <v>353</v>
      </c>
      <c r="AC3" s="667"/>
      <c r="AD3" s="668" t="s">
        <v>430</v>
      </c>
      <c r="AE3" s="669"/>
      <c r="AF3" s="670" t="s">
        <v>340</v>
      </c>
      <c r="AG3" s="671" t="s">
        <v>344</v>
      </c>
      <c r="AH3" s="647" t="s">
        <v>346</v>
      </c>
    </row>
    <row r="4" spans="1:34" ht="30.6" customHeight="1">
      <c r="A4" s="681"/>
      <c r="B4" s="616"/>
      <c r="C4" s="682"/>
      <c r="D4" s="616"/>
      <c r="E4" s="616"/>
      <c r="F4" s="682"/>
      <c r="G4" s="675"/>
      <c r="H4" s="682"/>
      <c r="I4" s="677"/>
      <c r="J4" s="680"/>
      <c r="K4" s="670"/>
      <c r="L4" s="651"/>
      <c r="M4" s="675"/>
      <c r="N4" s="670"/>
      <c r="O4" s="651"/>
      <c r="P4" s="680"/>
      <c r="Q4" s="651"/>
      <c r="R4" s="671"/>
      <c r="S4" s="647"/>
      <c r="T4" s="466" t="s">
        <v>50</v>
      </c>
      <c r="U4" s="466" t="s">
        <v>51</v>
      </c>
      <c r="V4" s="675"/>
      <c r="W4" s="677"/>
      <c r="X4" s="460" t="s">
        <v>359</v>
      </c>
      <c r="Y4" s="460" t="s">
        <v>36</v>
      </c>
      <c r="Z4" s="466" t="s">
        <v>431</v>
      </c>
      <c r="AA4" s="466" t="s">
        <v>432</v>
      </c>
      <c r="AB4" s="667"/>
      <c r="AC4" s="667"/>
      <c r="AD4" s="466" t="s">
        <v>433</v>
      </c>
      <c r="AE4" s="39" t="s">
        <v>434</v>
      </c>
      <c r="AF4" s="670"/>
      <c r="AG4" s="671"/>
      <c r="AH4" s="647"/>
    </row>
    <row r="5" spans="1:34" ht="18.75" customHeight="1">
      <c r="A5" s="672" t="s">
        <v>365</v>
      </c>
      <c r="B5" s="40" t="s">
        <v>127</v>
      </c>
      <c r="C5" s="41"/>
      <c r="D5" s="42" t="s">
        <v>52</v>
      </c>
      <c r="E5" s="43"/>
      <c r="F5" s="357">
        <v>37.83</v>
      </c>
      <c r="G5" s="44">
        <v>6460.35</v>
      </c>
      <c r="H5" s="45">
        <f t="shared" ref="H5:H16" si="0">F5*G5</f>
        <v>244395.0405</v>
      </c>
      <c r="I5" s="457"/>
      <c r="J5" s="46">
        <v>20</v>
      </c>
      <c r="K5" s="44">
        <v>2400</v>
      </c>
      <c r="L5" s="47">
        <v>120</v>
      </c>
      <c r="M5" s="458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64">
        <f t="shared" ref="R5:R11" si="5">O5/L5</f>
        <v>0.99696759259259282</v>
      </c>
      <c r="S5" s="635">
        <f>R17</f>
        <v>0.93690252697621412</v>
      </c>
      <c r="T5" s="89">
        <v>0.25</v>
      </c>
      <c r="U5" s="89">
        <v>0.36249999999999999</v>
      </c>
      <c r="V5" s="460">
        <v>5</v>
      </c>
      <c r="W5" s="457">
        <f>(U5-T5)*24*60</f>
        <v>161.99999999999997</v>
      </c>
      <c r="X5" s="460"/>
      <c r="Y5" s="460"/>
      <c r="Z5" s="51"/>
      <c r="AA5" s="51"/>
      <c r="AB5" s="616"/>
      <c r="AC5" s="616"/>
      <c r="AD5" s="52">
        <v>1</v>
      </c>
      <c r="AE5" s="52">
        <v>1</v>
      </c>
      <c r="AF5" s="48">
        <f t="shared" ref="AF5:AF70" si="6">N5-K5</f>
        <v>-7.2777777777773736</v>
      </c>
      <c r="AG5" s="464">
        <f t="shared" ref="AG5:AG70" si="7">N5/K5</f>
        <v>0.99696759259259271</v>
      </c>
      <c r="AH5" s="635">
        <f>AG17</f>
        <v>0.94701239819827931</v>
      </c>
    </row>
    <row r="6" spans="1:34" ht="19.2" customHeight="1">
      <c r="A6" s="673"/>
      <c r="B6" s="40" t="s">
        <v>127</v>
      </c>
      <c r="C6" s="41"/>
      <c r="D6" s="42" t="s">
        <v>188</v>
      </c>
      <c r="E6" s="43"/>
      <c r="F6" s="357">
        <v>38.99</v>
      </c>
      <c r="G6" s="44">
        <v>1761</v>
      </c>
      <c r="H6" s="45">
        <f t="shared" si="0"/>
        <v>68661.39</v>
      </c>
      <c r="I6" s="457"/>
      <c r="J6" s="46">
        <v>17</v>
      </c>
      <c r="K6" s="44">
        <v>2700</v>
      </c>
      <c r="L6" s="47">
        <v>158.8235294117647</v>
      </c>
      <c r="M6" s="458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64">
        <f t="shared" si="5"/>
        <v>0.91007751937984493</v>
      </c>
      <c r="S6" s="635"/>
      <c r="T6" s="89">
        <v>0.37777777777777777</v>
      </c>
      <c r="U6" s="89">
        <v>0.40763888888888888</v>
      </c>
      <c r="V6" s="460">
        <v>22</v>
      </c>
      <c r="W6" s="457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616"/>
      <c r="AC6" s="616"/>
      <c r="AD6" s="474"/>
      <c r="AE6" s="474"/>
      <c r="AF6" s="48">
        <f t="shared" si="6"/>
        <v>-242.79069767441888</v>
      </c>
      <c r="AG6" s="464">
        <f t="shared" si="7"/>
        <v>0.91007751937984482</v>
      </c>
      <c r="AH6" s="635"/>
    </row>
    <row r="7" spans="1:34" ht="19.2" customHeight="1">
      <c r="A7" s="673"/>
      <c r="B7" s="40" t="s">
        <v>127</v>
      </c>
      <c r="C7" s="41"/>
      <c r="D7" s="42" t="s">
        <v>184</v>
      </c>
      <c r="E7" s="43"/>
      <c r="F7" s="357">
        <v>28.86</v>
      </c>
      <c r="G7" s="44">
        <v>2391</v>
      </c>
      <c r="H7" s="45">
        <f t="shared" si="0"/>
        <v>69004.259999999995</v>
      </c>
      <c r="I7" s="457"/>
      <c r="J7" s="46">
        <v>17</v>
      </c>
      <c r="K7" s="44">
        <v>2700</v>
      </c>
      <c r="L7" s="47">
        <v>158.8235294117647</v>
      </c>
      <c r="M7" s="458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64">
        <f t="shared" si="5"/>
        <v>0.91609195402298804</v>
      </c>
      <c r="S7" s="635"/>
      <c r="T7" s="89">
        <v>0.41249999999999998</v>
      </c>
      <c r="U7" s="89">
        <v>0.45277777777777778</v>
      </c>
      <c r="V7" s="460">
        <v>7</v>
      </c>
      <c r="W7" s="457">
        <f t="shared" si="8"/>
        <v>58.000000000000036</v>
      </c>
      <c r="X7" s="53"/>
      <c r="Y7" s="53"/>
      <c r="Z7" s="54"/>
      <c r="AA7" s="54"/>
      <c r="AB7" s="616"/>
      <c r="AC7" s="616"/>
      <c r="AD7" s="474"/>
      <c r="AE7" s="474"/>
      <c r="AF7" s="48">
        <f t="shared" si="6"/>
        <v>-226.55172413793252</v>
      </c>
      <c r="AG7" s="464">
        <f t="shared" si="7"/>
        <v>0.91609195402298793</v>
      </c>
      <c r="AH7" s="635"/>
    </row>
    <row r="8" spans="1:34" ht="19.2" customHeight="1">
      <c r="A8" s="673"/>
      <c r="B8" s="40" t="s">
        <v>127</v>
      </c>
      <c r="C8" s="41"/>
      <c r="D8" s="42" t="s">
        <v>53</v>
      </c>
      <c r="E8" s="43"/>
      <c r="F8" s="357">
        <v>31.11</v>
      </c>
      <c r="G8" s="44">
        <v>2903</v>
      </c>
      <c r="H8" s="45">
        <f t="shared" si="0"/>
        <v>90312.33</v>
      </c>
      <c r="I8" s="457"/>
      <c r="J8" s="46">
        <v>18</v>
      </c>
      <c r="K8" s="44">
        <v>2700</v>
      </c>
      <c r="L8" s="47">
        <v>150</v>
      </c>
      <c r="M8" s="458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64">
        <f t="shared" si="5"/>
        <v>0.94024291497975676</v>
      </c>
      <c r="S8" s="635"/>
      <c r="T8" s="89">
        <v>0.45694444444444443</v>
      </c>
      <c r="U8" s="89">
        <v>0.50208333333333333</v>
      </c>
      <c r="V8" s="460">
        <v>6</v>
      </c>
      <c r="W8" s="457">
        <f t="shared" si="8"/>
        <v>65.000000000000014</v>
      </c>
      <c r="X8" s="53"/>
      <c r="Y8" s="53"/>
      <c r="Z8" s="54"/>
      <c r="AA8" s="54"/>
      <c r="AB8" s="616"/>
      <c r="AC8" s="616"/>
      <c r="AD8" s="474"/>
      <c r="AE8" s="474"/>
      <c r="AF8" s="48">
        <f t="shared" si="6"/>
        <v>-20.307692307693287</v>
      </c>
      <c r="AG8" s="464">
        <f t="shared" si="7"/>
        <v>0.99247863247863211</v>
      </c>
      <c r="AH8" s="635"/>
    </row>
    <row r="9" spans="1:34" ht="19.2" customHeight="1">
      <c r="A9" s="673"/>
      <c r="B9" s="40" t="s">
        <v>127</v>
      </c>
      <c r="C9" s="55"/>
      <c r="D9" s="42" t="s">
        <v>209</v>
      </c>
      <c r="E9" s="56"/>
      <c r="F9" s="357">
        <v>35.89</v>
      </c>
      <c r="G9" s="57">
        <v>2853</v>
      </c>
      <c r="H9" s="45">
        <f t="shared" si="0"/>
        <v>102394.17</v>
      </c>
      <c r="I9" s="474"/>
      <c r="J9" s="46">
        <v>17</v>
      </c>
      <c r="K9" s="44">
        <v>2700</v>
      </c>
      <c r="L9" s="47">
        <v>158.8235294117647</v>
      </c>
      <c r="M9" s="458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64">
        <f t="shared" si="5"/>
        <v>0.90571428571428469</v>
      </c>
      <c r="S9" s="635"/>
      <c r="T9" s="89">
        <v>0.54236111111111107</v>
      </c>
      <c r="U9" s="89">
        <v>0.59097222222222223</v>
      </c>
      <c r="V9" s="460">
        <v>5</v>
      </c>
      <c r="W9" s="457">
        <f t="shared" si="8"/>
        <v>70.000000000000071</v>
      </c>
      <c r="X9" s="53"/>
      <c r="Y9" s="53"/>
      <c r="Z9" s="54"/>
      <c r="AA9" s="54"/>
      <c r="AB9" s="616"/>
      <c r="AC9" s="616"/>
      <c r="AD9" s="474">
        <v>1</v>
      </c>
      <c r="AE9" s="474"/>
      <c r="AF9" s="48">
        <f t="shared" si="6"/>
        <v>-254.57142857143117</v>
      </c>
      <c r="AG9" s="464">
        <f t="shared" si="7"/>
        <v>0.90571428571428481</v>
      </c>
      <c r="AH9" s="635"/>
    </row>
    <row r="10" spans="1:34" ht="19.2" customHeight="1">
      <c r="A10" s="674"/>
      <c r="B10" s="40" t="s">
        <v>127</v>
      </c>
      <c r="C10" s="41"/>
      <c r="D10" s="42" t="s">
        <v>205</v>
      </c>
      <c r="E10" s="43"/>
      <c r="F10" s="357">
        <v>46.93</v>
      </c>
      <c r="G10" s="44">
        <v>2025</v>
      </c>
      <c r="H10" s="45">
        <f t="shared" si="0"/>
        <v>95033.25</v>
      </c>
      <c r="I10" s="457"/>
      <c r="J10" s="46">
        <v>18</v>
      </c>
      <c r="K10" s="44">
        <v>2400</v>
      </c>
      <c r="L10" s="47">
        <v>133.33333333333334</v>
      </c>
      <c r="M10" s="458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64">
        <f t="shared" si="5"/>
        <v>0.92045454545454597</v>
      </c>
      <c r="S10" s="638"/>
      <c r="T10" s="89">
        <v>0.59652777777777777</v>
      </c>
      <c r="U10" s="89">
        <v>0.63472222222222219</v>
      </c>
      <c r="V10" s="460">
        <v>8</v>
      </c>
      <c r="W10" s="457">
        <f t="shared" si="8"/>
        <v>54.999999999999964</v>
      </c>
      <c r="X10" s="53"/>
      <c r="Y10" s="53"/>
      <c r="Z10" s="54"/>
      <c r="AA10" s="54"/>
      <c r="AB10" s="616"/>
      <c r="AC10" s="616"/>
      <c r="AD10" s="474"/>
      <c r="AE10" s="474"/>
      <c r="AF10" s="48">
        <f t="shared" si="6"/>
        <v>-190.90909090908963</v>
      </c>
      <c r="AG10" s="464">
        <f t="shared" si="7"/>
        <v>0.92045454545454597</v>
      </c>
      <c r="AH10" s="638"/>
    </row>
    <row r="11" spans="1:34" ht="19.2" customHeight="1">
      <c r="A11" s="674"/>
      <c r="B11" s="40" t="s">
        <v>127</v>
      </c>
      <c r="C11" s="41"/>
      <c r="D11" s="42" t="s">
        <v>367</v>
      </c>
      <c r="E11" s="43"/>
      <c r="F11" s="357">
        <v>43.96</v>
      </c>
      <c r="G11" s="44">
        <v>3782</v>
      </c>
      <c r="H11" s="45">
        <f t="shared" si="0"/>
        <v>166256.72</v>
      </c>
      <c r="I11" s="457"/>
      <c r="J11" s="46">
        <v>20</v>
      </c>
      <c r="K11" s="44">
        <v>2400</v>
      </c>
      <c r="L11" s="47">
        <v>120</v>
      </c>
      <c r="M11" s="458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64">
        <f t="shared" si="5"/>
        <v>0.99526315789473696</v>
      </c>
      <c r="S11" s="638"/>
      <c r="T11" s="89">
        <v>0.65069444444444446</v>
      </c>
      <c r="U11" s="89">
        <v>0.71666666666666667</v>
      </c>
      <c r="V11" s="460">
        <v>23</v>
      </c>
      <c r="W11" s="457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616"/>
      <c r="AC11" s="616"/>
      <c r="AD11" s="474"/>
      <c r="AE11" s="474"/>
      <c r="AF11" s="48">
        <f t="shared" si="6"/>
        <v>-11.36842105263122</v>
      </c>
      <c r="AG11" s="464">
        <f t="shared" si="7"/>
        <v>0.99526315789473696</v>
      </c>
      <c r="AH11" s="638"/>
    </row>
    <row r="12" spans="1:34" ht="19.2" customHeight="1">
      <c r="A12" s="674"/>
      <c r="B12" s="40">
        <v>0</v>
      </c>
      <c r="C12" s="41"/>
      <c r="D12" s="59"/>
      <c r="E12" s="43"/>
      <c r="F12" s="357" t="s">
        <v>133</v>
      </c>
      <c r="G12" s="44"/>
      <c r="H12" s="45">
        <f t="shared" si="0"/>
        <v>0</v>
      </c>
      <c r="I12" s="457"/>
      <c r="J12" s="46"/>
      <c r="K12" s="44"/>
      <c r="L12" s="47"/>
      <c r="M12" s="458"/>
      <c r="N12" s="44"/>
      <c r="O12" s="47"/>
      <c r="P12" s="48"/>
      <c r="Q12" s="49"/>
      <c r="R12" s="464"/>
      <c r="S12" s="638"/>
      <c r="T12" s="89"/>
      <c r="U12" s="89"/>
      <c r="V12" s="460"/>
      <c r="W12" s="457">
        <f t="shared" si="8"/>
        <v>0</v>
      </c>
      <c r="X12" s="53"/>
      <c r="Y12" s="53"/>
      <c r="Z12" s="54"/>
      <c r="AA12" s="54"/>
      <c r="AB12" s="616"/>
      <c r="AC12" s="616"/>
      <c r="AD12" s="474"/>
      <c r="AE12" s="474"/>
      <c r="AF12" s="48">
        <f t="shared" si="6"/>
        <v>0</v>
      </c>
      <c r="AG12" s="464" t="e">
        <f t="shared" si="7"/>
        <v>#DIV/0!</v>
      </c>
      <c r="AH12" s="638"/>
    </row>
    <row r="13" spans="1:34" ht="19.2" customHeight="1">
      <c r="A13" s="674"/>
      <c r="B13" s="40">
        <v>0</v>
      </c>
      <c r="C13" s="58"/>
      <c r="D13" s="59"/>
      <c r="E13" s="60"/>
      <c r="F13" s="357" t="s">
        <v>133</v>
      </c>
      <c r="G13" s="61"/>
      <c r="H13" s="45">
        <f t="shared" si="0"/>
        <v>0</v>
      </c>
      <c r="I13" s="461"/>
      <c r="J13" s="46"/>
      <c r="K13" s="44"/>
      <c r="L13" s="47"/>
      <c r="M13" s="62"/>
      <c r="N13" s="44"/>
      <c r="O13" s="47"/>
      <c r="P13" s="48"/>
      <c r="Q13" s="49"/>
      <c r="R13" s="464"/>
      <c r="S13" s="638"/>
      <c r="T13" s="89"/>
      <c r="U13" s="89"/>
      <c r="V13" s="461"/>
      <c r="W13" s="457">
        <f t="shared" si="8"/>
        <v>0</v>
      </c>
      <c r="X13" s="64"/>
      <c r="Y13" s="64"/>
      <c r="Z13" s="54"/>
      <c r="AA13" s="54"/>
      <c r="AB13" s="616"/>
      <c r="AC13" s="616"/>
      <c r="AD13" s="474"/>
      <c r="AE13" s="474"/>
      <c r="AF13" s="48">
        <f t="shared" si="6"/>
        <v>0</v>
      </c>
      <c r="AG13" s="464" t="e">
        <f t="shared" si="7"/>
        <v>#DIV/0!</v>
      </c>
      <c r="AH13" s="638"/>
    </row>
    <row r="14" spans="1:34" ht="19.2" customHeight="1">
      <c r="A14" s="674"/>
      <c r="B14" s="40">
        <v>0</v>
      </c>
      <c r="C14" s="66"/>
      <c r="D14" s="42"/>
      <c r="E14" s="43"/>
      <c r="F14" s="357" t="s">
        <v>133</v>
      </c>
      <c r="G14" s="61"/>
      <c r="H14" s="45">
        <f t="shared" si="0"/>
        <v>0</v>
      </c>
      <c r="I14" s="461"/>
      <c r="J14" s="46"/>
      <c r="K14" s="44"/>
      <c r="L14" s="47"/>
      <c r="M14" s="62"/>
      <c r="N14" s="44"/>
      <c r="O14" s="47"/>
      <c r="P14" s="48"/>
      <c r="Q14" s="49"/>
      <c r="R14" s="464"/>
      <c r="S14" s="638"/>
      <c r="T14" s="89"/>
      <c r="U14" s="89"/>
      <c r="V14" s="461"/>
      <c r="W14" s="457">
        <f t="shared" si="8"/>
        <v>0</v>
      </c>
      <c r="X14" s="64"/>
      <c r="Y14" s="64"/>
      <c r="Z14" s="54"/>
      <c r="AA14" s="54"/>
      <c r="AB14" s="616"/>
      <c r="AC14" s="616"/>
      <c r="AD14" s="474"/>
      <c r="AE14" s="474"/>
      <c r="AF14" s="65"/>
      <c r="AG14" s="464" t="e">
        <f t="shared" si="7"/>
        <v>#DIV/0!</v>
      </c>
      <c r="AH14" s="638"/>
    </row>
    <row r="15" spans="1:34" ht="19.2" customHeight="1">
      <c r="A15" s="674"/>
      <c r="B15" s="67">
        <v>0</v>
      </c>
      <c r="C15" s="58"/>
      <c r="D15" s="59"/>
      <c r="E15" s="60"/>
      <c r="F15" s="357" t="s">
        <v>133</v>
      </c>
      <c r="G15" s="61"/>
      <c r="H15" s="45">
        <f t="shared" si="0"/>
        <v>0</v>
      </c>
      <c r="I15" s="461"/>
      <c r="J15" s="46"/>
      <c r="K15" s="44"/>
      <c r="L15" s="47"/>
      <c r="M15" s="62"/>
      <c r="N15" s="68"/>
      <c r="O15" s="47"/>
      <c r="P15" s="48"/>
      <c r="Q15" s="49"/>
      <c r="R15" s="464"/>
      <c r="S15" s="638"/>
      <c r="T15" s="89"/>
      <c r="U15" s="89"/>
      <c r="V15" s="461"/>
      <c r="W15" s="457">
        <f t="shared" si="8"/>
        <v>0</v>
      </c>
      <c r="X15" s="64"/>
      <c r="Y15" s="64"/>
      <c r="Z15" s="54"/>
      <c r="AA15" s="54"/>
      <c r="AB15" s="616"/>
      <c r="AC15" s="616"/>
      <c r="AD15" s="474"/>
      <c r="AE15" s="474"/>
      <c r="AF15" s="65"/>
      <c r="AG15" s="464" t="e">
        <f t="shared" si="7"/>
        <v>#DIV/0!</v>
      </c>
      <c r="AH15" s="638"/>
    </row>
    <row r="16" spans="1:34" ht="19.2" customHeight="1">
      <c r="A16" s="674"/>
      <c r="B16" s="67">
        <v>0</v>
      </c>
      <c r="C16" s="58"/>
      <c r="D16" s="59"/>
      <c r="E16" s="60"/>
      <c r="F16" s="357" t="s">
        <v>133</v>
      </c>
      <c r="G16" s="61"/>
      <c r="H16" s="45">
        <f t="shared" si="0"/>
        <v>0</v>
      </c>
      <c r="I16" s="461"/>
      <c r="J16" s="46"/>
      <c r="K16" s="44"/>
      <c r="L16" s="47"/>
      <c r="M16" s="62"/>
      <c r="N16" s="68"/>
      <c r="O16" s="47"/>
      <c r="P16" s="48"/>
      <c r="Q16" s="49"/>
      <c r="R16" s="464"/>
      <c r="S16" s="638"/>
      <c r="T16" s="89"/>
      <c r="U16" s="89"/>
      <c r="V16" s="461"/>
      <c r="W16" s="457">
        <f t="shared" si="8"/>
        <v>0</v>
      </c>
      <c r="X16" s="64"/>
      <c r="Y16" s="64"/>
      <c r="Z16" s="54"/>
      <c r="AA16" s="54"/>
      <c r="AB16" s="616"/>
      <c r="AC16" s="616"/>
      <c r="AD16" s="474"/>
      <c r="AE16" s="474"/>
      <c r="AF16" s="65"/>
      <c r="AG16" s="464" t="e">
        <f t="shared" si="7"/>
        <v>#DIV/0!</v>
      </c>
      <c r="AH16" s="638"/>
    </row>
    <row r="17" spans="1:34" ht="19.2" customHeight="1">
      <c r="A17" s="674"/>
      <c r="B17" s="69">
        <v>0</v>
      </c>
      <c r="C17" s="69" t="s">
        <v>368</v>
      </c>
      <c r="D17" s="622" t="s">
        <v>370</v>
      </c>
      <c r="E17" s="622"/>
      <c r="F17" s="358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J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638"/>
      <c r="T17" s="89"/>
      <c r="U17" s="89"/>
      <c r="V17" s="461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16"/>
      <c r="AC17" s="616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65">
        <f t="shared" si="7"/>
        <v>0.94701239819827931</v>
      </c>
      <c r="AH17" s="638"/>
    </row>
    <row r="18" spans="1:34" ht="19.2" customHeight="1">
      <c r="A18" s="619" t="s">
        <v>372</v>
      </c>
      <c r="B18" s="80" t="s">
        <v>127</v>
      </c>
      <c r="C18" s="81"/>
      <c r="D18" s="82" t="s">
        <v>60</v>
      </c>
      <c r="E18" s="83"/>
      <c r="F18" s="359">
        <v>36.86</v>
      </c>
      <c r="G18" s="57">
        <v>4454.45</v>
      </c>
      <c r="H18" s="84">
        <f t="shared" ref="H18:H29" si="12">F18*G18</f>
        <v>164191.027</v>
      </c>
      <c r="I18" s="474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67">
        <f t="shared" ref="R18:R24" si="15">O18/L18</f>
        <v>0.95073006905210278</v>
      </c>
      <c r="S18" s="620">
        <f>R30</f>
        <v>0.91271367936158654</v>
      </c>
      <c r="T18" s="89">
        <v>0.16666666666666666</v>
      </c>
      <c r="U18" s="89">
        <v>0.24861111111111112</v>
      </c>
      <c r="V18" s="474">
        <v>5</v>
      </c>
      <c r="W18" s="90">
        <f>(U18-T18)*24*60</f>
        <v>118.00000000000001</v>
      </c>
      <c r="X18" s="86"/>
      <c r="Y18" s="86"/>
      <c r="Z18" s="54"/>
      <c r="AA18" s="54"/>
      <c r="AB18" s="616"/>
      <c r="AC18" s="616"/>
      <c r="AD18" s="474">
        <v>1</v>
      </c>
      <c r="AE18" s="474">
        <v>1</v>
      </c>
      <c r="AF18" s="91">
        <f t="shared" si="6"/>
        <v>14.974576271185924</v>
      </c>
      <c r="AG18" s="92">
        <f t="shared" si="7"/>
        <v>1.0066553672316383</v>
      </c>
      <c r="AH18" s="662">
        <f>AG30</f>
        <v>0.94712685013727405</v>
      </c>
    </row>
    <row r="19" spans="1:34" ht="19.2" customHeight="1">
      <c r="A19" s="619"/>
      <c r="B19" s="471" t="s">
        <v>129</v>
      </c>
      <c r="C19" s="470"/>
      <c r="D19" s="82" t="s">
        <v>62</v>
      </c>
      <c r="E19" s="83"/>
      <c r="F19" s="357">
        <v>38.39</v>
      </c>
      <c r="G19" s="57">
        <v>1433.9</v>
      </c>
      <c r="H19" s="84">
        <f t="shared" si="12"/>
        <v>55047.421000000002</v>
      </c>
      <c r="I19" s="474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67">
        <f t="shared" si="15"/>
        <v>0.83889163804430189</v>
      </c>
      <c r="S19" s="620"/>
      <c r="T19" s="89">
        <v>0.2638888888888889</v>
      </c>
      <c r="U19" s="89">
        <v>0.30486111111111114</v>
      </c>
      <c r="V19" s="474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616"/>
      <c r="AC19" s="616"/>
      <c r="AD19" s="474"/>
      <c r="AE19" s="474"/>
      <c r="AF19" s="48">
        <f t="shared" si="6"/>
        <v>-177.79661016949217</v>
      </c>
      <c r="AG19" s="464">
        <f t="shared" si="7"/>
        <v>0.89132236542207077</v>
      </c>
      <c r="AH19" s="663"/>
    </row>
    <row r="20" spans="1:34" ht="19.2" customHeight="1">
      <c r="A20" s="619"/>
      <c r="B20" s="471" t="s">
        <v>129</v>
      </c>
      <c r="C20" s="55"/>
      <c r="D20" s="42" t="s">
        <v>186</v>
      </c>
      <c r="E20" s="83"/>
      <c r="F20" s="357">
        <v>56.43</v>
      </c>
      <c r="G20" s="57">
        <v>1238.9000000000001</v>
      </c>
      <c r="H20" s="84">
        <f t="shared" si="12"/>
        <v>69911.127000000008</v>
      </c>
      <c r="I20" s="474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67">
        <f t="shared" si="15"/>
        <v>0.93501886792452893</v>
      </c>
      <c r="S20" s="620"/>
      <c r="T20" s="89">
        <v>0.30972222222222223</v>
      </c>
      <c r="U20" s="89">
        <v>0.34652777777777777</v>
      </c>
      <c r="V20" s="474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616"/>
      <c r="AC20" s="616"/>
      <c r="AD20" s="474"/>
      <c r="AE20" s="474"/>
      <c r="AF20" s="91">
        <f t="shared" si="6"/>
        <v>-97.471698113206685</v>
      </c>
      <c r="AG20" s="92">
        <f t="shared" si="7"/>
        <v>0.93501886792452893</v>
      </c>
      <c r="AH20" s="663"/>
    </row>
    <row r="21" spans="1:34" ht="19.2" customHeight="1">
      <c r="A21" s="619"/>
      <c r="B21" s="471" t="s">
        <v>130</v>
      </c>
      <c r="C21" s="97"/>
      <c r="D21" s="98" t="s">
        <v>61</v>
      </c>
      <c r="E21" s="43"/>
      <c r="F21" s="357">
        <v>43.14</v>
      </c>
      <c r="G21" s="44">
        <v>1166.75</v>
      </c>
      <c r="H21" s="84">
        <f t="shared" si="12"/>
        <v>50333.595000000001</v>
      </c>
      <c r="I21" s="460"/>
      <c r="J21" s="93">
        <v>16</v>
      </c>
      <c r="K21" s="44">
        <v>1440</v>
      </c>
      <c r="L21" s="47">
        <v>90</v>
      </c>
      <c r="M21" s="458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67">
        <f t="shared" si="15"/>
        <v>0.97229166666666689</v>
      </c>
      <c r="S21" s="620"/>
      <c r="T21" s="89">
        <v>0.3520833333333333</v>
      </c>
      <c r="U21" s="89">
        <v>0.38680555555555551</v>
      </c>
      <c r="V21" s="474">
        <v>8</v>
      </c>
      <c r="W21" s="90">
        <f t="shared" si="16"/>
        <v>49.999999999999986</v>
      </c>
      <c r="X21" s="96"/>
      <c r="Y21" s="96"/>
      <c r="Z21" s="54"/>
      <c r="AA21" s="54"/>
      <c r="AB21" s="616"/>
      <c r="AC21" s="616"/>
      <c r="AD21" s="474"/>
      <c r="AE21" s="474"/>
      <c r="AF21" s="48">
        <f t="shared" si="6"/>
        <v>-39.899999999999636</v>
      </c>
      <c r="AG21" s="464">
        <f t="shared" si="7"/>
        <v>0.97229166666666689</v>
      </c>
      <c r="AH21" s="664"/>
    </row>
    <row r="22" spans="1:34" ht="19.2" customHeight="1">
      <c r="A22" s="619"/>
      <c r="B22" s="471" t="s">
        <v>129</v>
      </c>
      <c r="C22" s="97"/>
      <c r="D22" s="42" t="s">
        <v>210</v>
      </c>
      <c r="E22" s="43"/>
      <c r="F22" s="357">
        <v>44.3</v>
      </c>
      <c r="G22" s="44">
        <v>2401.75</v>
      </c>
      <c r="H22" s="84">
        <f t="shared" si="12"/>
        <v>106397.52499999999</v>
      </c>
      <c r="I22" s="460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67">
        <f t="shared" si="15"/>
        <v>0.88083740831295809</v>
      </c>
      <c r="S22" s="620"/>
      <c r="T22" s="89">
        <v>0.40277777777777773</v>
      </c>
      <c r="U22" s="89">
        <v>0.47222222222222221</v>
      </c>
      <c r="V22" s="474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616"/>
      <c r="AC22" s="616"/>
      <c r="AD22" s="474"/>
      <c r="AE22" s="474"/>
      <c r="AF22" s="91">
        <f t="shared" si="6"/>
        <v>-194.9500000000005</v>
      </c>
      <c r="AG22" s="92">
        <f t="shared" si="7"/>
        <v>0.88083740831295809</v>
      </c>
      <c r="AH22" s="664"/>
    </row>
    <row r="23" spans="1:34" ht="19.2" customHeight="1">
      <c r="A23" s="619"/>
      <c r="B23" s="471" t="s">
        <v>127</v>
      </c>
      <c r="C23" s="97"/>
      <c r="D23" s="42" t="s">
        <v>54</v>
      </c>
      <c r="E23" s="43"/>
      <c r="F23" s="357">
        <v>38.479999999999997</v>
      </c>
      <c r="G23" s="44">
        <v>4726</v>
      </c>
      <c r="H23" s="84">
        <f t="shared" si="12"/>
        <v>181856.47999999998</v>
      </c>
      <c r="I23" s="460">
        <v>1</v>
      </c>
      <c r="J23" s="93">
        <v>18</v>
      </c>
      <c r="K23" s="44">
        <v>2700</v>
      </c>
      <c r="L23" s="47">
        <v>150</v>
      </c>
      <c r="M23" s="458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67">
        <f t="shared" si="15"/>
        <v>0.87276084949215094</v>
      </c>
      <c r="S23" s="620"/>
      <c r="T23" s="89">
        <v>0.50694444444444442</v>
      </c>
      <c r="U23" s="89">
        <v>0.58611111111111114</v>
      </c>
      <c r="V23" s="474">
        <v>5</v>
      </c>
      <c r="W23" s="90">
        <f t="shared" si="16"/>
        <v>114.00000000000007</v>
      </c>
      <c r="X23" s="96"/>
      <c r="Y23" s="96"/>
      <c r="Z23" s="54"/>
      <c r="AA23" s="54"/>
      <c r="AB23" s="616"/>
      <c r="AC23" s="616"/>
      <c r="AD23" s="474">
        <v>1</v>
      </c>
      <c r="AE23" s="474"/>
      <c r="AF23" s="48">
        <f t="shared" si="6"/>
        <v>-212.63157894736969</v>
      </c>
      <c r="AG23" s="464">
        <f t="shared" si="7"/>
        <v>0.92124756335282609</v>
      </c>
      <c r="AH23" s="664"/>
    </row>
    <row r="24" spans="1:34" ht="19.2" customHeight="1">
      <c r="A24" s="619"/>
      <c r="B24" s="471" t="s">
        <v>127</v>
      </c>
      <c r="C24" s="81"/>
      <c r="D24" s="82" t="s">
        <v>60</v>
      </c>
      <c r="E24" s="83"/>
      <c r="F24" s="357">
        <v>36.86</v>
      </c>
      <c r="G24" s="57">
        <v>2398.5499999999997</v>
      </c>
      <c r="H24" s="84">
        <f t="shared" si="12"/>
        <v>88410.552999999985</v>
      </c>
      <c r="I24" s="46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67">
        <f t="shared" si="15"/>
        <v>0.94387384259259366</v>
      </c>
      <c r="S24" s="620"/>
      <c r="T24" s="89">
        <v>0.60138888888888875</v>
      </c>
      <c r="U24" s="89">
        <v>0.64583333333333315</v>
      </c>
      <c r="V24" s="474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616"/>
      <c r="AC24" s="616"/>
      <c r="AD24" s="474"/>
      <c r="AE24" s="474"/>
      <c r="AF24" s="91">
        <f t="shared" si="6"/>
        <v>-1.3593749999977263</v>
      </c>
      <c r="AG24" s="92">
        <f t="shared" si="7"/>
        <v>0.99939583333333437</v>
      </c>
      <c r="AH24" s="664"/>
    </row>
    <row r="25" spans="1:34" ht="19.2" customHeight="1">
      <c r="A25" s="619"/>
      <c r="B25" s="471">
        <v>0</v>
      </c>
      <c r="C25" s="81"/>
      <c r="D25" s="82"/>
      <c r="E25" s="83"/>
      <c r="F25" s="357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67"/>
      <c r="S25" s="620"/>
      <c r="T25" s="89"/>
      <c r="U25" s="89"/>
      <c r="V25" s="474"/>
      <c r="W25" s="90">
        <f t="shared" si="16"/>
        <v>0</v>
      </c>
      <c r="X25" s="474"/>
      <c r="Y25" s="474"/>
      <c r="Z25" s="54"/>
      <c r="AA25" s="54"/>
      <c r="AB25" s="616"/>
      <c r="AC25" s="616"/>
      <c r="AD25" s="474"/>
      <c r="AE25" s="474"/>
      <c r="AF25" s="48">
        <f t="shared" si="6"/>
        <v>0</v>
      </c>
      <c r="AG25" s="464" t="e">
        <f t="shared" si="7"/>
        <v>#DIV/0!</v>
      </c>
      <c r="AH25" s="664"/>
    </row>
    <row r="26" spans="1:34" ht="19.2" customHeight="1">
      <c r="A26" s="619"/>
      <c r="B26" s="471">
        <v>0</v>
      </c>
      <c r="C26" s="81"/>
      <c r="D26" s="82"/>
      <c r="E26" s="83"/>
      <c r="F26" s="357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67"/>
      <c r="S26" s="620"/>
      <c r="T26" s="89"/>
      <c r="U26" s="89"/>
      <c r="V26" s="474"/>
      <c r="W26" s="90">
        <f t="shared" si="16"/>
        <v>0</v>
      </c>
      <c r="X26" s="474"/>
      <c r="Y26" s="474"/>
      <c r="Z26" s="54"/>
      <c r="AA26" s="54"/>
      <c r="AB26" s="616"/>
      <c r="AC26" s="616"/>
      <c r="AD26" s="474"/>
      <c r="AE26" s="474"/>
      <c r="AF26" s="91">
        <f t="shared" si="6"/>
        <v>0</v>
      </c>
      <c r="AG26" s="92" t="e">
        <f t="shared" si="7"/>
        <v>#DIV/0!</v>
      </c>
      <c r="AH26" s="664"/>
    </row>
    <row r="27" spans="1:34" ht="19.2" customHeight="1">
      <c r="A27" s="619"/>
      <c r="B27" s="80">
        <v>0</v>
      </c>
      <c r="C27" s="81"/>
      <c r="D27" s="82"/>
      <c r="E27" s="83"/>
      <c r="F27" s="360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67"/>
      <c r="S27" s="620"/>
      <c r="T27" s="89"/>
      <c r="U27" s="89"/>
      <c r="V27" s="474"/>
      <c r="W27" s="90">
        <f t="shared" si="16"/>
        <v>0</v>
      </c>
      <c r="X27" s="474"/>
      <c r="Y27" s="474"/>
      <c r="Z27" s="54"/>
      <c r="AA27" s="54"/>
      <c r="AB27" s="616"/>
      <c r="AC27" s="616"/>
      <c r="AD27" s="474"/>
      <c r="AE27" s="474"/>
      <c r="AF27" s="48">
        <f t="shared" si="6"/>
        <v>0</v>
      </c>
      <c r="AG27" s="464" t="e">
        <f t="shared" si="7"/>
        <v>#DIV/0!</v>
      </c>
      <c r="AH27" s="664"/>
    </row>
    <row r="28" spans="1:34" ht="19.2" customHeight="1">
      <c r="A28" s="619"/>
      <c r="B28" s="80">
        <v>0</v>
      </c>
      <c r="C28" s="81"/>
      <c r="D28" s="82"/>
      <c r="E28" s="83"/>
      <c r="F28" s="360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67"/>
      <c r="S28" s="620"/>
      <c r="T28" s="89"/>
      <c r="U28" s="89"/>
      <c r="V28" s="474"/>
      <c r="W28" s="90">
        <f t="shared" si="16"/>
        <v>0</v>
      </c>
      <c r="X28" s="474"/>
      <c r="Y28" s="474"/>
      <c r="Z28" s="54"/>
      <c r="AA28" s="54"/>
      <c r="AB28" s="616"/>
      <c r="AC28" s="616"/>
      <c r="AD28" s="474"/>
      <c r="AE28" s="474"/>
      <c r="AF28" s="91">
        <f t="shared" si="6"/>
        <v>0</v>
      </c>
      <c r="AG28" s="92" t="e">
        <f t="shared" si="7"/>
        <v>#DIV/0!</v>
      </c>
      <c r="AH28" s="664"/>
    </row>
    <row r="29" spans="1:34" ht="19.2" customHeight="1">
      <c r="A29" s="619"/>
      <c r="B29" s="80">
        <v>0</v>
      </c>
      <c r="C29" s="81"/>
      <c r="D29" s="82"/>
      <c r="E29" s="83"/>
      <c r="F29" s="360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7"/>
      <c r="S29" s="620"/>
      <c r="T29" s="89"/>
      <c r="U29" s="89"/>
      <c r="V29" s="474"/>
      <c r="W29" s="90">
        <f t="shared" si="16"/>
        <v>0</v>
      </c>
      <c r="X29" s="474"/>
      <c r="Y29" s="474"/>
      <c r="Z29" s="54"/>
      <c r="AA29" s="54"/>
      <c r="AB29" s="616"/>
      <c r="AC29" s="616"/>
      <c r="AD29" s="474"/>
      <c r="AE29" s="474"/>
      <c r="AF29" s="48">
        <f t="shared" si="6"/>
        <v>0</v>
      </c>
      <c r="AG29" s="464"/>
      <c r="AH29" s="664"/>
    </row>
    <row r="30" spans="1:34" ht="19.2" customHeight="1">
      <c r="A30" s="619"/>
      <c r="B30" s="99">
        <v>0</v>
      </c>
      <c r="C30" s="100" t="s">
        <v>374</v>
      </c>
      <c r="D30" s="661" t="s">
        <v>370</v>
      </c>
      <c r="E30" s="661"/>
      <c r="F30" s="361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J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62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16"/>
      <c r="AC30" s="616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665"/>
    </row>
    <row r="31" spans="1:34" ht="19.2" customHeight="1">
      <c r="A31" s="659" t="s">
        <v>377</v>
      </c>
      <c r="B31" s="110" t="s">
        <v>130</v>
      </c>
      <c r="C31" s="66"/>
      <c r="D31" s="42" t="s">
        <v>201</v>
      </c>
      <c r="E31" s="111"/>
      <c r="F31" s="362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68">
        <f t="shared" si="20"/>
        <v>0.71628488372093013</v>
      </c>
      <c r="S31" s="660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616"/>
      <c r="AC31" s="616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637">
        <f>AG43</f>
        <v>0.84994499281410829</v>
      </c>
    </row>
    <row r="32" spans="1:34" ht="19.2" customHeight="1">
      <c r="A32" s="650"/>
      <c r="B32" s="121" t="s">
        <v>131</v>
      </c>
      <c r="C32" s="122"/>
      <c r="D32" s="42" t="s">
        <v>63</v>
      </c>
      <c r="E32" s="43"/>
      <c r="F32" s="357">
        <v>35.33</v>
      </c>
      <c r="G32" s="134">
        <v>2093</v>
      </c>
      <c r="H32" s="84">
        <f t="shared" si="22"/>
        <v>73945.69</v>
      </c>
      <c r="I32" s="457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64">
        <f t="shared" si="20"/>
        <v>0.8983603742810542</v>
      </c>
      <c r="S32" s="620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616"/>
      <c r="AC32" s="616"/>
      <c r="AD32" s="474"/>
      <c r="AE32" s="474"/>
      <c r="AF32" s="48">
        <f t="shared" si="6"/>
        <v>-215.27272727272725</v>
      </c>
      <c r="AG32" s="464">
        <f t="shared" si="7"/>
        <v>0.8983603742810542</v>
      </c>
      <c r="AH32" s="635"/>
    </row>
    <row r="33" spans="1:34" ht="19.2" customHeight="1">
      <c r="A33" s="650"/>
      <c r="B33" s="121" t="s">
        <v>131</v>
      </c>
      <c r="C33" s="474"/>
      <c r="D33" s="42" t="s">
        <v>94</v>
      </c>
      <c r="E33" s="83"/>
      <c r="F33" s="357">
        <v>34.229999999999997</v>
      </c>
      <c r="G33" s="134">
        <v>1758</v>
      </c>
      <c r="H33" s="84">
        <f t="shared" si="22"/>
        <v>60176.34</v>
      </c>
      <c r="I33" s="474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64">
        <f t="shared" si="20"/>
        <v>0.88931606636989147</v>
      </c>
      <c r="S33" s="620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616"/>
      <c r="AC33" s="616"/>
      <c r="AD33" s="474"/>
      <c r="AE33" s="474"/>
      <c r="AF33" s="48">
        <f t="shared" si="6"/>
        <v>-234.42857142856997</v>
      </c>
      <c r="AG33" s="125">
        <f t="shared" si="7"/>
        <v>0.88931606636989147</v>
      </c>
      <c r="AH33" s="635"/>
    </row>
    <row r="34" spans="1:34" ht="19.2" customHeight="1">
      <c r="A34" s="650"/>
      <c r="B34" s="121" t="s">
        <v>132</v>
      </c>
      <c r="C34" s="126"/>
      <c r="D34" s="147" t="s">
        <v>144</v>
      </c>
      <c r="E34" s="83"/>
      <c r="F34" s="357">
        <v>54.09</v>
      </c>
      <c r="G34" s="137">
        <v>540.80000000000007</v>
      </c>
      <c r="H34" s="84">
        <f t="shared" si="22"/>
        <v>29251.872000000007</v>
      </c>
      <c r="I34" s="474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64">
        <f t="shared" si="20"/>
        <v>0.83200000000000063</v>
      </c>
      <c r="S34" s="620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616"/>
      <c r="AC34" s="616"/>
      <c r="AD34" s="474"/>
      <c r="AE34" s="474"/>
      <c r="AF34" s="48">
        <f t="shared" si="6"/>
        <v>-251.99999999999909</v>
      </c>
      <c r="AG34" s="125">
        <f t="shared" si="7"/>
        <v>0.83200000000000063</v>
      </c>
      <c r="AH34" s="635"/>
    </row>
    <row r="35" spans="1:34" ht="19.2" customHeight="1">
      <c r="A35" s="650"/>
      <c r="B35" s="121" t="s">
        <v>129</v>
      </c>
      <c r="C35" s="41"/>
      <c r="D35" s="150" t="s">
        <v>189</v>
      </c>
      <c r="E35" s="43"/>
      <c r="F35" s="357">
        <v>56.43</v>
      </c>
      <c r="G35" s="137">
        <v>1857</v>
      </c>
      <c r="H35" s="84">
        <f t="shared" si="22"/>
        <v>104790.51</v>
      </c>
      <c r="I35" s="460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64">
        <f t="shared" si="20"/>
        <v>0.81077541040866197</v>
      </c>
      <c r="S35" s="620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616"/>
      <c r="AC35" s="616"/>
      <c r="AD35" s="474"/>
      <c r="AE35" s="474"/>
      <c r="AF35" s="116">
        <f t="shared" si="6"/>
        <v>-309.5714285714289</v>
      </c>
      <c r="AG35" s="120">
        <f t="shared" si="7"/>
        <v>0.81077541040866208</v>
      </c>
      <c r="AH35" s="638"/>
    </row>
    <row r="36" spans="1:34" ht="19.2" customHeight="1">
      <c r="A36" s="650"/>
      <c r="B36" s="121" t="s">
        <v>129</v>
      </c>
      <c r="C36" s="128"/>
      <c r="D36" s="150" t="s">
        <v>179</v>
      </c>
      <c r="E36" s="83"/>
      <c r="F36" s="357">
        <v>49.91</v>
      </c>
      <c r="G36" s="134">
        <v>2423.85</v>
      </c>
      <c r="H36" s="84">
        <f t="shared" si="22"/>
        <v>120974.35349999998</v>
      </c>
      <c r="I36" s="474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64">
        <f t="shared" si="20"/>
        <v>0.87345945945945946</v>
      </c>
      <c r="S36" s="620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616"/>
      <c r="AC36" s="616"/>
      <c r="AD36" s="474"/>
      <c r="AE36" s="474"/>
      <c r="AF36" s="48">
        <f t="shared" si="6"/>
        <v>-189.81081081081084</v>
      </c>
      <c r="AG36" s="464">
        <f t="shared" si="7"/>
        <v>0.87345945945945946</v>
      </c>
      <c r="AH36" s="638"/>
    </row>
    <row r="37" spans="1:34" ht="19.2" customHeight="1">
      <c r="A37" s="650"/>
      <c r="B37" s="121" t="s">
        <v>127</v>
      </c>
      <c r="C37" s="128"/>
      <c r="D37" s="150" t="s">
        <v>55</v>
      </c>
      <c r="E37" s="83"/>
      <c r="F37" s="357">
        <v>37.799999999999997</v>
      </c>
      <c r="G37" s="134">
        <v>4945</v>
      </c>
      <c r="H37" s="84">
        <f t="shared" si="22"/>
        <v>186921</v>
      </c>
      <c r="I37" s="474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64">
        <f t="shared" si="20"/>
        <v>0.90072859744990874</v>
      </c>
      <c r="S37" s="620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616"/>
      <c r="AC37" s="616"/>
      <c r="AD37" s="474">
        <v>1</v>
      </c>
      <c r="AE37" s="474">
        <v>1</v>
      </c>
      <c r="AF37" s="48">
        <f t="shared" si="6"/>
        <v>-268.03278688524642</v>
      </c>
      <c r="AG37" s="125">
        <f t="shared" si="7"/>
        <v>0.90072859744990874</v>
      </c>
      <c r="AH37" s="638"/>
    </row>
    <row r="38" spans="1:34" ht="19.2" customHeight="1">
      <c r="A38" s="650"/>
      <c r="B38" s="121">
        <v>0</v>
      </c>
      <c r="C38" s="128"/>
      <c r="D38" s="150"/>
      <c r="E38" s="83"/>
      <c r="F38" s="357" t="s">
        <v>133</v>
      </c>
      <c r="G38" s="134"/>
      <c r="H38" s="84">
        <f t="shared" si="22"/>
        <v>0</v>
      </c>
      <c r="I38" s="474"/>
      <c r="J38" s="46"/>
      <c r="K38" s="44"/>
      <c r="L38" s="47"/>
      <c r="M38" s="149"/>
      <c r="N38" s="44"/>
      <c r="O38" s="47"/>
      <c r="P38" s="116"/>
      <c r="Q38" s="49"/>
      <c r="R38" s="464"/>
      <c r="S38" s="62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616"/>
      <c r="AC38" s="616"/>
      <c r="AD38" s="474"/>
      <c r="AE38" s="474"/>
      <c r="AF38" s="48">
        <f t="shared" si="6"/>
        <v>0</v>
      </c>
      <c r="AG38" s="125" t="e">
        <f t="shared" si="7"/>
        <v>#DIV/0!</v>
      </c>
      <c r="AH38" s="638"/>
    </row>
    <row r="39" spans="1:34" ht="19.2" customHeight="1">
      <c r="A39" s="650"/>
      <c r="B39" s="121">
        <v>0</v>
      </c>
      <c r="C39" s="126"/>
      <c r="D39" s="42"/>
      <c r="E39" s="43"/>
      <c r="F39" s="357" t="s">
        <v>133</v>
      </c>
      <c r="G39" s="57"/>
      <c r="H39" s="84">
        <f t="shared" si="22"/>
        <v>0</v>
      </c>
      <c r="I39" s="474"/>
      <c r="J39" s="46"/>
      <c r="K39" s="44"/>
      <c r="L39" s="47"/>
      <c r="M39" s="463"/>
      <c r="N39" s="44"/>
      <c r="O39" s="47"/>
      <c r="P39" s="116"/>
      <c r="Q39" s="49"/>
      <c r="R39" s="464"/>
      <c r="S39" s="620"/>
      <c r="T39" s="89"/>
      <c r="U39" s="89"/>
      <c r="V39" s="474"/>
      <c r="W39" s="90">
        <f t="shared" si="25"/>
        <v>0</v>
      </c>
      <c r="X39" s="123"/>
      <c r="Y39" s="123"/>
      <c r="Z39" s="124"/>
      <c r="AA39" s="124"/>
      <c r="AB39" s="616"/>
      <c r="AC39" s="616"/>
      <c r="AD39" s="474"/>
      <c r="AE39" s="474"/>
      <c r="AF39" s="116">
        <f t="shared" si="6"/>
        <v>0</v>
      </c>
      <c r="AG39" s="120" t="e">
        <f t="shared" si="7"/>
        <v>#DIV/0!</v>
      </c>
      <c r="AH39" s="638"/>
    </row>
    <row r="40" spans="1:34" ht="19.2" customHeight="1">
      <c r="A40" s="650"/>
      <c r="B40" s="130">
        <v>0</v>
      </c>
      <c r="C40" s="97"/>
      <c r="D40" s="42"/>
      <c r="E40" s="43"/>
      <c r="F40" s="357" t="s">
        <v>133</v>
      </c>
      <c r="G40" s="44"/>
      <c r="H40" s="84">
        <f t="shared" si="22"/>
        <v>0</v>
      </c>
      <c r="I40" s="460"/>
      <c r="J40" s="46"/>
      <c r="K40" s="44"/>
      <c r="L40" s="47"/>
      <c r="M40" s="458"/>
      <c r="N40" s="44"/>
      <c r="O40" s="47"/>
      <c r="P40" s="116"/>
      <c r="Q40" s="49"/>
      <c r="R40" s="464"/>
      <c r="S40" s="620"/>
      <c r="T40" s="89"/>
      <c r="U40" s="89"/>
      <c r="V40" s="474"/>
      <c r="W40" s="90">
        <f t="shared" si="25"/>
        <v>0</v>
      </c>
      <c r="X40" s="123"/>
      <c r="Y40" s="123"/>
      <c r="Z40" s="124"/>
      <c r="AA40" s="124"/>
      <c r="AB40" s="616"/>
      <c r="AC40" s="616"/>
      <c r="AD40" s="474"/>
      <c r="AE40" s="474"/>
      <c r="AF40" s="48">
        <f t="shared" si="6"/>
        <v>0</v>
      </c>
      <c r="AG40" s="464" t="e">
        <f t="shared" si="7"/>
        <v>#DIV/0!</v>
      </c>
      <c r="AH40" s="638"/>
    </row>
    <row r="41" spans="1:34" ht="19.2" customHeight="1">
      <c r="A41" s="650"/>
      <c r="B41" s="474">
        <v>0</v>
      </c>
      <c r="C41" s="55"/>
      <c r="D41" s="82"/>
      <c r="E41" s="83"/>
      <c r="F41" s="357" t="s">
        <v>133</v>
      </c>
      <c r="G41" s="57"/>
      <c r="H41" s="84"/>
      <c r="I41" s="474"/>
      <c r="J41" s="87"/>
      <c r="K41" s="57"/>
      <c r="L41" s="86"/>
      <c r="M41" s="463"/>
      <c r="N41" s="57"/>
      <c r="O41" s="86"/>
      <c r="P41" s="54"/>
      <c r="Q41" s="88"/>
      <c r="R41" s="467"/>
      <c r="S41" s="620"/>
      <c r="T41" s="89"/>
      <c r="U41" s="89"/>
      <c r="V41" s="474"/>
      <c r="W41" s="90">
        <f t="shared" si="25"/>
        <v>0</v>
      </c>
      <c r="X41" s="123"/>
      <c r="Y41" s="123"/>
      <c r="Z41" s="124"/>
      <c r="AA41" s="124"/>
      <c r="AB41" s="616"/>
      <c r="AC41" s="616"/>
      <c r="AD41" s="474"/>
      <c r="AE41" s="474"/>
      <c r="AF41" s="48"/>
      <c r="AG41" s="129"/>
      <c r="AH41" s="638"/>
    </row>
    <row r="42" spans="1:34" ht="19.2" customHeight="1">
      <c r="A42" s="650"/>
      <c r="B42" s="474">
        <v>0</v>
      </c>
      <c r="C42" s="55"/>
      <c r="D42" s="82"/>
      <c r="E42" s="83"/>
      <c r="F42" s="363" t="s">
        <v>133</v>
      </c>
      <c r="G42" s="57"/>
      <c r="H42" s="84">
        <f>F42*G42</f>
        <v>0</v>
      </c>
      <c r="I42" s="474"/>
      <c r="J42" s="87"/>
      <c r="K42" s="57"/>
      <c r="L42" s="86"/>
      <c r="M42" s="463"/>
      <c r="N42" s="57"/>
      <c r="O42" s="86"/>
      <c r="P42" s="54"/>
      <c r="Q42" s="88"/>
      <c r="R42" s="467"/>
      <c r="S42" s="620"/>
      <c r="T42" s="89"/>
      <c r="U42" s="89"/>
      <c r="V42" s="474"/>
      <c r="W42" s="90">
        <f t="shared" si="25"/>
        <v>0</v>
      </c>
      <c r="X42" s="123"/>
      <c r="Y42" s="123"/>
      <c r="Z42" s="124"/>
      <c r="AA42" s="124"/>
      <c r="AB42" s="616"/>
      <c r="AC42" s="616"/>
      <c r="AD42" s="474"/>
      <c r="AE42" s="474"/>
      <c r="AF42" s="48"/>
      <c r="AG42" s="129"/>
      <c r="AH42" s="638"/>
    </row>
    <row r="43" spans="1:34" ht="19.2" customHeight="1">
      <c r="A43" s="650"/>
      <c r="B43" s="121">
        <v>0</v>
      </c>
      <c r="C43" s="100" t="s">
        <v>379</v>
      </c>
      <c r="D43" s="617" t="s">
        <v>370</v>
      </c>
      <c r="E43" s="617"/>
      <c r="F43" s="361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J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620"/>
      <c r="T43" s="89"/>
      <c r="U43" s="89"/>
      <c r="V43" s="474"/>
      <c r="W43" s="474"/>
      <c r="X43" s="123"/>
      <c r="Y43" s="123"/>
      <c r="Z43" s="132">
        <f>SUM(Z31:Z42)</f>
        <v>0</v>
      </c>
      <c r="AA43" s="132">
        <f>SUM(AA31:AA42)</f>
        <v>0</v>
      </c>
      <c r="AB43" s="616"/>
      <c r="AC43" s="616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65">
        <f t="shared" si="7"/>
        <v>0.84994499281410829</v>
      </c>
      <c r="AH43" s="638"/>
    </row>
    <row r="44" spans="1:34" s="145" customFormat="1" ht="19.2" customHeight="1">
      <c r="A44" s="655" t="s">
        <v>381</v>
      </c>
      <c r="B44" s="97" t="s">
        <v>130</v>
      </c>
      <c r="C44" s="133"/>
      <c r="D44" s="164" t="s">
        <v>200</v>
      </c>
      <c r="E44" s="43"/>
      <c r="F44" s="364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635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616"/>
      <c r="AC44" s="616"/>
      <c r="AD44" s="474"/>
      <c r="AE44" s="474"/>
      <c r="AF44" s="144">
        <f t="shared" si="28"/>
        <v>-444.41176470588243</v>
      </c>
      <c r="AG44" s="469">
        <f t="shared" si="7"/>
        <v>0.77779411764705875</v>
      </c>
      <c r="AH44" s="658">
        <f>AG56</f>
        <v>0.96625032805225275</v>
      </c>
    </row>
    <row r="45" spans="1:34" s="145" customFormat="1" ht="19.2" customHeight="1">
      <c r="A45" s="656"/>
      <c r="B45" s="97" t="s">
        <v>131</v>
      </c>
      <c r="C45" s="133"/>
      <c r="D45" s="42" t="s">
        <v>76</v>
      </c>
      <c r="E45" s="43"/>
      <c r="F45" s="364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635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616"/>
      <c r="AC45" s="616"/>
      <c r="AD45" s="474"/>
      <c r="AE45" s="474"/>
      <c r="AF45" s="144">
        <f t="shared" si="28"/>
        <v>103.10344827586232</v>
      </c>
      <c r="AG45" s="469">
        <f t="shared" si="7"/>
        <v>1.0515517241379311</v>
      </c>
      <c r="AH45" s="658"/>
    </row>
    <row r="46" spans="1:34" s="145" customFormat="1" ht="19.2" customHeight="1">
      <c r="A46" s="656"/>
      <c r="B46" s="97" t="s">
        <v>131</v>
      </c>
      <c r="C46" s="133"/>
      <c r="D46" s="42" t="s">
        <v>77</v>
      </c>
      <c r="E46" s="43"/>
      <c r="F46" s="364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635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616"/>
      <c r="AC46" s="616"/>
      <c r="AD46" s="474">
        <v>1</v>
      </c>
      <c r="AE46" s="474"/>
      <c r="AF46" s="144">
        <f t="shared" si="28"/>
        <v>120.35714285714312</v>
      </c>
      <c r="AG46" s="469">
        <f t="shared" si="7"/>
        <v>1.0601785714285716</v>
      </c>
      <c r="AH46" s="658"/>
    </row>
    <row r="47" spans="1:34" s="145" customFormat="1" ht="19.2" customHeight="1">
      <c r="A47" s="656"/>
      <c r="B47" s="97" t="s">
        <v>130</v>
      </c>
      <c r="C47" s="133"/>
      <c r="D47" s="42" t="s">
        <v>67</v>
      </c>
      <c r="E47" s="148"/>
      <c r="F47" s="364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635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616"/>
      <c r="AC47" s="616"/>
      <c r="AD47" s="474">
        <v>1</v>
      </c>
      <c r="AE47" s="474"/>
      <c r="AF47" s="144">
        <f t="shared" si="28"/>
        <v>-21.038961038960451</v>
      </c>
      <c r="AG47" s="469">
        <f t="shared" si="7"/>
        <v>0.98597402597402639</v>
      </c>
      <c r="AH47" s="658"/>
    </row>
    <row r="48" spans="1:34" s="145" customFormat="1" ht="19.2" customHeight="1">
      <c r="A48" s="656"/>
      <c r="B48" s="97" t="s">
        <v>130</v>
      </c>
      <c r="C48" s="133"/>
      <c r="D48" s="42" t="s">
        <v>178</v>
      </c>
      <c r="E48" s="148"/>
      <c r="F48" s="364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635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616"/>
      <c r="AC48" s="616"/>
      <c r="AD48" s="474"/>
      <c r="AE48" s="474"/>
      <c r="AF48" s="144">
        <f t="shared" si="28"/>
        <v>-47.199999999999591</v>
      </c>
      <c r="AG48" s="469">
        <f t="shared" si="7"/>
        <v>0.96853333333333358</v>
      </c>
      <c r="AH48" s="658"/>
    </row>
    <row r="49" spans="1:34" s="145" customFormat="1" ht="19.2" customHeight="1">
      <c r="A49" s="656"/>
      <c r="B49" s="97" t="s">
        <v>132</v>
      </c>
      <c r="C49" s="133"/>
      <c r="D49" s="42" t="s">
        <v>66</v>
      </c>
      <c r="E49" s="148"/>
      <c r="F49" s="364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635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616"/>
      <c r="AC49" s="616"/>
      <c r="AD49" s="474"/>
      <c r="AE49" s="474"/>
      <c r="AF49" s="144">
        <f t="shared" si="28"/>
        <v>-54.828901734103511</v>
      </c>
      <c r="AG49" s="469">
        <f t="shared" si="7"/>
        <v>0.96344739884393105</v>
      </c>
      <c r="AH49" s="658"/>
    </row>
    <row r="50" spans="1:34" s="145" customFormat="1" ht="19.2" customHeight="1">
      <c r="A50" s="656"/>
      <c r="B50" s="97" t="s">
        <v>132</v>
      </c>
      <c r="C50" s="133"/>
      <c r="D50" s="42" t="s">
        <v>66</v>
      </c>
      <c r="E50" s="148"/>
      <c r="F50" s="364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635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616"/>
      <c r="AC50" s="616"/>
      <c r="AD50" s="474"/>
      <c r="AE50" s="474"/>
      <c r="AF50" s="144">
        <f t="shared" si="28"/>
        <v>-60.977027027026452</v>
      </c>
      <c r="AG50" s="469">
        <f t="shared" si="7"/>
        <v>0.95934864864864899</v>
      </c>
      <c r="AH50" s="658"/>
    </row>
    <row r="51" spans="1:34" s="145" customFormat="1" ht="19.2" customHeight="1">
      <c r="A51" s="656"/>
      <c r="B51" s="97">
        <v>0</v>
      </c>
      <c r="C51" s="133"/>
      <c r="D51" s="150"/>
      <c r="E51" s="148"/>
      <c r="F51" s="364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35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616"/>
      <c r="AC51" s="616"/>
      <c r="AD51" s="474"/>
      <c r="AE51" s="474"/>
      <c r="AF51" s="144">
        <f t="shared" si="28"/>
        <v>0</v>
      </c>
      <c r="AG51" s="469" t="e">
        <f t="shared" si="7"/>
        <v>#DIV/0!</v>
      </c>
      <c r="AH51" s="658"/>
    </row>
    <row r="52" spans="1:34" s="145" customFormat="1" ht="19.2" customHeight="1">
      <c r="A52" s="656"/>
      <c r="B52" s="97">
        <v>0</v>
      </c>
      <c r="C52" s="133"/>
      <c r="D52" s="150"/>
      <c r="E52" s="148"/>
      <c r="F52" s="364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35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16"/>
      <c r="AC52" s="616"/>
      <c r="AD52" s="474"/>
      <c r="AE52" s="474"/>
      <c r="AF52" s="144">
        <f t="shared" si="28"/>
        <v>0</v>
      </c>
      <c r="AG52" s="469" t="e">
        <f t="shared" si="7"/>
        <v>#DIV/0!</v>
      </c>
      <c r="AH52" s="658"/>
    </row>
    <row r="53" spans="1:34" s="145" customFormat="1" ht="19.2" customHeight="1">
      <c r="A53" s="656"/>
      <c r="B53" s="97">
        <v>0</v>
      </c>
      <c r="C53" s="133"/>
      <c r="D53" s="150"/>
      <c r="E53" s="148"/>
      <c r="F53" s="364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7"/>
      <c r="S53" s="635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16"/>
      <c r="AC53" s="616"/>
      <c r="AD53" s="474"/>
      <c r="AE53" s="474"/>
      <c r="AF53" s="144">
        <f t="shared" si="28"/>
        <v>0</v>
      </c>
      <c r="AG53" s="469" t="e">
        <f t="shared" si="7"/>
        <v>#DIV/0!</v>
      </c>
      <c r="AH53" s="658"/>
    </row>
    <row r="54" spans="1:34" s="145" customFormat="1" ht="19.2" customHeight="1">
      <c r="A54" s="656"/>
      <c r="B54" s="156">
        <v>0</v>
      </c>
      <c r="C54" s="133"/>
      <c r="D54" s="150"/>
      <c r="E54" s="148"/>
      <c r="F54" s="365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7"/>
      <c r="S54" s="635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16"/>
      <c r="AC54" s="616"/>
      <c r="AD54" s="474"/>
      <c r="AE54" s="474"/>
      <c r="AF54" s="144">
        <f t="shared" si="28"/>
        <v>0</v>
      </c>
      <c r="AG54" s="469" t="e">
        <f t="shared" si="7"/>
        <v>#DIV/0!</v>
      </c>
      <c r="AH54" s="658"/>
    </row>
    <row r="55" spans="1:34" s="145" customFormat="1" ht="19.2" customHeight="1">
      <c r="A55" s="656"/>
      <c r="B55" s="156">
        <v>0</v>
      </c>
      <c r="C55" s="133"/>
      <c r="D55" s="150"/>
      <c r="E55" s="148"/>
      <c r="F55" s="365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7"/>
      <c r="S55" s="635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16"/>
      <c r="AC55" s="616"/>
      <c r="AD55" s="474"/>
      <c r="AE55" s="474"/>
      <c r="AF55" s="144"/>
      <c r="AG55" s="469"/>
      <c r="AH55" s="658"/>
    </row>
    <row r="56" spans="1:34" ht="19.2" customHeight="1">
      <c r="A56" s="657"/>
      <c r="B56" s="157">
        <v>0</v>
      </c>
      <c r="C56" s="268" t="s">
        <v>383</v>
      </c>
      <c r="D56" s="654" t="s">
        <v>370</v>
      </c>
      <c r="E56" s="617"/>
      <c r="F56" s="361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J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635"/>
      <c r="T56" s="160"/>
      <c r="U56" s="160"/>
      <c r="V56" s="462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16"/>
      <c r="AC56" s="616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67">
        <f>N56/K56</f>
        <v>0.96625032805225275</v>
      </c>
      <c r="AH56" s="658"/>
    </row>
    <row r="57" spans="1:34" ht="19.2" customHeight="1">
      <c r="A57" s="649" t="s">
        <v>385</v>
      </c>
      <c r="B57" s="121" t="s">
        <v>130</v>
      </c>
      <c r="C57" s="121"/>
      <c r="D57" s="42" t="s">
        <v>68</v>
      </c>
      <c r="E57" s="43"/>
      <c r="F57" s="357">
        <v>28.26</v>
      </c>
      <c r="G57" s="57">
        <v>1048</v>
      </c>
      <c r="H57" s="84">
        <f t="shared" ref="H57:H66" si="37">F57*G57</f>
        <v>29616.480000000003</v>
      </c>
      <c r="I57" s="474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64">
        <f t="shared" si="36"/>
        <v>0.95272727272727264</v>
      </c>
      <c r="S57" s="635">
        <f>R69</f>
        <v>0.96360438990431974</v>
      </c>
      <c r="T57" s="50">
        <v>0.125</v>
      </c>
      <c r="U57" s="50">
        <v>0.15555555555555556</v>
      </c>
      <c r="V57" s="460">
        <v>5</v>
      </c>
      <c r="W57" s="457">
        <f>(U57-T57)*24*60</f>
        <v>44</v>
      </c>
      <c r="X57" s="53"/>
      <c r="Y57" s="53"/>
      <c r="Z57" s="54"/>
      <c r="AA57" s="54"/>
      <c r="AB57" s="616"/>
      <c r="AC57" s="616"/>
      <c r="AD57" s="474"/>
      <c r="AE57" s="474"/>
      <c r="AF57" s="48">
        <f t="shared" si="6"/>
        <v>-70.909090909090992</v>
      </c>
      <c r="AG57" s="468">
        <f t="shared" si="7"/>
        <v>0.95272727272727264</v>
      </c>
      <c r="AH57" s="637">
        <f>AG69</f>
        <v>0.96387083567605558</v>
      </c>
    </row>
    <row r="58" spans="1:34" ht="19.2" customHeight="1">
      <c r="A58" s="650"/>
      <c r="B58" s="121" t="s">
        <v>130</v>
      </c>
      <c r="C58" s="474"/>
      <c r="D58" s="42" t="s">
        <v>69</v>
      </c>
      <c r="E58" s="43"/>
      <c r="F58" s="357">
        <v>27.88</v>
      </c>
      <c r="G58" s="44">
        <v>3007</v>
      </c>
      <c r="H58" s="45">
        <f t="shared" si="37"/>
        <v>83835.16</v>
      </c>
      <c r="I58" s="460"/>
      <c r="J58" s="46">
        <v>7</v>
      </c>
      <c r="K58" s="44">
        <v>1500</v>
      </c>
      <c r="L58" s="86">
        <v>214.28571428571428</v>
      </c>
      <c r="M58" s="458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64">
        <f t="shared" si="36"/>
        <v>0.96224000000000032</v>
      </c>
      <c r="S58" s="635"/>
      <c r="T58" s="50">
        <v>0.16111111111111112</v>
      </c>
      <c r="U58" s="50">
        <v>0.24791666666666667</v>
      </c>
      <c r="V58" s="460">
        <v>8</v>
      </c>
      <c r="W58" s="457">
        <f>(U58-T58)*24*60</f>
        <v>124.99999999999999</v>
      </c>
      <c r="X58" s="53"/>
      <c r="Y58" s="53"/>
      <c r="Z58" s="54"/>
      <c r="AA58" s="54"/>
      <c r="AB58" s="652"/>
      <c r="AC58" s="653"/>
      <c r="AD58" s="474"/>
      <c r="AE58" s="474">
        <v>1</v>
      </c>
      <c r="AF58" s="48">
        <f t="shared" si="6"/>
        <v>-56.639999999999645</v>
      </c>
      <c r="AG58" s="464">
        <f t="shared" si="7"/>
        <v>0.96224000000000021</v>
      </c>
      <c r="AH58" s="635"/>
    </row>
    <row r="59" spans="1:34" ht="19.2" customHeight="1">
      <c r="A59" s="650"/>
      <c r="B59" s="121" t="s">
        <v>130</v>
      </c>
      <c r="C59" s="474"/>
      <c r="D59" s="42" t="s">
        <v>70</v>
      </c>
      <c r="E59" s="43"/>
      <c r="F59" s="357">
        <v>28</v>
      </c>
      <c r="G59" s="44">
        <v>3224</v>
      </c>
      <c r="H59" s="45">
        <f t="shared" si="37"/>
        <v>90272</v>
      </c>
      <c r="I59" s="460"/>
      <c r="J59" s="46">
        <v>7</v>
      </c>
      <c r="K59" s="44">
        <v>1500</v>
      </c>
      <c r="L59" s="86">
        <v>214.28571428571428</v>
      </c>
      <c r="M59" s="458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64">
        <f t="shared" si="36"/>
        <v>0.96962406015037594</v>
      </c>
      <c r="S59" s="635"/>
      <c r="T59" s="50">
        <v>0.26527777777777778</v>
      </c>
      <c r="U59" s="50">
        <v>0.3576388888888889</v>
      </c>
      <c r="V59" s="142">
        <v>25</v>
      </c>
      <c r="W59" s="457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616"/>
      <c r="AC59" s="616"/>
      <c r="AD59" s="474"/>
      <c r="AE59" s="474"/>
      <c r="AF59" s="48">
        <f t="shared" si="6"/>
        <v>-45.56390977443607</v>
      </c>
      <c r="AG59" s="464">
        <f t="shared" si="7"/>
        <v>0.96962406015037594</v>
      </c>
      <c r="AH59" s="635"/>
    </row>
    <row r="60" spans="1:34" ht="19.2" customHeight="1">
      <c r="A60" s="650"/>
      <c r="B60" s="121" t="s">
        <v>130</v>
      </c>
      <c r="C60" s="474"/>
      <c r="D60" s="42" t="s">
        <v>387</v>
      </c>
      <c r="E60" s="43"/>
      <c r="F60" s="357">
        <v>28.47</v>
      </c>
      <c r="G60" s="44">
        <v>1447</v>
      </c>
      <c r="H60" s="45">
        <f t="shared" si="37"/>
        <v>41196.089999999997</v>
      </c>
      <c r="I60" s="460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64">
        <f t="shared" si="36"/>
        <v>0.98101694915254178</v>
      </c>
      <c r="S60" s="635"/>
      <c r="T60" s="50">
        <v>0.375</v>
      </c>
      <c r="U60" s="50">
        <v>0.41597222222222224</v>
      </c>
      <c r="V60" s="142">
        <v>25</v>
      </c>
      <c r="W60" s="457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616"/>
      <c r="AC60" s="616"/>
      <c r="AD60" s="474"/>
      <c r="AE60" s="474"/>
      <c r="AF60" s="48">
        <f t="shared" si="6"/>
        <v>-28.474576271187289</v>
      </c>
      <c r="AG60" s="468">
        <f t="shared" si="7"/>
        <v>0.98101694915254178</v>
      </c>
      <c r="AH60" s="635"/>
    </row>
    <row r="61" spans="1:34" ht="19.2" customHeight="1">
      <c r="A61" s="650"/>
      <c r="B61" s="121" t="s">
        <v>132</v>
      </c>
      <c r="C61" s="474"/>
      <c r="D61" s="42" t="s">
        <v>66</v>
      </c>
      <c r="E61" s="43"/>
      <c r="F61" s="357">
        <v>10.09</v>
      </c>
      <c r="G61" s="44">
        <v>4475.57</v>
      </c>
      <c r="H61" s="45">
        <f t="shared" si="37"/>
        <v>45158.501299999996</v>
      </c>
      <c r="I61" s="460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64">
        <f t="shared" si="36"/>
        <v>0.95734117647058781</v>
      </c>
      <c r="S61" s="635"/>
      <c r="T61" s="50">
        <v>0.45624999999999999</v>
      </c>
      <c r="U61" s="50">
        <v>0.58611111111111114</v>
      </c>
      <c r="V61" s="142">
        <v>5</v>
      </c>
      <c r="W61" s="457">
        <f t="shared" si="42"/>
        <v>187.00000000000006</v>
      </c>
      <c r="X61" s="53"/>
      <c r="Y61" s="53"/>
      <c r="Z61" s="54"/>
      <c r="AA61" s="54"/>
      <c r="AB61" s="616"/>
      <c r="AC61" s="616"/>
      <c r="AD61" s="474"/>
      <c r="AE61" s="474"/>
      <c r="AF61" s="48">
        <f t="shared" si="6"/>
        <v>-63.98823529411834</v>
      </c>
      <c r="AG61" s="464">
        <f t="shared" si="7"/>
        <v>0.95734117647058781</v>
      </c>
      <c r="AH61" s="635"/>
    </row>
    <row r="62" spans="1:34" ht="19.2" customHeight="1">
      <c r="A62" s="650"/>
      <c r="B62" s="121" t="s">
        <v>132</v>
      </c>
      <c r="C62" s="474"/>
      <c r="D62" s="42" t="s">
        <v>66</v>
      </c>
      <c r="E62" s="43"/>
      <c r="F62" s="357">
        <v>10.09</v>
      </c>
      <c r="G62" s="134">
        <v>3240.93</v>
      </c>
      <c r="H62" s="45">
        <f t="shared" si="37"/>
        <v>32700.983699999997</v>
      </c>
      <c r="I62" s="460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64">
        <f t="shared" si="36"/>
        <v>0.96027555555555544</v>
      </c>
      <c r="S62" s="635"/>
      <c r="T62" s="166">
        <v>0.6034722222222223</v>
      </c>
      <c r="U62" s="166">
        <v>0.6972222222222223</v>
      </c>
      <c r="V62" s="142">
        <v>25</v>
      </c>
      <c r="W62" s="457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616"/>
      <c r="AC62" s="616"/>
      <c r="AD62" s="474">
        <v>1</v>
      </c>
      <c r="AE62" s="474"/>
      <c r="AF62" s="48">
        <f t="shared" si="6"/>
        <v>-59.586666666666815</v>
      </c>
      <c r="AG62" s="464">
        <f t="shared" si="7"/>
        <v>0.96027555555555544</v>
      </c>
      <c r="AH62" s="635"/>
    </row>
    <row r="63" spans="1:34" ht="19.2" customHeight="1">
      <c r="A63" s="650"/>
      <c r="B63" s="121">
        <v>0</v>
      </c>
      <c r="C63" s="474"/>
      <c r="D63" s="42"/>
      <c r="E63" s="43"/>
      <c r="F63" s="357" t="s">
        <v>133</v>
      </c>
      <c r="G63" s="134"/>
      <c r="H63" s="45">
        <f t="shared" si="37"/>
        <v>0</v>
      </c>
      <c r="I63" s="460"/>
      <c r="J63" s="46"/>
      <c r="K63" s="44"/>
      <c r="L63" s="86"/>
      <c r="M63" s="62"/>
      <c r="N63" s="44"/>
      <c r="O63" s="47"/>
      <c r="P63" s="165"/>
      <c r="Q63" s="49"/>
      <c r="R63" s="464"/>
      <c r="S63" s="635"/>
      <c r="T63" s="166"/>
      <c r="U63" s="166"/>
      <c r="V63" s="142"/>
      <c r="W63" s="457">
        <f t="shared" si="42"/>
        <v>0</v>
      </c>
      <c r="X63" s="53"/>
      <c r="Y63" s="53"/>
      <c r="Z63" s="54"/>
      <c r="AA63" s="54"/>
      <c r="AB63" s="616"/>
      <c r="AC63" s="616"/>
      <c r="AD63" s="474"/>
      <c r="AE63" s="474"/>
      <c r="AF63" s="48">
        <f t="shared" si="6"/>
        <v>0</v>
      </c>
      <c r="AG63" s="468" t="e">
        <f t="shared" si="7"/>
        <v>#DIV/0!</v>
      </c>
      <c r="AH63" s="635"/>
    </row>
    <row r="64" spans="1:34" ht="19.2" customHeight="1">
      <c r="A64" s="651"/>
      <c r="B64" s="163">
        <v>0</v>
      </c>
      <c r="C64" s="408"/>
      <c r="D64" s="42"/>
      <c r="E64" s="43"/>
      <c r="F64" s="357" t="s">
        <v>133</v>
      </c>
      <c r="G64" s="134"/>
      <c r="H64" s="45">
        <f t="shared" si="37"/>
        <v>0</v>
      </c>
      <c r="I64" s="460"/>
      <c r="J64" s="167"/>
      <c r="K64" s="61"/>
      <c r="L64" s="86"/>
      <c r="M64" s="62"/>
      <c r="N64" s="44"/>
      <c r="O64" s="47"/>
      <c r="P64" s="165"/>
      <c r="Q64" s="49"/>
      <c r="R64" s="464"/>
      <c r="S64" s="635"/>
      <c r="T64" s="166"/>
      <c r="U64" s="166"/>
      <c r="V64" s="142"/>
      <c r="W64" s="457">
        <f t="shared" si="42"/>
        <v>0</v>
      </c>
      <c r="X64" s="460"/>
      <c r="Y64" s="460"/>
      <c r="Z64" s="54"/>
      <c r="AA64" s="54"/>
      <c r="AB64" s="616"/>
      <c r="AC64" s="616"/>
      <c r="AD64" s="474"/>
      <c r="AE64" s="474"/>
      <c r="AF64" s="48">
        <f t="shared" si="6"/>
        <v>0</v>
      </c>
      <c r="AG64" s="464" t="e">
        <f t="shared" si="7"/>
        <v>#DIV/0!</v>
      </c>
      <c r="AH64" s="635"/>
    </row>
    <row r="65" spans="1:34" ht="19.2" customHeight="1">
      <c r="A65" s="651"/>
      <c r="B65" s="97">
        <v>0</v>
      </c>
      <c r="C65" s="470"/>
      <c r="D65" s="42"/>
      <c r="E65" s="43"/>
      <c r="F65" s="357" t="s">
        <v>133</v>
      </c>
      <c r="G65" s="134"/>
      <c r="H65" s="45">
        <f t="shared" si="37"/>
        <v>0</v>
      </c>
      <c r="I65" s="460"/>
      <c r="J65" s="167"/>
      <c r="K65" s="61"/>
      <c r="L65" s="86"/>
      <c r="M65" s="62"/>
      <c r="N65" s="61"/>
      <c r="O65" s="77"/>
      <c r="P65" s="48"/>
      <c r="Q65" s="49"/>
      <c r="R65" s="464"/>
      <c r="S65" s="635"/>
      <c r="T65" s="166"/>
      <c r="U65" s="166"/>
      <c r="V65" s="142"/>
      <c r="W65" s="457">
        <f t="shared" si="42"/>
        <v>0</v>
      </c>
      <c r="X65" s="460"/>
      <c r="Y65" s="460"/>
      <c r="Z65" s="54"/>
      <c r="AA65" s="54"/>
      <c r="AB65" s="616"/>
      <c r="AC65" s="616"/>
      <c r="AD65" s="474"/>
      <c r="AE65" s="474"/>
      <c r="AF65" s="48">
        <f t="shared" si="6"/>
        <v>0</v>
      </c>
      <c r="AG65" s="464" t="e">
        <f t="shared" si="7"/>
        <v>#DIV/0!</v>
      </c>
      <c r="AH65" s="635"/>
    </row>
    <row r="66" spans="1:34" ht="19.2" customHeight="1">
      <c r="A66" s="651"/>
      <c r="B66" s="97">
        <v>0</v>
      </c>
      <c r="C66" s="470"/>
      <c r="D66" s="42"/>
      <c r="E66" s="43"/>
      <c r="F66" s="357" t="s">
        <v>133</v>
      </c>
      <c r="G66" s="134"/>
      <c r="H66" s="45">
        <f t="shared" si="37"/>
        <v>0</v>
      </c>
      <c r="I66" s="460"/>
      <c r="J66" s="167"/>
      <c r="K66" s="61"/>
      <c r="L66" s="86"/>
      <c r="M66" s="62"/>
      <c r="N66" s="61"/>
      <c r="O66" s="77"/>
      <c r="P66" s="48"/>
      <c r="Q66" s="49"/>
      <c r="R66" s="464"/>
      <c r="S66" s="635"/>
      <c r="T66" s="166"/>
      <c r="U66" s="166"/>
      <c r="V66" s="142"/>
      <c r="W66" s="457">
        <f t="shared" si="42"/>
        <v>0</v>
      </c>
      <c r="X66" s="460"/>
      <c r="Y66" s="460"/>
      <c r="Z66" s="54"/>
      <c r="AA66" s="54"/>
      <c r="AB66" s="616"/>
      <c r="AC66" s="616"/>
      <c r="AD66" s="474"/>
      <c r="AE66" s="474"/>
      <c r="AF66" s="48">
        <f t="shared" si="6"/>
        <v>0</v>
      </c>
      <c r="AG66" s="468" t="e">
        <f t="shared" si="7"/>
        <v>#DIV/0!</v>
      </c>
      <c r="AH66" s="635"/>
    </row>
    <row r="67" spans="1:34" ht="19.2" customHeight="1">
      <c r="A67" s="651"/>
      <c r="B67" s="97">
        <v>0</v>
      </c>
      <c r="C67" s="470"/>
      <c r="D67" s="42"/>
      <c r="E67" s="43"/>
      <c r="F67" s="357" t="s">
        <v>133</v>
      </c>
      <c r="G67" s="134"/>
      <c r="H67" s="45">
        <f>F67*G67</f>
        <v>0</v>
      </c>
      <c r="I67" s="460"/>
      <c r="J67" s="167"/>
      <c r="K67" s="61"/>
      <c r="L67" s="86"/>
      <c r="M67" s="62"/>
      <c r="N67" s="61"/>
      <c r="O67" s="77"/>
      <c r="P67" s="48"/>
      <c r="Q67" s="49"/>
      <c r="R67" s="464"/>
      <c r="S67" s="635"/>
      <c r="T67" s="166"/>
      <c r="U67" s="166"/>
      <c r="V67" s="142"/>
      <c r="W67" s="457">
        <f t="shared" si="42"/>
        <v>0</v>
      </c>
      <c r="X67" s="460"/>
      <c r="Y67" s="460"/>
      <c r="Z67" s="54"/>
      <c r="AA67" s="54"/>
      <c r="AB67" s="616"/>
      <c r="AC67" s="616"/>
      <c r="AD67" s="474"/>
      <c r="AE67" s="474"/>
      <c r="AF67" s="48">
        <f t="shared" si="6"/>
        <v>0</v>
      </c>
      <c r="AG67" s="464" t="e">
        <f t="shared" si="7"/>
        <v>#DIV/0!</v>
      </c>
      <c r="AH67" s="635"/>
    </row>
    <row r="68" spans="1:34" ht="19.2" customHeight="1">
      <c r="A68" s="651"/>
      <c r="B68" s="460">
        <v>0</v>
      </c>
      <c r="C68" s="470"/>
      <c r="D68" s="42"/>
      <c r="E68" s="43"/>
      <c r="F68" s="364" t="s">
        <v>133</v>
      </c>
      <c r="G68" s="134"/>
      <c r="H68" s="45">
        <f>F68*G68</f>
        <v>0</v>
      </c>
      <c r="I68" s="460"/>
      <c r="J68" s="167"/>
      <c r="K68" s="61"/>
      <c r="L68" s="86"/>
      <c r="M68" s="62"/>
      <c r="N68" s="61"/>
      <c r="O68" s="77"/>
      <c r="P68" s="48"/>
      <c r="Q68" s="49"/>
      <c r="R68" s="464"/>
      <c r="S68" s="635"/>
      <c r="T68" s="166"/>
      <c r="U68" s="166"/>
      <c r="V68" s="142"/>
      <c r="W68" s="457">
        <f t="shared" si="42"/>
        <v>0</v>
      </c>
      <c r="X68" s="460"/>
      <c r="Y68" s="460"/>
      <c r="Z68" s="54"/>
      <c r="AA68" s="54"/>
      <c r="AB68" s="616"/>
      <c r="AC68" s="616"/>
      <c r="AD68" s="474"/>
      <c r="AE68" s="474"/>
      <c r="AF68" s="48"/>
      <c r="AG68" s="464"/>
      <c r="AH68" s="635"/>
    </row>
    <row r="69" spans="1:34" ht="19.2" customHeight="1">
      <c r="A69" s="651"/>
      <c r="B69" s="168">
        <v>0</v>
      </c>
      <c r="C69" s="6" t="s">
        <v>388</v>
      </c>
      <c r="D69" s="617" t="s">
        <v>370</v>
      </c>
      <c r="E69" s="617"/>
      <c r="F69" s="366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J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635"/>
      <c r="T69" s="141"/>
      <c r="U69" s="141"/>
      <c r="V69" s="44"/>
      <c r="W69" s="457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16"/>
      <c r="AC69" s="616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64">
        <f t="shared" si="7"/>
        <v>0.96387083567605558</v>
      </c>
      <c r="AH69" s="635"/>
    </row>
    <row r="70" spans="1:34" ht="19.2" customHeight="1">
      <c r="A70" s="647" t="s">
        <v>390</v>
      </c>
      <c r="B70" s="460" t="s">
        <v>129</v>
      </c>
      <c r="C70" s="97"/>
      <c r="D70" s="42" t="s">
        <v>197</v>
      </c>
      <c r="E70" s="43"/>
      <c r="F70" s="357">
        <v>62.13</v>
      </c>
      <c r="G70" s="57">
        <v>1887</v>
      </c>
      <c r="H70" s="45">
        <f>F70*G70</f>
        <v>117239.31</v>
      </c>
      <c r="I70" s="460"/>
      <c r="J70" s="46">
        <v>14</v>
      </c>
      <c r="K70" s="44">
        <v>1500</v>
      </c>
      <c r="L70" s="47">
        <v>107.14285714285714</v>
      </c>
      <c r="M70" s="458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64">
        <f t="shared" si="44"/>
        <v>0.93185185185185138</v>
      </c>
      <c r="S70" s="635">
        <f>R82</f>
        <v>0.92888652219074841</v>
      </c>
      <c r="T70" s="50">
        <v>0.25</v>
      </c>
      <c r="U70" s="50">
        <v>0.30625000000000002</v>
      </c>
      <c r="V70" s="460">
        <v>5</v>
      </c>
      <c r="W70" s="457">
        <f>(U70-T70)*24*60</f>
        <v>81.000000000000028</v>
      </c>
      <c r="X70" s="460"/>
      <c r="Y70" s="460"/>
      <c r="Z70" s="54"/>
      <c r="AA70" s="54"/>
      <c r="AB70" s="616"/>
      <c r="AC70" s="616"/>
      <c r="AD70" s="474"/>
      <c r="AE70" s="474"/>
      <c r="AF70" s="48">
        <f t="shared" si="6"/>
        <v>-102.22222222222285</v>
      </c>
      <c r="AG70" s="464">
        <f t="shared" si="7"/>
        <v>0.93185185185185138</v>
      </c>
      <c r="AH70" s="635">
        <f>AG82</f>
        <v>0.9289173241097155</v>
      </c>
    </row>
    <row r="71" spans="1:34" ht="19.2" customHeight="1">
      <c r="A71" s="647"/>
      <c r="B71" s="460" t="s">
        <v>128</v>
      </c>
      <c r="C71" s="41"/>
      <c r="D71" s="173" t="s">
        <v>71</v>
      </c>
      <c r="E71" s="43"/>
      <c r="F71" s="357">
        <v>47.65</v>
      </c>
      <c r="G71" s="44">
        <v>1521.36</v>
      </c>
      <c r="H71" s="45">
        <f>F71*G71</f>
        <v>72492.803999999989</v>
      </c>
      <c r="I71" s="460"/>
      <c r="J71" s="46">
        <v>18</v>
      </c>
      <c r="K71" s="174">
        <v>1440</v>
      </c>
      <c r="L71" s="47">
        <v>80</v>
      </c>
      <c r="M71" s="463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64">
        <f t="shared" si="44"/>
        <v>0.932205882352941</v>
      </c>
      <c r="S71" s="635"/>
      <c r="T71" s="50">
        <v>0.31180555555555556</v>
      </c>
      <c r="U71" s="50">
        <v>0.35902777777777778</v>
      </c>
      <c r="V71" s="460">
        <v>8</v>
      </c>
      <c r="W71" s="457">
        <f t="shared" ref="W71:W81" si="49">(U71-T71)*24*60</f>
        <v>68</v>
      </c>
      <c r="X71" s="53"/>
      <c r="Y71" s="53"/>
      <c r="Z71" s="54"/>
      <c r="AA71" s="54"/>
      <c r="AB71" s="616"/>
      <c r="AC71" s="616"/>
      <c r="AD71" s="474"/>
      <c r="AE71" s="474"/>
      <c r="AF71" s="48">
        <f>N71-K71</f>
        <v>-97.623529411764821</v>
      </c>
      <c r="AG71" s="464">
        <f>N71/K71</f>
        <v>0.93220588235294111</v>
      </c>
      <c r="AH71" s="635"/>
    </row>
    <row r="72" spans="1:34" ht="19.2" customHeight="1">
      <c r="A72" s="647"/>
      <c r="B72" s="460" t="s">
        <v>128</v>
      </c>
      <c r="C72" s="66"/>
      <c r="D72" s="173" t="s">
        <v>72</v>
      </c>
      <c r="E72" s="43"/>
      <c r="F72" s="357">
        <v>53.36</v>
      </c>
      <c r="G72" s="44">
        <v>3630.25</v>
      </c>
      <c r="H72" s="45">
        <f t="shared" ref="H72:H80" si="50">F72*G72</f>
        <v>193710.13999999998</v>
      </c>
      <c r="I72" s="460"/>
      <c r="J72" s="87">
        <v>19</v>
      </c>
      <c r="K72" s="57">
        <v>1440</v>
      </c>
      <c r="L72" s="86">
        <v>75.78947368421052</v>
      </c>
      <c r="M72" s="458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64">
        <f t="shared" si="44"/>
        <v>0.93950569358178049</v>
      </c>
      <c r="S72" s="635"/>
      <c r="T72" s="50">
        <v>0.37430555555555556</v>
      </c>
      <c r="U72" s="50">
        <v>0.4861111111111111</v>
      </c>
      <c r="V72" s="460">
        <v>22</v>
      </c>
      <c r="W72" s="457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616"/>
      <c r="AC72" s="616"/>
      <c r="AD72" s="474"/>
      <c r="AE72" s="474"/>
      <c r="AF72" s="48">
        <f>N72-K72</f>
        <v>-87.111801242236197</v>
      </c>
      <c r="AG72" s="464">
        <f>N72/K72</f>
        <v>0.93950569358178038</v>
      </c>
      <c r="AH72" s="635"/>
    </row>
    <row r="73" spans="1:34" ht="19.2" customHeight="1">
      <c r="A73" s="647"/>
      <c r="B73" s="460" t="s">
        <v>128</v>
      </c>
      <c r="C73" s="175"/>
      <c r="D73" s="176" t="s">
        <v>73</v>
      </c>
      <c r="E73" s="177"/>
      <c r="F73" s="357">
        <v>53.76</v>
      </c>
      <c r="G73" s="44">
        <v>2567</v>
      </c>
      <c r="H73" s="45">
        <f t="shared" si="50"/>
        <v>138001.91999999998</v>
      </c>
      <c r="I73" s="474"/>
      <c r="J73" s="178">
        <v>16</v>
      </c>
      <c r="K73" s="179">
        <v>1440</v>
      </c>
      <c r="L73" s="86">
        <v>90</v>
      </c>
      <c r="M73" s="463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64">
        <f t="shared" si="44"/>
        <v>0.92205459770114895</v>
      </c>
      <c r="S73" s="635"/>
      <c r="T73" s="50">
        <v>0.52638888888888891</v>
      </c>
      <c r="U73" s="50">
        <v>0.60694444444444451</v>
      </c>
      <c r="V73" s="460">
        <v>5</v>
      </c>
      <c r="W73" s="457">
        <f t="shared" si="49"/>
        <v>116.00000000000007</v>
      </c>
      <c r="X73" s="180"/>
      <c r="Y73" s="180"/>
      <c r="Z73" s="124"/>
      <c r="AA73" s="124"/>
      <c r="AB73" s="616"/>
      <c r="AC73" s="616"/>
      <c r="AD73" s="474"/>
      <c r="AE73" s="474"/>
      <c r="AF73" s="48">
        <f>N73-K73</f>
        <v>-112.24137931034556</v>
      </c>
      <c r="AG73" s="464">
        <f>N73/K73</f>
        <v>0.92205459770114895</v>
      </c>
      <c r="AH73" s="635"/>
    </row>
    <row r="74" spans="1:34" ht="19.2" customHeight="1">
      <c r="A74" s="647"/>
      <c r="B74" s="460" t="s">
        <v>128</v>
      </c>
      <c r="C74" s="175"/>
      <c r="D74" s="176" t="s">
        <v>74</v>
      </c>
      <c r="E74" s="177"/>
      <c r="F74" s="357">
        <v>47.51</v>
      </c>
      <c r="G74" s="44">
        <v>1862</v>
      </c>
      <c r="H74" s="45">
        <f t="shared" si="50"/>
        <v>88463.62</v>
      </c>
      <c r="I74" s="460"/>
      <c r="J74" s="46">
        <v>17</v>
      </c>
      <c r="K74" s="174">
        <v>1440</v>
      </c>
      <c r="L74" s="47">
        <v>84.705882352941174</v>
      </c>
      <c r="M74" s="458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64">
        <f t="shared" si="44"/>
        <v>0.93473895582329292</v>
      </c>
      <c r="S74" s="635"/>
      <c r="T74" s="50">
        <v>0.62291666666666679</v>
      </c>
      <c r="U74" s="50">
        <v>0.68055555555555569</v>
      </c>
      <c r="V74" s="460">
        <v>23</v>
      </c>
      <c r="W74" s="457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616"/>
      <c r="AC74" s="616"/>
      <c r="AD74" s="474"/>
      <c r="AE74" s="474"/>
      <c r="AF74" s="48">
        <f t="shared" ref="AF74:AF80" si="51">N74-K74</f>
        <v>-93.975903614458275</v>
      </c>
      <c r="AG74" s="464">
        <f t="shared" ref="AG74:AG80" si="52">N74/K74</f>
        <v>0.93473895582329292</v>
      </c>
      <c r="AH74" s="635"/>
    </row>
    <row r="75" spans="1:34" ht="19.2" customHeight="1">
      <c r="A75" s="647"/>
      <c r="B75" s="460" t="s">
        <v>128</v>
      </c>
      <c r="C75" s="66"/>
      <c r="D75" s="173" t="s">
        <v>71</v>
      </c>
      <c r="E75" s="43"/>
      <c r="F75" s="357">
        <v>47.65</v>
      </c>
      <c r="G75" s="57">
        <v>591.6400000000001</v>
      </c>
      <c r="H75" s="45">
        <f t="shared" si="50"/>
        <v>28191.646000000004</v>
      </c>
      <c r="I75" s="460">
        <v>1</v>
      </c>
      <c r="J75" s="87">
        <v>18</v>
      </c>
      <c r="K75" s="57">
        <v>1440</v>
      </c>
      <c r="L75" s="86">
        <v>80</v>
      </c>
      <c r="M75" s="458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64">
        <f t="shared" si="44"/>
        <v>0.91302469135802278</v>
      </c>
      <c r="S75" s="635"/>
      <c r="T75" s="50">
        <v>0.68541666666666679</v>
      </c>
      <c r="U75" s="50">
        <v>0.70416666666666683</v>
      </c>
      <c r="V75" s="460">
        <v>7</v>
      </c>
      <c r="W75" s="457">
        <f t="shared" si="49"/>
        <v>27.000000000000064</v>
      </c>
      <c r="X75" s="180"/>
      <c r="Y75" s="180"/>
      <c r="Z75" s="124"/>
      <c r="AA75" s="124"/>
      <c r="AB75" s="616"/>
      <c r="AC75" s="616"/>
      <c r="AD75" s="474"/>
      <c r="AE75" s="474"/>
      <c r="AF75" s="48">
        <f t="shared" si="51"/>
        <v>-125.24444444444725</v>
      </c>
      <c r="AG75" s="464">
        <f t="shared" si="52"/>
        <v>0.91302469135802278</v>
      </c>
      <c r="AH75" s="635"/>
    </row>
    <row r="76" spans="1:34" ht="19.2" customHeight="1">
      <c r="A76" s="647"/>
      <c r="B76" s="460">
        <v>0</v>
      </c>
      <c r="C76" s="175"/>
      <c r="D76" s="176"/>
      <c r="E76" s="177"/>
      <c r="F76" s="357" t="s">
        <v>133</v>
      </c>
      <c r="G76" s="174"/>
      <c r="H76" s="45">
        <f t="shared" si="50"/>
        <v>0</v>
      </c>
      <c r="I76" s="460"/>
      <c r="J76" s="178"/>
      <c r="K76" s="179"/>
      <c r="L76" s="86"/>
      <c r="M76" s="463"/>
      <c r="N76" s="44"/>
      <c r="O76" s="47"/>
      <c r="P76" s="48"/>
      <c r="Q76" s="49"/>
      <c r="R76" s="464"/>
      <c r="S76" s="635"/>
      <c r="T76" s="50"/>
      <c r="U76" s="50"/>
      <c r="V76" s="460" t="s">
        <v>15</v>
      </c>
      <c r="W76" s="457">
        <f t="shared" si="49"/>
        <v>0</v>
      </c>
      <c r="X76" s="180"/>
      <c r="Y76" s="180"/>
      <c r="Z76" s="124"/>
      <c r="AA76" s="124"/>
      <c r="AB76" s="616"/>
      <c r="AC76" s="616"/>
      <c r="AD76" s="474"/>
      <c r="AE76" s="474"/>
      <c r="AF76" s="48">
        <f t="shared" si="51"/>
        <v>0</v>
      </c>
      <c r="AG76" s="464" t="e">
        <f t="shared" si="52"/>
        <v>#DIV/0!</v>
      </c>
      <c r="AH76" s="635"/>
    </row>
    <row r="77" spans="1:34" ht="19.2" customHeight="1">
      <c r="A77" s="647"/>
      <c r="B77" s="460">
        <v>0</v>
      </c>
      <c r="C77" s="470"/>
      <c r="D77" s="42"/>
      <c r="E77" s="43"/>
      <c r="F77" s="357" t="s">
        <v>133</v>
      </c>
      <c r="G77" s="174"/>
      <c r="H77" s="45">
        <f t="shared" si="50"/>
        <v>0</v>
      </c>
      <c r="I77" s="474"/>
      <c r="J77" s="46"/>
      <c r="K77" s="174"/>
      <c r="L77" s="47"/>
      <c r="M77" s="463"/>
      <c r="N77" s="44"/>
      <c r="O77" s="47"/>
      <c r="P77" s="48"/>
      <c r="Q77" s="49"/>
      <c r="R77" s="464"/>
      <c r="S77" s="635"/>
      <c r="T77" s="50"/>
      <c r="U77" s="50"/>
      <c r="V77" s="460"/>
      <c r="W77" s="457">
        <f t="shared" si="49"/>
        <v>0</v>
      </c>
      <c r="X77" s="180"/>
      <c r="Y77" s="180"/>
      <c r="Z77" s="124"/>
      <c r="AA77" s="124"/>
      <c r="AB77" s="616"/>
      <c r="AC77" s="616"/>
      <c r="AD77" s="474"/>
      <c r="AE77" s="474"/>
      <c r="AF77" s="48">
        <f t="shared" si="51"/>
        <v>0</v>
      </c>
      <c r="AG77" s="464" t="e">
        <f t="shared" si="52"/>
        <v>#DIV/0!</v>
      </c>
      <c r="AH77" s="635"/>
    </row>
    <row r="78" spans="1:34" ht="19.2" customHeight="1">
      <c r="A78" s="647"/>
      <c r="B78" s="460">
        <v>0</v>
      </c>
      <c r="C78" s="470"/>
      <c r="D78" s="42"/>
      <c r="E78" s="43"/>
      <c r="F78" s="357" t="s">
        <v>133</v>
      </c>
      <c r="G78" s="57"/>
      <c r="H78" s="45">
        <f t="shared" si="50"/>
        <v>0</v>
      </c>
      <c r="I78" s="474"/>
      <c r="J78" s="87"/>
      <c r="K78" s="57"/>
      <c r="L78" s="86"/>
      <c r="M78" s="463"/>
      <c r="N78" s="44"/>
      <c r="O78" s="47"/>
      <c r="P78" s="48"/>
      <c r="Q78" s="49"/>
      <c r="R78" s="464"/>
      <c r="S78" s="635"/>
      <c r="T78" s="50"/>
      <c r="U78" s="50"/>
      <c r="V78" s="460"/>
      <c r="W78" s="457">
        <f t="shared" si="49"/>
        <v>0</v>
      </c>
      <c r="X78" s="180"/>
      <c r="Y78" s="180"/>
      <c r="Z78" s="124"/>
      <c r="AA78" s="124"/>
      <c r="AB78" s="616"/>
      <c r="AC78" s="616"/>
      <c r="AD78" s="474"/>
      <c r="AE78" s="474"/>
      <c r="AF78" s="48">
        <f t="shared" si="51"/>
        <v>0</v>
      </c>
      <c r="AG78" s="464" t="e">
        <f t="shared" si="52"/>
        <v>#DIV/0!</v>
      </c>
      <c r="AH78" s="635"/>
    </row>
    <row r="79" spans="1:34" ht="19.2" customHeight="1">
      <c r="A79" s="647"/>
      <c r="B79" s="460">
        <v>0</v>
      </c>
      <c r="C79" s="175"/>
      <c r="D79" s="176"/>
      <c r="E79" s="177"/>
      <c r="F79" s="357" t="s">
        <v>133</v>
      </c>
      <c r="G79" s="57"/>
      <c r="H79" s="45">
        <f t="shared" si="50"/>
        <v>0</v>
      </c>
      <c r="I79" s="474"/>
      <c r="J79" s="87"/>
      <c r="K79" s="57"/>
      <c r="L79" s="86"/>
      <c r="M79" s="463"/>
      <c r="N79" s="57"/>
      <c r="O79" s="181"/>
      <c r="P79" s="108"/>
      <c r="Q79" s="182"/>
      <c r="R79" s="109"/>
      <c r="S79" s="635"/>
      <c r="T79" s="50"/>
      <c r="U79" s="50"/>
      <c r="V79" s="460"/>
      <c r="W79" s="457">
        <f t="shared" si="49"/>
        <v>0</v>
      </c>
      <c r="X79" s="180"/>
      <c r="Y79" s="180"/>
      <c r="Z79" s="124"/>
      <c r="AA79" s="124"/>
      <c r="AB79" s="616"/>
      <c r="AC79" s="616"/>
      <c r="AD79" s="474"/>
      <c r="AE79" s="474"/>
      <c r="AF79" s="48">
        <f t="shared" si="51"/>
        <v>0</v>
      </c>
      <c r="AG79" s="464" t="e">
        <f t="shared" si="52"/>
        <v>#DIV/0!</v>
      </c>
      <c r="AH79" s="635"/>
    </row>
    <row r="80" spans="1:34" ht="19.2" customHeight="1">
      <c r="A80" s="647"/>
      <c r="B80" s="460">
        <v>0</v>
      </c>
      <c r="C80" s="470"/>
      <c r="D80" s="42"/>
      <c r="E80" s="43"/>
      <c r="F80" s="357"/>
      <c r="G80" s="57"/>
      <c r="H80" s="45">
        <f t="shared" si="50"/>
        <v>0</v>
      </c>
      <c r="I80" s="474"/>
      <c r="J80" s="87"/>
      <c r="K80" s="57"/>
      <c r="L80" s="86"/>
      <c r="M80" s="463"/>
      <c r="N80" s="57"/>
      <c r="O80" s="183"/>
      <c r="P80" s="54"/>
      <c r="Q80" s="88"/>
      <c r="R80" s="473"/>
      <c r="S80" s="635"/>
      <c r="T80" s="50"/>
      <c r="U80" s="50"/>
      <c r="V80" s="460"/>
      <c r="W80" s="457">
        <f t="shared" si="49"/>
        <v>0</v>
      </c>
      <c r="X80" s="180"/>
      <c r="Y80" s="180"/>
      <c r="Z80" s="124"/>
      <c r="AA80" s="124"/>
      <c r="AB80" s="616"/>
      <c r="AC80" s="616"/>
      <c r="AD80" s="474"/>
      <c r="AE80" s="474"/>
      <c r="AF80" s="48">
        <f t="shared" si="51"/>
        <v>0</v>
      </c>
      <c r="AG80" s="464" t="e">
        <f t="shared" si="52"/>
        <v>#DIV/0!</v>
      </c>
      <c r="AH80" s="635"/>
    </row>
    <row r="81" spans="1:34" ht="19.2" customHeight="1">
      <c r="A81" s="647"/>
      <c r="B81" s="460">
        <v>0</v>
      </c>
      <c r="C81" s="470"/>
      <c r="D81" s="42"/>
      <c r="E81" s="43"/>
      <c r="F81" s="364"/>
      <c r="G81" s="57"/>
      <c r="H81" s="84"/>
      <c r="I81" s="474"/>
      <c r="J81" s="87"/>
      <c r="K81" s="57"/>
      <c r="L81" s="86"/>
      <c r="M81" s="463"/>
      <c r="N81" s="57"/>
      <c r="O81" s="183"/>
      <c r="P81" s="54"/>
      <c r="Q81" s="88"/>
      <c r="R81" s="473"/>
      <c r="S81" s="635"/>
      <c r="T81" s="50"/>
      <c r="U81" s="50"/>
      <c r="V81" s="460"/>
      <c r="W81" s="457">
        <f t="shared" si="49"/>
        <v>0</v>
      </c>
      <c r="X81" s="180"/>
      <c r="Y81" s="180"/>
      <c r="Z81" s="124"/>
      <c r="AA81" s="124"/>
      <c r="AB81" s="616"/>
      <c r="AC81" s="616"/>
      <c r="AD81" s="474"/>
      <c r="AE81" s="474"/>
      <c r="AF81" s="48"/>
      <c r="AG81" s="125"/>
      <c r="AH81" s="635"/>
    </row>
    <row r="82" spans="1:34" ht="19.2" customHeight="1">
      <c r="A82" s="648"/>
      <c r="B82" s="168">
        <v>0</v>
      </c>
      <c r="C82" s="100" t="s">
        <v>392</v>
      </c>
      <c r="D82" s="617" t="s">
        <v>370</v>
      </c>
      <c r="E82" s="617"/>
      <c r="F82" s="367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J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635"/>
      <c r="T82" s="50"/>
      <c r="U82" s="50"/>
      <c r="V82" s="460"/>
      <c r="W82" s="44"/>
      <c r="X82" s="47"/>
      <c r="Y82" s="47"/>
      <c r="Z82" s="106">
        <f>SUM(Z70:Z81)</f>
        <v>0</v>
      </c>
      <c r="AA82" s="106">
        <f>SUM(AA70:AA81)</f>
        <v>0</v>
      </c>
      <c r="AB82" s="616"/>
      <c r="AC82" s="616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64">
        <f>N82/K82</f>
        <v>0.9289173241097155</v>
      </c>
      <c r="AH82" s="635"/>
    </row>
    <row r="83" spans="1:34" ht="19.2" customHeight="1">
      <c r="A83" s="645" t="s">
        <v>394</v>
      </c>
      <c r="B83" s="110" t="s">
        <v>129</v>
      </c>
      <c r="C83" s="66"/>
      <c r="D83" s="373" t="s">
        <v>206</v>
      </c>
      <c r="E83" s="43"/>
      <c r="F83" s="364">
        <v>50.67</v>
      </c>
      <c r="G83" s="57">
        <v>1833.65</v>
      </c>
      <c r="H83" s="84">
        <f t="shared" ref="H83:H94" si="54">F83*G83</f>
        <v>92911.045500000007</v>
      </c>
      <c r="I83" s="474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635">
        <f>R95</f>
        <v>0.89778183354077989</v>
      </c>
      <c r="T83" s="50">
        <v>0.33333333333333331</v>
      </c>
      <c r="U83" s="50">
        <v>0.3881944444444444</v>
      </c>
      <c r="V83" s="460">
        <v>5</v>
      </c>
      <c r="W83" s="457">
        <f t="shared" ref="W83:W93" si="60">(U83-T83)*24*60</f>
        <v>78.999999999999957</v>
      </c>
      <c r="X83" s="53"/>
      <c r="Y83" s="53"/>
      <c r="Z83" s="54"/>
      <c r="AA83" s="54"/>
      <c r="AB83" s="616"/>
      <c r="AC83" s="616"/>
      <c r="AD83" s="474"/>
      <c r="AE83" s="474"/>
      <c r="AF83" s="48">
        <f t="shared" ref="AF83:AF173" si="61">N83-K83</f>
        <v>-107.35443037974596</v>
      </c>
      <c r="AG83" s="464">
        <f t="shared" ref="AG83:AG173" si="62">N83/K83</f>
        <v>0.92843037974683607</v>
      </c>
      <c r="AH83" s="635">
        <f>AG95</f>
        <v>0.89807670062735734</v>
      </c>
    </row>
    <row r="84" spans="1:34" ht="19.2" customHeight="1">
      <c r="A84" s="646"/>
      <c r="B84" s="110" t="s">
        <v>128</v>
      </c>
      <c r="C84" s="470"/>
      <c r="D84" s="186" t="s">
        <v>185</v>
      </c>
      <c r="E84" s="43"/>
      <c r="F84" s="364">
        <v>61.02</v>
      </c>
      <c r="G84" s="44">
        <v>2335</v>
      </c>
      <c r="H84" s="84">
        <f t="shared" si="54"/>
        <v>142481.70000000001</v>
      </c>
      <c r="I84" s="460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635"/>
      <c r="T84" s="50">
        <v>0.40347222222222218</v>
      </c>
      <c r="U84" s="50">
        <v>0.47569444444444442</v>
      </c>
      <c r="V84" s="460">
        <v>22</v>
      </c>
      <c r="W84" s="457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616"/>
      <c r="AC84" s="616"/>
      <c r="AD84" s="474">
        <v>1</v>
      </c>
      <c r="AE84" s="474"/>
      <c r="AF84" s="48">
        <f t="shared" si="61"/>
        <v>-92.884615384615927</v>
      </c>
      <c r="AG84" s="464">
        <f t="shared" si="62"/>
        <v>0.93549679487179449</v>
      </c>
      <c r="AH84" s="635"/>
    </row>
    <row r="85" spans="1:34" ht="19.2" customHeight="1">
      <c r="A85" s="646"/>
      <c r="B85" s="110" t="s">
        <v>132</v>
      </c>
      <c r="C85" s="122"/>
      <c r="D85" s="186" t="s">
        <v>190</v>
      </c>
      <c r="E85" s="43"/>
      <c r="F85" s="364">
        <v>54.09</v>
      </c>
      <c r="G85" s="44">
        <v>1064</v>
      </c>
      <c r="H85" s="84">
        <f t="shared" si="54"/>
        <v>57551.76</v>
      </c>
      <c r="I85" s="460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635"/>
      <c r="T85" s="50">
        <v>0.51597222222222217</v>
      </c>
      <c r="U85" s="50">
        <v>0.55694444444444435</v>
      </c>
      <c r="V85" s="460">
        <v>5</v>
      </c>
      <c r="W85" s="457">
        <f t="shared" si="60"/>
        <v>58.99999999999995</v>
      </c>
      <c r="X85" s="53"/>
      <c r="Y85" s="53"/>
      <c r="Z85" s="54"/>
      <c r="AA85" s="54"/>
      <c r="AB85" s="616"/>
      <c r="AC85" s="616"/>
      <c r="AD85" s="474"/>
      <c r="AE85" s="474"/>
      <c r="AF85" s="48">
        <f t="shared" si="61"/>
        <v>-217.96610169491441</v>
      </c>
      <c r="AG85" s="464">
        <f t="shared" si="62"/>
        <v>0.83233376792698888</v>
      </c>
      <c r="AH85" s="635"/>
    </row>
    <row r="86" spans="1:34" ht="19.2" customHeight="1">
      <c r="A86" s="646"/>
      <c r="B86" s="110" t="s">
        <v>128</v>
      </c>
      <c r="C86" s="97"/>
      <c r="D86" s="186" t="s">
        <v>203</v>
      </c>
      <c r="E86" s="43"/>
      <c r="F86" s="364">
        <v>61.09</v>
      </c>
      <c r="G86" s="44">
        <v>1964</v>
      </c>
      <c r="H86" s="84">
        <f t="shared" si="54"/>
        <v>119980.76000000001</v>
      </c>
      <c r="I86" s="460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635"/>
      <c r="T86" s="50">
        <v>0.56249999999999989</v>
      </c>
      <c r="U86" s="50">
        <v>0.62638888888888877</v>
      </c>
      <c r="V86" s="460">
        <v>8</v>
      </c>
      <c r="W86" s="457">
        <f t="shared" si="60"/>
        <v>92</v>
      </c>
      <c r="X86" s="53"/>
      <c r="Y86" s="53"/>
      <c r="Z86" s="54"/>
      <c r="AA86" s="54"/>
      <c r="AB86" s="616"/>
      <c r="AC86" s="616"/>
      <c r="AD86" s="474"/>
      <c r="AE86" s="474"/>
      <c r="AF86" s="48">
        <f t="shared" si="61"/>
        <v>-159.13043478260852</v>
      </c>
      <c r="AG86" s="464">
        <f t="shared" si="62"/>
        <v>0.88949275362318858</v>
      </c>
      <c r="AH86" s="635"/>
    </row>
    <row r="87" spans="1:34" ht="19.2" customHeight="1">
      <c r="A87" s="646"/>
      <c r="B87" s="110" t="s">
        <v>129</v>
      </c>
      <c r="C87" s="97"/>
      <c r="D87" s="186" t="s">
        <v>62</v>
      </c>
      <c r="E87" s="43"/>
      <c r="F87" s="364">
        <v>38.39</v>
      </c>
      <c r="G87" s="44">
        <v>772.09999999999991</v>
      </c>
      <c r="H87" s="84">
        <f t="shared" si="54"/>
        <v>29640.918999999998</v>
      </c>
      <c r="I87" s="460">
        <v>1</v>
      </c>
      <c r="J87" s="87">
        <v>16</v>
      </c>
      <c r="K87" s="57">
        <v>1636</v>
      </c>
      <c r="L87" s="86">
        <v>102.25</v>
      </c>
      <c r="M87" s="463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635"/>
      <c r="T87" s="50">
        <v>0.6416666666666665</v>
      </c>
      <c r="U87" s="50">
        <v>0.66527777777777763</v>
      </c>
      <c r="V87" s="460">
        <v>22</v>
      </c>
      <c r="W87" s="457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616"/>
      <c r="AC87" s="616"/>
      <c r="AD87" s="474"/>
      <c r="AE87" s="474"/>
      <c r="AF87" s="48">
        <f t="shared" si="61"/>
        <v>-273.47058823529596</v>
      </c>
      <c r="AG87" s="464">
        <f t="shared" si="62"/>
        <v>0.83284193873148171</v>
      </c>
      <c r="AH87" s="635"/>
    </row>
    <row r="88" spans="1:34" ht="19.2" customHeight="1">
      <c r="A88" s="646"/>
      <c r="B88" s="110" t="s">
        <v>129</v>
      </c>
      <c r="C88" s="470"/>
      <c r="D88" s="186" t="s">
        <v>186</v>
      </c>
      <c r="E88" s="43"/>
      <c r="F88" s="364">
        <v>56.43</v>
      </c>
      <c r="G88" s="57">
        <v>667.09999999999991</v>
      </c>
      <c r="H88" s="84">
        <f t="shared" si="54"/>
        <v>37644.452999999994</v>
      </c>
      <c r="I88" s="460">
        <v>1</v>
      </c>
      <c r="J88" s="87">
        <v>16</v>
      </c>
      <c r="K88" s="57">
        <v>1500</v>
      </c>
      <c r="L88" s="86">
        <v>93.75</v>
      </c>
      <c r="M88" s="463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635"/>
      <c r="T88" s="50">
        <v>0.67013888888888873</v>
      </c>
      <c r="U88" s="50">
        <v>0.6909722222222221</v>
      </c>
      <c r="V88" s="460">
        <v>7</v>
      </c>
      <c r="W88" s="457">
        <f t="shared" si="60"/>
        <v>30.000000000000053</v>
      </c>
      <c r="X88" s="53"/>
      <c r="Y88" s="53"/>
      <c r="Z88" s="54"/>
      <c r="AA88" s="54"/>
      <c r="AB88" s="616"/>
      <c r="AC88" s="616"/>
      <c r="AD88" s="474"/>
      <c r="AE88" s="474"/>
      <c r="AF88" s="48">
        <f t="shared" si="61"/>
        <v>-165.80000000000246</v>
      </c>
      <c r="AG88" s="464">
        <f t="shared" si="62"/>
        <v>0.88946666666666507</v>
      </c>
      <c r="AH88" s="635"/>
    </row>
    <row r="89" spans="1:34" ht="19.2" customHeight="1">
      <c r="A89" s="646"/>
      <c r="B89" s="110" t="s">
        <v>130</v>
      </c>
      <c r="C89" s="470"/>
      <c r="D89" s="42" t="s">
        <v>61</v>
      </c>
      <c r="E89" s="43"/>
      <c r="F89" s="364">
        <v>43.14</v>
      </c>
      <c r="G89" s="114">
        <v>628.25</v>
      </c>
      <c r="H89" s="84">
        <f t="shared" si="54"/>
        <v>27102.705000000002</v>
      </c>
      <c r="I89" s="460">
        <v>1</v>
      </c>
      <c r="J89" s="87">
        <v>16</v>
      </c>
      <c r="K89" s="57">
        <v>1440</v>
      </c>
      <c r="L89" s="86">
        <v>90</v>
      </c>
      <c r="M89" s="463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635"/>
      <c r="T89" s="50">
        <v>0.69513888888888875</v>
      </c>
      <c r="U89" s="50">
        <v>0.71458333333333324</v>
      </c>
      <c r="V89" s="460">
        <v>6</v>
      </c>
      <c r="W89" s="457">
        <f t="shared" si="60"/>
        <v>28.00000000000006</v>
      </c>
      <c r="X89" s="53"/>
      <c r="Y89" s="53"/>
      <c r="Z89" s="54"/>
      <c r="AA89" s="54"/>
      <c r="AB89" s="616"/>
      <c r="AC89" s="616"/>
      <c r="AD89" s="474"/>
      <c r="AE89" s="474"/>
      <c r="AF89" s="48">
        <f t="shared" si="61"/>
        <v>-93.750000000002956</v>
      </c>
      <c r="AG89" s="464">
        <f t="shared" si="62"/>
        <v>0.93489583333333126</v>
      </c>
      <c r="AH89" s="635"/>
    </row>
    <row r="90" spans="1:34" ht="19.2" customHeight="1">
      <c r="A90" s="646"/>
      <c r="B90" s="110" t="s">
        <v>127</v>
      </c>
      <c r="C90" s="470"/>
      <c r="D90" s="42" t="s">
        <v>52</v>
      </c>
      <c r="E90" s="43"/>
      <c r="F90" s="364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63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635"/>
      <c r="T90" s="50">
        <v>0.71944444444444433</v>
      </c>
      <c r="U90" s="50">
        <v>0.7847222222222221</v>
      </c>
      <c r="V90" s="460">
        <v>7</v>
      </c>
      <c r="W90" s="457">
        <f t="shared" si="60"/>
        <v>93.999999999999986</v>
      </c>
      <c r="X90" s="188"/>
      <c r="Y90" s="188"/>
      <c r="Z90" s="54"/>
      <c r="AA90" s="54"/>
      <c r="AB90" s="616"/>
      <c r="AC90" s="616"/>
      <c r="AD90" s="474">
        <v>2</v>
      </c>
      <c r="AE90" s="474">
        <v>1</v>
      </c>
      <c r="AF90" s="48">
        <f t="shared" si="61"/>
        <v>-179.58510638297867</v>
      </c>
      <c r="AG90" s="464">
        <f t="shared" si="62"/>
        <v>0.92517287234042556</v>
      </c>
      <c r="AH90" s="635"/>
    </row>
    <row r="91" spans="1:34" ht="19.2" customHeight="1">
      <c r="A91" s="646"/>
      <c r="B91" s="110">
        <v>0</v>
      </c>
      <c r="C91" s="470"/>
      <c r="D91" s="42"/>
      <c r="E91" s="43"/>
      <c r="F91" s="364" t="s">
        <v>133</v>
      </c>
      <c r="G91" s="44"/>
      <c r="H91" s="84">
        <f t="shared" si="54"/>
        <v>0</v>
      </c>
      <c r="I91" s="189"/>
      <c r="J91" s="87"/>
      <c r="K91" s="57"/>
      <c r="L91" s="86"/>
      <c r="M91" s="463"/>
      <c r="N91" s="57"/>
      <c r="O91" s="183"/>
      <c r="P91" s="54"/>
      <c r="Q91" s="88"/>
      <c r="R91" s="185"/>
      <c r="S91" s="638"/>
      <c r="T91" s="50"/>
      <c r="U91" s="50"/>
      <c r="V91" s="460"/>
      <c r="W91" s="457">
        <f t="shared" si="60"/>
        <v>0</v>
      </c>
      <c r="X91" s="115"/>
      <c r="Y91" s="115"/>
      <c r="Z91" s="54"/>
      <c r="AA91" s="54"/>
      <c r="AB91" s="616"/>
      <c r="AC91" s="616"/>
      <c r="AD91" s="474"/>
      <c r="AE91" s="474"/>
      <c r="AF91" s="48">
        <f t="shared" si="61"/>
        <v>0</v>
      </c>
      <c r="AG91" s="464" t="e">
        <f t="shared" si="62"/>
        <v>#DIV/0!</v>
      </c>
      <c r="AH91" s="638"/>
    </row>
    <row r="92" spans="1:34" ht="19.2" customHeight="1">
      <c r="A92" s="646"/>
      <c r="B92" s="110">
        <v>0</v>
      </c>
      <c r="C92" s="470"/>
      <c r="D92" s="42"/>
      <c r="E92" s="43"/>
      <c r="F92" s="364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72"/>
      <c r="S92" s="638"/>
      <c r="T92" s="50"/>
      <c r="U92" s="50"/>
      <c r="V92" s="460"/>
      <c r="W92" s="457">
        <f t="shared" si="60"/>
        <v>0</v>
      </c>
      <c r="X92" s="180"/>
      <c r="Y92" s="180"/>
      <c r="Z92" s="124"/>
      <c r="AA92" s="124"/>
      <c r="AB92" s="616"/>
      <c r="AC92" s="616"/>
      <c r="AD92" s="474"/>
      <c r="AE92" s="474"/>
      <c r="AF92" s="48">
        <f t="shared" si="61"/>
        <v>0</v>
      </c>
      <c r="AG92" s="464" t="e">
        <f t="shared" si="62"/>
        <v>#DIV/0!</v>
      </c>
      <c r="AH92" s="638"/>
    </row>
    <row r="93" spans="1:34" ht="19.2" customHeight="1">
      <c r="A93" s="646"/>
      <c r="B93" s="461">
        <v>0</v>
      </c>
      <c r="C93" s="195"/>
      <c r="D93" s="59"/>
      <c r="E93" s="60"/>
      <c r="F93" s="364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67"/>
      <c r="S93" s="644"/>
      <c r="T93" s="63"/>
      <c r="U93" s="63"/>
      <c r="V93" s="461"/>
      <c r="W93" s="457">
        <f t="shared" si="60"/>
        <v>0</v>
      </c>
      <c r="X93" s="197"/>
      <c r="Y93" s="197"/>
      <c r="Z93" s="124"/>
      <c r="AA93" s="124"/>
      <c r="AB93" s="616"/>
      <c r="AC93" s="616"/>
      <c r="AD93" s="474"/>
      <c r="AE93" s="474"/>
      <c r="AF93" s="48">
        <f t="shared" si="61"/>
        <v>0</v>
      </c>
      <c r="AG93" s="464" t="e">
        <f t="shared" si="62"/>
        <v>#DIV/0!</v>
      </c>
      <c r="AH93" s="638"/>
    </row>
    <row r="94" spans="1:34" ht="19.2" customHeight="1">
      <c r="A94" s="646"/>
      <c r="B94" s="461">
        <v>0</v>
      </c>
      <c r="C94" s="195"/>
      <c r="D94" s="42"/>
      <c r="E94" s="43"/>
      <c r="F94" s="364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7"/>
      <c r="S94" s="644"/>
      <c r="T94" s="63"/>
      <c r="U94" s="63"/>
      <c r="V94" s="461"/>
      <c r="W94" s="457">
        <f>(U94-T94)*24*60</f>
        <v>0</v>
      </c>
      <c r="X94" s="197"/>
      <c r="Y94" s="197"/>
      <c r="Z94" s="124"/>
      <c r="AA94" s="124"/>
      <c r="AB94" s="616"/>
      <c r="AC94" s="616"/>
      <c r="AD94" s="474"/>
      <c r="AE94" s="474"/>
      <c r="AF94" s="48">
        <f t="shared" si="61"/>
        <v>0</v>
      </c>
      <c r="AG94" s="464" t="e">
        <f t="shared" si="62"/>
        <v>#DIV/0!</v>
      </c>
      <c r="AH94" s="638"/>
    </row>
    <row r="95" spans="1:34" ht="19.2" customHeight="1">
      <c r="A95" s="646"/>
      <c r="B95" s="200">
        <v>0</v>
      </c>
      <c r="C95" s="100" t="s">
        <v>396</v>
      </c>
      <c r="D95" s="617" t="s">
        <v>370</v>
      </c>
      <c r="E95" s="617"/>
      <c r="F95" s="358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J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63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16"/>
      <c r="AC95" s="616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65">
        <f t="shared" si="62"/>
        <v>0.89807670062735734</v>
      </c>
      <c r="AH95" s="638"/>
    </row>
    <row r="96" spans="1:34" ht="19.2" customHeight="1">
      <c r="A96" s="643" t="s">
        <v>398</v>
      </c>
      <c r="B96" s="460" t="s">
        <v>130</v>
      </c>
      <c r="C96" s="97"/>
      <c r="D96" s="42" t="s">
        <v>211</v>
      </c>
      <c r="E96" s="43"/>
      <c r="F96" s="357">
        <v>29.46</v>
      </c>
      <c r="G96" s="44">
        <v>1791</v>
      </c>
      <c r="H96" s="45">
        <f t="shared" ref="H96:H105" si="65">F96*G96</f>
        <v>52762.86</v>
      </c>
      <c r="I96" s="460"/>
      <c r="J96" s="46">
        <v>16</v>
      </c>
      <c r="K96" s="44">
        <v>1440</v>
      </c>
      <c r="L96" s="47">
        <v>90</v>
      </c>
      <c r="M96" s="458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64">
        <f t="shared" ref="R96:R105" si="69">O96/L96</f>
        <v>0.77734375000000033</v>
      </c>
      <c r="S96" s="635">
        <f>R108</f>
        <v>0.84747799934869161</v>
      </c>
      <c r="T96" s="89">
        <v>0.33333333333333331</v>
      </c>
      <c r="U96" s="89">
        <v>0.39999999999999997</v>
      </c>
      <c r="V96" s="474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616"/>
      <c r="AC96" s="616"/>
      <c r="AD96" s="474"/>
      <c r="AE96" s="474"/>
      <c r="AF96" s="54">
        <f t="shared" si="61"/>
        <v>-320.62499999999955</v>
      </c>
      <c r="AG96" s="467">
        <f t="shared" si="62"/>
        <v>0.77734375000000033</v>
      </c>
      <c r="AH96" s="620">
        <f>AG108</f>
        <v>0.833414631203374</v>
      </c>
    </row>
    <row r="97" spans="1:34" s="215" customFormat="1" ht="19.2" customHeight="1">
      <c r="A97" s="643"/>
      <c r="B97" s="460" t="s">
        <v>130</v>
      </c>
      <c r="C97" s="207"/>
      <c r="D97" s="208" t="s">
        <v>65</v>
      </c>
      <c r="E97" s="56"/>
      <c r="F97" s="368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64">
        <f t="shared" si="69"/>
        <v>0.97756178608515043</v>
      </c>
      <c r="S97" s="635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616"/>
      <c r="AC97" s="616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620"/>
    </row>
    <row r="98" spans="1:34" s="218" customFormat="1" ht="19.2" customHeight="1">
      <c r="A98" s="643"/>
      <c r="B98" s="460" t="s">
        <v>128</v>
      </c>
      <c r="C98" s="55"/>
      <c r="D98" s="42" t="s">
        <v>177</v>
      </c>
      <c r="E98" s="83"/>
      <c r="F98" s="368">
        <v>77.349999999999994</v>
      </c>
      <c r="G98" s="57">
        <v>438</v>
      </c>
      <c r="H98" s="210">
        <f t="shared" si="65"/>
        <v>33879.299999999996</v>
      </c>
      <c r="I98" s="474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64">
        <f t="shared" si="69"/>
        <v>0.80266203703703465</v>
      </c>
      <c r="S98" s="635"/>
      <c r="T98" s="89">
        <v>0.53124999999999989</v>
      </c>
      <c r="U98" s="89">
        <v>0.54791666666666661</v>
      </c>
      <c r="V98" s="474">
        <v>5</v>
      </c>
      <c r="W98" s="90">
        <f t="shared" si="70"/>
        <v>24.000000000000075</v>
      </c>
      <c r="X98" s="216"/>
      <c r="Y98" s="216"/>
      <c r="Z98" s="217"/>
      <c r="AA98" s="217"/>
      <c r="AB98" s="616"/>
      <c r="AC98" s="616"/>
      <c r="AD98" s="474"/>
      <c r="AE98" s="474"/>
      <c r="AF98" s="54">
        <f t="shared" si="61"/>
        <v>-345.00000000000341</v>
      </c>
      <c r="AG98" s="467">
        <f t="shared" si="62"/>
        <v>0.7604166666666643</v>
      </c>
      <c r="AH98" s="620"/>
    </row>
    <row r="99" spans="1:34" ht="19.2" customHeight="1">
      <c r="A99" s="643"/>
      <c r="B99" s="460" t="s">
        <v>128</v>
      </c>
      <c r="C99" s="81"/>
      <c r="D99" s="82" t="s">
        <v>58</v>
      </c>
      <c r="E99" s="83"/>
      <c r="F99" s="368">
        <v>77.34</v>
      </c>
      <c r="G99" s="57">
        <v>985</v>
      </c>
      <c r="H99" s="210">
        <f t="shared" si="65"/>
        <v>76179.900000000009</v>
      </c>
      <c r="I99" s="474"/>
      <c r="J99" s="46">
        <v>18</v>
      </c>
      <c r="K99" s="44">
        <v>1440</v>
      </c>
      <c r="L99" s="47">
        <v>80</v>
      </c>
      <c r="M99" s="458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64">
        <f t="shared" si="69"/>
        <v>0.87322695035460995</v>
      </c>
      <c r="S99" s="635"/>
      <c r="T99" s="89">
        <v>0.5527777777777777</v>
      </c>
      <c r="U99" s="89">
        <v>0.58541666666666659</v>
      </c>
      <c r="V99" s="474">
        <v>7</v>
      </c>
      <c r="W99" s="90">
        <f t="shared" si="70"/>
        <v>46.999999999999993</v>
      </c>
      <c r="X99" s="180"/>
      <c r="Y99" s="180"/>
      <c r="Z99" s="124"/>
      <c r="AA99" s="124"/>
      <c r="AB99" s="616"/>
      <c r="AC99" s="616"/>
      <c r="AD99" s="474"/>
      <c r="AE99" s="474"/>
      <c r="AF99" s="213">
        <f t="shared" si="61"/>
        <v>-182.55319148936155</v>
      </c>
      <c r="AG99" s="214">
        <f t="shared" si="62"/>
        <v>0.87322695035461007</v>
      </c>
      <c r="AH99" s="620"/>
    </row>
    <row r="100" spans="1:34" s="218" customFormat="1" ht="19.2" customHeight="1">
      <c r="A100" s="643"/>
      <c r="B100" s="460" t="s">
        <v>128</v>
      </c>
      <c r="C100" s="55"/>
      <c r="D100" s="42" t="s">
        <v>57</v>
      </c>
      <c r="E100" s="83"/>
      <c r="F100" s="368">
        <v>71.55</v>
      </c>
      <c r="G100" s="57">
        <v>757</v>
      </c>
      <c r="H100" s="210">
        <f t="shared" si="65"/>
        <v>54163.35</v>
      </c>
      <c r="I100" s="474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64">
        <f t="shared" si="69"/>
        <v>0.88633037369499412</v>
      </c>
      <c r="S100" s="635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616"/>
      <c r="AC100" s="616"/>
      <c r="AD100" s="474"/>
      <c r="AE100" s="474"/>
      <c r="AF100" s="54">
        <f t="shared" si="61"/>
        <v>-157.43243243243319</v>
      </c>
      <c r="AG100" s="467">
        <f t="shared" si="62"/>
        <v>0.88633037369499412</v>
      </c>
      <c r="AH100" s="620"/>
    </row>
    <row r="101" spans="1:34" s="218" customFormat="1" ht="19.2" customHeight="1">
      <c r="A101" s="643"/>
      <c r="B101" s="460" t="s">
        <v>128</v>
      </c>
      <c r="C101" s="55"/>
      <c r="D101" s="82" t="s">
        <v>56</v>
      </c>
      <c r="E101" s="83"/>
      <c r="F101" s="368">
        <v>59.34</v>
      </c>
      <c r="G101" s="57">
        <v>677</v>
      </c>
      <c r="H101" s="210">
        <f t="shared" si="65"/>
        <v>40173.18</v>
      </c>
      <c r="I101" s="474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64">
        <f t="shared" si="69"/>
        <v>0.88151041666666541</v>
      </c>
      <c r="S101" s="635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616"/>
      <c r="AC101" s="616"/>
      <c r="AD101" s="474"/>
      <c r="AE101" s="474"/>
      <c r="AF101" s="213">
        <f t="shared" si="61"/>
        <v>-170.62500000000182</v>
      </c>
      <c r="AG101" s="214">
        <f t="shared" si="62"/>
        <v>0.88151041666666541</v>
      </c>
      <c r="AH101" s="620"/>
    </row>
    <row r="102" spans="1:34" s="218" customFormat="1" ht="19.2" customHeight="1">
      <c r="A102" s="643"/>
      <c r="B102" s="460" t="s">
        <v>132</v>
      </c>
      <c r="C102" s="175"/>
      <c r="D102" s="176" t="s">
        <v>80</v>
      </c>
      <c r="E102" s="177"/>
      <c r="F102" s="368">
        <v>51.75</v>
      </c>
      <c r="G102" s="57">
        <v>776</v>
      </c>
      <c r="H102" s="210">
        <f t="shared" si="65"/>
        <v>40158</v>
      </c>
      <c r="I102" s="460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64">
        <f t="shared" si="69"/>
        <v>0.83891891891891823</v>
      </c>
      <c r="S102" s="635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616"/>
      <c r="AC102" s="616"/>
      <c r="AD102" s="474"/>
      <c r="AE102" s="474">
        <v>1</v>
      </c>
      <c r="AF102" s="54">
        <f t="shared" si="61"/>
        <v>-241.62162162162258</v>
      </c>
      <c r="AG102" s="467">
        <f t="shared" si="62"/>
        <v>0.83891891891891823</v>
      </c>
      <c r="AH102" s="620"/>
    </row>
    <row r="103" spans="1:34" s="218" customFormat="1" ht="19.2" customHeight="1">
      <c r="A103" s="643"/>
      <c r="B103" s="460" t="s">
        <v>130</v>
      </c>
      <c r="C103" s="221"/>
      <c r="D103" s="82" t="s">
        <v>201</v>
      </c>
      <c r="E103" s="83"/>
      <c r="F103" s="368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64">
        <f t="shared" si="69"/>
        <v>0.75385227272727273</v>
      </c>
      <c r="S103" s="635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616"/>
      <c r="AC103" s="616"/>
      <c r="AD103" s="474">
        <v>1</v>
      </c>
      <c r="AE103" s="474"/>
      <c r="AF103" s="54">
        <f t="shared" si="61"/>
        <v>-492.29545454545473</v>
      </c>
      <c r="AG103" s="467">
        <f t="shared" si="62"/>
        <v>0.75385227272727262</v>
      </c>
      <c r="AH103" s="620"/>
    </row>
    <row r="104" spans="1:34" s="218" customFormat="1" ht="19.2" customHeight="1">
      <c r="A104" s="643"/>
      <c r="B104" s="460" t="s">
        <v>130</v>
      </c>
      <c r="C104" s="223"/>
      <c r="D104" s="82" t="s">
        <v>65</v>
      </c>
      <c r="E104" s="83"/>
      <c r="F104" s="368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64">
        <f t="shared" si="69"/>
        <v>0.98446222222222257</v>
      </c>
      <c r="S104" s="638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616"/>
      <c r="AC104" s="616"/>
      <c r="AD104" s="474"/>
      <c r="AE104" s="474"/>
      <c r="AF104" s="213">
        <f t="shared" si="61"/>
        <v>-170.97599999999966</v>
      </c>
      <c r="AG104" s="214">
        <f t="shared" si="62"/>
        <v>0.88601600000000025</v>
      </c>
      <c r="AH104" s="620"/>
    </row>
    <row r="105" spans="1:34" s="218" customFormat="1" ht="19.2" customHeight="1">
      <c r="A105" s="643"/>
      <c r="B105" s="460" t="s">
        <v>129</v>
      </c>
      <c r="C105" s="223"/>
      <c r="D105" s="82" t="s">
        <v>210</v>
      </c>
      <c r="E105" s="83"/>
      <c r="F105" s="368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64">
        <f t="shared" si="69"/>
        <v>0.82630150873635855</v>
      </c>
      <c r="S105" s="638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616"/>
      <c r="AC105" s="616"/>
      <c r="AD105" s="474"/>
      <c r="AE105" s="474"/>
      <c r="AF105" s="54">
        <f t="shared" si="61"/>
        <v>-284.17073170731737</v>
      </c>
      <c r="AG105" s="467">
        <f t="shared" si="62"/>
        <v>0.82630150873635855</v>
      </c>
      <c r="AH105" s="620"/>
    </row>
    <row r="106" spans="1:34" s="218" customFormat="1" ht="19.2" customHeight="1">
      <c r="A106" s="643"/>
      <c r="B106" s="221">
        <v>0</v>
      </c>
      <c r="C106" s="223"/>
      <c r="D106" s="82"/>
      <c r="E106" s="83"/>
      <c r="F106" s="357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67"/>
      <c r="S106" s="644"/>
      <c r="T106" s="211"/>
      <c r="U106" s="211"/>
      <c r="V106" s="212"/>
      <c r="W106" s="90"/>
      <c r="X106" s="220"/>
      <c r="Y106" s="220"/>
      <c r="Z106" s="217"/>
      <c r="AA106" s="217"/>
      <c r="AB106" s="616"/>
      <c r="AC106" s="616"/>
      <c r="AD106" s="474"/>
      <c r="AE106" s="474"/>
      <c r="AF106" s="54">
        <f t="shared" si="61"/>
        <v>0</v>
      </c>
      <c r="AG106" s="467" t="e">
        <f t="shared" si="62"/>
        <v>#DIV/0!</v>
      </c>
      <c r="AH106" s="620"/>
    </row>
    <row r="107" spans="1:34" s="218" customFormat="1" ht="19.2" customHeight="1">
      <c r="A107" s="643"/>
      <c r="B107" s="221">
        <v>0</v>
      </c>
      <c r="C107" s="223"/>
      <c r="D107" s="82"/>
      <c r="E107" s="83"/>
      <c r="F107" s="357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7"/>
      <c r="S107" s="644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16"/>
      <c r="AC107" s="616"/>
      <c r="AD107" s="474"/>
      <c r="AE107" s="474"/>
      <c r="AF107" s="217"/>
      <c r="AG107" s="467"/>
      <c r="AH107" s="620"/>
    </row>
    <row r="108" spans="1:34" ht="19.2" customHeight="1">
      <c r="A108" s="643"/>
      <c r="B108" s="110">
        <v>0</v>
      </c>
      <c r="C108" s="100" t="s">
        <v>400</v>
      </c>
      <c r="D108" s="617" t="s">
        <v>370</v>
      </c>
      <c r="E108" s="617"/>
      <c r="F108" s="369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J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63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16"/>
      <c r="AC108" s="616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67">
        <f t="shared" si="62"/>
        <v>0.833414631203374</v>
      </c>
      <c r="AH108" s="620"/>
    </row>
    <row r="109" spans="1:34" ht="19.2" customHeight="1">
      <c r="A109" s="639" t="s">
        <v>402</v>
      </c>
      <c r="B109" s="460" t="s">
        <v>132</v>
      </c>
      <c r="C109" s="470"/>
      <c r="D109" s="405" t="s">
        <v>79</v>
      </c>
      <c r="E109" s="43"/>
      <c r="F109" s="357">
        <v>56.43</v>
      </c>
      <c r="G109" s="44">
        <v>866</v>
      </c>
      <c r="H109" s="45">
        <f t="shared" ref="H109:H119" si="75">F109*G109</f>
        <v>48868.38</v>
      </c>
      <c r="I109" s="460"/>
      <c r="J109" s="46">
        <v>18</v>
      </c>
      <c r="K109" s="44">
        <v>1500</v>
      </c>
      <c r="L109" s="47">
        <v>83.333333333333329</v>
      </c>
      <c r="M109" s="458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64">
        <f t="shared" si="74"/>
        <v>0.86599999999999977</v>
      </c>
      <c r="S109" s="642">
        <f>R121</f>
        <v>0.87927639789998713</v>
      </c>
      <c r="T109" s="226">
        <v>0.5</v>
      </c>
      <c r="U109" s="226">
        <v>0.52777777777777779</v>
      </c>
      <c r="V109" s="227">
        <v>5</v>
      </c>
      <c r="W109" s="457">
        <f t="shared" si="70"/>
        <v>40.000000000000014</v>
      </c>
      <c r="X109" s="53"/>
      <c r="Y109" s="53"/>
      <c r="Z109" s="54"/>
      <c r="AA109" s="54"/>
      <c r="AB109" s="616"/>
      <c r="AC109" s="616"/>
      <c r="AD109" s="474"/>
      <c r="AE109" s="474"/>
      <c r="AF109" s="48">
        <f t="shared" si="61"/>
        <v>-201.00000000000045</v>
      </c>
      <c r="AG109" s="125">
        <f t="shared" si="62"/>
        <v>0.86599999999999966</v>
      </c>
      <c r="AH109" s="620">
        <f>AG121</f>
        <v>0.88064904330384841</v>
      </c>
    </row>
    <row r="110" spans="1:34" ht="19.2" customHeight="1">
      <c r="A110" s="640"/>
      <c r="B110" s="460" t="s">
        <v>128</v>
      </c>
      <c r="C110" s="175"/>
      <c r="D110" s="42" t="s">
        <v>59</v>
      </c>
      <c r="E110" s="177"/>
      <c r="F110" s="357">
        <v>59.54</v>
      </c>
      <c r="G110" s="174">
        <v>1406</v>
      </c>
      <c r="H110" s="45">
        <f t="shared" si="75"/>
        <v>83713.240000000005</v>
      </c>
      <c r="I110" s="460"/>
      <c r="J110" s="46">
        <v>18</v>
      </c>
      <c r="K110" s="44">
        <v>1385</v>
      </c>
      <c r="L110" s="47">
        <v>76.944444444444443</v>
      </c>
      <c r="M110" s="458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64">
        <f t="shared" si="74"/>
        <v>0.9228749589760431</v>
      </c>
      <c r="S110" s="631"/>
      <c r="T110" s="226">
        <v>0.53263888888888888</v>
      </c>
      <c r="U110" s="226">
        <v>0.57847222222222217</v>
      </c>
      <c r="V110" s="227">
        <v>7</v>
      </c>
      <c r="W110" s="457">
        <f t="shared" si="70"/>
        <v>65.999999999999929</v>
      </c>
      <c r="X110" s="188"/>
      <c r="Y110" s="188"/>
      <c r="Z110" s="54"/>
      <c r="AA110" s="54"/>
      <c r="AB110" s="616"/>
      <c r="AC110" s="616"/>
      <c r="AD110" s="474"/>
      <c r="AE110" s="474"/>
      <c r="AF110" s="48">
        <f t="shared" si="61"/>
        <v>-106.81818181818039</v>
      </c>
      <c r="AG110" s="125">
        <f t="shared" si="62"/>
        <v>0.92287495897604299</v>
      </c>
      <c r="AH110" s="620"/>
    </row>
    <row r="111" spans="1:34" ht="19.2" customHeight="1">
      <c r="A111" s="640"/>
      <c r="B111" s="460" t="s">
        <v>132</v>
      </c>
      <c r="C111" s="175"/>
      <c r="D111" s="176" t="s">
        <v>175</v>
      </c>
      <c r="E111" s="177"/>
      <c r="F111" s="357">
        <v>50.67</v>
      </c>
      <c r="G111" s="57">
        <v>1512</v>
      </c>
      <c r="H111" s="45">
        <f t="shared" si="75"/>
        <v>76613.040000000008</v>
      </c>
      <c r="I111" s="474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64">
        <f t="shared" si="74"/>
        <v>0.93046153846153945</v>
      </c>
      <c r="S111" s="631"/>
      <c r="T111" s="226">
        <v>0.59444444444444433</v>
      </c>
      <c r="U111" s="226">
        <v>0.63958333333333317</v>
      </c>
      <c r="V111" s="227">
        <v>23</v>
      </c>
      <c r="W111" s="457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616"/>
      <c r="AC111" s="616"/>
      <c r="AD111" s="474"/>
      <c r="AE111" s="474"/>
      <c r="AF111" s="48">
        <f t="shared" si="61"/>
        <v>-104.30769230769079</v>
      </c>
      <c r="AG111" s="125">
        <f t="shared" si="62"/>
        <v>0.93046153846153945</v>
      </c>
      <c r="AH111" s="620"/>
    </row>
    <row r="112" spans="1:34" ht="19.2" customHeight="1">
      <c r="A112" s="640"/>
      <c r="B112" s="460" t="s">
        <v>128</v>
      </c>
      <c r="C112" s="175"/>
      <c r="D112" s="176" t="s">
        <v>72</v>
      </c>
      <c r="E112" s="83"/>
      <c r="F112" s="357">
        <v>53.36</v>
      </c>
      <c r="G112" s="57">
        <v>1954.7499999999998</v>
      </c>
      <c r="H112" s="45">
        <f t="shared" si="75"/>
        <v>104305.45999999999</v>
      </c>
      <c r="I112" s="474">
        <v>1</v>
      </c>
      <c r="J112" s="46">
        <v>19</v>
      </c>
      <c r="K112" s="44">
        <v>1440</v>
      </c>
      <c r="L112" s="47">
        <v>75.78947368421052</v>
      </c>
      <c r="M112" s="458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64">
        <f t="shared" si="74"/>
        <v>0.92554450757575746</v>
      </c>
      <c r="S112" s="631"/>
      <c r="T112" s="226">
        <v>0.64444444444444426</v>
      </c>
      <c r="U112" s="226">
        <v>0.70555555555555538</v>
      </c>
      <c r="V112" s="227">
        <v>7</v>
      </c>
      <c r="W112" s="457">
        <f t="shared" si="70"/>
        <v>88</v>
      </c>
      <c r="X112" s="216"/>
      <c r="Y112" s="216"/>
      <c r="Z112" s="54"/>
      <c r="AA112" s="54"/>
      <c r="AB112" s="616"/>
      <c r="AC112" s="616"/>
      <c r="AD112" s="474">
        <v>1</v>
      </c>
      <c r="AE112" s="474"/>
      <c r="AF112" s="48">
        <f t="shared" si="61"/>
        <v>-107.21590909090924</v>
      </c>
      <c r="AG112" s="125">
        <f t="shared" si="62"/>
        <v>0.92554450757575746</v>
      </c>
      <c r="AH112" s="620"/>
    </row>
    <row r="113" spans="1:34" s="218" customFormat="1" ht="19.2" customHeight="1">
      <c r="A113" s="640"/>
      <c r="B113" s="460" t="s">
        <v>131</v>
      </c>
      <c r="C113" s="175"/>
      <c r="D113" s="176" t="s">
        <v>191</v>
      </c>
      <c r="E113" s="83"/>
      <c r="F113" s="357">
        <v>28.57</v>
      </c>
      <c r="G113" s="57">
        <v>1639</v>
      </c>
      <c r="H113" s="45">
        <f t="shared" si="75"/>
        <v>46826.23</v>
      </c>
      <c r="I113" s="474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64">
        <f t="shared" si="74"/>
        <v>0.9365714285714275</v>
      </c>
      <c r="S113" s="631"/>
      <c r="T113" s="226">
        <v>0.74305555555555547</v>
      </c>
      <c r="U113" s="226">
        <v>0.79166666666666663</v>
      </c>
      <c r="V113" s="227">
        <v>5</v>
      </c>
      <c r="W113" s="457">
        <f t="shared" si="70"/>
        <v>70.000000000000071</v>
      </c>
      <c r="X113" s="216"/>
      <c r="Y113" s="216"/>
      <c r="Z113" s="217"/>
      <c r="AA113" s="217"/>
      <c r="AB113" s="616"/>
      <c r="AC113" s="616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620"/>
    </row>
    <row r="114" spans="1:34" s="218" customFormat="1" ht="19.2" customHeight="1">
      <c r="A114" s="640"/>
      <c r="B114" s="460" t="s">
        <v>131</v>
      </c>
      <c r="C114" s="175"/>
      <c r="D114" s="176" t="s">
        <v>176</v>
      </c>
      <c r="E114" s="43"/>
      <c r="F114" s="357">
        <v>20.420000000000002</v>
      </c>
      <c r="G114" s="44">
        <v>486</v>
      </c>
      <c r="H114" s="45">
        <f t="shared" si="75"/>
        <v>9924.1200000000008</v>
      </c>
      <c r="I114" s="474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64">
        <f t="shared" si="74"/>
        <v>0.77760000000000773</v>
      </c>
      <c r="S114" s="631"/>
      <c r="T114" s="226">
        <v>0.79513888888888884</v>
      </c>
      <c r="U114" s="226">
        <v>0.81249999999999978</v>
      </c>
      <c r="V114" s="227">
        <v>5</v>
      </c>
      <c r="W114" s="457">
        <f t="shared" si="70"/>
        <v>24.999999999999751</v>
      </c>
      <c r="X114" s="216"/>
      <c r="Y114" s="216"/>
      <c r="Z114" s="217"/>
      <c r="AA114" s="217"/>
      <c r="AB114" s="616"/>
      <c r="AC114" s="616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620"/>
    </row>
    <row r="115" spans="1:34" s="218" customFormat="1" ht="19.2" customHeight="1">
      <c r="A115" s="640"/>
      <c r="B115" s="460" t="s">
        <v>132</v>
      </c>
      <c r="C115" s="175"/>
      <c r="D115" s="82" t="s">
        <v>142</v>
      </c>
      <c r="E115" s="83"/>
      <c r="F115" s="357">
        <v>44.98</v>
      </c>
      <c r="G115" s="229">
        <v>1012</v>
      </c>
      <c r="H115" s="45">
        <f t="shared" si="75"/>
        <v>45519.759999999995</v>
      </c>
      <c r="I115" s="474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64">
        <f t="shared" si="74"/>
        <v>0.82612244897959197</v>
      </c>
      <c r="S115" s="631"/>
      <c r="T115" s="226">
        <v>0.81666666666666643</v>
      </c>
      <c r="U115" s="226">
        <v>0.8506944444444442</v>
      </c>
      <c r="V115" s="227">
        <v>6</v>
      </c>
      <c r="W115" s="457">
        <f t="shared" si="70"/>
        <v>48.999999999999986</v>
      </c>
      <c r="X115" s="216"/>
      <c r="Y115" s="216"/>
      <c r="Z115" s="217"/>
      <c r="AA115" s="217"/>
      <c r="AB115" s="616"/>
      <c r="AC115" s="616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620"/>
    </row>
    <row r="116" spans="1:34" s="218" customFormat="1" ht="19.2" customHeight="1">
      <c r="A116" s="640"/>
      <c r="B116" s="460" t="s">
        <v>132</v>
      </c>
      <c r="C116" s="55"/>
      <c r="D116" s="82" t="s">
        <v>75</v>
      </c>
      <c r="E116" s="83"/>
      <c r="F116" s="357">
        <v>53.68</v>
      </c>
      <c r="G116" s="229">
        <v>788</v>
      </c>
      <c r="H116" s="45">
        <f t="shared" si="75"/>
        <v>42299.839999999997</v>
      </c>
      <c r="I116" s="474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64">
        <f t="shared" si="74"/>
        <v>0.82947368421052581</v>
      </c>
      <c r="S116" s="631"/>
      <c r="T116" s="226">
        <v>0.86666666666666647</v>
      </c>
      <c r="U116" s="226">
        <v>0.89305555555555538</v>
      </c>
      <c r="V116" s="227">
        <v>23</v>
      </c>
      <c r="W116" s="457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616"/>
      <c r="AC116" s="616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620"/>
    </row>
    <row r="117" spans="1:34" s="218" customFormat="1" ht="19.2" customHeight="1">
      <c r="A117" s="640"/>
      <c r="B117" s="460" t="s">
        <v>132</v>
      </c>
      <c r="C117" s="55"/>
      <c r="D117" s="82" t="s">
        <v>81</v>
      </c>
      <c r="E117" s="83"/>
      <c r="F117" s="357">
        <v>55.56</v>
      </c>
      <c r="G117" s="229">
        <v>881</v>
      </c>
      <c r="H117" s="45">
        <f t="shared" si="75"/>
        <v>48948.36</v>
      </c>
      <c r="I117" s="474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64">
        <f t="shared" si="74"/>
        <v>0.91770833333333302</v>
      </c>
      <c r="S117" s="631"/>
      <c r="T117" s="226">
        <v>0.89791666666666647</v>
      </c>
      <c r="U117" s="226">
        <v>0.92569444444444426</v>
      </c>
      <c r="V117" s="227">
        <v>7</v>
      </c>
      <c r="W117" s="457">
        <f t="shared" si="70"/>
        <v>40.000000000000014</v>
      </c>
      <c r="X117" s="216"/>
      <c r="Y117" s="216"/>
      <c r="Z117" s="217"/>
      <c r="AA117" s="217"/>
      <c r="AB117" s="616"/>
      <c r="AC117" s="616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620"/>
    </row>
    <row r="118" spans="1:34" s="218" customFormat="1" ht="19.2" customHeight="1">
      <c r="A118" s="640"/>
      <c r="B118" s="460">
        <v>0</v>
      </c>
      <c r="C118" s="163"/>
      <c r="D118" s="176"/>
      <c r="E118" s="43"/>
      <c r="F118" s="357" t="s">
        <v>133</v>
      </c>
      <c r="G118" s="44"/>
      <c r="H118" s="45">
        <f t="shared" si="75"/>
        <v>0</v>
      </c>
      <c r="I118" s="474"/>
      <c r="J118" s="46"/>
      <c r="K118" s="44"/>
      <c r="L118" s="47"/>
      <c r="M118" s="463"/>
      <c r="N118" s="44"/>
      <c r="O118" s="47"/>
      <c r="P118" s="48"/>
      <c r="Q118" s="49"/>
      <c r="R118" s="464"/>
      <c r="S118" s="631"/>
      <c r="T118" s="226"/>
      <c r="U118" s="226"/>
      <c r="V118" s="227"/>
      <c r="W118" s="457">
        <f t="shared" si="70"/>
        <v>0</v>
      </c>
      <c r="X118" s="216"/>
      <c r="Y118" s="216"/>
      <c r="Z118" s="217"/>
      <c r="AA118" s="217"/>
      <c r="AB118" s="616"/>
      <c r="AC118" s="616"/>
      <c r="AD118" s="221"/>
      <c r="AE118" s="221"/>
      <c r="AF118" s="48">
        <f t="shared" si="61"/>
        <v>0</v>
      </c>
      <c r="AG118" s="125" t="e">
        <f t="shared" si="62"/>
        <v>#DIV/0!</v>
      </c>
      <c r="AH118" s="620"/>
    </row>
    <row r="119" spans="1:34" s="218" customFormat="1" ht="19.2" customHeight="1">
      <c r="A119" s="640"/>
      <c r="B119" s="460">
        <v>0</v>
      </c>
      <c r="C119" s="223"/>
      <c r="D119" s="82"/>
      <c r="E119" s="83"/>
      <c r="F119" s="357" t="s">
        <v>133</v>
      </c>
      <c r="G119" s="229"/>
      <c r="H119" s="45">
        <f t="shared" si="75"/>
        <v>0</v>
      </c>
      <c r="I119" s="474"/>
      <c r="J119" s="178"/>
      <c r="K119" s="231"/>
      <c r="L119" s="47"/>
      <c r="M119" s="463"/>
      <c r="N119" s="179"/>
      <c r="O119" s="224"/>
      <c r="P119" s="165"/>
      <c r="Q119" s="49"/>
      <c r="R119" s="464"/>
      <c r="S119" s="631"/>
      <c r="T119" s="226"/>
      <c r="U119" s="226"/>
      <c r="V119" s="227"/>
      <c r="W119" s="457">
        <f t="shared" si="70"/>
        <v>0</v>
      </c>
      <c r="X119" s="216"/>
      <c r="Y119" s="216"/>
      <c r="Z119" s="217"/>
      <c r="AA119" s="217"/>
      <c r="AB119" s="616"/>
      <c r="AC119" s="616"/>
      <c r="AD119" s="221"/>
      <c r="AE119" s="221"/>
      <c r="AF119" s="48">
        <f t="shared" si="61"/>
        <v>0</v>
      </c>
      <c r="AG119" s="125" t="e">
        <f t="shared" si="62"/>
        <v>#DIV/0!</v>
      </c>
      <c r="AH119" s="620"/>
    </row>
    <row r="120" spans="1:34" s="218" customFormat="1" ht="19.2" customHeight="1">
      <c r="A120" s="640"/>
      <c r="B120" s="460">
        <v>0</v>
      </c>
      <c r="C120" s="223"/>
      <c r="D120" s="82"/>
      <c r="E120" s="83"/>
      <c r="F120" s="364" t="s">
        <v>133</v>
      </c>
      <c r="G120" s="229"/>
      <c r="H120" s="230">
        <f>F120*G120</f>
        <v>0</v>
      </c>
      <c r="I120" s="474"/>
      <c r="J120" s="178"/>
      <c r="K120" s="231"/>
      <c r="L120" s="47"/>
      <c r="M120" s="463"/>
      <c r="N120" s="179"/>
      <c r="O120" s="224"/>
      <c r="P120" s="165"/>
      <c r="Q120" s="49"/>
      <c r="R120" s="464"/>
      <c r="S120" s="631"/>
      <c r="T120" s="226"/>
      <c r="U120" s="226"/>
      <c r="V120" s="227"/>
      <c r="W120" s="457">
        <f t="shared" si="70"/>
        <v>0</v>
      </c>
      <c r="X120" s="216"/>
      <c r="Y120" s="216"/>
      <c r="Z120" s="217"/>
      <c r="AA120" s="217"/>
      <c r="AB120" s="616"/>
      <c r="AC120" s="616"/>
      <c r="AD120" s="221"/>
      <c r="AE120" s="221"/>
      <c r="AF120" s="48">
        <f t="shared" si="61"/>
        <v>0</v>
      </c>
      <c r="AG120" s="125" t="e">
        <f t="shared" si="62"/>
        <v>#DIV/0!</v>
      </c>
      <c r="AH120" s="620"/>
    </row>
    <row r="121" spans="1:34" ht="19.2" customHeight="1">
      <c r="A121" s="641"/>
      <c r="B121" s="121">
        <v>0</v>
      </c>
      <c r="C121" s="100" t="s">
        <v>404</v>
      </c>
      <c r="D121" s="232" t="s">
        <v>370</v>
      </c>
      <c r="E121" s="233"/>
      <c r="F121" s="366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J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637"/>
      <c r="T121" s="50"/>
      <c r="U121" s="50"/>
      <c r="V121" s="44"/>
      <c r="W121" s="457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16"/>
      <c r="AC121" s="616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620"/>
    </row>
    <row r="122" spans="1:34" ht="19.2" customHeight="1">
      <c r="A122" s="634" t="s">
        <v>406</v>
      </c>
      <c r="B122" s="130" t="s">
        <v>128</v>
      </c>
      <c r="C122" s="163"/>
      <c r="D122" s="176" t="s">
        <v>83</v>
      </c>
      <c r="E122" s="43"/>
      <c r="F122" s="357">
        <v>58.67</v>
      </c>
      <c r="G122" s="44">
        <v>1775</v>
      </c>
      <c r="H122" s="45">
        <f t="shared" ref="H122:H132" si="82">F122*G122</f>
        <v>104139.25</v>
      </c>
      <c r="I122" s="460"/>
      <c r="J122" s="46">
        <v>19</v>
      </c>
      <c r="K122" s="44">
        <v>1440</v>
      </c>
      <c r="L122" s="47">
        <v>75.78947368421052</v>
      </c>
      <c r="M122" s="458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635">
        <f>R134</f>
        <v>0.88950962739886275</v>
      </c>
      <c r="T122" s="50">
        <v>0.5</v>
      </c>
      <c r="U122" s="50">
        <v>0.55763888888888891</v>
      </c>
      <c r="V122" s="227">
        <v>5</v>
      </c>
      <c r="W122" s="457">
        <f t="shared" si="70"/>
        <v>83.000000000000028</v>
      </c>
      <c r="X122" s="53"/>
      <c r="Y122" s="53"/>
      <c r="Z122" s="54"/>
      <c r="AA122" s="54"/>
      <c r="AB122" s="616"/>
      <c r="AC122" s="616"/>
      <c r="AD122" s="474">
        <v>1</v>
      </c>
      <c r="AE122" s="474"/>
      <c r="AF122" s="48">
        <f t="shared" si="61"/>
        <v>-156.86746987951847</v>
      </c>
      <c r="AG122" s="464">
        <f t="shared" si="62"/>
        <v>0.89106425702811221</v>
      </c>
      <c r="AH122" s="637">
        <f>AG134</f>
        <v>0.89500163372859565</v>
      </c>
    </row>
    <row r="123" spans="1:34" ht="19.2" customHeight="1">
      <c r="A123" s="634"/>
      <c r="B123" s="130" t="s">
        <v>128</v>
      </c>
      <c r="C123" s="97"/>
      <c r="D123" s="42" t="s">
        <v>82</v>
      </c>
      <c r="E123" s="177"/>
      <c r="F123" s="357">
        <v>59.52</v>
      </c>
      <c r="G123" s="44">
        <v>1709.6000000000001</v>
      </c>
      <c r="H123" s="45">
        <f t="shared" si="82"/>
        <v>101755.39200000001</v>
      </c>
      <c r="I123" s="474"/>
      <c r="J123" s="46">
        <v>21</v>
      </c>
      <c r="K123" s="44">
        <v>1385</v>
      </c>
      <c r="L123" s="47">
        <v>65.952380952380949</v>
      </c>
      <c r="M123" s="463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67">
        <f t="shared" si="81"/>
        <v>0.90319626661970576</v>
      </c>
      <c r="S123" s="635"/>
      <c r="T123" s="50">
        <v>0.5625</v>
      </c>
      <c r="U123" s="50">
        <v>0.61944444444444446</v>
      </c>
      <c r="V123" s="227">
        <v>7</v>
      </c>
      <c r="W123" s="457">
        <f t="shared" si="70"/>
        <v>82.000000000000028</v>
      </c>
      <c r="X123" s="53"/>
      <c r="Y123" s="53"/>
      <c r="Z123" s="54"/>
      <c r="AA123" s="54"/>
      <c r="AB123" s="616"/>
      <c r="AC123" s="616"/>
      <c r="AD123" s="474"/>
      <c r="AE123" s="474"/>
      <c r="AF123" s="48">
        <f t="shared" si="61"/>
        <v>-134.07317073170771</v>
      </c>
      <c r="AG123" s="464">
        <f t="shared" si="62"/>
        <v>0.90319626661970565</v>
      </c>
      <c r="AH123" s="635"/>
    </row>
    <row r="124" spans="1:34" ht="19.2" customHeight="1">
      <c r="A124" s="634"/>
      <c r="B124" s="130" t="s">
        <v>129</v>
      </c>
      <c r="C124" s="175"/>
      <c r="D124" s="176" t="s">
        <v>206</v>
      </c>
      <c r="E124" s="177"/>
      <c r="F124" s="357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58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636"/>
      <c r="T124" s="50">
        <v>0.63472222222222219</v>
      </c>
      <c r="U124" s="50">
        <v>0.66388888888888886</v>
      </c>
      <c r="V124" s="227">
        <v>22</v>
      </c>
      <c r="W124" s="457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616"/>
      <c r="AC124" s="616"/>
      <c r="AD124" s="474"/>
      <c r="AE124" s="474"/>
      <c r="AF124" s="108">
        <f t="shared" si="61"/>
        <v>-89.500000000000682</v>
      </c>
      <c r="AG124" s="109">
        <f t="shared" si="62"/>
        <v>0.94033333333333291</v>
      </c>
      <c r="AH124" s="635"/>
    </row>
    <row r="125" spans="1:34" ht="19.2" customHeight="1">
      <c r="A125" s="634"/>
      <c r="B125" s="130" t="s">
        <v>132</v>
      </c>
      <c r="C125" s="97"/>
      <c r="D125" s="42" t="s">
        <v>84</v>
      </c>
      <c r="E125" s="43"/>
      <c r="F125" s="357">
        <v>56.79</v>
      </c>
      <c r="G125" s="44">
        <v>1250</v>
      </c>
      <c r="H125" s="45">
        <f t="shared" si="82"/>
        <v>70987.5</v>
      </c>
      <c r="I125" s="460"/>
      <c r="J125" s="46">
        <v>18</v>
      </c>
      <c r="K125" s="44">
        <v>1636</v>
      </c>
      <c r="L125" s="47">
        <v>90.888888888888886</v>
      </c>
      <c r="M125" s="458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636"/>
      <c r="T125" s="50">
        <v>0.70416666666666661</v>
      </c>
      <c r="U125" s="50">
        <v>0.74166666666666659</v>
      </c>
      <c r="V125" s="227">
        <v>5</v>
      </c>
      <c r="W125" s="457">
        <f t="shared" si="70"/>
        <v>53.999999999999972</v>
      </c>
      <c r="X125" s="64"/>
      <c r="Y125" s="64"/>
      <c r="Z125" s="54"/>
      <c r="AA125" s="54"/>
      <c r="AB125" s="616"/>
      <c r="AC125" s="616"/>
      <c r="AD125" s="474"/>
      <c r="AE125" s="474"/>
      <c r="AF125" s="48">
        <f t="shared" si="61"/>
        <v>-247.1111111111104</v>
      </c>
      <c r="AG125" s="464">
        <f t="shared" si="62"/>
        <v>0.8489540885628909</v>
      </c>
      <c r="AH125" s="638"/>
    </row>
    <row r="126" spans="1:34" ht="19.2" customHeight="1">
      <c r="A126" s="634"/>
      <c r="B126" s="130" t="s">
        <v>132</v>
      </c>
      <c r="C126" s="474"/>
      <c r="D126" s="406" t="s">
        <v>85</v>
      </c>
      <c r="E126" s="177"/>
      <c r="F126" s="357">
        <v>56.87</v>
      </c>
      <c r="G126" s="57">
        <v>1029</v>
      </c>
      <c r="H126" s="45">
        <f t="shared" si="82"/>
        <v>58519.229999999996</v>
      </c>
      <c r="I126" s="474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67">
        <f t="shared" si="81"/>
        <v>0.80294438953337166</v>
      </c>
      <c r="S126" s="636"/>
      <c r="T126" s="50">
        <v>0.74722222222222212</v>
      </c>
      <c r="U126" s="50">
        <v>0.77986111111111101</v>
      </c>
      <c r="V126" s="227">
        <v>8</v>
      </c>
      <c r="W126" s="457">
        <f t="shared" si="70"/>
        <v>46.999999999999993</v>
      </c>
      <c r="X126" s="64"/>
      <c r="Y126" s="64"/>
      <c r="Z126" s="54"/>
      <c r="AA126" s="54"/>
      <c r="AB126" s="616"/>
      <c r="AC126" s="616"/>
      <c r="AD126" s="474"/>
      <c r="AE126" s="474"/>
      <c r="AF126" s="108">
        <f t="shared" si="61"/>
        <v>-322.38297872340399</v>
      </c>
      <c r="AG126" s="109">
        <f t="shared" si="62"/>
        <v>0.80294438953337166</v>
      </c>
      <c r="AH126" s="638"/>
    </row>
    <row r="127" spans="1:34" ht="19.2" customHeight="1">
      <c r="A127" s="634"/>
      <c r="B127" s="130" t="s">
        <v>132</v>
      </c>
      <c r="C127" s="223"/>
      <c r="D127" s="407" t="s">
        <v>86</v>
      </c>
      <c r="E127" s="83"/>
      <c r="F127" s="357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58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67">
        <f t="shared" si="81"/>
        <v>0.89477401129943579</v>
      </c>
      <c r="S127" s="636"/>
      <c r="T127" s="50">
        <v>0.7847222222222221</v>
      </c>
      <c r="U127" s="50">
        <v>0.82569444444444429</v>
      </c>
      <c r="V127" s="460">
        <v>7</v>
      </c>
      <c r="W127" s="457">
        <f t="shared" si="70"/>
        <v>58.99999999999995</v>
      </c>
      <c r="X127" s="64"/>
      <c r="Y127" s="64"/>
      <c r="Z127" s="54"/>
      <c r="AA127" s="54"/>
      <c r="AB127" s="616"/>
      <c r="AC127" s="616"/>
      <c r="AD127" s="474"/>
      <c r="AE127" s="474"/>
      <c r="AF127" s="108">
        <f t="shared" si="61"/>
        <v>-151.52542372881248</v>
      </c>
      <c r="AG127" s="109">
        <f t="shared" si="62"/>
        <v>0.89477401129943579</v>
      </c>
      <c r="AH127" s="638"/>
    </row>
    <row r="128" spans="1:34" ht="19.2" customHeight="1">
      <c r="A128" s="634"/>
      <c r="B128" s="130" t="s">
        <v>132</v>
      </c>
      <c r="C128" s="157"/>
      <c r="D128" s="59" t="s">
        <v>141</v>
      </c>
      <c r="E128" s="83"/>
      <c r="F128" s="357">
        <v>50.67</v>
      </c>
      <c r="G128" s="57">
        <v>1405</v>
      </c>
      <c r="H128" s="45">
        <f t="shared" si="82"/>
        <v>71191.350000000006</v>
      </c>
      <c r="I128" s="4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67">
        <f t="shared" si="81"/>
        <v>0.90645161290322662</v>
      </c>
      <c r="S128" s="636"/>
      <c r="T128" s="50">
        <v>0.84166666666666656</v>
      </c>
      <c r="U128" s="50">
        <v>0.88472222222222208</v>
      </c>
      <c r="V128" s="460">
        <v>23</v>
      </c>
      <c r="W128" s="457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616"/>
      <c r="AC128" s="616"/>
      <c r="AD128" s="474"/>
      <c r="AE128" s="474"/>
      <c r="AF128" s="48">
        <f t="shared" si="61"/>
        <v>-140.32258064516009</v>
      </c>
      <c r="AG128" s="464">
        <f t="shared" si="62"/>
        <v>0.90645161290322662</v>
      </c>
      <c r="AH128" s="638"/>
    </row>
    <row r="129" spans="1:34" ht="19.2" customHeight="1">
      <c r="A129" s="634"/>
      <c r="B129" s="130" t="s">
        <v>132</v>
      </c>
      <c r="C129" s="157"/>
      <c r="D129" s="59" t="s">
        <v>199</v>
      </c>
      <c r="E129" s="60"/>
      <c r="F129" s="357">
        <v>58.17</v>
      </c>
      <c r="G129" s="57">
        <v>1567</v>
      </c>
      <c r="H129" s="45">
        <f t="shared" si="82"/>
        <v>91152.39</v>
      </c>
      <c r="I129" s="474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67">
        <f t="shared" si="81"/>
        <v>0.94625603864734209</v>
      </c>
      <c r="S129" s="636"/>
      <c r="T129" s="50">
        <v>0.88958333333333317</v>
      </c>
      <c r="U129" s="50">
        <v>0.93749999999999989</v>
      </c>
      <c r="V129" s="460">
        <v>7</v>
      </c>
      <c r="W129" s="457">
        <f t="shared" si="70"/>
        <v>69.000000000000071</v>
      </c>
      <c r="X129" s="64"/>
      <c r="Y129" s="64"/>
      <c r="Z129" s="54"/>
      <c r="AA129" s="54"/>
      <c r="AB129" s="616"/>
      <c r="AC129" s="616"/>
      <c r="AD129" s="474"/>
      <c r="AE129" s="474"/>
      <c r="AF129" s="108">
        <f t="shared" si="61"/>
        <v>-77.391304347827372</v>
      </c>
      <c r="AG129" s="109">
        <f t="shared" si="62"/>
        <v>0.94625603864734209</v>
      </c>
      <c r="AH129" s="638"/>
    </row>
    <row r="130" spans="1:34" ht="19.2" customHeight="1">
      <c r="A130" s="634"/>
      <c r="B130" s="200" t="s">
        <v>132</v>
      </c>
      <c r="C130" s="157"/>
      <c r="D130" s="59" t="s">
        <v>208</v>
      </c>
      <c r="E130" s="60"/>
      <c r="F130" s="357">
        <v>56.43</v>
      </c>
      <c r="G130" s="57">
        <v>1643</v>
      </c>
      <c r="H130" s="45">
        <f t="shared" si="82"/>
        <v>92714.49</v>
      </c>
      <c r="I130" s="474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67">
        <f t="shared" si="81"/>
        <v>0.88262154176739116</v>
      </c>
      <c r="S130" s="636"/>
      <c r="T130" s="50">
        <v>0.94305555555555542</v>
      </c>
      <c r="U130" s="50">
        <v>0.99374999999999991</v>
      </c>
      <c r="V130" s="460">
        <v>8</v>
      </c>
      <c r="W130" s="457">
        <f t="shared" si="70"/>
        <v>73.000000000000057</v>
      </c>
      <c r="X130" s="64"/>
      <c r="Y130" s="64"/>
      <c r="Z130" s="54"/>
      <c r="AA130" s="54"/>
      <c r="AB130" s="616"/>
      <c r="AC130" s="616"/>
      <c r="AD130" s="474"/>
      <c r="AE130" s="474"/>
      <c r="AF130" s="108">
        <f t="shared" si="61"/>
        <v>-89.589041095891389</v>
      </c>
      <c r="AG130" s="109">
        <f t="shared" si="62"/>
        <v>0.93778538812785317</v>
      </c>
      <c r="AH130" s="638"/>
    </row>
    <row r="131" spans="1:34" ht="19.2" customHeight="1">
      <c r="A131" s="634"/>
      <c r="B131" s="200">
        <v>0</v>
      </c>
      <c r="C131" s="157"/>
      <c r="D131" s="59"/>
      <c r="E131" s="83"/>
      <c r="F131" s="357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67"/>
      <c r="S131" s="636"/>
      <c r="T131" s="50"/>
      <c r="U131" s="50"/>
      <c r="V131" s="460"/>
      <c r="W131" s="457">
        <f t="shared" si="70"/>
        <v>0</v>
      </c>
      <c r="X131" s="64"/>
      <c r="Y131" s="64"/>
      <c r="Z131" s="54"/>
      <c r="AA131" s="54"/>
      <c r="AB131" s="616"/>
      <c r="AC131" s="616"/>
      <c r="AD131" s="474"/>
      <c r="AE131" s="474"/>
      <c r="AF131" s="48">
        <f t="shared" si="61"/>
        <v>0</v>
      </c>
      <c r="AG131" s="464" t="e">
        <f t="shared" si="62"/>
        <v>#DIV/0!</v>
      </c>
      <c r="AH131" s="638"/>
    </row>
    <row r="132" spans="1:34" ht="19.2" customHeight="1">
      <c r="A132" s="634"/>
      <c r="B132" s="200">
        <v>0</v>
      </c>
      <c r="C132" s="157"/>
      <c r="D132" s="59"/>
      <c r="E132" s="60"/>
      <c r="F132" s="357" t="s">
        <v>133</v>
      </c>
      <c r="G132" s="57"/>
      <c r="H132" s="45">
        <f t="shared" si="82"/>
        <v>0</v>
      </c>
      <c r="I132" s="474"/>
      <c r="J132" s="87"/>
      <c r="K132" s="57"/>
      <c r="L132" s="86"/>
      <c r="M132" s="463"/>
      <c r="N132" s="57"/>
      <c r="O132" s="86"/>
      <c r="P132" s="54"/>
      <c r="Q132" s="88"/>
      <c r="R132" s="467"/>
      <c r="S132" s="636"/>
      <c r="T132" s="50"/>
      <c r="U132" s="50"/>
      <c r="V132" s="460"/>
      <c r="W132" s="457">
        <f t="shared" si="70"/>
        <v>0</v>
      </c>
      <c r="X132" s="64"/>
      <c r="Y132" s="64"/>
      <c r="Z132" s="54"/>
      <c r="AA132" s="54"/>
      <c r="AB132" s="616"/>
      <c r="AC132" s="616"/>
      <c r="AD132" s="474"/>
      <c r="AE132" s="474"/>
      <c r="AF132" s="65"/>
      <c r="AG132" s="465"/>
      <c r="AH132" s="638"/>
    </row>
    <row r="133" spans="1:34" ht="19.2" customHeight="1">
      <c r="A133" s="634"/>
      <c r="B133" s="200">
        <v>0</v>
      </c>
      <c r="C133" s="157"/>
      <c r="D133" s="59"/>
      <c r="E133" s="60"/>
      <c r="F133" s="370" t="s">
        <v>133</v>
      </c>
      <c r="G133" s="57"/>
      <c r="H133" s="240">
        <f>F133*G133</f>
        <v>0</v>
      </c>
      <c r="I133" s="474"/>
      <c r="J133" s="87"/>
      <c r="K133" s="57"/>
      <c r="L133" s="86"/>
      <c r="M133" s="463"/>
      <c r="N133" s="57"/>
      <c r="O133" s="86"/>
      <c r="P133" s="54"/>
      <c r="Q133" s="88"/>
      <c r="R133" s="467"/>
      <c r="S133" s="636"/>
      <c r="T133" s="50"/>
      <c r="U133" s="50"/>
      <c r="V133" s="460"/>
      <c r="W133" s="239">
        <f t="shared" si="70"/>
        <v>0</v>
      </c>
      <c r="X133" s="64"/>
      <c r="Y133" s="64"/>
      <c r="Z133" s="54"/>
      <c r="AA133" s="54"/>
      <c r="AB133" s="616"/>
      <c r="AC133" s="616"/>
      <c r="AD133" s="474"/>
      <c r="AE133" s="474"/>
      <c r="AF133" s="65"/>
      <c r="AG133" s="465"/>
      <c r="AH133" s="638"/>
    </row>
    <row r="134" spans="1:34" ht="19.2" customHeight="1">
      <c r="A134" s="634"/>
      <c r="B134" s="168">
        <v>0</v>
      </c>
      <c r="C134" s="100" t="s">
        <v>408</v>
      </c>
      <c r="D134" s="617" t="s">
        <v>370</v>
      </c>
      <c r="E134" s="617"/>
      <c r="F134" s="367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J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635"/>
      <c r="T134" s="50"/>
      <c r="U134" s="50"/>
      <c r="V134" s="460"/>
      <c r="W134" s="460"/>
      <c r="X134" s="53"/>
      <c r="Y134" s="53"/>
      <c r="Z134" s="106">
        <f>SUM(Z122:Z133)</f>
        <v>0</v>
      </c>
      <c r="AA134" s="106">
        <f>SUM(AA122:AA133)</f>
        <v>0</v>
      </c>
      <c r="AB134" s="616"/>
      <c r="AC134" s="616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64">
        <f t="shared" si="62"/>
        <v>0.89500163372859565</v>
      </c>
      <c r="AH134" s="638"/>
    </row>
    <row r="135" spans="1:34" ht="19.2" customHeight="1">
      <c r="A135" s="627" t="s">
        <v>410</v>
      </c>
      <c r="B135" s="460" t="s">
        <v>132</v>
      </c>
      <c r="C135" s="474"/>
      <c r="D135" s="82" t="s">
        <v>144</v>
      </c>
      <c r="E135" s="83"/>
      <c r="F135" s="357">
        <v>54.09</v>
      </c>
      <c r="G135" s="57">
        <v>2163.2000000000003</v>
      </c>
      <c r="H135" s="245">
        <f t="shared" ref="H135:H146" si="89">F135*G135</f>
        <v>117007.48800000003</v>
      </c>
      <c r="I135" s="474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67">
        <f t="shared" si="88"/>
        <v>0.9013333333333331</v>
      </c>
      <c r="S135" s="631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616"/>
      <c r="AC135" s="616"/>
      <c r="AD135" s="474">
        <v>1</v>
      </c>
      <c r="AE135" s="474"/>
      <c r="AF135" s="116">
        <f t="shared" si="61"/>
        <v>-148.00000000000045</v>
      </c>
      <c r="AG135" s="120">
        <f t="shared" si="62"/>
        <v>0.90133333333333299</v>
      </c>
      <c r="AH135" s="620">
        <f>AG147</f>
        <v>0.8790758919930346</v>
      </c>
    </row>
    <row r="136" spans="1:34" ht="19.2" customHeight="1">
      <c r="A136" s="628"/>
      <c r="B136" s="460" t="s">
        <v>132</v>
      </c>
      <c r="C136" s="474"/>
      <c r="D136" s="82" t="s">
        <v>78</v>
      </c>
      <c r="E136" s="83"/>
      <c r="F136" s="357">
        <v>57.734999999999999</v>
      </c>
      <c r="G136" s="57">
        <v>1498</v>
      </c>
      <c r="H136" s="84">
        <f t="shared" si="89"/>
        <v>86487.03</v>
      </c>
      <c r="I136" s="474"/>
      <c r="J136" s="46">
        <v>16</v>
      </c>
      <c r="K136" s="57">
        <v>1565</v>
      </c>
      <c r="L136" s="86">
        <v>97.8125</v>
      </c>
      <c r="M136" s="463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67">
        <f t="shared" si="88"/>
        <v>0.85718372991273772</v>
      </c>
      <c r="S136" s="631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616"/>
      <c r="AC136" s="616"/>
      <c r="AD136" s="474"/>
      <c r="AE136" s="474"/>
      <c r="AF136" s="48">
        <f t="shared" si="61"/>
        <v>-223.50746268656553</v>
      </c>
      <c r="AG136" s="125">
        <f t="shared" si="62"/>
        <v>0.85718372991273772</v>
      </c>
      <c r="AH136" s="620"/>
    </row>
    <row r="137" spans="1:34" ht="19.2" customHeight="1">
      <c r="A137" s="628"/>
      <c r="B137" s="460" t="s">
        <v>132</v>
      </c>
      <c r="C137" s="474"/>
      <c r="D137" s="82" t="s">
        <v>202</v>
      </c>
      <c r="E137" s="83"/>
      <c r="F137" s="357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67">
        <f t="shared" si="88"/>
        <v>0.85757575757575855</v>
      </c>
      <c r="S137" s="631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616"/>
      <c r="AC137" s="616"/>
      <c r="AD137" s="474"/>
      <c r="AE137" s="474"/>
      <c r="AF137" s="48">
        <f t="shared" si="61"/>
        <v>-213.63636363636215</v>
      </c>
      <c r="AG137" s="125">
        <f t="shared" si="62"/>
        <v>0.85757575757575855</v>
      </c>
      <c r="AH137" s="620"/>
    </row>
    <row r="138" spans="1:34" ht="19.2" customHeight="1">
      <c r="A138" s="628"/>
      <c r="B138" s="460" t="s">
        <v>132</v>
      </c>
      <c r="C138" s="223"/>
      <c r="D138" s="82" t="s">
        <v>88</v>
      </c>
      <c r="E138" s="83"/>
      <c r="F138" s="357">
        <v>50.98</v>
      </c>
      <c r="G138" s="57">
        <v>1346</v>
      </c>
      <c r="H138" s="84">
        <f t="shared" si="89"/>
        <v>68619.08</v>
      </c>
      <c r="I138" s="47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73">
        <f t="shared" si="88"/>
        <v>0.87630208333333437</v>
      </c>
      <c r="S138" s="631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616"/>
      <c r="AC138" s="616"/>
      <c r="AD138" s="474"/>
      <c r="AE138" s="474"/>
      <c r="AF138" s="48">
        <f t="shared" si="61"/>
        <v>-178.12499999999841</v>
      </c>
      <c r="AG138" s="125">
        <f t="shared" si="62"/>
        <v>0.87630208333333448</v>
      </c>
      <c r="AH138" s="620"/>
    </row>
    <row r="139" spans="1:34" ht="19.2" customHeight="1">
      <c r="A139" s="628"/>
      <c r="B139" s="460" t="s">
        <v>132</v>
      </c>
      <c r="C139" s="470"/>
      <c r="D139" s="42" t="s">
        <v>87</v>
      </c>
      <c r="E139" s="43"/>
      <c r="F139" s="357">
        <v>50.67</v>
      </c>
      <c r="G139" s="57">
        <v>824</v>
      </c>
      <c r="H139" s="84">
        <f t="shared" si="89"/>
        <v>41752.080000000002</v>
      </c>
      <c r="I139" s="47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67">
        <f t="shared" si="88"/>
        <v>0.89081081081081015</v>
      </c>
      <c r="S139" s="631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616"/>
      <c r="AC139" s="616"/>
      <c r="AD139" s="474"/>
      <c r="AE139" s="474"/>
      <c r="AF139" s="48">
        <f t="shared" si="61"/>
        <v>-163.78378378378488</v>
      </c>
      <c r="AG139" s="125">
        <f t="shared" si="62"/>
        <v>0.89081081081081004</v>
      </c>
      <c r="AH139" s="620"/>
    </row>
    <row r="140" spans="1:34" ht="19.2" customHeight="1">
      <c r="A140" s="629"/>
      <c r="B140" s="460" t="s">
        <v>132</v>
      </c>
      <c r="C140" s="470"/>
      <c r="D140" s="251" t="s">
        <v>89</v>
      </c>
      <c r="E140" s="83"/>
      <c r="F140" s="357">
        <v>50.92</v>
      </c>
      <c r="G140" s="57">
        <v>1553</v>
      </c>
      <c r="H140" s="84">
        <f t="shared" si="89"/>
        <v>79078.760000000009</v>
      </c>
      <c r="I140" s="47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67">
        <f t="shared" si="88"/>
        <v>0.87443693693693636</v>
      </c>
      <c r="S140" s="632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616"/>
      <c r="AC140" s="616"/>
      <c r="AD140" s="474"/>
      <c r="AE140" s="474"/>
      <c r="AF140" s="48">
        <f t="shared" si="61"/>
        <v>-180.81081081081174</v>
      </c>
      <c r="AG140" s="125">
        <f t="shared" si="62"/>
        <v>0.87443693693693625</v>
      </c>
      <c r="AH140" s="620"/>
    </row>
    <row r="141" spans="1:34" ht="19.2" customHeight="1">
      <c r="A141" s="629"/>
      <c r="B141" s="460" t="s">
        <v>132</v>
      </c>
      <c r="C141" s="470"/>
      <c r="D141" s="42" t="s">
        <v>187</v>
      </c>
      <c r="E141" s="254"/>
      <c r="F141" s="357">
        <v>52.86</v>
      </c>
      <c r="G141" s="57">
        <v>947</v>
      </c>
      <c r="H141" s="84">
        <f t="shared" si="89"/>
        <v>50058.42</v>
      </c>
      <c r="I141" s="474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67">
        <f t="shared" si="88"/>
        <v>0.87685185185185188</v>
      </c>
      <c r="S141" s="632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616"/>
      <c r="AC141" s="616"/>
      <c r="AD141" s="474"/>
      <c r="AE141" s="474"/>
      <c r="AF141" s="48">
        <f t="shared" si="61"/>
        <v>-177.33333333333326</v>
      </c>
      <c r="AG141" s="125">
        <f t="shared" si="62"/>
        <v>0.87685185185185188</v>
      </c>
      <c r="AH141" s="620"/>
    </row>
    <row r="142" spans="1:34" ht="19.2" customHeight="1">
      <c r="A142" s="629"/>
      <c r="B142" s="460" t="s">
        <v>132</v>
      </c>
      <c r="C142" s="470"/>
      <c r="D142" s="42" t="s">
        <v>90</v>
      </c>
      <c r="E142" s="254"/>
      <c r="F142" s="357">
        <v>50.67</v>
      </c>
      <c r="G142" s="57">
        <v>820</v>
      </c>
      <c r="H142" s="84">
        <f t="shared" si="89"/>
        <v>41549.4</v>
      </c>
      <c r="I142" s="4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67">
        <f t="shared" si="88"/>
        <v>0.87606837606837562</v>
      </c>
      <c r="S142" s="632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616"/>
      <c r="AC142" s="616"/>
      <c r="AD142" s="474"/>
      <c r="AE142" s="474"/>
      <c r="AF142" s="48">
        <f t="shared" si="61"/>
        <v>-178.46153846153902</v>
      </c>
      <c r="AG142" s="125">
        <f t="shared" si="62"/>
        <v>0.87606837606837573</v>
      </c>
      <c r="AH142" s="620"/>
    </row>
    <row r="143" spans="1:34" ht="19.2" customHeight="1">
      <c r="A143" s="629"/>
      <c r="B143" s="460" t="s">
        <v>132</v>
      </c>
      <c r="C143" s="255"/>
      <c r="D143" s="82" t="s">
        <v>91</v>
      </c>
      <c r="E143" s="83"/>
      <c r="F143" s="357">
        <v>50.49</v>
      </c>
      <c r="G143" s="57">
        <v>1083</v>
      </c>
      <c r="H143" s="84">
        <f t="shared" si="89"/>
        <v>54680.670000000006</v>
      </c>
      <c r="I143" s="474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67">
        <f t="shared" si="88"/>
        <v>0.90250000000000019</v>
      </c>
      <c r="S143" s="632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616"/>
      <c r="AC143" s="616"/>
      <c r="AD143" s="474">
        <v>1</v>
      </c>
      <c r="AE143" s="474"/>
      <c r="AF143" s="48">
        <f t="shared" si="61"/>
        <v>-140.39999999999964</v>
      </c>
      <c r="AG143" s="125">
        <f t="shared" si="62"/>
        <v>0.9025000000000003</v>
      </c>
      <c r="AH143" s="620"/>
    </row>
    <row r="144" spans="1:34" ht="19.2" customHeight="1">
      <c r="A144" s="629"/>
      <c r="B144" s="460">
        <v>0</v>
      </c>
      <c r="C144" s="470"/>
      <c r="D144" s="42"/>
      <c r="E144" s="254"/>
      <c r="F144" s="357" t="s">
        <v>133</v>
      </c>
      <c r="G144" s="57"/>
      <c r="H144" s="84">
        <f t="shared" si="89"/>
        <v>0</v>
      </c>
      <c r="I144" s="474"/>
      <c r="J144" s="46"/>
      <c r="K144" s="44"/>
      <c r="L144" s="47"/>
      <c r="M144" s="463"/>
      <c r="N144" s="57"/>
      <c r="O144" s="86"/>
      <c r="P144" s="54"/>
      <c r="Q144" s="88"/>
      <c r="R144" s="467"/>
      <c r="S144" s="63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16"/>
      <c r="AC144" s="616"/>
      <c r="AD144" s="474"/>
      <c r="AE144" s="474"/>
      <c r="AF144" s="48">
        <f t="shared" si="61"/>
        <v>0</v>
      </c>
      <c r="AG144" s="125" t="e">
        <f t="shared" si="62"/>
        <v>#DIV/0!</v>
      </c>
      <c r="AH144" s="620"/>
    </row>
    <row r="145" spans="1:34" ht="19.2" customHeight="1">
      <c r="A145" s="629"/>
      <c r="B145" s="460">
        <v>0</v>
      </c>
      <c r="C145" s="470"/>
      <c r="D145" s="42"/>
      <c r="E145" s="254"/>
      <c r="F145" s="357" t="s">
        <v>133</v>
      </c>
      <c r="G145" s="57"/>
      <c r="H145" s="84">
        <f t="shared" si="89"/>
        <v>0</v>
      </c>
      <c r="I145" s="474"/>
      <c r="J145" s="87"/>
      <c r="K145" s="57"/>
      <c r="L145" s="86"/>
      <c r="M145" s="463"/>
      <c r="N145" s="57"/>
      <c r="O145" s="86"/>
      <c r="P145" s="54"/>
      <c r="Q145" s="88"/>
      <c r="R145" s="467"/>
      <c r="S145" s="63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16"/>
      <c r="AC145" s="616"/>
      <c r="AD145" s="474"/>
      <c r="AE145" s="474"/>
      <c r="AF145" s="48">
        <f t="shared" si="61"/>
        <v>0</v>
      </c>
      <c r="AG145" s="125" t="e">
        <f t="shared" si="62"/>
        <v>#DIV/0!</v>
      </c>
      <c r="AH145" s="620"/>
    </row>
    <row r="146" spans="1:34" ht="19.2" customHeight="1">
      <c r="A146" s="629"/>
      <c r="B146" s="462">
        <v>0</v>
      </c>
      <c r="C146" s="255"/>
      <c r="D146" s="256"/>
      <c r="E146" s="254"/>
      <c r="F146" s="357" t="s">
        <v>133</v>
      </c>
      <c r="G146" s="57"/>
      <c r="H146" s="84">
        <f t="shared" si="89"/>
        <v>0</v>
      </c>
      <c r="I146" s="474"/>
      <c r="J146" s="87"/>
      <c r="K146" s="57"/>
      <c r="L146" s="86"/>
      <c r="M146" s="463"/>
      <c r="N146" s="57"/>
      <c r="O146" s="86"/>
      <c r="P146" s="54"/>
      <c r="Q146" s="88"/>
      <c r="R146" s="467"/>
      <c r="S146" s="63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16"/>
      <c r="AC146" s="616"/>
      <c r="AD146" s="474"/>
      <c r="AE146" s="474"/>
      <c r="AF146" s="54"/>
      <c r="AG146" s="467"/>
      <c r="AH146" s="620"/>
    </row>
    <row r="147" spans="1:34" ht="19.2" customHeight="1">
      <c r="A147" s="630"/>
      <c r="B147" s="257">
        <v>0</v>
      </c>
      <c r="C147" s="100" t="s">
        <v>412</v>
      </c>
      <c r="D147" s="617" t="s">
        <v>370</v>
      </c>
      <c r="E147" s="617"/>
      <c r="F147" s="371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J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633"/>
      <c r="T147" s="63"/>
      <c r="U147" s="63"/>
      <c r="V147" s="55"/>
      <c r="W147" s="457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16"/>
      <c r="AC147" s="616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620"/>
    </row>
    <row r="148" spans="1:34" ht="19.2" customHeight="1">
      <c r="A148" s="623" t="s">
        <v>414</v>
      </c>
      <c r="B148" s="474" t="s">
        <v>130</v>
      </c>
      <c r="C148" s="121"/>
      <c r="D148" s="173" t="s">
        <v>387</v>
      </c>
      <c r="E148" s="43"/>
      <c r="F148" s="364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64">
        <f t="shared" si="96"/>
        <v>0.98101694915254278</v>
      </c>
      <c r="S148" s="624">
        <f>R160</f>
        <v>0.90363130269207237</v>
      </c>
      <c r="T148" s="246">
        <v>0.45833333333333331</v>
      </c>
      <c r="U148" s="50">
        <v>0.58124999999999993</v>
      </c>
      <c r="V148" s="460">
        <v>5</v>
      </c>
      <c r="W148" s="457">
        <f>(U148-T148)*24*60</f>
        <v>176.99999999999994</v>
      </c>
      <c r="X148" s="53"/>
      <c r="Y148" s="53"/>
      <c r="Z148" s="54"/>
      <c r="AA148" s="54"/>
      <c r="AB148" s="616"/>
      <c r="AC148" s="616"/>
      <c r="AD148" s="474"/>
      <c r="AE148" s="474"/>
      <c r="AF148" s="48">
        <f t="shared" si="61"/>
        <v>-28.474576271185924</v>
      </c>
      <c r="AG148" s="125">
        <f t="shared" si="62"/>
        <v>0.98101694915254267</v>
      </c>
      <c r="AH148" s="620">
        <f>AG160</f>
        <v>0.89360612759875946</v>
      </c>
    </row>
    <row r="149" spans="1:34" ht="19.2" customHeight="1">
      <c r="A149" s="623"/>
      <c r="B149" s="474" t="s">
        <v>130</v>
      </c>
      <c r="C149" s="221"/>
      <c r="D149" s="251" t="s">
        <v>143</v>
      </c>
      <c r="E149" s="60"/>
      <c r="F149" s="364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64">
        <f t="shared" si="96"/>
        <v>0.78583333333333372</v>
      </c>
      <c r="S149" s="625"/>
      <c r="T149" s="246">
        <v>0.59652777777777766</v>
      </c>
      <c r="U149" s="50">
        <v>0.67152777777777761</v>
      </c>
      <c r="V149" s="460">
        <v>22</v>
      </c>
      <c r="W149" s="457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616"/>
      <c r="AC149" s="616"/>
      <c r="AD149" s="474"/>
      <c r="AE149" s="474"/>
      <c r="AF149" s="48">
        <f t="shared" si="61"/>
        <v>-428.33333333333258</v>
      </c>
      <c r="AG149" s="125">
        <f t="shared" si="62"/>
        <v>0.78583333333333372</v>
      </c>
      <c r="AH149" s="626"/>
    </row>
    <row r="150" spans="1:34" ht="19.2" customHeight="1">
      <c r="A150" s="623"/>
      <c r="B150" s="474" t="s">
        <v>132</v>
      </c>
      <c r="C150" s="221"/>
      <c r="D150" s="176" t="s">
        <v>204</v>
      </c>
      <c r="E150" s="60"/>
      <c r="F150" s="364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64">
        <f t="shared" si="96"/>
        <v>0.92129629629629639</v>
      </c>
      <c r="S150" s="625"/>
      <c r="T150" s="246">
        <v>0.8125</v>
      </c>
      <c r="U150" s="50">
        <v>0.84375</v>
      </c>
      <c r="V150" s="460">
        <v>8</v>
      </c>
      <c r="W150" s="457">
        <f t="shared" si="100"/>
        <v>45</v>
      </c>
      <c r="X150" s="216"/>
      <c r="Y150" s="216"/>
      <c r="Z150" s="217"/>
      <c r="AA150" s="217"/>
      <c r="AB150" s="616"/>
      <c r="AC150" s="616"/>
      <c r="AD150" s="474"/>
      <c r="AE150" s="474"/>
      <c r="AF150" s="48">
        <f t="shared" si="61"/>
        <v>-113.33333333333326</v>
      </c>
      <c r="AG150" s="125">
        <f t="shared" si="62"/>
        <v>0.92129629629629639</v>
      </c>
      <c r="AH150" s="626"/>
    </row>
    <row r="151" spans="1:34" s="218" customFormat="1" ht="19.2" customHeight="1">
      <c r="A151" s="623"/>
      <c r="B151" s="474" t="s">
        <v>128</v>
      </c>
      <c r="C151" s="221"/>
      <c r="D151" s="59" t="s">
        <v>82</v>
      </c>
      <c r="E151" s="60"/>
      <c r="F151" s="364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64">
        <f t="shared" si="96"/>
        <v>0.92577617328520201</v>
      </c>
      <c r="S151" s="625"/>
      <c r="T151" s="246">
        <v>0.84722222222222221</v>
      </c>
      <c r="U151" s="50">
        <v>0.86111111111111105</v>
      </c>
      <c r="V151" s="460">
        <v>5</v>
      </c>
      <c r="W151" s="457">
        <f t="shared" si="100"/>
        <v>19.999999999999929</v>
      </c>
      <c r="X151" s="216"/>
      <c r="Y151" s="216"/>
      <c r="Z151" s="217"/>
      <c r="AA151" s="217"/>
      <c r="AB151" s="616"/>
      <c r="AC151" s="616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626"/>
    </row>
    <row r="152" spans="1:34" s="218" customFormat="1" ht="19.2" customHeight="1">
      <c r="A152" s="623"/>
      <c r="B152" s="474">
        <v>0</v>
      </c>
      <c r="C152" s="221"/>
      <c r="D152" s="59"/>
      <c r="E152" s="60"/>
      <c r="F152" s="364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64"/>
      <c r="S152" s="625"/>
      <c r="T152" s="261"/>
      <c r="U152" s="63"/>
      <c r="V152" s="461"/>
      <c r="W152" s="457">
        <f t="shared" si="100"/>
        <v>0</v>
      </c>
      <c r="X152" s="219"/>
      <c r="Y152" s="219"/>
      <c r="Z152" s="217"/>
      <c r="AA152" s="217"/>
      <c r="AB152" s="616"/>
      <c r="AC152" s="616"/>
      <c r="AD152" s="221"/>
      <c r="AE152" s="221"/>
      <c r="AF152" s="48">
        <f t="shared" si="61"/>
        <v>0</v>
      </c>
      <c r="AG152" s="125" t="e">
        <f t="shared" si="62"/>
        <v>#DIV/0!</v>
      </c>
      <c r="AH152" s="626"/>
    </row>
    <row r="153" spans="1:34" s="218" customFormat="1" ht="19.2" customHeight="1">
      <c r="A153" s="623"/>
      <c r="B153" s="474">
        <v>0</v>
      </c>
      <c r="C153" s="221"/>
      <c r="D153" s="251"/>
      <c r="E153" s="60"/>
      <c r="F153" s="364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64"/>
      <c r="S153" s="625"/>
      <c r="T153" s="261"/>
      <c r="U153" s="63"/>
      <c r="V153" s="461"/>
      <c r="W153" s="457">
        <f t="shared" si="100"/>
        <v>0</v>
      </c>
      <c r="X153" s="219"/>
      <c r="Y153" s="219"/>
      <c r="Z153" s="217"/>
      <c r="AA153" s="217"/>
      <c r="AB153" s="616"/>
      <c r="AC153" s="616"/>
      <c r="AD153" s="221"/>
      <c r="AE153" s="221"/>
      <c r="AF153" s="48">
        <f t="shared" si="61"/>
        <v>0</v>
      </c>
      <c r="AG153" s="125" t="e">
        <f t="shared" si="62"/>
        <v>#DIV/0!</v>
      </c>
      <c r="AH153" s="626"/>
    </row>
    <row r="154" spans="1:34" s="218" customFormat="1" ht="19.2" customHeight="1">
      <c r="A154" s="623"/>
      <c r="B154" s="474">
        <v>0</v>
      </c>
      <c r="C154" s="221"/>
      <c r="D154" s="251"/>
      <c r="E154" s="60"/>
      <c r="F154" s="364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64"/>
      <c r="S154" s="625"/>
      <c r="T154" s="261"/>
      <c r="U154" s="63"/>
      <c r="V154" s="461"/>
      <c r="W154" s="457">
        <f t="shared" si="100"/>
        <v>0</v>
      </c>
      <c r="X154" s="219"/>
      <c r="Y154" s="219"/>
      <c r="Z154" s="217"/>
      <c r="AA154" s="217"/>
      <c r="AB154" s="616"/>
      <c r="AC154" s="616"/>
      <c r="AD154" s="221"/>
      <c r="AE154" s="221"/>
      <c r="AF154" s="48">
        <f t="shared" si="61"/>
        <v>0</v>
      </c>
      <c r="AG154" s="125" t="e">
        <f t="shared" si="62"/>
        <v>#DIV/0!</v>
      </c>
      <c r="AH154" s="626"/>
    </row>
    <row r="155" spans="1:34" s="218" customFormat="1" ht="19.2" customHeight="1">
      <c r="A155" s="623"/>
      <c r="B155" s="474">
        <v>0</v>
      </c>
      <c r="C155" s="221"/>
      <c r="D155" s="251"/>
      <c r="E155" s="60"/>
      <c r="F155" s="364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64"/>
      <c r="S155" s="625"/>
      <c r="T155" s="261"/>
      <c r="U155" s="63"/>
      <c r="V155" s="461"/>
      <c r="W155" s="457">
        <f t="shared" si="100"/>
        <v>0</v>
      </c>
      <c r="X155" s="219"/>
      <c r="Y155" s="219"/>
      <c r="Z155" s="217"/>
      <c r="AA155" s="217"/>
      <c r="AB155" s="616"/>
      <c r="AC155" s="616"/>
      <c r="AD155" s="221"/>
      <c r="AE155" s="221"/>
      <c r="AF155" s="264"/>
      <c r="AG155" s="129"/>
      <c r="AH155" s="626"/>
    </row>
    <row r="156" spans="1:34" s="218" customFormat="1" ht="19.2" customHeight="1">
      <c r="A156" s="623"/>
      <c r="B156" s="221">
        <v>0</v>
      </c>
      <c r="C156" s="221"/>
      <c r="D156" s="251"/>
      <c r="E156" s="60"/>
      <c r="F156" s="364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64"/>
      <c r="S156" s="625"/>
      <c r="T156" s="261"/>
      <c r="U156" s="63"/>
      <c r="V156" s="461"/>
      <c r="W156" s="265">
        <f t="shared" si="100"/>
        <v>0</v>
      </c>
      <c r="X156" s="219"/>
      <c r="Y156" s="219"/>
      <c r="Z156" s="217"/>
      <c r="AA156" s="217"/>
      <c r="AB156" s="616"/>
      <c r="AC156" s="616"/>
      <c r="AD156" s="221"/>
      <c r="AE156" s="221"/>
      <c r="AF156" s="264"/>
      <c r="AG156" s="129"/>
      <c r="AH156" s="626"/>
    </row>
    <row r="157" spans="1:34" s="218" customFormat="1" ht="19.2" customHeight="1">
      <c r="A157" s="623"/>
      <c r="B157" s="221">
        <v>0</v>
      </c>
      <c r="C157" s="221"/>
      <c r="D157" s="251"/>
      <c r="E157" s="60"/>
      <c r="F157" s="370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25"/>
      <c r="T157" s="261"/>
      <c r="U157" s="63"/>
      <c r="V157" s="461"/>
      <c r="W157" s="265">
        <f t="shared" si="100"/>
        <v>0</v>
      </c>
      <c r="X157" s="219"/>
      <c r="Y157" s="219"/>
      <c r="Z157" s="217"/>
      <c r="AA157" s="217"/>
      <c r="AB157" s="616"/>
      <c r="AC157" s="616"/>
      <c r="AD157" s="221"/>
      <c r="AE157" s="221"/>
      <c r="AF157" s="264"/>
      <c r="AG157" s="129"/>
      <c r="AH157" s="626"/>
    </row>
    <row r="158" spans="1:34" s="218" customFormat="1" ht="19.2" customHeight="1">
      <c r="A158" s="623"/>
      <c r="B158" s="221">
        <v>0</v>
      </c>
      <c r="C158" s="221"/>
      <c r="D158" s="251"/>
      <c r="E158" s="60"/>
      <c r="F158" s="370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25"/>
      <c r="T158" s="261"/>
      <c r="U158" s="63"/>
      <c r="V158" s="461"/>
      <c r="W158" s="265">
        <f t="shared" si="100"/>
        <v>0</v>
      </c>
      <c r="X158" s="219"/>
      <c r="Y158" s="219"/>
      <c r="Z158" s="217"/>
      <c r="AA158" s="217"/>
      <c r="AB158" s="616"/>
      <c r="AC158" s="616"/>
      <c r="AD158" s="221"/>
      <c r="AE158" s="221"/>
      <c r="AF158" s="264"/>
      <c r="AG158" s="129"/>
      <c r="AH158" s="626"/>
    </row>
    <row r="159" spans="1:34" s="218" customFormat="1" ht="19.2" customHeight="1">
      <c r="A159" s="623"/>
      <c r="B159" s="221">
        <v>0</v>
      </c>
      <c r="C159" s="221"/>
      <c r="D159" s="251"/>
      <c r="E159" s="60"/>
      <c r="F159" s="370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625"/>
      <c r="T159" s="261"/>
      <c r="U159" s="63"/>
      <c r="V159" s="461"/>
      <c r="W159" s="266">
        <f t="shared" si="100"/>
        <v>0</v>
      </c>
      <c r="X159" s="219"/>
      <c r="Y159" s="219"/>
      <c r="Z159" s="217"/>
      <c r="AA159" s="217"/>
      <c r="AB159" s="616"/>
      <c r="AC159" s="616"/>
      <c r="AD159" s="221"/>
      <c r="AE159" s="221"/>
      <c r="AF159" s="264"/>
      <c r="AG159" s="129"/>
      <c r="AH159" s="626"/>
    </row>
    <row r="160" spans="1:34" ht="19.2" customHeight="1">
      <c r="A160" s="623"/>
      <c r="B160" s="267">
        <v>0</v>
      </c>
      <c r="C160" s="268" t="s">
        <v>416</v>
      </c>
      <c r="D160" s="621" t="s">
        <v>370</v>
      </c>
      <c r="E160" s="622"/>
      <c r="F160" s="358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J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62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16"/>
      <c r="AC160" s="616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626"/>
    </row>
    <row r="161" spans="1:36" ht="19.2" customHeight="1">
      <c r="A161" s="619" t="s">
        <v>418</v>
      </c>
      <c r="B161" s="121" t="s">
        <v>131</v>
      </c>
      <c r="C161" s="121"/>
      <c r="D161" s="82" t="s">
        <v>92</v>
      </c>
      <c r="E161" s="83"/>
      <c r="F161" s="363">
        <v>34.229999999999997</v>
      </c>
      <c r="G161" s="57">
        <v>3352</v>
      </c>
      <c r="H161" s="84">
        <f t="shared" ref="H161:H170" si="104">F161*G161</f>
        <v>114738.95999999999</v>
      </c>
      <c r="I161" s="474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67">
        <f t="shared" ref="R161:R163" si="107">O161/L161</f>
        <v>0.96114695340501766</v>
      </c>
      <c r="S161" s="620">
        <f>R173</f>
        <v>0.92755841986959209</v>
      </c>
      <c r="T161" s="89">
        <v>0.16666666666666666</v>
      </c>
      <c r="U161" s="89">
        <v>0.23125000000000001</v>
      </c>
      <c r="V161" s="474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616"/>
      <c r="AC161" s="616"/>
      <c r="AD161" s="474"/>
      <c r="AE161" s="474"/>
      <c r="AF161" s="54">
        <f t="shared" si="61"/>
        <v>-87.419354838710206</v>
      </c>
      <c r="AG161" s="467">
        <f t="shared" si="62"/>
        <v>0.96114695340501766</v>
      </c>
      <c r="AH161" s="620">
        <f>AG173</f>
        <v>0.93139580789722221</v>
      </c>
    </row>
    <row r="162" spans="1:36" ht="19.2" customHeight="1">
      <c r="A162" s="619"/>
      <c r="B162" s="121" t="s">
        <v>131</v>
      </c>
      <c r="C162" s="121"/>
      <c r="D162" s="82" t="s">
        <v>93</v>
      </c>
      <c r="E162" s="83"/>
      <c r="F162" s="363">
        <v>34.229999999999997</v>
      </c>
      <c r="G162" s="57">
        <v>3387</v>
      </c>
      <c r="H162" s="84">
        <f t="shared" si="104"/>
        <v>115937.01</v>
      </c>
      <c r="I162" s="4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67">
        <f t="shared" si="107"/>
        <v>0.97118279569892452</v>
      </c>
      <c r="S162" s="620"/>
      <c r="T162" s="89">
        <v>0.23611111111111113</v>
      </c>
      <c r="U162" s="89">
        <v>0.30069444444444449</v>
      </c>
      <c r="V162" s="474">
        <v>7</v>
      </c>
      <c r="W162" s="90">
        <f t="shared" si="108"/>
        <v>93.000000000000028</v>
      </c>
      <c r="X162" s="96"/>
      <c r="Y162" s="96"/>
      <c r="Z162" s="54"/>
      <c r="AA162" s="54"/>
      <c r="AB162" s="616"/>
      <c r="AC162" s="616"/>
      <c r="AD162" s="474"/>
      <c r="AE162" s="474"/>
      <c r="AF162" s="54">
        <f t="shared" si="61"/>
        <v>-64.838709677419956</v>
      </c>
      <c r="AG162" s="467">
        <f t="shared" si="62"/>
        <v>0.97118279569892452</v>
      </c>
      <c r="AH162" s="620"/>
    </row>
    <row r="163" spans="1:36" ht="19.2" customHeight="1">
      <c r="A163" s="619"/>
      <c r="B163" s="121" t="s">
        <v>131</v>
      </c>
      <c r="C163" s="121"/>
      <c r="D163" s="248" t="s">
        <v>95</v>
      </c>
      <c r="E163" s="248"/>
      <c r="F163" s="363">
        <v>35.83</v>
      </c>
      <c r="G163" s="57">
        <v>3374.7</v>
      </c>
      <c r="H163" s="84">
        <f t="shared" si="104"/>
        <v>120915.50099999999</v>
      </c>
      <c r="I163" s="4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67">
        <f t="shared" si="107"/>
        <v>0.96765591397849482</v>
      </c>
      <c r="S163" s="620"/>
      <c r="T163" s="89">
        <v>0.31666666666666671</v>
      </c>
      <c r="U163" s="89">
        <v>0.38125000000000003</v>
      </c>
      <c r="V163" s="474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616"/>
      <c r="AC163" s="616"/>
      <c r="AD163" s="474">
        <v>1</v>
      </c>
      <c r="AE163" s="474"/>
      <c r="AF163" s="54">
        <f t="shared" si="61"/>
        <v>-72.774193548386847</v>
      </c>
      <c r="AG163" s="467">
        <f t="shared" si="62"/>
        <v>0.96765591397849471</v>
      </c>
      <c r="AH163" s="620"/>
    </row>
    <row r="164" spans="1:36" ht="19.2" customHeight="1">
      <c r="A164" s="619"/>
      <c r="B164" s="121" t="s">
        <v>131</v>
      </c>
      <c r="C164" s="121"/>
      <c r="D164" s="273" t="s">
        <v>64</v>
      </c>
      <c r="E164" s="273"/>
      <c r="F164" s="363">
        <v>36.409999999999997</v>
      </c>
      <c r="G164" s="57">
        <v>4553.3999999999996</v>
      </c>
      <c r="H164" s="84">
        <f t="shared" si="104"/>
        <v>165789.29399999997</v>
      </c>
      <c r="I164" s="4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67">
        <f>O164/L164</f>
        <v>0.87314355842337898</v>
      </c>
      <c r="S164" s="620"/>
      <c r="T164" s="89">
        <v>0.42152777777777778</v>
      </c>
      <c r="U164" s="89">
        <v>0.5</v>
      </c>
      <c r="V164" s="474">
        <v>5</v>
      </c>
      <c r="W164" s="90">
        <f t="shared" si="108"/>
        <v>113</v>
      </c>
      <c r="X164" s="96"/>
      <c r="Y164" s="96"/>
      <c r="Z164" s="54"/>
      <c r="AA164" s="54"/>
      <c r="AB164" s="616"/>
      <c r="AC164" s="616"/>
      <c r="AD164" s="474"/>
      <c r="AE164" s="474">
        <v>1</v>
      </c>
      <c r="AF164" s="54">
        <f>N164-K164</f>
        <v>-351.26548672566378</v>
      </c>
      <c r="AG164" s="467">
        <f>N164/K164</f>
        <v>0.87314355842337887</v>
      </c>
      <c r="AH164" s="620"/>
    </row>
    <row r="165" spans="1:36" ht="19.2" customHeight="1">
      <c r="A165" s="619"/>
      <c r="B165" s="121" t="s">
        <v>131</v>
      </c>
      <c r="C165" s="81"/>
      <c r="D165" s="82" t="s">
        <v>95</v>
      </c>
      <c r="E165" s="83"/>
      <c r="F165" s="360">
        <v>35.83</v>
      </c>
      <c r="G165" s="57">
        <v>1446.3</v>
      </c>
      <c r="H165" s="84">
        <f t="shared" si="104"/>
        <v>51820.928999999996</v>
      </c>
      <c r="I165" s="474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67">
        <f>O165/L165</f>
        <v>0.96419999999999961</v>
      </c>
      <c r="S165" s="620"/>
      <c r="T165" s="89">
        <v>0.51597222222222228</v>
      </c>
      <c r="U165" s="89">
        <v>0.54375000000000007</v>
      </c>
      <c r="V165" s="474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616"/>
      <c r="AC165" s="616"/>
      <c r="AD165" s="474"/>
      <c r="AE165" s="474"/>
      <c r="AF165" s="54">
        <f>N165-K165</f>
        <v>-80.550000000001091</v>
      </c>
      <c r="AG165" s="467">
        <f>N165/K165</f>
        <v>0.9641999999999995</v>
      </c>
      <c r="AH165" s="620"/>
    </row>
    <row r="166" spans="1:36" ht="19.2" customHeight="1">
      <c r="A166" s="619"/>
      <c r="B166" s="121" t="s">
        <v>131</v>
      </c>
      <c r="C166" s="121"/>
      <c r="D166" s="82" t="s">
        <v>64</v>
      </c>
      <c r="E166" s="83"/>
      <c r="F166" s="363">
        <v>36.409999999999997</v>
      </c>
      <c r="G166" s="57">
        <v>3035.6000000000004</v>
      </c>
      <c r="H166" s="84">
        <f t="shared" si="104"/>
        <v>110526.196</v>
      </c>
      <c r="I166" s="47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67">
        <f>O166/L166</f>
        <v>0.87702419646081575</v>
      </c>
      <c r="S166" s="620"/>
      <c r="T166" s="89">
        <v>0.5493055555555556</v>
      </c>
      <c r="U166" s="89">
        <v>0.60138888888888897</v>
      </c>
      <c r="V166" s="474">
        <v>8</v>
      </c>
      <c r="W166" s="90">
        <f t="shared" si="108"/>
        <v>75.000000000000057</v>
      </c>
      <c r="X166" s="96"/>
      <c r="Y166" s="96"/>
      <c r="Z166" s="54"/>
      <c r="AA166" s="54"/>
      <c r="AB166" s="616"/>
      <c r="AC166" s="616"/>
      <c r="AD166" s="474"/>
      <c r="AE166" s="474"/>
      <c r="AF166" s="54">
        <f>N166-K166</f>
        <v>-340.52000000000135</v>
      </c>
      <c r="AG166" s="467">
        <f>N166/K166</f>
        <v>0.87702419646081564</v>
      </c>
      <c r="AH166" s="620"/>
    </row>
    <row r="167" spans="1:36" ht="19.2" customHeight="1">
      <c r="A167" s="619"/>
      <c r="B167" s="121">
        <v>0</v>
      </c>
      <c r="C167" s="121"/>
      <c r="D167" s="251"/>
      <c r="E167" s="60"/>
      <c r="F167" s="363" t="s">
        <v>133</v>
      </c>
      <c r="G167" s="57" t="s">
        <v>15</v>
      </c>
      <c r="H167" s="84"/>
      <c r="I167" s="474"/>
      <c r="J167" s="87"/>
      <c r="K167" s="57"/>
      <c r="L167" s="86"/>
      <c r="M167" s="87"/>
      <c r="N167" s="57"/>
      <c r="O167" s="86"/>
      <c r="P167" s="54"/>
      <c r="Q167" s="88"/>
      <c r="R167" s="467"/>
      <c r="S167" s="620"/>
      <c r="T167" s="89"/>
      <c r="U167" s="89"/>
      <c r="V167" s="474" t="s">
        <v>15</v>
      </c>
      <c r="W167" s="90">
        <f t="shared" si="108"/>
        <v>0</v>
      </c>
      <c r="X167" s="96"/>
      <c r="Y167" s="96"/>
      <c r="Z167" s="54"/>
      <c r="AA167" s="54"/>
      <c r="AB167" s="616"/>
      <c r="AC167" s="616"/>
      <c r="AD167" s="474"/>
      <c r="AE167" s="474"/>
      <c r="AF167" s="54">
        <f t="shared" si="61"/>
        <v>0</v>
      </c>
      <c r="AG167" s="467" t="e">
        <f t="shared" si="62"/>
        <v>#DIV/0!</v>
      </c>
      <c r="AH167" s="620"/>
    </row>
    <row r="168" spans="1:36" ht="19.2" customHeight="1">
      <c r="A168" s="619"/>
      <c r="B168" s="121">
        <v>0</v>
      </c>
      <c r="C168" s="121"/>
      <c r="D168" s="251"/>
      <c r="E168" s="60"/>
      <c r="F168" s="363" t="s">
        <v>133</v>
      </c>
      <c r="G168" s="57"/>
      <c r="H168" s="84">
        <f t="shared" si="104"/>
        <v>0</v>
      </c>
      <c r="I168" s="474"/>
      <c r="J168" s="87"/>
      <c r="K168" s="57"/>
      <c r="L168" s="86"/>
      <c r="M168" s="87"/>
      <c r="N168" s="57"/>
      <c r="O168" s="86"/>
      <c r="P168" s="54"/>
      <c r="Q168" s="88"/>
      <c r="R168" s="467"/>
      <c r="S168" s="620"/>
      <c r="T168" s="89"/>
      <c r="U168" s="89"/>
      <c r="V168" s="474"/>
      <c r="W168" s="90">
        <f t="shared" si="108"/>
        <v>0</v>
      </c>
      <c r="X168" s="96"/>
      <c r="Y168" s="96"/>
      <c r="Z168" s="54"/>
      <c r="AA168" s="54"/>
      <c r="AB168" s="616"/>
      <c r="AC168" s="616"/>
      <c r="AD168" s="474"/>
      <c r="AE168" s="474"/>
      <c r="AF168" s="54">
        <f t="shared" si="61"/>
        <v>0</v>
      </c>
      <c r="AG168" s="467" t="e">
        <f t="shared" si="62"/>
        <v>#DIV/0!</v>
      </c>
      <c r="AH168" s="620"/>
    </row>
    <row r="169" spans="1:36" ht="19.2" customHeight="1">
      <c r="A169" s="619"/>
      <c r="B169" s="121">
        <v>0</v>
      </c>
      <c r="C169" s="121"/>
      <c r="D169" s="251"/>
      <c r="E169" s="60"/>
      <c r="F169" s="363" t="s">
        <v>133</v>
      </c>
      <c r="G169" s="57"/>
      <c r="H169" s="84">
        <f t="shared" si="104"/>
        <v>0</v>
      </c>
      <c r="I169" s="474"/>
      <c r="J169" s="87"/>
      <c r="K169" s="57"/>
      <c r="L169" s="86"/>
      <c r="M169" s="87"/>
      <c r="N169" s="57"/>
      <c r="O169" s="86"/>
      <c r="P169" s="54"/>
      <c r="Q169" s="88"/>
      <c r="R169" s="467"/>
      <c r="S169" s="620"/>
      <c r="T169" s="89"/>
      <c r="U169" s="89"/>
      <c r="V169" s="474" t="s">
        <v>15</v>
      </c>
      <c r="W169" s="90">
        <f t="shared" si="108"/>
        <v>0</v>
      </c>
      <c r="X169" s="96"/>
      <c r="Y169" s="96"/>
      <c r="Z169" s="54"/>
      <c r="AA169" s="54"/>
      <c r="AB169" s="616"/>
      <c r="AC169" s="616"/>
      <c r="AD169" s="474"/>
      <c r="AE169" s="474"/>
      <c r="AF169" s="54">
        <f t="shared" si="61"/>
        <v>0</v>
      </c>
      <c r="AG169" s="467" t="e">
        <f t="shared" si="62"/>
        <v>#DIV/0!</v>
      </c>
      <c r="AH169" s="620"/>
    </row>
    <row r="170" spans="1:36" ht="19.2" customHeight="1">
      <c r="A170" s="619"/>
      <c r="B170" s="121">
        <v>0</v>
      </c>
      <c r="C170" s="121"/>
      <c r="D170" s="251"/>
      <c r="E170" s="60"/>
      <c r="F170" s="363" t="s">
        <v>133</v>
      </c>
      <c r="G170" s="57"/>
      <c r="H170" s="84">
        <f t="shared" si="104"/>
        <v>0</v>
      </c>
      <c r="I170" s="474"/>
      <c r="J170" s="87"/>
      <c r="K170" s="57"/>
      <c r="L170" s="86"/>
      <c r="M170" s="87"/>
      <c r="N170" s="57"/>
      <c r="O170" s="86"/>
      <c r="P170" s="54"/>
      <c r="Q170" s="88"/>
      <c r="R170" s="467"/>
      <c r="S170" s="620"/>
      <c r="T170" s="89"/>
      <c r="U170" s="89"/>
      <c r="V170" s="474"/>
      <c r="W170" s="90">
        <f t="shared" si="108"/>
        <v>0</v>
      </c>
      <c r="X170" s="96"/>
      <c r="Y170" s="96"/>
      <c r="Z170" s="54"/>
      <c r="AA170" s="54"/>
      <c r="AB170" s="616"/>
      <c r="AC170" s="616"/>
      <c r="AD170" s="474"/>
      <c r="AE170" s="474"/>
      <c r="AF170" s="54">
        <f t="shared" si="61"/>
        <v>0</v>
      </c>
      <c r="AG170" s="467" t="e">
        <f t="shared" si="62"/>
        <v>#DIV/0!</v>
      </c>
      <c r="AH170" s="620"/>
    </row>
    <row r="171" spans="1:36" ht="19.2" customHeight="1">
      <c r="A171" s="619"/>
      <c r="B171" s="121">
        <v>0</v>
      </c>
      <c r="C171" s="121"/>
      <c r="D171" s="251"/>
      <c r="E171" s="60"/>
      <c r="F171" s="363" t="s">
        <v>133</v>
      </c>
      <c r="G171" s="57"/>
      <c r="H171" s="84">
        <f t="shared" si="97"/>
        <v>0</v>
      </c>
      <c r="I171" s="474"/>
      <c r="J171" s="87"/>
      <c r="K171" s="57"/>
      <c r="L171" s="86"/>
      <c r="M171" s="87"/>
      <c r="N171" s="57"/>
      <c r="O171" s="86"/>
      <c r="P171" s="54"/>
      <c r="Q171" s="88"/>
      <c r="R171" s="467"/>
      <c r="S171" s="620"/>
      <c r="T171" s="89"/>
      <c r="U171" s="89"/>
      <c r="V171" s="474"/>
      <c r="W171" s="90">
        <f t="shared" si="108"/>
        <v>0</v>
      </c>
      <c r="X171" s="96"/>
      <c r="Y171" s="96"/>
      <c r="Z171" s="54"/>
      <c r="AA171" s="54"/>
      <c r="AB171" s="616"/>
      <c r="AC171" s="616"/>
      <c r="AD171" s="474"/>
      <c r="AE171" s="474"/>
      <c r="AF171" s="54"/>
      <c r="AG171" s="467"/>
      <c r="AH171" s="620"/>
    </row>
    <row r="172" spans="1:36" ht="19.2" customHeight="1">
      <c r="A172" s="619"/>
      <c r="B172" s="121">
        <v>0</v>
      </c>
      <c r="C172" s="121"/>
      <c r="D172" s="251"/>
      <c r="E172" s="60"/>
      <c r="F172" s="363" t="s">
        <v>133</v>
      </c>
      <c r="G172" s="57"/>
      <c r="H172" s="84">
        <f t="shared" si="97"/>
        <v>0</v>
      </c>
      <c r="I172" s="474"/>
      <c r="J172" s="87"/>
      <c r="K172" s="57"/>
      <c r="L172" s="86"/>
      <c r="M172" s="87"/>
      <c r="N172" s="57"/>
      <c r="O172" s="86"/>
      <c r="P172" s="54"/>
      <c r="Q172" s="88"/>
      <c r="R172" s="467"/>
      <c r="S172" s="620"/>
      <c r="T172" s="89"/>
      <c r="U172" s="89"/>
      <c r="V172" s="474"/>
      <c r="W172" s="90">
        <f t="shared" si="108"/>
        <v>0</v>
      </c>
      <c r="X172" s="96"/>
      <c r="Y172" s="96"/>
      <c r="Z172" s="54"/>
      <c r="AA172" s="54"/>
      <c r="AB172" s="616"/>
      <c r="AC172" s="616"/>
      <c r="AD172" s="474"/>
      <c r="AE172" s="474"/>
      <c r="AF172" s="54"/>
      <c r="AG172" s="467"/>
      <c r="AH172" s="620"/>
    </row>
    <row r="173" spans="1:36" ht="19.2" customHeight="1">
      <c r="A173" s="619"/>
      <c r="B173" s="121">
        <v>0</v>
      </c>
      <c r="C173" s="100" t="s">
        <v>420</v>
      </c>
      <c r="D173" s="617" t="s">
        <v>370</v>
      </c>
      <c r="E173" s="617"/>
      <c r="F173" s="361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J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62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18"/>
      <c r="AC173" s="618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67">
        <f t="shared" si="62"/>
        <v>0.93139580789722221</v>
      </c>
      <c r="AH173" s="62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3105" priority="3106" operator="lessThan">
      <formula>0</formula>
    </cfRule>
  </conditionalFormatting>
  <conditionalFormatting sqref="AH57 AH70 S43 S123 S95 AH95 S5:S9 AH5:AH9 S134 AH17:AH18 S17:S18 S32 S82 AH82 S57:S70">
    <cfRule type="cellIs" dxfId="3104" priority="3105" operator="lessThan">
      <formula>0.8</formula>
    </cfRule>
  </conditionalFormatting>
  <conditionalFormatting sqref="R147 R173 R30 R121 R95 R43 R134 R82 R157:R159 R17:R18 R109:R118 R57:R70">
    <cfRule type="cellIs" dxfId="3103" priority="3103" operator="lessThan">
      <formula>0.8</formula>
    </cfRule>
    <cfRule type="cellIs" dxfId="310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3101" priority="3101" operator="greaterThan">
      <formula>1</formula>
    </cfRule>
    <cfRule type="cellIs" dxfId="3100" priority="3102" operator="lessThan">
      <formula>0.8</formula>
    </cfRule>
  </conditionalFormatting>
  <conditionalFormatting sqref="P147 P30 P121 P95 P43 P134 P82 P157:P159 P109:P118 P17:P28 P57:P70">
    <cfRule type="cellIs" dxfId="3099" priority="3100" operator="greaterThan">
      <formula>0</formula>
    </cfRule>
  </conditionalFormatting>
  <conditionalFormatting sqref="S161">
    <cfRule type="cellIs" dxfId="3098" priority="3099" operator="lessThan">
      <formula>0.8</formula>
    </cfRule>
  </conditionalFormatting>
  <conditionalFormatting sqref="Q161:Q167">
    <cfRule type="cellIs" dxfId="3097" priority="3098" operator="lessThan">
      <formula>0</formula>
    </cfRule>
  </conditionalFormatting>
  <conditionalFormatting sqref="R161:R167">
    <cfRule type="cellIs" dxfId="3096" priority="3096" operator="lessThan">
      <formula>0.8</formula>
    </cfRule>
    <cfRule type="cellIs" dxfId="3095" priority="3097" operator="greaterThan">
      <formula>1</formula>
    </cfRule>
  </conditionalFormatting>
  <conditionalFormatting sqref="R161:R167">
    <cfRule type="cellIs" dxfId="3094" priority="3094" operator="greaterThan">
      <formula>1</formula>
    </cfRule>
    <cfRule type="cellIs" dxfId="3093" priority="3095" operator="lessThan">
      <formula>0.8</formula>
    </cfRule>
  </conditionalFormatting>
  <conditionalFormatting sqref="P161:P167">
    <cfRule type="cellIs" dxfId="3092" priority="3093" operator="greaterThan">
      <formula>0</formula>
    </cfRule>
  </conditionalFormatting>
  <conditionalFormatting sqref="Q169:Q172 AF161:AF172">
    <cfRule type="cellIs" dxfId="3091" priority="3092" operator="lessThan">
      <formula>0</formula>
    </cfRule>
  </conditionalFormatting>
  <conditionalFormatting sqref="R169:R172">
    <cfRule type="cellIs" dxfId="3090" priority="3090" operator="lessThan">
      <formula>0.8</formula>
    </cfRule>
    <cfRule type="cellIs" dxfId="3089" priority="3091" operator="greaterThan">
      <formula>1</formula>
    </cfRule>
  </conditionalFormatting>
  <conditionalFormatting sqref="R169:R172 AG161:AG172">
    <cfRule type="cellIs" dxfId="3088" priority="3088" operator="greaterThan">
      <formula>1</formula>
    </cfRule>
    <cfRule type="cellIs" dxfId="3087" priority="3089" operator="lessThan">
      <formula>0.8</formula>
    </cfRule>
  </conditionalFormatting>
  <conditionalFormatting sqref="P169:P172">
    <cfRule type="cellIs" dxfId="3086" priority="3087" operator="greaterThan">
      <formula>0</formula>
    </cfRule>
  </conditionalFormatting>
  <conditionalFormatting sqref="AF145">
    <cfRule type="cellIs" dxfId="3085" priority="3086" operator="lessThan">
      <formula>0</formula>
    </cfRule>
  </conditionalFormatting>
  <conditionalFormatting sqref="AG145">
    <cfRule type="cellIs" dxfId="3084" priority="3084" operator="greaterThan">
      <formula>1</formula>
    </cfRule>
    <cfRule type="cellIs" dxfId="3083" priority="3085" operator="lessThan">
      <formula>0.8</formula>
    </cfRule>
  </conditionalFormatting>
  <conditionalFormatting sqref="AF44:AF54">
    <cfRule type="cellIs" dxfId="3082" priority="3083" operator="lessThan">
      <formula>0</formula>
    </cfRule>
  </conditionalFormatting>
  <conditionalFormatting sqref="AG44:AG54">
    <cfRule type="cellIs" dxfId="3081" priority="3081" operator="greaterThan">
      <formula>1</formula>
    </cfRule>
    <cfRule type="cellIs" dxfId="3080" priority="3082" operator="lessThan">
      <formula>0.8</formula>
    </cfRule>
  </conditionalFormatting>
  <conditionalFormatting sqref="AF83:AF94">
    <cfRule type="cellIs" dxfId="3079" priority="3080" operator="lessThan">
      <formula>0</formula>
    </cfRule>
  </conditionalFormatting>
  <conditionalFormatting sqref="AH83">
    <cfRule type="cellIs" dxfId="3078" priority="3079" operator="lessThan">
      <formula>0.8</formula>
    </cfRule>
  </conditionalFormatting>
  <conditionalFormatting sqref="AG83:AG94">
    <cfRule type="cellIs" dxfId="3077" priority="3077" operator="greaterThan">
      <formula>1</formula>
    </cfRule>
    <cfRule type="cellIs" dxfId="3076" priority="3078" operator="lessThan">
      <formula>0.8</formula>
    </cfRule>
  </conditionalFormatting>
  <conditionalFormatting sqref="S83">
    <cfRule type="cellIs" dxfId="3075" priority="3076" operator="lessThan">
      <formula>0.8</formula>
    </cfRule>
  </conditionalFormatting>
  <conditionalFormatting sqref="AH84">
    <cfRule type="cellIs" dxfId="3074" priority="3075" operator="lessThan">
      <formula>0.8</formula>
    </cfRule>
  </conditionalFormatting>
  <conditionalFormatting sqref="S84">
    <cfRule type="cellIs" dxfId="3073" priority="3074" operator="lessThan">
      <formula>0.8</formula>
    </cfRule>
  </conditionalFormatting>
  <conditionalFormatting sqref="S90">
    <cfRule type="cellIs" dxfId="3072" priority="3073" operator="lessThan">
      <formula>0.8</formula>
    </cfRule>
  </conditionalFormatting>
  <conditionalFormatting sqref="AH90">
    <cfRule type="cellIs" dxfId="3071" priority="3072" operator="lessThan">
      <formula>0.8</formula>
    </cfRule>
  </conditionalFormatting>
  <conditionalFormatting sqref="AF122">
    <cfRule type="cellIs" dxfId="3070" priority="3071" operator="lessThan">
      <formula>0</formula>
    </cfRule>
  </conditionalFormatting>
  <conditionalFormatting sqref="S122">
    <cfRule type="cellIs" dxfId="3069" priority="3070" operator="lessThan">
      <formula>0.8</formula>
    </cfRule>
  </conditionalFormatting>
  <conditionalFormatting sqref="AG122">
    <cfRule type="cellIs" dxfId="3068" priority="3068" operator="greaterThan">
      <formula>1</formula>
    </cfRule>
    <cfRule type="cellIs" dxfId="3067" priority="3069" operator="lessThan">
      <formula>0.8</formula>
    </cfRule>
  </conditionalFormatting>
  <conditionalFormatting sqref="P162:P168">
    <cfRule type="cellIs" dxfId="3066" priority="3062" operator="greaterThan">
      <formula>0</formula>
    </cfRule>
  </conditionalFormatting>
  <conditionalFormatting sqref="R162:R168">
    <cfRule type="cellIs" dxfId="3065" priority="3065" operator="lessThan">
      <formula>0.8</formula>
    </cfRule>
    <cfRule type="cellIs" dxfId="3064" priority="3066" operator="greaterThan">
      <formula>1</formula>
    </cfRule>
  </conditionalFormatting>
  <conditionalFormatting sqref="R162:R168">
    <cfRule type="cellIs" dxfId="3063" priority="3063" operator="greaterThan">
      <formula>1</formula>
    </cfRule>
    <cfRule type="cellIs" dxfId="3062" priority="3064" operator="lessThan">
      <formula>0.8</formula>
    </cfRule>
  </conditionalFormatting>
  <conditionalFormatting sqref="Q162:Q168">
    <cfRule type="cellIs" dxfId="3061" priority="3067" operator="lessThan">
      <formula>0</formula>
    </cfRule>
  </conditionalFormatting>
  <conditionalFormatting sqref="P132:P133">
    <cfRule type="cellIs" dxfId="3060" priority="3055" operator="greaterThan">
      <formula>0</formula>
    </cfRule>
  </conditionalFormatting>
  <conditionalFormatting sqref="AF124 Q132:Q133 AF132:AF133 AF126:AF127 AF129:AF130">
    <cfRule type="cellIs" dxfId="3059" priority="3061" operator="lessThan">
      <formula>0</formula>
    </cfRule>
  </conditionalFormatting>
  <conditionalFormatting sqref="S124:S133">
    <cfRule type="cellIs" dxfId="3058" priority="3060" operator="lessThan">
      <formula>0.8</formula>
    </cfRule>
  </conditionalFormatting>
  <conditionalFormatting sqref="R132:R133">
    <cfRule type="cellIs" dxfId="3057" priority="3058" operator="lessThan">
      <formula>0.8</formula>
    </cfRule>
    <cfRule type="cellIs" dxfId="3056" priority="3059" operator="greaterThan">
      <formula>1</formula>
    </cfRule>
  </conditionalFormatting>
  <conditionalFormatting sqref="AG124 R132:R133 AG132:AG133 AG126:AG127 AG129:AG130">
    <cfRule type="cellIs" dxfId="3055" priority="3056" operator="greaterThan">
      <formula>1</formula>
    </cfRule>
    <cfRule type="cellIs" dxfId="3054" priority="3057" operator="lessThan">
      <formula>0.8</formula>
    </cfRule>
  </conditionalFormatting>
  <conditionalFormatting sqref="AH109">
    <cfRule type="cellIs" dxfId="3053" priority="3054" operator="lessThan">
      <formula>0.8</formula>
    </cfRule>
  </conditionalFormatting>
  <conditionalFormatting sqref="R160 AG160">
    <cfRule type="cellIs" dxfId="3052" priority="3049" operator="greaterThan">
      <formula>1</formula>
    </cfRule>
    <cfRule type="cellIs" dxfId="3051" priority="3050" operator="lessThan">
      <formula>0.8</formula>
    </cfRule>
  </conditionalFormatting>
  <conditionalFormatting sqref="R160">
    <cfRule type="cellIs" dxfId="3050" priority="3051" operator="lessThan">
      <formula>0.8</formula>
    </cfRule>
    <cfRule type="cellIs" dxfId="3049" priority="3052" operator="greaterThan">
      <formula>1</formula>
    </cfRule>
  </conditionalFormatting>
  <conditionalFormatting sqref="P160">
    <cfRule type="cellIs" dxfId="3048" priority="3048" operator="greaterThan">
      <formula>0</formula>
    </cfRule>
  </conditionalFormatting>
  <conditionalFormatting sqref="AH148">
    <cfRule type="cellIs" dxfId="3047" priority="3047" operator="lessThan">
      <formula>0.8</formula>
    </cfRule>
  </conditionalFormatting>
  <conditionalFormatting sqref="Q160 AF160">
    <cfRule type="cellIs" dxfId="3046" priority="3053" operator="lessThan">
      <formula>0</formula>
    </cfRule>
  </conditionalFormatting>
  <conditionalFormatting sqref="AF148:AF154">
    <cfRule type="cellIs" dxfId="3045" priority="3046" operator="lessThan">
      <formula>0</formula>
    </cfRule>
  </conditionalFormatting>
  <conditionalFormatting sqref="S148">
    <cfRule type="cellIs" dxfId="3044" priority="3045" operator="lessThan">
      <formula>0.8</formula>
    </cfRule>
  </conditionalFormatting>
  <conditionalFormatting sqref="AG148:AG154">
    <cfRule type="cellIs" dxfId="3043" priority="3043" operator="greaterThan">
      <formula>1</formula>
    </cfRule>
    <cfRule type="cellIs" dxfId="3042" priority="3044" operator="lessThan">
      <formula>0.8</formula>
    </cfRule>
  </conditionalFormatting>
  <conditionalFormatting sqref="S86">
    <cfRule type="cellIs" dxfId="3041" priority="3042" operator="lessThan">
      <formula>0.8</formula>
    </cfRule>
  </conditionalFormatting>
  <conditionalFormatting sqref="S88 AH88">
    <cfRule type="cellIs" dxfId="3040" priority="3037" operator="lessThan">
      <formula>0.8</formula>
    </cfRule>
  </conditionalFormatting>
  <conditionalFormatting sqref="AH86">
    <cfRule type="cellIs" dxfId="3039" priority="3041" operator="lessThan">
      <formula>0.8</formula>
    </cfRule>
  </conditionalFormatting>
  <conditionalFormatting sqref="S87">
    <cfRule type="cellIs" dxfId="3038" priority="3040" operator="lessThan">
      <formula>0.8</formula>
    </cfRule>
  </conditionalFormatting>
  <conditionalFormatting sqref="AH87">
    <cfRule type="cellIs" dxfId="3037" priority="3039" operator="lessThan">
      <formula>0.8</formula>
    </cfRule>
  </conditionalFormatting>
  <conditionalFormatting sqref="S89 AH89">
    <cfRule type="cellIs" dxfId="3036" priority="3038" operator="lessThan">
      <formula>0.8</formula>
    </cfRule>
  </conditionalFormatting>
  <conditionalFormatting sqref="AF31 AF35 AF39">
    <cfRule type="cellIs" dxfId="3035" priority="3036" operator="lessThan">
      <formula>0</formula>
    </cfRule>
  </conditionalFormatting>
  <conditionalFormatting sqref="AH31 S31">
    <cfRule type="cellIs" dxfId="3034" priority="3035" operator="lessThan">
      <formula>0.8</formula>
    </cfRule>
  </conditionalFormatting>
  <conditionalFormatting sqref="AG31 AG35 AG39">
    <cfRule type="cellIs" dxfId="3033" priority="3033" operator="greaterThan">
      <formula>1</formula>
    </cfRule>
    <cfRule type="cellIs" dxfId="3032" priority="3034" operator="lessThan">
      <formula>0.8</formula>
    </cfRule>
  </conditionalFormatting>
  <conditionalFormatting sqref="AF135">
    <cfRule type="cellIs" dxfId="3031" priority="3032" operator="lessThan">
      <formula>0</formula>
    </cfRule>
  </conditionalFormatting>
  <conditionalFormatting sqref="AH135 S135">
    <cfRule type="cellIs" dxfId="3030" priority="3031" operator="lessThan">
      <formula>0.8</formula>
    </cfRule>
  </conditionalFormatting>
  <conditionalFormatting sqref="AG135">
    <cfRule type="cellIs" dxfId="3029" priority="3029" operator="greaterThan">
      <formula>1</formula>
    </cfRule>
    <cfRule type="cellIs" dxfId="3028" priority="3030" operator="lessThan">
      <formula>0.8</formula>
    </cfRule>
  </conditionalFormatting>
  <conditionalFormatting sqref="AF108 Q108">
    <cfRule type="cellIs" dxfId="3027" priority="3028" operator="lessThan">
      <formula>0</formula>
    </cfRule>
  </conditionalFormatting>
  <conditionalFormatting sqref="R108">
    <cfRule type="cellIs" dxfId="3026" priority="3026" operator="lessThan">
      <formula>0.8</formula>
    </cfRule>
    <cfRule type="cellIs" dxfId="3025" priority="3027" operator="greaterThan">
      <formula>1</formula>
    </cfRule>
  </conditionalFormatting>
  <conditionalFormatting sqref="AG108 R108">
    <cfRule type="cellIs" dxfId="3024" priority="3024" operator="greaterThan">
      <formula>1</formula>
    </cfRule>
    <cfRule type="cellIs" dxfId="3023" priority="3025" operator="lessThan">
      <formula>0.8</formula>
    </cfRule>
  </conditionalFormatting>
  <conditionalFormatting sqref="P108">
    <cfRule type="cellIs" dxfId="3022" priority="3023" operator="greaterThan">
      <formula>0</formula>
    </cfRule>
  </conditionalFormatting>
  <conditionalFormatting sqref="AH97">
    <cfRule type="cellIs" dxfId="3021" priority="3018" operator="lessThan">
      <formula>0.8</formula>
    </cfRule>
  </conditionalFormatting>
  <conditionalFormatting sqref="AG96 AG98 AG100 AG102:AG103 AG105:AG106">
    <cfRule type="cellIs" dxfId="3020" priority="3020" operator="greaterThan">
      <formula>1</formula>
    </cfRule>
    <cfRule type="cellIs" dxfId="3019" priority="3021" operator="lessThan">
      <formula>0.8</formula>
    </cfRule>
  </conditionalFormatting>
  <conditionalFormatting sqref="AF96 AF98 AF100 AF102:AF103 AF105:AF106">
    <cfRule type="cellIs" dxfId="3018" priority="3022" operator="lessThan">
      <formula>0</formula>
    </cfRule>
  </conditionalFormatting>
  <conditionalFormatting sqref="AG97 AG99 AG101 AG104">
    <cfRule type="cellIs" dxfId="3017" priority="3016" operator="greaterThan">
      <formula>1</formula>
    </cfRule>
    <cfRule type="cellIs" dxfId="3016" priority="3017" operator="lessThan">
      <formula>0.8</formula>
    </cfRule>
  </conditionalFormatting>
  <conditionalFormatting sqref="AF97 AF99 AF101 AF104">
    <cfRule type="cellIs" dxfId="3015" priority="3019" operator="lessThan">
      <formula>0</formula>
    </cfRule>
  </conditionalFormatting>
  <conditionalFormatting sqref="AF71 AF73 AF75 AF79 AF77">
    <cfRule type="cellIs" dxfId="3014" priority="3013" operator="lessThan">
      <formula>0</formula>
    </cfRule>
  </conditionalFormatting>
  <conditionalFormatting sqref="S71 AH71">
    <cfRule type="cellIs" dxfId="3013" priority="3012" operator="lessThan">
      <formula>0.8</formula>
    </cfRule>
  </conditionalFormatting>
  <conditionalFormatting sqref="AG71 AG73 AG75 AG79 AG77">
    <cfRule type="cellIs" dxfId="3012" priority="3010" operator="greaterThan">
      <formula>1</formula>
    </cfRule>
    <cfRule type="cellIs" dxfId="3011" priority="3011" operator="lessThan">
      <formula>0.8</formula>
    </cfRule>
  </conditionalFormatting>
  <conditionalFormatting sqref="AF72 AF76 AF80">
    <cfRule type="cellIs" dxfId="3010" priority="3009" operator="lessThan">
      <formula>0</formula>
    </cfRule>
  </conditionalFormatting>
  <conditionalFormatting sqref="S72 AH72">
    <cfRule type="cellIs" dxfId="3009" priority="3008" operator="lessThan">
      <formula>0.8</formula>
    </cfRule>
  </conditionalFormatting>
  <conditionalFormatting sqref="S11">
    <cfRule type="cellIs" dxfId="3008" priority="3015" operator="lessThan">
      <formula>0.8</formula>
    </cfRule>
  </conditionalFormatting>
  <conditionalFormatting sqref="S10">
    <cfRule type="cellIs" dxfId="3007" priority="3014" operator="lessThan">
      <formula>0.8</formula>
    </cfRule>
  </conditionalFormatting>
  <conditionalFormatting sqref="AG72 AG76 AG80">
    <cfRule type="cellIs" dxfId="3006" priority="3006" operator="greaterThan">
      <formula>1</formula>
    </cfRule>
    <cfRule type="cellIs" dxfId="3005" priority="3007" operator="lessThan">
      <formula>0.8</formula>
    </cfRule>
  </conditionalFormatting>
  <conditionalFormatting sqref="AF14:AF16 Q15:Q16">
    <cfRule type="cellIs" dxfId="3004" priority="3005" operator="lessThan">
      <formula>0</formula>
    </cfRule>
  </conditionalFormatting>
  <conditionalFormatting sqref="R15:R16">
    <cfRule type="cellIs" dxfId="3003" priority="3003" operator="lessThan">
      <formula>0.8</formula>
    </cfRule>
    <cfRule type="cellIs" dxfId="3002" priority="3004" operator="greaterThan">
      <formula>1</formula>
    </cfRule>
  </conditionalFormatting>
  <conditionalFormatting sqref="R15:R16">
    <cfRule type="cellIs" dxfId="3001" priority="3001" operator="greaterThan">
      <formula>1</formula>
    </cfRule>
    <cfRule type="cellIs" dxfId="3000" priority="3002" operator="lessThan">
      <formula>0.8</formula>
    </cfRule>
  </conditionalFormatting>
  <conditionalFormatting sqref="P15:P16">
    <cfRule type="cellIs" dxfId="2999" priority="3000" operator="greaterThan">
      <formula>0</formula>
    </cfRule>
  </conditionalFormatting>
  <conditionalFormatting sqref="AH98">
    <cfRule type="cellIs" dxfId="2998" priority="2999" operator="lessThan">
      <formula>0.8</formula>
    </cfRule>
  </conditionalFormatting>
  <conditionalFormatting sqref="AF33 AF37">
    <cfRule type="cellIs" dxfId="2997" priority="2998" operator="lessThan">
      <formula>0</formula>
    </cfRule>
  </conditionalFormatting>
  <conditionalFormatting sqref="AG33 AG37">
    <cfRule type="cellIs" dxfId="2996" priority="2996" operator="greaterThan">
      <formula>1</formula>
    </cfRule>
    <cfRule type="cellIs" dxfId="2995" priority="2997" operator="lessThan">
      <formula>0.8</formula>
    </cfRule>
  </conditionalFormatting>
  <conditionalFormatting sqref="P41:P42">
    <cfRule type="cellIs" dxfId="2994" priority="2990" operator="greaterThan">
      <formula>0</formula>
    </cfRule>
  </conditionalFormatting>
  <conditionalFormatting sqref="Q41:Q42 AF34 AF41:AF42 AF38">
    <cfRule type="cellIs" dxfId="2993" priority="2995" operator="lessThan">
      <formula>0</formula>
    </cfRule>
  </conditionalFormatting>
  <conditionalFormatting sqref="R41:R42">
    <cfRule type="cellIs" dxfId="2992" priority="2993" operator="lessThan">
      <formula>0.8</formula>
    </cfRule>
    <cfRule type="cellIs" dxfId="2991" priority="2994" operator="greaterThan">
      <formula>1</formula>
    </cfRule>
  </conditionalFormatting>
  <conditionalFormatting sqref="R41:R42 AG34 AG41:AG42 AG38">
    <cfRule type="cellIs" dxfId="2990" priority="2991" operator="greaterThan">
      <formula>1</formula>
    </cfRule>
    <cfRule type="cellIs" dxfId="2989" priority="2992" operator="lessThan">
      <formula>0.8</formula>
    </cfRule>
  </conditionalFormatting>
  <conditionalFormatting sqref="AF137:AF144">
    <cfRule type="cellIs" dxfId="2988" priority="2989" operator="lessThan">
      <formula>0</formula>
    </cfRule>
  </conditionalFormatting>
  <conditionalFormatting sqref="AH137 S137">
    <cfRule type="cellIs" dxfId="2987" priority="2988" operator="lessThan">
      <formula>0.8</formula>
    </cfRule>
  </conditionalFormatting>
  <conditionalFormatting sqref="AG137:AG144">
    <cfRule type="cellIs" dxfId="2986" priority="2986" operator="greaterThan">
      <formula>1</formula>
    </cfRule>
    <cfRule type="cellIs" dxfId="2985" priority="2987" operator="lessThan">
      <formula>0.8</formula>
    </cfRule>
  </conditionalFormatting>
  <conditionalFormatting sqref="AF55">
    <cfRule type="cellIs" dxfId="2984" priority="2985" operator="lessThan">
      <formula>0</formula>
    </cfRule>
  </conditionalFormatting>
  <conditionalFormatting sqref="AG55">
    <cfRule type="cellIs" dxfId="2983" priority="2983" operator="greaterThan">
      <formula>1</formula>
    </cfRule>
    <cfRule type="cellIs" dxfId="2982" priority="2984" operator="lessThan">
      <formula>0.8</formula>
    </cfRule>
  </conditionalFormatting>
  <conditionalFormatting sqref="AF56 Q56">
    <cfRule type="cellIs" dxfId="2981" priority="2982" operator="lessThan">
      <formula>0</formula>
    </cfRule>
  </conditionalFormatting>
  <conditionalFormatting sqref="R56">
    <cfRule type="cellIs" dxfId="2980" priority="2980" operator="lessThan">
      <formula>0.8</formula>
    </cfRule>
    <cfRule type="cellIs" dxfId="2979" priority="2981" operator="greaterThan">
      <formula>1</formula>
    </cfRule>
  </conditionalFormatting>
  <conditionalFormatting sqref="AG56 R56">
    <cfRule type="cellIs" dxfId="2978" priority="2978" operator="greaterThan">
      <formula>1</formula>
    </cfRule>
    <cfRule type="cellIs" dxfId="2977" priority="2979" operator="lessThan">
      <formula>0.8</formula>
    </cfRule>
  </conditionalFormatting>
  <conditionalFormatting sqref="P56">
    <cfRule type="cellIs" dxfId="2976" priority="2977" operator="greaterThan">
      <formula>0</formula>
    </cfRule>
  </conditionalFormatting>
  <conditionalFormatting sqref="P53:P55">
    <cfRule type="cellIs" dxfId="2975" priority="2971" operator="greaterThan">
      <formula>0</formula>
    </cfRule>
  </conditionalFormatting>
  <conditionalFormatting sqref="Q53:Q55">
    <cfRule type="cellIs" dxfId="2974" priority="2976" operator="lessThan">
      <formula>0</formula>
    </cfRule>
  </conditionalFormatting>
  <conditionalFormatting sqref="R53:R55">
    <cfRule type="cellIs" dxfId="2973" priority="2974" operator="lessThan">
      <formula>0.8</formula>
    </cfRule>
    <cfRule type="cellIs" dxfId="2972" priority="2975" operator="greaterThan">
      <formula>1</formula>
    </cfRule>
  </conditionalFormatting>
  <conditionalFormatting sqref="R53:R55">
    <cfRule type="cellIs" dxfId="2971" priority="2972" operator="greaterThan">
      <formula>1</formula>
    </cfRule>
    <cfRule type="cellIs" dxfId="2970" priority="2973" operator="lessThan">
      <formula>0.8</formula>
    </cfRule>
  </conditionalFormatting>
  <conditionalFormatting sqref="P80:P81">
    <cfRule type="cellIs" dxfId="2969" priority="2965" operator="greaterThan">
      <formula>0</formula>
    </cfRule>
  </conditionalFormatting>
  <conditionalFormatting sqref="AF81 Q80:Q81">
    <cfRule type="cellIs" dxfId="2968" priority="2970" operator="lessThan">
      <formula>0</formula>
    </cfRule>
  </conditionalFormatting>
  <conditionalFormatting sqref="R80:R81">
    <cfRule type="cellIs" dxfId="2967" priority="2968" operator="lessThan">
      <formula>0.8</formula>
    </cfRule>
    <cfRule type="cellIs" dxfId="2966" priority="2969" operator="greaterThan">
      <formula>1</formula>
    </cfRule>
  </conditionalFormatting>
  <conditionalFormatting sqref="AG81 R80:R81">
    <cfRule type="cellIs" dxfId="2965" priority="2966" operator="greaterThan">
      <formula>1</formula>
    </cfRule>
    <cfRule type="cellIs" dxfId="2964" priority="2967" operator="lessThan">
      <formula>0.8</formula>
    </cfRule>
  </conditionalFormatting>
  <conditionalFormatting sqref="AH85">
    <cfRule type="cellIs" dxfId="2963" priority="2964" operator="lessThan">
      <formula>0.8</formula>
    </cfRule>
  </conditionalFormatting>
  <conditionalFormatting sqref="S85">
    <cfRule type="cellIs" dxfId="2962" priority="2963" operator="lessThan">
      <formula>0.8</formula>
    </cfRule>
  </conditionalFormatting>
  <conditionalFormatting sqref="AF107">
    <cfRule type="cellIs" dxfId="2961" priority="2962" operator="lessThan">
      <formula>0</formula>
    </cfRule>
  </conditionalFormatting>
  <conditionalFormatting sqref="AH100:AH107">
    <cfRule type="cellIs" dxfId="2960" priority="2961" operator="lessThan">
      <formula>0.8</formula>
    </cfRule>
  </conditionalFormatting>
  <conditionalFormatting sqref="AG107">
    <cfRule type="cellIs" dxfId="2959" priority="2959" operator="greaterThan">
      <formula>1</formula>
    </cfRule>
    <cfRule type="cellIs" dxfId="2958" priority="2960" operator="lessThan">
      <formula>0.8</formula>
    </cfRule>
  </conditionalFormatting>
  <conditionalFormatting sqref="P106:P107">
    <cfRule type="cellIs" dxfId="2957" priority="2953" operator="greaterThan">
      <formula>0</formula>
    </cfRule>
  </conditionalFormatting>
  <conditionalFormatting sqref="Q106:Q107">
    <cfRule type="cellIs" dxfId="2956" priority="2958" operator="lessThan">
      <formula>0</formula>
    </cfRule>
  </conditionalFormatting>
  <conditionalFormatting sqref="R106:R107">
    <cfRule type="cellIs" dxfId="2955" priority="2956" operator="lessThan">
      <formula>0.8</formula>
    </cfRule>
    <cfRule type="cellIs" dxfId="2954" priority="2957" operator="greaterThan">
      <formula>1</formula>
    </cfRule>
  </conditionalFormatting>
  <conditionalFormatting sqref="R106:R107">
    <cfRule type="cellIs" dxfId="2953" priority="2954" operator="greaterThan">
      <formula>1</formula>
    </cfRule>
    <cfRule type="cellIs" dxfId="2952" priority="2955" operator="lessThan">
      <formula>0.8</formula>
    </cfRule>
  </conditionalFormatting>
  <conditionalFormatting sqref="AF109:AF120">
    <cfRule type="cellIs" dxfId="2951" priority="2952" operator="lessThan">
      <formula>0</formula>
    </cfRule>
  </conditionalFormatting>
  <conditionalFormatting sqref="S109">
    <cfRule type="cellIs" dxfId="2950" priority="2951" operator="lessThan">
      <formula>0.8</formula>
    </cfRule>
  </conditionalFormatting>
  <conditionalFormatting sqref="AG109:AG120">
    <cfRule type="cellIs" dxfId="2949" priority="2949" operator="greaterThan">
      <formula>1</formula>
    </cfRule>
    <cfRule type="cellIs" dxfId="2948" priority="2950" operator="lessThan">
      <formula>0.8</formula>
    </cfRule>
  </conditionalFormatting>
  <conditionalFormatting sqref="S150">
    <cfRule type="cellIs" dxfId="2947" priority="2948" operator="lessThan">
      <formula>0.8</formula>
    </cfRule>
  </conditionalFormatting>
  <conditionalFormatting sqref="AH150">
    <cfRule type="cellIs" dxfId="2946" priority="2947" operator="lessThan">
      <formula>0.8</formula>
    </cfRule>
  </conditionalFormatting>
  <conditionalFormatting sqref="S149">
    <cfRule type="cellIs" dxfId="2945" priority="2946" operator="lessThan">
      <formula>0.8</formula>
    </cfRule>
  </conditionalFormatting>
  <conditionalFormatting sqref="Q26:Q29">
    <cfRule type="cellIs" dxfId="2944" priority="2945" operator="lessThan">
      <formula>0</formula>
    </cfRule>
  </conditionalFormatting>
  <conditionalFormatting sqref="S21:S29 AH21:AH29">
    <cfRule type="cellIs" dxfId="2943" priority="2944" operator="lessThan">
      <formula>0.8</formula>
    </cfRule>
  </conditionalFormatting>
  <conditionalFormatting sqref="R26:R29">
    <cfRule type="cellIs" dxfId="2942" priority="2942" operator="lessThan">
      <formula>0.8</formula>
    </cfRule>
    <cfRule type="cellIs" dxfId="2941" priority="2943" operator="greaterThan">
      <formula>1</formula>
    </cfRule>
  </conditionalFormatting>
  <conditionalFormatting sqref="R26:R29">
    <cfRule type="cellIs" dxfId="2940" priority="2940" operator="greaterThan">
      <formula>1</formula>
    </cfRule>
    <cfRule type="cellIs" dxfId="2939" priority="2941" operator="lessThan">
      <formula>0.8</formula>
    </cfRule>
  </conditionalFormatting>
  <conditionalFormatting sqref="P29">
    <cfRule type="cellIs" dxfId="2938" priority="2939" operator="greaterThan">
      <formula>0</formula>
    </cfRule>
  </conditionalFormatting>
  <conditionalFormatting sqref="AH91 S91">
    <cfRule type="cellIs" dxfId="2937" priority="2938" operator="lessThan">
      <formula>0.8</formula>
    </cfRule>
  </conditionalFormatting>
  <conditionalFormatting sqref="P92:P94">
    <cfRule type="cellIs" dxfId="2936" priority="2932" operator="greaterThan">
      <formula>0</formula>
    </cfRule>
  </conditionalFormatting>
  <conditionalFormatting sqref="Q92:Q94">
    <cfRule type="cellIs" dxfId="2935" priority="2937" operator="lessThan">
      <formula>0</formula>
    </cfRule>
  </conditionalFormatting>
  <conditionalFormatting sqref="R92:R94">
    <cfRule type="cellIs" dxfId="2934" priority="2935" operator="lessThan">
      <formula>0.8</formula>
    </cfRule>
    <cfRule type="cellIs" dxfId="2933" priority="2936" operator="greaterThan">
      <formula>1</formula>
    </cfRule>
  </conditionalFormatting>
  <conditionalFormatting sqref="R92:R94">
    <cfRule type="cellIs" dxfId="2932" priority="2933" operator="greaterThan">
      <formula>1</formula>
    </cfRule>
    <cfRule type="cellIs" dxfId="2931" priority="2934" operator="lessThan">
      <formula>0.8</formula>
    </cfRule>
  </conditionalFormatting>
  <conditionalFormatting sqref="AF146 Q146">
    <cfRule type="cellIs" dxfId="2930" priority="2931" operator="lessThan">
      <formula>0</formula>
    </cfRule>
  </conditionalFormatting>
  <conditionalFormatting sqref="AH139:AH146 S139:S146">
    <cfRule type="cellIs" dxfId="2929" priority="2930" operator="lessThan">
      <formula>0.8</formula>
    </cfRule>
  </conditionalFormatting>
  <conditionalFormatting sqref="R146">
    <cfRule type="cellIs" dxfId="2928" priority="2928" operator="lessThan">
      <formula>0.8</formula>
    </cfRule>
    <cfRule type="cellIs" dxfId="2927" priority="2929" operator="greaterThan">
      <formula>1</formula>
    </cfRule>
  </conditionalFormatting>
  <conditionalFormatting sqref="AG146 R146">
    <cfRule type="cellIs" dxfId="2926" priority="2926" operator="greaterThan">
      <formula>1</formula>
    </cfRule>
    <cfRule type="cellIs" dxfId="2925" priority="2927" operator="lessThan">
      <formula>0.8</formula>
    </cfRule>
  </conditionalFormatting>
  <conditionalFormatting sqref="P146">
    <cfRule type="cellIs" dxfId="2924" priority="2925" operator="greaterThan">
      <formula>0</formula>
    </cfRule>
  </conditionalFormatting>
  <conditionalFormatting sqref="Q119:Q120">
    <cfRule type="cellIs" dxfId="2923" priority="2924" operator="lessThan">
      <formula>0</formula>
    </cfRule>
  </conditionalFormatting>
  <conditionalFormatting sqref="R119:R120">
    <cfRule type="cellIs" dxfId="2922" priority="2922" operator="lessThan">
      <formula>0.8</formula>
    </cfRule>
    <cfRule type="cellIs" dxfId="2921" priority="2923" operator="greaterThan">
      <formula>1</formula>
    </cfRule>
  </conditionalFormatting>
  <conditionalFormatting sqref="R119:R120">
    <cfRule type="cellIs" dxfId="2920" priority="2920" operator="greaterThan">
      <formula>1</formula>
    </cfRule>
    <cfRule type="cellIs" dxfId="2919" priority="2921" operator="lessThan">
      <formula>0.8</formula>
    </cfRule>
  </conditionalFormatting>
  <conditionalFormatting sqref="P119:P120">
    <cfRule type="cellIs" dxfId="2918" priority="2919" operator="greaterThan">
      <formula>0</formula>
    </cfRule>
  </conditionalFormatting>
  <conditionalFormatting sqref="S44:S56">
    <cfRule type="cellIs" dxfId="2917" priority="2918" operator="lessThan">
      <formula>0.8</formula>
    </cfRule>
  </conditionalFormatting>
  <conditionalFormatting sqref="S108">
    <cfRule type="cellIs" dxfId="2916" priority="2917" operator="lessThan">
      <formula>0.8</formula>
    </cfRule>
  </conditionalFormatting>
  <conditionalFormatting sqref="S96">
    <cfRule type="cellIs" dxfId="2915" priority="2916" operator="lessThan">
      <formula>0.8</formula>
    </cfRule>
  </conditionalFormatting>
  <conditionalFormatting sqref="S97">
    <cfRule type="cellIs" dxfId="2914" priority="2915" operator="lessThan">
      <formula>0.8</formula>
    </cfRule>
  </conditionalFormatting>
  <conditionalFormatting sqref="S103">
    <cfRule type="cellIs" dxfId="2913" priority="2914" operator="lessThan">
      <formula>0.8</formula>
    </cfRule>
  </conditionalFormatting>
  <conditionalFormatting sqref="S99">
    <cfRule type="cellIs" dxfId="2912" priority="2913" operator="lessThan">
      <formula>0.8</formula>
    </cfRule>
  </conditionalFormatting>
  <conditionalFormatting sqref="S101">
    <cfRule type="cellIs" dxfId="2911" priority="2910" operator="lessThan">
      <formula>0.8</formula>
    </cfRule>
  </conditionalFormatting>
  <conditionalFormatting sqref="S100">
    <cfRule type="cellIs" dxfId="2910" priority="2912" operator="lessThan">
      <formula>0.8</formula>
    </cfRule>
  </conditionalFormatting>
  <conditionalFormatting sqref="S102">
    <cfRule type="cellIs" dxfId="2909" priority="2911" operator="lessThan">
      <formula>0.8</formula>
    </cfRule>
  </conditionalFormatting>
  <conditionalFormatting sqref="S98">
    <cfRule type="cellIs" dxfId="2908" priority="2909" operator="lessThan">
      <formula>0.8</formula>
    </cfRule>
  </conditionalFormatting>
  <conditionalFormatting sqref="S104">
    <cfRule type="cellIs" dxfId="2907" priority="2908" operator="lessThan">
      <formula>0.8</formula>
    </cfRule>
  </conditionalFormatting>
  <conditionalFormatting sqref="Q162:Q167">
    <cfRule type="cellIs" dxfId="2906" priority="2907" operator="lessThan">
      <formula>0</formula>
    </cfRule>
  </conditionalFormatting>
  <conditionalFormatting sqref="R162:R167">
    <cfRule type="cellIs" dxfId="2905" priority="2905" operator="lessThan">
      <formula>0.8</formula>
    </cfRule>
    <cfRule type="cellIs" dxfId="2904" priority="2906" operator="greaterThan">
      <formula>1</formula>
    </cfRule>
  </conditionalFormatting>
  <conditionalFormatting sqref="R162:R167">
    <cfRule type="cellIs" dxfId="2903" priority="2903" operator="greaterThan">
      <formula>1</formula>
    </cfRule>
    <cfRule type="cellIs" dxfId="2902" priority="2904" operator="lessThan">
      <formula>0.8</formula>
    </cfRule>
  </conditionalFormatting>
  <conditionalFormatting sqref="P162:P167">
    <cfRule type="cellIs" dxfId="2901" priority="2902" operator="greaterThan">
      <formula>0</formula>
    </cfRule>
  </conditionalFormatting>
  <conditionalFormatting sqref="P168">
    <cfRule type="cellIs" dxfId="2900" priority="2896" operator="greaterThan">
      <formula>0</formula>
    </cfRule>
  </conditionalFormatting>
  <conditionalFormatting sqref="R168">
    <cfRule type="cellIs" dxfId="2899" priority="2899" operator="lessThan">
      <formula>0.8</formula>
    </cfRule>
    <cfRule type="cellIs" dxfId="2898" priority="2900" operator="greaterThan">
      <formula>1</formula>
    </cfRule>
  </conditionalFormatting>
  <conditionalFormatting sqref="R168">
    <cfRule type="cellIs" dxfId="2897" priority="2897" operator="greaterThan">
      <formula>1</formula>
    </cfRule>
    <cfRule type="cellIs" dxfId="2896" priority="2898" operator="lessThan">
      <formula>0.8</formula>
    </cfRule>
  </conditionalFormatting>
  <conditionalFormatting sqref="Q168">
    <cfRule type="cellIs" dxfId="2895" priority="2901" operator="lessThan">
      <formula>0</formula>
    </cfRule>
  </conditionalFormatting>
  <conditionalFormatting sqref="Q83">
    <cfRule type="cellIs" dxfId="2894" priority="2895" operator="lessThan">
      <formula>0</formula>
    </cfRule>
  </conditionalFormatting>
  <conditionalFormatting sqref="R83">
    <cfRule type="cellIs" dxfId="2893" priority="2893" operator="lessThan">
      <formula>0.8</formula>
    </cfRule>
    <cfRule type="cellIs" dxfId="2892" priority="2894" operator="greaterThan">
      <formula>1</formula>
    </cfRule>
  </conditionalFormatting>
  <conditionalFormatting sqref="R83">
    <cfRule type="cellIs" dxfId="2891" priority="2891" operator="greaterThan">
      <formula>1</formula>
    </cfRule>
    <cfRule type="cellIs" dxfId="2890" priority="2892" operator="lessThan">
      <formula>0.8</formula>
    </cfRule>
  </conditionalFormatting>
  <conditionalFormatting sqref="P83">
    <cfRule type="cellIs" dxfId="2889" priority="2890" operator="greaterThan">
      <formula>0</formula>
    </cfRule>
  </conditionalFormatting>
  <conditionalFormatting sqref="Q83">
    <cfRule type="cellIs" dxfId="2888" priority="2889" operator="lessThan">
      <formula>0</formula>
    </cfRule>
  </conditionalFormatting>
  <conditionalFormatting sqref="R83">
    <cfRule type="cellIs" dxfId="2887" priority="2887" operator="lessThan">
      <formula>0.8</formula>
    </cfRule>
    <cfRule type="cellIs" dxfId="2886" priority="2888" operator="greaterThan">
      <formula>1</formula>
    </cfRule>
  </conditionalFormatting>
  <conditionalFormatting sqref="R83">
    <cfRule type="cellIs" dxfId="2885" priority="2885" operator="greaterThan">
      <formula>1</formula>
    </cfRule>
    <cfRule type="cellIs" dxfId="2884" priority="2886" operator="lessThan">
      <formula>0.8</formula>
    </cfRule>
  </conditionalFormatting>
  <conditionalFormatting sqref="P83">
    <cfRule type="cellIs" dxfId="2883" priority="2884" operator="greaterThan">
      <formula>0</formula>
    </cfRule>
  </conditionalFormatting>
  <conditionalFormatting sqref="Q83">
    <cfRule type="cellIs" dxfId="2882" priority="2883" operator="lessThan">
      <formula>0</formula>
    </cfRule>
  </conditionalFormatting>
  <conditionalFormatting sqref="R83">
    <cfRule type="cellIs" dxfId="2881" priority="2881" operator="lessThan">
      <formula>0.8</formula>
    </cfRule>
    <cfRule type="cellIs" dxfId="2880" priority="2882" operator="greaterThan">
      <formula>1</formula>
    </cfRule>
  </conditionalFormatting>
  <conditionalFormatting sqref="R83">
    <cfRule type="cellIs" dxfId="2879" priority="2879" operator="greaterThan">
      <formula>1</formula>
    </cfRule>
    <cfRule type="cellIs" dxfId="2878" priority="2880" operator="lessThan">
      <formula>0.8</formula>
    </cfRule>
  </conditionalFormatting>
  <conditionalFormatting sqref="P83">
    <cfRule type="cellIs" dxfId="2877" priority="2878" operator="greaterThan">
      <formula>0</formula>
    </cfRule>
  </conditionalFormatting>
  <conditionalFormatting sqref="Q83">
    <cfRule type="cellIs" dxfId="2876" priority="2877" operator="lessThan">
      <formula>0</formula>
    </cfRule>
  </conditionalFormatting>
  <conditionalFormatting sqref="R83">
    <cfRule type="cellIs" dxfId="2875" priority="2875" operator="lessThan">
      <formula>0.8</formula>
    </cfRule>
    <cfRule type="cellIs" dxfId="2874" priority="2876" operator="greaterThan">
      <formula>1</formula>
    </cfRule>
  </conditionalFormatting>
  <conditionalFormatting sqref="R83">
    <cfRule type="cellIs" dxfId="2873" priority="2873" operator="greaterThan">
      <formula>1</formula>
    </cfRule>
    <cfRule type="cellIs" dxfId="2872" priority="2874" operator="lessThan">
      <formula>0.8</formula>
    </cfRule>
  </conditionalFormatting>
  <conditionalFormatting sqref="P83">
    <cfRule type="cellIs" dxfId="2871" priority="2872" operator="greaterThan">
      <formula>0</formula>
    </cfRule>
  </conditionalFormatting>
  <conditionalFormatting sqref="P83">
    <cfRule type="cellIs" dxfId="2870" priority="2866" operator="greaterThan">
      <formula>0</formula>
    </cfRule>
  </conditionalFormatting>
  <conditionalFormatting sqref="Q83">
    <cfRule type="cellIs" dxfId="2869" priority="2871" operator="lessThan">
      <formula>0</formula>
    </cfRule>
  </conditionalFormatting>
  <conditionalFormatting sqref="R83">
    <cfRule type="cellIs" dxfId="2868" priority="2869" operator="lessThan">
      <formula>0.8</formula>
    </cfRule>
    <cfRule type="cellIs" dxfId="2867" priority="2870" operator="greaterThan">
      <formula>1</formula>
    </cfRule>
  </conditionalFormatting>
  <conditionalFormatting sqref="R83">
    <cfRule type="cellIs" dxfId="2866" priority="2867" operator="greaterThan">
      <formula>1</formula>
    </cfRule>
    <cfRule type="cellIs" dxfId="2865" priority="2868" operator="lessThan">
      <formula>0.8</formula>
    </cfRule>
  </conditionalFormatting>
  <conditionalFormatting sqref="P83">
    <cfRule type="cellIs" dxfId="2864" priority="2860" operator="greaterThan">
      <formula>0</formula>
    </cfRule>
  </conditionalFormatting>
  <conditionalFormatting sqref="Q83">
    <cfRule type="cellIs" dxfId="2863" priority="2865" operator="lessThan">
      <formula>0</formula>
    </cfRule>
  </conditionalFormatting>
  <conditionalFormatting sqref="R83">
    <cfRule type="cellIs" dxfId="2862" priority="2863" operator="lessThan">
      <formula>0.8</formula>
    </cfRule>
    <cfRule type="cellIs" dxfId="2861" priority="2864" operator="greaterThan">
      <formula>1</formula>
    </cfRule>
  </conditionalFormatting>
  <conditionalFormatting sqref="R83">
    <cfRule type="cellIs" dxfId="2860" priority="2861" operator="greaterThan">
      <formula>1</formula>
    </cfRule>
    <cfRule type="cellIs" dxfId="2859" priority="2862" operator="lessThan">
      <formula>0.8</formula>
    </cfRule>
  </conditionalFormatting>
  <conditionalFormatting sqref="R83">
    <cfRule type="cellIs" dxfId="2858" priority="2857" operator="lessThan">
      <formula>0.8</formula>
    </cfRule>
    <cfRule type="cellIs" dxfId="2857" priority="2858" operator="greaterThan">
      <formula>1</formula>
    </cfRule>
  </conditionalFormatting>
  <conditionalFormatting sqref="R83">
    <cfRule type="cellIs" dxfId="2856" priority="2855" operator="greaterThan">
      <formula>1</formula>
    </cfRule>
    <cfRule type="cellIs" dxfId="2855" priority="2856" operator="lessThan">
      <formula>0.8</formula>
    </cfRule>
  </conditionalFormatting>
  <conditionalFormatting sqref="P83">
    <cfRule type="cellIs" dxfId="2854" priority="2854" operator="greaterThan">
      <formula>0</formula>
    </cfRule>
  </conditionalFormatting>
  <conditionalFormatting sqref="Q83">
    <cfRule type="cellIs" dxfId="2853" priority="2859" operator="lessThan">
      <formula>0</formula>
    </cfRule>
  </conditionalFormatting>
  <conditionalFormatting sqref="Q83">
    <cfRule type="cellIs" dxfId="2852" priority="2853" operator="lessThan">
      <formula>0</formula>
    </cfRule>
  </conditionalFormatting>
  <conditionalFormatting sqref="R83">
    <cfRule type="cellIs" dxfId="2851" priority="2851" operator="lessThan">
      <formula>0.8</formula>
    </cfRule>
    <cfRule type="cellIs" dxfId="2850" priority="2852" operator="greaterThan">
      <formula>1</formula>
    </cfRule>
  </conditionalFormatting>
  <conditionalFormatting sqref="R83">
    <cfRule type="cellIs" dxfId="2849" priority="2849" operator="greaterThan">
      <formula>1</formula>
    </cfRule>
    <cfRule type="cellIs" dxfId="2848" priority="2850" operator="lessThan">
      <formula>0.8</formula>
    </cfRule>
  </conditionalFormatting>
  <conditionalFormatting sqref="P83">
    <cfRule type="cellIs" dxfId="2847" priority="2848" operator="greaterThan">
      <formula>0</formula>
    </cfRule>
  </conditionalFormatting>
  <conditionalFormatting sqref="P83">
    <cfRule type="cellIs" dxfId="2846" priority="2842" operator="greaterThan">
      <formula>0</formula>
    </cfRule>
  </conditionalFormatting>
  <conditionalFormatting sqref="Q83">
    <cfRule type="cellIs" dxfId="2845" priority="2847" operator="lessThan">
      <formula>0</formula>
    </cfRule>
  </conditionalFormatting>
  <conditionalFormatting sqref="R83">
    <cfRule type="cellIs" dxfId="2844" priority="2845" operator="lessThan">
      <formula>0.8</formula>
    </cfRule>
    <cfRule type="cellIs" dxfId="2843" priority="2846" operator="greaterThan">
      <formula>1</formula>
    </cfRule>
  </conditionalFormatting>
  <conditionalFormatting sqref="R83">
    <cfRule type="cellIs" dxfId="2842" priority="2843" operator="greaterThan">
      <formula>1</formula>
    </cfRule>
    <cfRule type="cellIs" dxfId="2841" priority="2844" operator="lessThan">
      <formula>0.8</formula>
    </cfRule>
  </conditionalFormatting>
  <conditionalFormatting sqref="P83">
    <cfRule type="cellIs" dxfId="2840" priority="2836" operator="greaterThan">
      <formula>0</formula>
    </cfRule>
  </conditionalFormatting>
  <conditionalFormatting sqref="Q83">
    <cfRule type="cellIs" dxfId="2839" priority="2841" operator="lessThan">
      <formula>0</formula>
    </cfRule>
  </conditionalFormatting>
  <conditionalFormatting sqref="R83">
    <cfRule type="cellIs" dxfId="2838" priority="2839" operator="lessThan">
      <formula>0.8</formula>
    </cfRule>
    <cfRule type="cellIs" dxfId="2837" priority="2840" operator="greaterThan">
      <formula>1</formula>
    </cfRule>
  </conditionalFormatting>
  <conditionalFormatting sqref="R83">
    <cfRule type="cellIs" dxfId="2836" priority="2837" operator="greaterThan">
      <formula>1</formula>
    </cfRule>
    <cfRule type="cellIs" dxfId="2835" priority="2838" operator="lessThan">
      <formula>0.8</formula>
    </cfRule>
  </conditionalFormatting>
  <conditionalFormatting sqref="R83">
    <cfRule type="cellIs" dxfId="2834" priority="2833" operator="lessThan">
      <formula>0.8</formula>
    </cfRule>
    <cfRule type="cellIs" dxfId="2833" priority="2834" operator="greaterThan">
      <formula>1</formula>
    </cfRule>
  </conditionalFormatting>
  <conditionalFormatting sqref="R83">
    <cfRule type="cellIs" dxfId="2832" priority="2831" operator="greaterThan">
      <formula>1</formula>
    </cfRule>
    <cfRule type="cellIs" dxfId="2831" priority="2832" operator="lessThan">
      <formula>0.8</formula>
    </cfRule>
  </conditionalFormatting>
  <conditionalFormatting sqref="P83">
    <cfRule type="cellIs" dxfId="2830" priority="2830" operator="greaterThan">
      <formula>0</formula>
    </cfRule>
  </conditionalFormatting>
  <conditionalFormatting sqref="Q83">
    <cfRule type="cellIs" dxfId="2829" priority="2835" operator="lessThan">
      <formula>0</formula>
    </cfRule>
  </conditionalFormatting>
  <conditionalFormatting sqref="P83">
    <cfRule type="cellIs" dxfId="2828" priority="2824" operator="greaterThan">
      <formula>0</formula>
    </cfRule>
  </conditionalFormatting>
  <conditionalFormatting sqref="Q83">
    <cfRule type="cellIs" dxfId="2827" priority="2829" operator="lessThan">
      <formula>0</formula>
    </cfRule>
  </conditionalFormatting>
  <conditionalFormatting sqref="R83">
    <cfRule type="cellIs" dxfId="2826" priority="2827" operator="lessThan">
      <formula>0.8</formula>
    </cfRule>
    <cfRule type="cellIs" dxfId="2825" priority="2828" operator="greaterThan">
      <formula>1</formula>
    </cfRule>
  </conditionalFormatting>
  <conditionalFormatting sqref="R83">
    <cfRule type="cellIs" dxfId="2824" priority="2825" operator="greaterThan">
      <formula>1</formula>
    </cfRule>
    <cfRule type="cellIs" dxfId="2823" priority="2826" operator="lessThan">
      <formula>0.8</formula>
    </cfRule>
  </conditionalFormatting>
  <conditionalFormatting sqref="R83">
    <cfRule type="cellIs" dxfId="2822" priority="2821" operator="lessThan">
      <formula>0.8</formula>
    </cfRule>
    <cfRule type="cellIs" dxfId="2821" priority="2822" operator="greaterThan">
      <formula>1</formula>
    </cfRule>
  </conditionalFormatting>
  <conditionalFormatting sqref="R83">
    <cfRule type="cellIs" dxfId="2820" priority="2819" operator="greaterThan">
      <formula>1</formula>
    </cfRule>
    <cfRule type="cellIs" dxfId="2819" priority="2820" operator="lessThan">
      <formula>0.8</formula>
    </cfRule>
  </conditionalFormatting>
  <conditionalFormatting sqref="P83">
    <cfRule type="cellIs" dxfId="2818" priority="2818" operator="greaterThan">
      <formula>0</formula>
    </cfRule>
  </conditionalFormatting>
  <conditionalFormatting sqref="Q83">
    <cfRule type="cellIs" dxfId="2817" priority="2823" operator="lessThan">
      <formula>0</formula>
    </cfRule>
  </conditionalFormatting>
  <conditionalFormatting sqref="R83">
    <cfRule type="cellIs" dxfId="2816" priority="2815" operator="lessThan">
      <formula>0.8</formula>
    </cfRule>
    <cfRule type="cellIs" dxfId="2815" priority="2816" operator="greaterThan">
      <formula>1</formula>
    </cfRule>
  </conditionalFormatting>
  <conditionalFormatting sqref="R83">
    <cfRule type="cellIs" dxfId="2814" priority="2813" operator="greaterThan">
      <formula>1</formula>
    </cfRule>
    <cfRule type="cellIs" dxfId="2813" priority="2814" operator="lessThan">
      <formula>0.8</formula>
    </cfRule>
  </conditionalFormatting>
  <conditionalFormatting sqref="P83">
    <cfRule type="cellIs" dxfId="2812" priority="2812" operator="greaterThan">
      <formula>0</formula>
    </cfRule>
  </conditionalFormatting>
  <conditionalFormatting sqref="Q83">
    <cfRule type="cellIs" dxfId="2811" priority="2817" operator="lessThan">
      <formula>0</formula>
    </cfRule>
  </conditionalFormatting>
  <conditionalFormatting sqref="Q83">
    <cfRule type="cellIs" dxfId="2810" priority="2811" operator="lessThan">
      <formula>0</formula>
    </cfRule>
  </conditionalFormatting>
  <conditionalFormatting sqref="R83">
    <cfRule type="cellIs" dxfId="2809" priority="2809" operator="lessThan">
      <formula>0.8</formula>
    </cfRule>
    <cfRule type="cellIs" dxfId="2808" priority="2810" operator="greaterThan">
      <formula>1</formula>
    </cfRule>
  </conditionalFormatting>
  <conditionalFormatting sqref="R83">
    <cfRule type="cellIs" dxfId="2807" priority="2807" operator="greaterThan">
      <formula>1</formula>
    </cfRule>
    <cfRule type="cellIs" dxfId="2806" priority="2808" operator="lessThan">
      <formula>0.8</formula>
    </cfRule>
  </conditionalFormatting>
  <conditionalFormatting sqref="P83">
    <cfRule type="cellIs" dxfId="2805" priority="2806" operator="greaterThan">
      <formula>0</formula>
    </cfRule>
  </conditionalFormatting>
  <conditionalFormatting sqref="Q83">
    <cfRule type="cellIs" dxfId="2804" priority="2800" operator="lessThan">
      <formula>0</formula>
    </cfRule>
  </conditionalFormatting>
  <conditionalFormatting sqref="R83">
    <cfRule type="cellIs" dxfId="2803" priority="2804" operator="lessThan">
      <formula>0.8</formula>
    </cfRule>
    <cfRule type="cellIs" dxfId="2802" priority="2805" operator="greaterThan">
      <formula>1</formula>
    </cfRule>
  </conditionalFormatting>
  <conditionalFormatting sqref="R83">
    <cfRule type="cellIs" dxfId="2801" priority="2802" operator="greaterThan">
      <formula>1</formula>
    </cfRule>
    <cfRule type="cellIs" dxfId="2800" priority="2803" operator="lessThan">
      <formula>0.8</formula>
    </cfRule>
  </conditionalFormatting>
  <conditionalFormatting sqref="P83">
    <cfRule type="cellIs" dxfId="2799" priority="2801" operator="greaterThan">
      <formula>0</formula>
    </cfRule>
  </conditionalFormatting>
  <conditionalFormatting sqref="Q83">
    <cfRule type="cellIs" dxfId="2798" priority="2799" operator="lessThan">
      <formula>0</formula>
    </cfRule>
  </conditionalFormatting>
  <conditionalFormatting sqref="R83">
    <cfRule type="cellIs" dxfId="2797" priority="2797" operator="lessThan">
      <formula>0.8</formula>
    </cfRule>
    <cfRule type="cellIs" dxfId="2796" priority="2798" operator="greaterThan">
      <formula>1</formula>
    </cfRule>
  </conditionalFormatting>
  <conditionalFormatting sqref="R83">
    <cfRule type="cellIs" dxfId="2795" priority="2795" operator="greaterThan">
      <formula>1</formula>
    </cfRule>
    <cfRule type="cellIs" dxfId="2794" priority="2796" operator="lessThan">
      <formula>0.8</formula>
    </cfRule>
  </conditionalFormatting>
  <conditionalFormatting sqref="P83">
    <cfRule type="cellIs" dxfId="2793" priority="2794" operator="greaterThan">
      <formula>0</formula>
    </cfRule>
  </conditionalFormatting>
  <conditionalFormatting sqref="Q83">
    <cfRule type="cellIs" dxfId="2792" priority="2793" operator="lessThan">
      <formula>0</formula>
    </cfRule>
  </conditionalFormatting>
  <conditionalFormatting sqref="R83">
    <cfRule type="cellIs" dxfId="2791" priority="2791" operator="lessThan">
      <formula>0.8</formula>
    </cfRule>
    <cfRule type="cellIs" dxfId="2790" priority="2792" operator="greaterThan">
      <formula>1</formula>
    </cfRule>
  </conditionalFormatting>
  <conditionalFormatting sqref="R83">
    <cfRule type="cellIs" dxfId="2789" priority="2789" operator="greaterThan">
      <formula>1</formula>
    </cfRule>
    <cfRule type="cellIs" dxfId="2788" priority="2790" operator="lessThan">
      <formula>0.8</formula>
    </cfRule>
  </conditionalFormatting>
  <conditionalFormatting sqref="P83">
    <cfRule type="cellIs" dxfId="2787" priority="2788" operator="greaterThan">
      <formula>0</formula>
    </cfRule>
  </conditionalFormatting>
  <conditionalFormatting sqref="Q83">
    <cfRule type="cellIs" dxfId="2786" priority="2787" operator="lessThan">
      <formula>0</formula>
    </cfRule>
  </conditionalFormatting>
  <conditionalFormatting sqref="R83">
    <cfRule type="cellIs" dxfId="2785" priority="2785" operator="lessThan">
      <formula>0.8</formula>
    </cfRule>
    <cfRule type="cellIs" dxfId="2784" priority="2786" operator="greaterThan">
      <formula>1</formula>
    </cfRule>
  </conditionalFormatting>
  <conditionalFormatting sqref="R83">
    <cfRule type="cellIs" dxfId="2783" priority="2783" operator="greaterThan">
      <formula>1</formula>
    </cfRule>
    <cfRule type="cellIs" dxfId="2782" priority="2784" operator="lessThan">
      <formula>0.8</formula>
    </cfRule>
  </conditionalFormatting>
  <conditionalFormatting sqref="P83">
    <cfRule type="cellIs" dxfId="2781" priority="2782" operator="greaterThan">
      <formula>0</formula>
    </cfRule>
  </conditionalFormatting>
  <conditionalFormatting sqref="Q83">
    <cfRule type="cellIs" dxfId="2780" priority="2781" operator="lessThan">
      <formula>0</formula>
    </cfRule>
  </conditionalFormatting>
  <conditionalFormatting sqref="R83">
    <cfRule type="cellIs" dxfId="2779" priority="2779" operator="lessThan">
      <formula>0.8</formula>
    </cfRule>
    <cfRule type="cellIs" dxfId="2778" priority="2780" operator="greaterThan">
      <formula>1</formula>
    </cfRule>
  </conditionalFormatting>
  <conditionalFormatting sqref="R83">
    <cfRule type="cellIs" dxfId="2777" priority="2777" operator="greaterThan">
      <formula>1</formula>
    </cfRule>
    <cfRule type="cellIs" dxfId="2776" priority="2778" operator="lessThan">
      <formula>0.8</formula>
    </cfRule>
  </conditionalFormatting>
  <conditionalFormatting sqref="P83">
    <cfRule type="cellIs" dxfId="2775" priority="2776" operator="greaterThan">
      <formula>0</formula>
    </cfRule>
  </conditionalFormatting>
  <conditionalFormatting sqref="Q83">
    <cfRule type="cellIs" dxfId="2774" priority="2775" operator="lessThan">
      <formula>0</formula>
    </cfRule>
  </conditionalFormatting>
  <conditionalFormatting sqref="R83">
    <cfRule type="cellIs" dxfId="2773" priority="2773" operator="lessThan">
      <formula>0.8</formula>
    </cfRule>
    <cfRule type="cellIs" dxfId="2772" priority="2774" operator="greaterThan">
      <formula>1</formula>
    </cfRule>
  </conditionalFormatting>
  <conditionalFormatting sqref="R83">
    <cfRule type="cellIs" dxfId="2771" priority="2771" operator="greaterThan">
      <formula>1</formula>
    </cfRule>
    <cfRule type="cellIs" dxfId="2770" priority="2772" operator="lessThan">
      <formula>0.8</formula>
    </cfRule>
  </conditionalFormatting>
  <conditionalFormatting sqref="P83">
    <cfRule type="cellIs" dxfId="2769" priority="2770" operator="greaterThan">
      <formula>0</formula>
    </cfRule>
  </conditionalFormatting>
  <conditionalFormatting sqref="P83">
    <cfRule type="cellIs" dxfId="2768" priority="2764" operator="greaterThan">
      <formula>0</formula>
    </cfRule>
  </conditionalFormatting>
  <conditionalFormatting sqref="Q83">
    <cfRule type="cellIs" dxfId="2767" priority="2769" operator="lessThan">
      <formula>0</formula>
    </cfRule>
  </conditionalFormatting>
  <conditionalFormatting sqref="R83">
    <cfRule type="cellIs" dxfId="2766" priority="2767" operator="lessThan">
      <formula>0.8</formula>
    </cfRule>
    <cfRule type="cellIs" dxfId="2765" priority="2768" operator="greaterThan">
      <formula>1</formula>
    </cfRule>
  </conditionalFormatting>
  <conditionalFormatting sqref="R83">
    <cfRule type="cellIs" dxfId="2764" priority="2765" operator="greaterThan">
      <formula>1</formula>
    </cfRule>
    <cfRule type="cellIs" dxfId="2763" priority="2766" operator="lessThan">
      <formula>0.8</formula>
    </cfRule>
  </conditionalFormatting>
  <conditionalFormatting sqref="P83">
    <cfRule type="cellIs" dxfId="2762" priority="2758" operator="greaterThan">
      <formula>0</formula>
    </cfRule>
  </conditionalFormatting>
  <conditionalFormatting sqref="Q83">
    <cfRule type="cellIs" dxfId="2761" priority="2763" operator="lessThan">
      <formula>0</formula>
    </cfRule>
  </conditionalFormatting>
  <conditionalFormatting sqref="R83">
    <cfRule type="cellIs" dxfId="2760" priority="2761" operator="lessThan">
      <formula>0.8</formula>
    </cfRule>
    <cfRule type="cellIs" dxfId="2759" priority="2762" operator="greaterThan">
      <formula>1</formula>
    </cfRule>
  </conditionalFormatting>
  <conditionalFormatting sqref="R83">
    <cfRule type="cellIs" dxfId="2758" priority="2759" operator="greaterThan">
      <formula>1</formula>
    </cfRule>
    <cfRule type="cellIs" dxfId="2757" priority="2760" operator="lessThan">
      <formula>0.8</formula>
    </cfRule>
  </conditionalFormatting>
  <conditionalFormatting sqref="R83">
    <cfRule type="cellIs" dxfId="2756" priority="2755" operator="lessThan">
      <formula>0.8</formula>
    </cfRule>
    <cfRule type="cellIs" dxfId="2755" priority="2756" operator="greaterThan">
      <formula>1</formula>
    </cfRule>
  </conditionalFormatting>
  <conditionalFormatting sqref="R83">
    <cfRule type="cellIs" dxfId="2754" priority="2753" operator="greaterThan">
      <formula>1</formula>
    </cfRule>
    <cfRule type="cellIs" dxfId="2753" priority="2754" operator="lessThan">
      <formula>0.8</formula>
    </cfRule>
  </conditionalFormatting>
  <conditionalFormatting sqref="P83">
    <cfRule type="cellIs" dxfId="2752" priority="2752" operator="greaterThan">
      <formula>0</formula>
    </cfRule>
  </conditionalFormatting>
  <conditionalFormatting sqref="Q83">
    <cfRule type="cellIs" dxfId="2751" priority="2757" operator="lessThan">
      <formula>0</formula>
    </cfRule>
  </conditionalFormatting>
  <conditionalFormatting sqref="Q83">
    <cfRule type="cellIs" dxfId="2750" priority="2751" operator="lessThan">
      <formula>0</formula>
    </cfRule>
  </conditionalFormatting>
  <conditionalFormatting sqref="R83">
    <cfRule type="cellIs" dxfId="2749" priority="2749" operator="lessThan">
      <formula>0.8</formula>
    </cfRule>
    <cfRule type="cellIs" dxfId="2748" priority="2750" operator="greaterThan">
      <formula>1</formula>
    </cfRule>
  </conditionalFormatting>
  <conditionalFormatting sqref="R83">
    <cfRule type="cellIs" dxfId="2747" priority="2747" operator="greaterThan">
      <formula>1</formula>
    </cfRule>
    <cfRule type="cellIs" dxfId="2746" priority="2748" operator="lessThan">
      <formula>0.8</formula>
    </cfRule>
  </conditionalFormatting>
  <conditionalFormatting sqref="P83">
    <cfRule type="cellIs" dxfId="2745" priority="2746" operator="greaterThan">
      <formula>0</formula>
    </cfRule>
  </conditionalFormatting>
  <conditionalFormatting sqref="Q83">
    <cfRule type="cellIs" dxfId="2744" priority="2745" operator="lessThan">
      <formula>0</formula>
    </cfRule>
  </conditionalFormatting>
  <conditionalFormatting sqref="R83">
    <cfRule type="cellIs" dxfId="2743" priority="2743" operator="lessThan">
      <formula>0.8</formula>
    </cfRule>
    <cfRule type="cellIs" dxfId="2742" priority="2744" operator="greaterThan">
      <formula>1</formula>
    </cfRule>
  </conditionalFormatting>
  <conditionalFormatting sqref="R83">
    <cfRule type="cellIs" dxfId="2741" priority="2741" operator="greaterThan">
      <formula>1</formula>
    </cfRule>
    <cfRule type="cellIs" dxfId="2740" priority="2742" operator="lessThan">
      <formula>0.8</formula>
    </cfRule>
  </conditionalFormatting>
  <conditionalFormatting sqref="P83">
    <cfRule type="cellIs" dxfId="2739" priority="2740" operator="greaterThan">
      <formula>0</formula>
    </cfRule>
  </conditionalFormatting>
  <conditionalFormatting sqref="Q83">
    <cfRule type="cellIs" dxfId="2738" priority="2739" operator="lessThan">
      <formula>0</formula>
    </cfRule>
  </conditionalFormatting>
  <conditionalFormatting sqref="R83">
    <cfRule type="cellIs" dxfId="2737" priority="2737" operator="lessThan">
      <formula>0.8</formula>
    </cfRule>
    <cfRule type="cellIs" dxfId="2736" priority="2738" operator="greaterThan">
      <formula>1</formula>
    </cfRule>
  </conditionalFormatting>
  <conditionalFormatting sqref="R83">
    <cfRule type="cellIs" dxfId="2735" priority="2735" operator="greaterThan">
      <formula>1</formula>
    </cfRule>
    <cfRule type="cellIs" dxfId="2734" priority="2736" operator="lessThan">
      <formula>0.8</formula>
    </cfRule>
  </conditionalFormatting>
  <conditionalFormatting sqref="P83">
    <cfRule type="cellIs" dxfId="2733" priority="2734" operator="greaterThan">
      <formula>0</formula>
    </cfRule>
  </conditionalFormatting>
  <conditionalFormatting sqref="Q83">
    <cfRule type="cellIs" dxfId="2732" priority="2733" operator="lessThan">
      <formula>0</formula>
    </cfRule>
  </conditionalFormatting>
  <conditionalFormatting sqref="R83">
    <cfRule type="cellIs" dxfId="2731" priority="2731" operator="lessThan">
      <formula>0.8</formula>
    </cfRule>
    <cfRule type="cellIs" dxfId="2730" priority="2732" operator="greaterThan">
      <formula>1</formula>
    </cfRule>
  </conditionalFormatting>
  <conditionalFormatting sqref="R83">
    <cfRule type="cellIs" dxfId="2729" priority="2729" operator="greaterThan">
      <formula>1</formula>
    </cfRule>
    <cfRule type="cellIs" dxfId="2728" priority="2730" operator="lessThan">
      <formula>0.8</formula>
    </cfRule>
  </conditionalFormatting>
  <conditionalFormatting sqref="P83">
    <cfRule type="cellIs" dxfId="2727" priority="2728" operator="greaterThan">
      <formula>0</formula>
    </cfRule>
  </conditionalFormatting>
  <conditionalFormatting sqref="P83">
    <cfRule type="cellIs" dxfId="2726" priority="2722" operator="greaterThan">
      <formula>0</formula>
    </cfRule>
  </conditionalFormatting>
  <conditionalFormatting sqref="Q83">
    <cfRule type="cellIs" dxfId="2725" priority="2727" operator="lessThan">
      <formula>0</formula>
    </cfRule>
  </conditionalFormatting>
  <conditionalFormatting sqref="R83">
    <cfRule type="cellIs" dxfId="2724" priority="2725" operator="lessThan">
      <formula>0.8</formula>
    </cfRule>
    <cfRule type="cellIs" dxfId="2723" priority="2726" operator="greaterThan">
      <formula>1</formula>
    </cfRule>
  </conditionalFormatting>
  <conditionalFormatting sqref="R83">
    <cfRule type="cellIs" dxfId="2722" priority="2723" operator="greaterThan">
      <formula>1</formula>
    </cfRule>
    <cfRule type="cellIs" dxfId="2721" priority="2724" operator="lessThan">
      <formula>0.8</formula>
    </cfRule>
  </conditionalFormatting>
  <conditionalFormatting sqref="P83">
    <cfRule type="cellIs" dxfId="2720" priority="2716" operator="greaterThan">
      <formula>0</formula>
    </cfRule>
  </conditionalFormatting>
  <conditionalFormatting sqref="Q83">
    <cfRule type="cellIs" dxfId="2719" priority="2721" operator="lessThan">
      <formula>0</formula>
    </cfRule>
  </conditionalFormatting>
  <conditionalFormatting sqref="R83">
    <cfRule type="cellIs" dxfId="2718" priority="2719" operator="lessThan">
      <formula>0.8</formula>
    </cfRule>
    <cfRule type="cellIs" dxfId="2717" priority="2720" operator="greaterThan">
      <formula>1</formula>
    </cfRule>
  </conditionalFormatting>
  <conditionalFormatting sqref="R83">
    <cfRule type="cellIs" dxfId="2716" priority="2717" operator="greaterThan">
      <formula>1</formula>
    </cfRule>
    <cfRule type="cellIs" dxfId="2715" priority="2718" operator="lessThan">
      <formula>0.8</formula>
    </cfRule>
  </conditionalFormatting>
  <conditionalFormatting sqref="R83">
    <cfRule type="cellIs" dxfId="2714" priority="2713" operator="lessThan">
      <formula>0.8</formula>
    </cfRule>
    <cfRule type="cellIs" dxfId="2713" priority="2714" operator="greaterThan">
      <formula>1</formula>
    </cfRule>
  </conditionalFormatting>
  <conditionalFormatting sqref="R83">
    <cfRule type="cellIs" dxfId="2712" priority="2711" operator="greaterThan">
      <formula>1</formula>
    </cfRule>
    <cfRule type="cellIs" dxfId="2711" priority="2712" operator="lessThan">
      <formula>0.8</formula>
    </cfRule>
  </conditionalFormatting>
  <conditionalFormatting sqref="P83">
    <cfRule type="cellIs" dxfId="2710" priority="2710" operator="greaterThan">
      <formula>0</formula>
    </cfRule>
  </conditionalFormatting>
  <conditionalFormatting sqref="Q83">
    <cfRule type="cellIs" dxfId="2709" priority="2715" operator="lessThan">
      <formula>0</formula>
    </cfRule>
  </conditionalFormatting>
  <conditionalFormatting sqref="Q83">
    <cfRule type="cellIs" dxfId="2708" priority="2709" operator="lessThan">
      <formula>0</formula>
    </cfRule>
  </conditionalFormatting>
  <conditionalFormatting sqref="R83">
    <cfRule type="cellIs" dxfId="2707" priority="2707" operator="lessThan">
      <formula>0.8</formula>
    </cfRule>
    <cfRule type="cellIs" dxfId="2706" priority="2708" operator="greaterThan">
      <formula>1</formula>
    </cfRule>
  </conditionalFormatting>
  <conditionalFormatting sqref="R83">
    <cfRule type="cellIs" dxfId="2705" priority="2705" operator="greaterThan">
      <formula>1</formula>
    </cfRule>
    <cfRule type="cellIs" dxfId="2704" priority="2706" operator="lessThan">
      <formula>0.8</formula>
    </cfRule>
  </conditionalFormatting>
  <conditionalFormatting sqref="P83">
    <cfRule type="cellIs" dxfId="2703" priority="2704" operator="greaterThan">
      <formula>0</formula>
    </cfRule>
  </conditionalFormatting>
  <conditionalFormatting sqref="P83">
    <cfRule type="cellIs" dxfId="2702" priority="2698" operator="greaterThan">
      <formula>0</formula>
    </cfRule>
  </conditionalFormatting>
  <conditionalFormatting sqref="Q83">
    <cfRule type="cellIs" dxfId="2701" priority="2703" operator="lessThan">
      <formula>0</formula>
    </cfRule>
  </conditionalFormatting>
  <conditionalFormatting sqref="R83">
    <cfRule type="cellIs" dxfId="2700" priority="2701" operator="lessThan">
      <formula>0.8</formula>
    </cfRule>
    <cfRule type="cellIs" dxfId="2699" priority="2702" operator="greaterThan">
      <formula>1</formula>
    </cfRule>
  </conditionalFormatting>
  <conditionalFormatting sqref="R83">
    <cfRule type="cellIs" dxfId="2698" priority="2699" operator="greaterThan">
      <formula>1</formula>
    </cfRule>
    <cfRule type="cellIs" dxfId="2697" priority="2700" operator="lessThan">
      <formula>0.8</formula>
    </cfRule>
  </conditionalFormatting>
  <conditionalFormatting sqref="P83">
    <cfRule type="cellIs" dxfId="2696" priority="2692" operator="greaterThan">
      <formula>0</formula>
    </cfRule>
  </conditionalFormatting>
  <conditionalFormatting sqref="Q83">
    <cfRule type="cellIs" dxfId="2695" priority="2697" operator="lessThan">
      <formula>0</formula>
    </cfRule>
  </conditionalFormatting>
  <conditionalFormatting sqref="R83">
    <cfRule type="cellIs" dxfId="2694" priority="2695" operator="lessThan">
      <formula>0.8</formula>
    </cfRule>
    <cfRule type="cellIs" dxfId="2693" priority="2696" operator="greaterThan">
      <formula>1</formula>
    </cfRule>
  </conditionalFormatting>
  <conditionalFormatting sqref="R83">
    <cfRule type="cellIs" dxfId="2692" priority="2693" operator="greaterThan">
      <formula>1</formula>
    </cfRule>
    <cfRule type="cellIs" dxfId="2691" priority="2694" operator="lessThan">
      <formula>0.8</formula>
    </cfRule>
  </conditionalFormatting>
  <conditionalFormatting sqref="R83">
    <cfRule type="cellIs" dxfId="2690" priority="2689" operator="lessThan">
      <formula>0.8</formula>
    </cfRule>
    <cfRule type="cellIs" dxfId="2689" priority="2690" operator="greaterThan">
      <formula>1</formula>
    </cfRule>
  </conditionalFormatting>
  <conditionalFormatting sqref="R83">
    <cfRule type="cellIs" dxfId="2688" priority="2687" operator="greaterThan">
      <formula>1</formula>
    </cfRule>
    <cfRule type="cellIs" dxfId="2687" priority="2688" operator="lessThan">
      <formula>0.8</formula>
    </cfRule>
  </conditionalFormatting>
  <conditionalFormatting sqref="P83">
    <cfRule type="cellIs" dxfId="2686" priority="2686" operator="greaterThan">
      <formula>0</formula>
    </cfRule>
  </conditionalFormatting>
  <conditionalFormatting sqref="Q83">
    <cfRule type="cellIs" dxfId="2685" priority="2691" operator="lessThan">
      <formula>0</formula>
    </cfRule>
  </conditionalFormatting>
  <conditionalFormatting sqref="P83">
    <cfRule type="cellIs" dxfId="2684" priority="2680" operator="greaterThan">
      <formula>0</formula>
    </cfRule>
  </conditionalFormatting>
  <conditionalFormatting sqref="Q83">
    <cfRule type="cellIs" dxfId="2683" priority="2685" operator="lessThan">
      <formula>0</formula>
    </cfRule>
  </conditionalFormatting>
  <conditionalFormatting sqref="R83">
    <cfRule type="cellIs" dxfId="2682" priority="2683" operator="lessThan">
      <formula>0.8</formula>
    </cfRule>
    <cfRule type="cellIs" dxfId="2681" priority="2684" operator="greaterThan">
      <formula>1</formula>
    </cfRule>
  </conditionalFormatting>
  <conditionalFormatting sqref="R83">
    <cfRule type="cellIs" dxfId="2680" priority="2681" operator="greaterThan">
      <formula>1</formula>
    </cfRule>
    <cfRule type="cellIs" dxfId="2679" priority="2682" operator="lessThan">
      <formula>0.8</formula>
    </cfRule>
  </conditionalFormatting>
  <conditionalFormatting sqref="R83">
    <cfRule type="cellIs" dxfId="2678" priority="2677" operator="lessThan">
      <formula>0.8</formula>
    </cfRule>
    <cfRule type="cellIs" dxfId="2677" priority="2678" operator="greaterThan">
      <formula>1</formula>
    </cfRule>
  </conditionalFormatting>
  <conditionalFormatting sqref="R83">
    <cfRule type="cellIs" dxfId="2676" priority="2675" operator="greaterThan">
      <formula>1</formula>
    </cfRule>
    <cfRule type="cellIs" dxfId="2675" priority="2676" operator="lessThan">
      <formula>0.8</formula>
    </cfRule>
  </conditionalFormatting>
  <conditionalFormatting sqref="P83">
    <cfRule type="cellIs" dxfId="2674" priority="2674" operator="greaterThan">
      <formula>0</formula>
    </cfRule>
  </conditionalFormatting>
  <conditionalFormatting sqref="Q83">
    <cfRule type="cellIs" dxfId="2673" priority="2679" operator="lessThan">
      <formula>0</formula>
    </cfRule>
  </conditionalFormatting>
  <conditionalFormatting sqref="R83">
    <cfRule type="cellIs" dxfId="2672" priority="2671" operator="lessThan">
      <formula>0.8</formula>
    </cfRule>
    <cfRule type="cellIs" dxfId="2671" priority="2672" operator="greaterThan">
      <formula>1</formula>
    </cfRule>
  </conditionalFormatting>
  <conditionalFormatting sqref="R83">
    <cfRule type="cellIs" dxfId="2670" priority="2669" operator="greaterThan">
      <formula>1</formula>
    </cfRule>
    <cfRule type="cellIs" dxfId="2669" priority="2670" operator="lessThan">
      <formula>0.8</formula>
    </cfRule>
  </conditionalFormatting>
  <conditionalFormatting sqref="P83">
    <cfRule type="cellIs" dxfId="2668" priority="2668" operator="greaterThan">
      <formula>0</formula>
    </cfRule>
  </conditionalFormatting>
  <conditionalFormatting sqref="Q83">
    <cfRule type="cellIs" dxfId="2667" priority="2673" operator="lessThan">
      <formula>0</formula>
    </cfRule>
  </conditionalFormatting>
  <conditionalFormatting sqref="Q83">
    <cfRule type="cellIs" dxfId="2666" priority="2667" operator="lessThan">
      <formula>0</formula>
    </cfRule>
  </conditionalFormatting>
  <conditionalFormatting sqref="R83">
    <cfRule type="cellIs" dxfId="2665" priority="2665" operator="lessThan">
      <formula>0.8</formula>
    </cfRule>
    <cfRule type="cellIs" dxfId="2664" priority="2666" operator="greaterThan">
      <formula>1</formula>
    </cfRule>
  </conditionalFormatting>
  <conditionalFormatting sqref="R83">
    <cfRule type="cellIs" dxfId="2663" priority="2663" operator="greaterThan">
      <formula>1</formula>
    </cfRule>
    <cfRule type="cellIs" dxfId="2662" priority="2664" operator="lessThan">
      <formula>0.8</formula>
    </cfRule>
  </conditionalFormatting>
  <conditionalFormatting sqref="P83">
    <cfRule type="cellIs" dxfId="2661" priority="2662" operator="greaterThan">
      <formula>0</formula>
    </cfRule>
  </conditionalFormatting>
  <conditionalFormatting sqref="Q83">
    <cfRule type="cellIs" dxfId="2660" priority="2656" operator="lessThan">
      <formula>0</formula>
    </cfRule>
  </conditionalFormatting>
  <conditionalFormatting sqref="R83">
    <cfRule type="cellIs" dxfId="2659" priority="2660" operator="lessThan">
      <formula>0.8</formula>
    </cfRule>
    <cfRule type="cellIs" dxfId="2658" priority="2661" operator="greaterThan">
      <formula>1</formula>
    </cfRule>
  </conditionalFormatting>
  <conditionalFormatting sqref="R83">
    <cfRule type="cellIs" dxfId="2657" priority="2658" operator="greaterThan">
      <formula>1</formula>
    </cfRule>
    <cfRule type="cellIs" dxfId="2656" priority="2659" operator="lessThan">
      <formula>0.8</formula>
    </cfRule>
  </conditionalFormatting>
  <conditionalFormatting sqref="P83">
    <cfRule type="cellIs" dxfId="2655" priority="2657" operator="greaterThan">
      <formula>0</formula>
    </cfRule>
  </conditionalFormatting>
  <conditionalFormatting sqref="Q83">
    <cfRule type="cellIs" dxfId="2654" priority="2655" operator="lessThan">
      <formula>0</formula>
    </cfRule>
  </conditionalFormatting>
  <conditionalFormatting sqref="R83">
    <cfRule type="cellIs" dxfId="2653" priority="2653" operator="lessThan">
      <formula>0.8</formula>
    </cfRule>
    <cfRule type="cellIs" dxfId="2652" priority="2654" operator="greaterThan">
      <formula>1</formula>
    </cfRule>
  </conditionalFormatting>
  <conditionalFormatting sqref="R83">
    <cfRule type="cellIs" dxfId="2651" priority="2651" operator="greaterThan">
      <formula>1</formula>
    </cfRule>
    <cfRule type="cellIs" dxfId="2650" priority="2652" operator="lessThan">
      <formula>0.8</formula>
    </cfRule>
  </conditionalFormatting>
  <conditionalFormatting sqref="P83">
    <cfRule type="cellIs" dxfId="2649" priority="2650" operator="greaterThan">
      <formula>0</formula>
    </cfRule>
  </conditionalFormatting>
  <conditionalFormatting sqref="Q83">
    <cfRule type="cellIs" dxfId="2648" priority="2649" operator="lessThan">
      <formula>0</formula>
    </cfRule>
  </conditionalFormatting>
  <conditionalFormatting sqref="R83">
    <cfRule type="cellIs" dxfId="2647" priority="2647" operator="lessThan">
      <formula>0.8</formula>
    </cfRule>
    <cfRule type="cellIs" dxfId="2646" priority="2648" operator="greaterThan">
      <formula>1</formula>
    </cfRule>
  </conditionalFormatting>
  <conditionalFormatting sqref="R83">
    <cfRule type="cellIs" dxfId="2645" priority="2645" operator="greaterThan">
      <formula>1</formula>
    </cfRule>
    <cfRule type="cellIs" dxfId="2644" priority="2646" operator="lessThan">
      <formula>0.8</formula>
    </cfRule>
  </conditionalFormatting>
  <conditionalFormatting sqref="P83">
    <cfRule type="cellIs" dxfId="2643" priority="2644" operator="greaterThan">
      <formula>0</formula>
    </cfRule>
  </conditionalFormatting>
  <conditionalFormatting sqref="Q83">
    <cfRule type="cellIs" dxfId="2642" priority="2643" operator="lessThan">
      <formula>0</formula>
    </cfRule>
  </conditionalFormatting>
  <conditionalFormatting sqref="R83">
    <cfRule type="cellIs" dxfId="2641" priority="2641" operator="lessThan">
      <formula>0.8</formula>
    </cfRule>
    <cfRule type="cellIs" dxfId="2640" priority="2642" operator="greaterThan">
      <formula>1</formula>
    </cfRule>
  </conditionalFormatting>
  <conditionalFormatting sqref="R83">
    <cfRule type="cellIs" dxfId="2639" priority="2639" operator="greaterThan">
      <formula>1</formula>
    </cfRule>
    <cfRule type="cellIs" dxfId="2638" priority="2640" operator="lessThan">
      <formula>0.8</formula>
    </cfRule>
  </conditionalFormatting>
  <conditionalFormatting sqref="P83">
    <cfRule type="cellIs" dxfId="2637" priority="2638" operator="greaterThan">
      <formula>0</formula>
    </cfRule>
  </conditionalFormatting>
  <conditionalFormatting sqref="Q83">
    <cfRule type="cellIs" dxfId="2636" priority="2637" operator="lessThan">
      <formula>0</formula>
    </cfRule>
  </conditionalFormatting>
  <conditionalFormatting sqref="R83">
    <cfRule type="cellIs" dxfId="2635" priority="2635" operator="lessThan">
      <formula>0.8</formula>
    </cfRule>
    <cfRule type="cellIs" dxfId="2634" priority="2636" operator="greaterThan">
      <formula>1</formula>
    </cfRule>
  </conditionalFormatting>
  <conditionalFormatting sqref="R83">
    <cfRule type="cellIs" dxfId="2633" priority="2633" operator="greaterThan">
      <formula>1</formula>
    </cfRule>
    <cfRule type="cellIs" dxfId="2632" priority="2634" operator="lessThan">
      <formula>0.8</formula>
    </cfRule>
  </conditionalFormatting>
  <conditionalFormatting sqref="P83">
    <cfRule type="cellIs" dxfId="2631" priority="2632" operator="greaterThan">
      <formula>0</formula>
    </cfRule>
  </conditionalFormatting>
  <conditionalFormatting sqref="Q83">
    <cfRule type="cellIs" dxfId="2630" priority="2631" operator="lessThan">
      <formula>0</formula>
    </cfRule>
  </conditionalFormatting>
  <conditionalFormatting sqref="R83">
    <cfRule type="cellIs" dxfId="2629" priority="2629" operator="lessThan">
      <formula>0.8</formula>
    </cfRule>
    <cfRule type="cellIs" dxfId="2628" priority="2630" operator="greaterThan">
      <formula>1</formula>
    </cfRule>
  </conditionalFormatting>
  <conditionalFormatting sqref="R83">
    <cfRule type="cellIs" dxfId="2627" priority="2627" operator="greaterThan">
      <formula>1</formula>
    </cfRule>
    <cfRule type="cellIs" dxfId="2626" priority="2628" operator="lessThan">
      <formula>0.8</formula>
    </cfRule>
  </conditionalFormatting>
  <conditionalFormatting sqref="P83">
    <cfRule type="cellIs" dxfId="2625" priority="2626" operator="greaterThan">
      <formula>0</formula>
    </cfRule>
  </conditionalFormatting>
  <conditionalFormatting sqref="P83">
    <cfRule type="cellIs" dxfId="2624" priority="2620" operator="greaterThan">
      <formula>0</formula>
    </cfRule>
  </conditionalFormatting>
  <conditionalFormatting sqref="Q83">
    <cfRule type="cellIs" dxfId="2623" priority="2625" operator="lessThan">
      <formula>0</formula>
    </cfRule>
  </conditionalFormatting>
  <conditionalFormatting sqref="R83">
    <cfRule type="cellIs" dxfId="2622" priority="2623" operator="lessThan">
      <formula>0.8</formula>
    </cfRule>
    <cfRule type="cellIs" dxfId="2621" priority="2624" operator="greaterThan">
      <formula>1</formula>
    </cfRule>
  </conditionalFormatting>
  <conditionalFormatting sqref="R83">
    <cfRule type="cellIs" dxfId="2620" priority="2621" operator="greaterThan">
      <formula>1</formula>
    </cfRule>
    <cfRule type="cellIs" dxfId="2619" priority="2622" operator="lessThan">
      <formula>0.8</formula>
    </cfRule>
  </conditionalFormatting>
  <conditionalFormatting sqref="P83">
    <cfRule type="cellIs" dxfId="2618" priority="2614" operator="greaterThan">
      <formula>0</formula>
    </cfRule>
  </conditionalFormatting>
  <conditionalFormatting sqref="Q83">
    <cfRule type="cellIs" dxfId="2617" priority="2619" operator="lessThan">
      <formula>0</formula>
    </cfRule>
  </conditionalFormatting>
  <conditionalFormatting sqref="R83">
    <cfRule type="cellIs" dxfId="2616" priority="2617" operator="lessThan">
      <formula>0.8</formula>
    </cfRule>
    <cfRule type="cellIs" dxfId="2615" priority="2618" operator="greaterThan">
      <formula>1</formula>
    </cfRule>
  </conditionalFormatting>
  <conditionalFormatting sqref="R83">
    <cfRule type="cellIs" dxfId="2614" priority="2615" operator="greaterThan">
      <formula>1</formula>
    </cfRule>
    <cfRule type="cellIs" dxfId="2613" priority="2616" operator="lessThan">
      <formula>0.8</formula>
    </cfRule>
  </conditionalFormatting>
  <conditionalFormatting sqref="R83">
    <cfRule type="cellIs" dxfId="2612" priority="2611" operator="lessThan">
      <formula>0.8</formula>
    </cfRule>
    <cfRule type="cellIs" dxfId="2611" priority="2612" operator="greaterThan">
      <formula>1</formula>
    </cfRule>
  </conditionalFormatting>
  <conditionalFormatting sqref="R83">
    <cfRule type="cellIs" dxfId="2610" priority="2609" operator="greaterThan">
      <formula>1</formula>
    </cfRule>
    <cfRule type="cellIs" dxfId="2609" priority="2610" operator="lessThan">
      <formula>0.8</formula>
    </cfRule>
  </conditionalFormatting>
  <conditionalFormatting sqref="P83">
    <cfRule type="cellIs" dxfId="2608" priority="2608" operator="greaterThan">
      <formula>0</formula>
    </cfRule>
  </conditionalFormatting>
  <conditionalFormatting sqref="Q83">
    <cfRule type="cellIs" dxfId="2607" priority="2613" operator="lessThan">
      <formula>0</formula>
    </cfRule>
  </conditionalFormatting>
  <conditionalFormatting sqref="Q83">
    <cfRule type="cellIs" dxfId="2606" priority="2602" operator="lessThan">
      <formula>0</formula>
    </cfRule>
  </conditionalFormatting>
  <conditionalFormatting sqref="P83">
    <cfRule type="cellIs" dxfId="2605" priority="2603" operator="greaterThan">
      <formula>0</formula>
    </cfRule>
  </conditionalFormatting>
  <conditionalFormatting sqref="R83">
    <cfRule type="cellIs" dxfId="2604" priority="2606" operator="lessThan">
      <formula>0.8</formula>
    </cfRule>
    <cfRule type="cellIs" dxfId="2603" priority="2607" operator="greaterThan">
      <formula>1</formula>
    </cfRule>
  </conditionalFormatting>
  <conditionalFormatting sqref="R83">
    <cfRule type="cellIs" dxfId="2602" priority="2604" operator="greaterThan">
      <formula>1</formula>
    </cfRule>
    <cfRule type="cellIs" dxfId="2601" priority="2605" operator="lessThan">
      <formula>0.8</formula>
    </cfRule>
  </conditionalFormatting>
  <conditionalFormatting sqref="Q83">
    <cfRule type="cellIs" dxfId="2600" priority="2596" operator="lessThan">
      <formula>0</formula>
    </cfRule>
  </conditionalFormatting>
  <conditionalFormatting sqref="R83">
    <cfRule type="cellIs" dxfId="2599" priority="2600" operator="lessThan">
      <formula>0.8</formula>
    </cfRule>
    <cfRule type="cellIs" dxfId="2598" priority="2601" operator="greaterThan">
      <formula>1</formula>
    </cfRule>
  </conditionalFormatting>
  <conditionalFormatting sqref="R83">
    <cfRule type="cellIs" dxfId="2597" priority="2598" operator="greaterThan">
      <formula>1</formula>
    </cfRule>
    <cfRule type="cellIs" dxfId="2596" priority="2599" operator="lessThan">
      <formula>0.8</formula>
    </cfRule>
  </conditionalFormatting>
  <conditionalFormatting sqref="P83">
    <cfRule type="cellIs" dxfId="2595" priority="2597" operator="greaterThan">
      <formula>0</formula>
    </cfRule>
  </conditionalFormatting>
  <conditionalFormatting sqref="Q83">
    <cfRule type="cellIs" dxfId="2594" priority="2595" operator="lessThan">
      <formula>0</formula>
    </cfRule>
  </conditionalFormatting>
  <conditionalFormatting sqref="R83">
    <cfRule type="cellIs" dxfId="2593" priority="2593" operator="lessThan">
      <formula>0.8</formula>
    </cfRule>
    <cfRule type="cellIs" dxfId="2592" priority="2594" operator="greaterThan">
      <formula>1</formula>
    </cfRule>
  </conditionalFormatting>
  <conditionalFormatting sqref="R83">
    <cfRule type="cellIs" dxfId="2591" priority="2591" operator="greaterThan">
      <formula>1</formula>
    </cfRule>
    <cfRule type="cellIs" dxfId="2590" priority="2592" operator="lessThan">
      <formula>0.8</formula>
    </cfRule>
  </conditionalFormatting>
  <conditionalFormatting sqref="P83">
    <cfRule type="cellIs" dxfId="2589" priority="2590" operator="greaterThan">
      <formula>0</formula>
    </cfRule>
  </conditionalFormatting>
  <conditionalFormatting sqref="Q83">
    <cfRule type="cellIs" dxfId="2588" priority="2589" operator="lessThan">
      <formula>0</formula>
    </cfRule>
  </conditionalFormatting>
  <conditionalFormatting sqref="R83">
    <cfRule type="cellIs" dxfId="2587" priority="2587" operator="lessThan">
      <formula>0.8</formula>
    </cfRule>
    <cfRule type="cellIs" dxfId="2586" priority="2588" operator="greaterThan">
      <formula>1</formula>
    </cfRule>
  </conditionalFormatting>
  <conditionalFormatting sqref="R83">
    <cfRule type="cellIs" dxfId="2585" priority="2585" operator="greaterThan">
      <formula>1</formula>
    </cfRule>
    <cfRule type="cellIs" dxfId="2584" priority="2586" operator="lessThan">
      <formula>0.8</formula>
    </cfRule>
  </conditionalFormatting>
  <conditionalFormatting sqref="P83">
    <cfRule type="cellIs" dxfId="2583" priority="2584" operator="greaterThan">
      <formula>0</formula>
    </cfRule>
  </conditionalFormatting>
  <conditionalFormatting sqref="Q83">
    <cfRule type="cellIs" dxfId="2582" priority="2583" operator="lessThan">
      <formula>0</formula>
    </cfRule>
  </conditionalFormatting>
  <conditionalFormatting sqref="R83">
    <cfRule type="cellIs" dxfId="2581" priority="2581" operator="lessThan">
      <formula>0.8</formula>
    </cfRule>
    <cfRule type="cellIs" dxfId="2580" priority="2582" operator="greaterThan">
      <formula>1</formula>
    </cfRule>
  </conditionalFormatting>
  <conditionalFormatting sqref="R83">
    <cfRule type="cellIs" dxfId="2579" priority="2579" operator="greaterThan">
      <formula>1</formula>
    </cfRule>
    <cfRule type="cellIs" dxfId="2578" priority="2580" operator="lessThan">
      <formula>0.8</formula>
    </cfRule>
  </conditionalFormatting>
  <conditionalFormatting sqref="P83">
    <cfRule type="cellIs" dxfId="2577" priority="2578" operator="greaterThan">
      <formula>0</formula>
    </cfRule>
  </conditionalFormatting>
  <conditionalFormatting sqref="Q83">
    <cfRule type="cellIs" dxfId="2576" priority="2577" operator="lessThan">
      <formula>0</formula>
    </cfRule>
  </conditionalFormatting>
  <conditionalFormatting sqref="R83">
    <cfRule type="cellIs" dxfId="2575" priority="2575" operator="lessThan">
      <formula>0.8</formula>
    </cfRule>
    <cfRule type="cellIs" dxfId="2574" priority="2576" operator="greaterThan">
      <formula>1</formula>
    </cfRule>
  </conditionalFormatting>
  <conditionalFormatting sqref="R83">
    <cfRule type="cellIs" dxfId="2573" priority="2573" operator="greaterThan">
      <formula>1</formula>
    </cfRule>
    <cfRule type="cellIs" dxfId="2572" priority="2574" operator="lessThan">
      <formula>0.8</formula>
    </cfRule>
  </conditionalFormatting>
  <conditionalFormatting sqref="P83">
    <cfRule type="cellIs" dxfId="2571" priority="2572" operator="greaterThan">
      <formula>0</formula>
    </cfRule>
  </conditionalFormatting>
  <conditionalFormatting sqref="Q83">
    <cfRule type="cellIs" dxfId="2570" priority="2571" operator="lessThan">
      <formula>0</formula>
    </cfRule>
  </conditionalFormatting>
  <conditionalFormatting sqref="R83">
    <cfRule type="cellIs" dxfId="2569" priority="2569" operator="lessThan">
      <formula>0.8</formula>
    </cfRule>
    <cfRule type="cellIs" dxfId="2568" priority="2570" operator="greaterThan">
      <formula>1</formula>
    </cfRule>
  </conditionalFormatting>
  <conditionalFormatting sqref="R83">
    <cfRule type="cellIs" dxfId="2567" priority="2567" operator="greaterThan">
      <formula>1</formula>
    </cfRule>
    <cfRule type="cellIs" dxfId="2566" priority="2568" operator="lessThan">
      <formula>0.8</formula>
    </cfRule>
  </conditionalFormatting>
  <conditionalFormatting sqref="P83">
    <cfRule type="cellIs" dxfId="2565" priority="2566" operator="greaterThan">
      <formula>0</formula>
    </cfRule>
  </conditionalFormatting>
  <conditionalFormatting sqref="Q83">
    <cfRule type="cellIs" dxfId="2564" priority="2565" operator="lessThan">
      <formula>0</formula>
    </cfRule>
  </conditionalFormatting>
  <conditionalFormatting sqref="R83">
    <cfRule type="cellIs" dxfId="2563" priority="2563" operator="lessThan">
      <formula>0.8</formula>
    </cfRule>
    <cfRule type="cellIs" dxfId="2562" priority="2564" operator="greaterThan">
      <formula>1</formula>
    </cfRule>
  </conditionalFormatting>
  <conditionalFormatting sqref="R83">
    <cfRule type="cellIs" dxfId="2561" priority="2561" operator="greaterThan">
      <formula>1</formula>
    </cfRule>
    <cfRule type="cellIs" dxfId="2560" priority="2562" operator="lessThan">
      <formula>0.8</formula>
    </cfRule>
  </conditionalFormatting>
  <conditionalFormatting sqref="P83">
    <cfRule type="cellIs" dxfId="2559" priority="2560" operator="greaterThan">
      <formula>0</formula>
    </cfRule>
  </conditionalFormatting>
  <conditionalFormatting sqref="Q83">
    <cfRule type="cellIs" dxfId="2558" priority="2559" operator="lessThan">
      <formula>0</formula>
    </cfRule>
  </conditionalFormatting>
  <conditionalFormatting sqref="R83">
    <cfRule type="cellIs" dxfId="2557" priority="2557" operator="lessThan">
      <formula>0.8</formula>
    </cfRule>
    <cfRule type="cellIs" dxfId="2556" priority="2558" operator="greaterThan">
      <formula>1</formula>
    </cfRule>
  </conditionalFormatting>
  <conditionalFormatting sqref="R83">
    <cfRule type="cellIs" dxfId="2555" priority="2555" operator="greaterThan">
      <formula>1</formula>
    </cfRule>
    <cfRule type="cellIs" dxfId="2554" priority="2556" operator="lessThan">
      <formula>0.8</formula>
    </cfRule>
  </conditionalFormatting>
  <conditionalFormatting sqref="P83">
    <cfRule type="cellIs" dxfId="2553" priority="2554" operator="greaterThan">
      <formula>0</formula>
    </cfRule>
  </conditionalFormatting>
  <conditionalFormatting sqref="P83">
    <cfRule type="cellIs" dxfId="2552" priority="2548" operator="greaterThan">
      <formula>0</formula>
    </cfRule>
  </conditionalFormatting>
  <conditionalFormatting sqref="Q83">
    <cfRule type="cellIs" dxfId="2551" priority="2553" operator="lessThan">
      <formula>0</formula>
    </cfRule>
  </conditionalFormatting>
  <conditionalFormatting sqref="R83">
    <cfRule type="cellIs" dxfId="2550" priority="2551" operator="lessThan">
      <formula>0.8</formula>
    </cfRule>
    <cfRule type="cellIs" dxfId="2549" priority="2552" operator="greaterThan">
      <formula>1</formula>
    </cfRule>
  </conditionalFormatting>
  <conditionalFormatting sqref="R83">
    <cfRule type="cellIs" dxfId="2548" priority="2549" operator="greaterThan">
      <formula>1</formula>
    </cfRule>
    <cfRule type="cellIs" dxfId="2547" priority="2550" operator="lessThan">
      <formula>0.8</formula>
    </cfRule>
  </conditionalFormatting>
  <conditionalFormatting sqref="P83">
    <cfRule type="cellIs" dxfId="2546" priority="2542" operator="greaterThan">
      <formula>0</formula>
    </cfRule>
  </conditionalFormatting>
  <conditionalFormatting sqref="Q83">
    <cfRule type="cellIs" dxfId="2545" priority="2547" operator="lessThan">
      <formula>0</formula>
    </cfRule>
  </conditionalFormatting>
  <conditionalFormatting sqref="R83">
    <cfRule type="cellIs" dxfId="2544" priority="2545" operator="lessThan">
      <formula>0.8</formula>
    </cfRule>
    <cfRule type="cellIs" dxfId="2543" priority="2546" operator="greaterThan">
      <formula>1</formula>
    </cfRule>
  </conditionalFormatting>
  <conditionalFormatting sqref="R83">
    <cfRule type="cellIs" dxfId="2542" priority="2543" operator="greaterThan">
      <formula>1</formula>
    </cfRule>
    <cfRule type="cellIs" dxfId="2541" priority="2544" operator="lessThan">
      <formula>0.8</formula>
    </cfRule>
  </conditionalFormatting>
  <conditionalFormatting sqref="R83">
    <cfRule type="cellIs" dxfId="2540" priority="2539" operator="lessThan">
      <formula>0.8</formula>
    </cfRule>
    <cfRule type="cellIs" dxfId="2539" priority="2540" operator="greaterThan">
      <formula>1</formula>
    </cfRule>
  </conditionalFormatting>
  <conditionalFormatting sqref="R83">
    <cfRule type="cellIs" dxfId="2538" priority="2537" operator="greaterThan">
      <formula>1</formula>
    </cfRule>
    <cfRule type="cellIs" dxfId="2537" priority="2538" operator="lessThan">
      <formula>0.8</formula>
    </cfRule>
  </conditionalFormatting>
  <conditionalFormatting sqref="P83">
    <cfRule type="cellIs" dxfId="2536" priority="2536" operator="greaterThan">
      <formula>0</formula>
    </cfRule>
  </conditionalFormatting>
  <conditionalFormatting sqref="Q83">
    <cfRule type="cellIs" dxfId="2535" priority="2541" operator="lessThan">
      <formula>0</formula>
    </cfRule>
  </conditionalFormatting>
  <conditionalFormatting sqref="Q83">
    <cfRule type="cellIs" dxfId="2534" priority="2535" operator="lessThan">
      <formula>0</formula>
    </cfRule>
  </conditionalFormatting>
  <conditionalFormatting sqref="R83">
    <cfRule type="cellIs" dxfId="2533" priority="2533" operator="lessThan">
      <formula>0.8</formula>
    </cfRule>
    <cfRule type="cellIs" dxfId="2532" priority="2534" operator="greaterThan">
      <formula>1</formula>
    </cfRule>
  </conditionalFormatting>
  <conditionalFormatting sqref="R83">
    <cfRule type="cellIs" dxfId="2531" priority="2531" operator="greaterThan">
      <formula>1</formula>
    </cfRule>
    <cfRule type="cellIs" dxfId="2530" priority="2532" operator="lessThan">
      <formula>0.8</formula>
    </cfRule>
  </conditionalFormatting>
  <conditionalFormatting sqref="P83">
    <cfRule type="cellIs" dxfId="2529" priority="2530" operator="greaterThan">
      <formula>0</formula>
    </cfRule>
  </conditionalFormatting>
  <conditionalFormatting sqref="P83">
    <cfRule type="cellIs" dxfId="2528" priority="2524" operator="greaterThan">
      <formula>0</formula>
    </cfRule>
  </conditionalFormatting>
  <conditionalFormatting sqref="Q83">
    <cfRule type="cellIs" dxfId="2527" priority="2529" operator="lessThan">
      <formula>0</formula>
    </cfRule>
  </conditionalFormatting>
  <conditionalFormatting sqref="R83">
    <cfRule type="cellIs" dxfId="2526" priority="2527" operator="lessThan">
      <formula>0.8</formula>
    </cfRule>
    <cfRule type="cellIs" dxfId="2525" priority="2528" operator="greaterThan">
      <formula>1</formula>
    </cfRule>
  </conditionalFormatting>
  <conditionalFormatting sqref="R83">
    <cfRule type="cellIs" dxfId="2524" priority="2525" operator="greaterThan">
      <formula>1</formula>
    </cfRule>
    <cfRule type="cellIs" dxfId="2523" priority="2526" operator="lessThan">
      <formula>0.8</formula>
    </cfRule>
  </conditionalFormatting>
  <conditionalFormatting sqref="P83">
    <cfRule type="cellIs" dxfId="2522" priority="2518" operator="greaterThan">
      <formula>0</formula>
    </cfRule>
  </conditionalFormatting>
  <conditionalFormatting sqref="Q83">
    <cfRule type="cellIs" dxfId="2521" priority="2523" operator="lessThan">
      <formula>0</formula>
    </cfRule>
  </conditionalFormatting>
  <conditionalFormatting sqref="R83">
    <cfRule type="cellIs" dxfId="2520" priority="2521" operator="lessThan">
      <formula>0.8</formula>
    </cfRule>
    <cfRule type="cellIs" dxfId="2519" priority="2522" operator="greaterThan">
      <formula>1</formula>
    </cfRule>
  </conditionalFormatting>
  <conditionalFormatting sqref="R83">
    <cfRule type="cellIs" dxfId="2518" priority="2519" operator="greaterThan">
      <formula>1</formula>
    </cfRule>
    <cfRule type="cellIs" dxfId="2517" priority="2520" operator="lessThan">
      <formula>0.8</formula>
    </cfRule>
  </conditionalFormatting>
  <conditionalFormatting sqref="R83">
    <cfRule type="cellIs" dxfId="2516" priority="2515" operator="lessThan">
      <formula>0.8</formula>
    </cfRule>
    <cfRule type="cellIs" dxfId="2515" priority="2516" operator="greaterThan">
      <formula>1</formula>
    </cfRule>
  </conditionalFormatting>
  <conditionalFormatting sqref="R83">
    <cfRule type="cellIs" dxfId="2514" priority="2513" operator="greaterThan">
      <formula>1</formula>
    </cfRule>
    <cfRule type="cellIs" dxfId="2513" priority="2514" operator="lessThan">
      <formula>0.8</formula>
    </cfRule>
  </conditionalFormatting>
  <conditionalFormatting sqref="P83">
    <cfRule type="cellIs" dxfId="2512" priority="2512" operator="greaterThan">
      <formula>0</formula>
    </cfRule>
  </conditionalFormatting>
  <conditionalFormatting sqref="Q83">
    <cfRule type="cellIs" dxfId="2511" priority="2517" operator="lessThan">
      <formula>0</formula>
    </cfRule>
  </conditionalFormatting>
  <conditionalFormatting sqref="P83">
    <cfRule type="cellIs" dxfId="2510" priority="2506" operator="greaterThan">
      <formula>0</formula>
    </cfRule>
  </conditionalFormatting>
  <conditionalFormatting sqref="Q83">
    <cfRule type="cellIs" dxfId="2509" priority="2511" operator="lessThan">
      <formula>0</formula>
    </cfRule>
  </conditionalFormatting>
  <conditionalFormatting sqref="R83">
    <cfRule type="cellIs" dxfId="2508" priority="2509" operator="lessThan">
      <formula>0.8</formula>
    </cfRule>
    <cfRule type="cellIs" dxfId="2507" priority="2510" operator="greaterThan">
      <formula>1</formula>
    </cfRule>
  </conditionalFormatting>
  <conditionalFormatting sqref="R83">
    <cfRule type="cellIs" dxfId="2506" priority="2507" operator="greaterThan">
      <formula>1</formula>
    </cfRule>
    <cfRule type="cellIs" dxfId="2505" priority="2508" operator="lessThan">
      <formula>0.8</formula>
    </cfRule>
  </conditionalFormatting>
  <conditionalFormatting sqref="R83">
    <cfRule type="cellIs" dxfId="2504" priority="2503" operator="lessThan">
      <formula>0.8</formula>
    </cfRule>
    <cfRule type="cellIs" dxfId="2503" priority="2504" operator="greaterThan">
      <formula>1</formula>
    </cfRule>
  </conditionalFormatting>
  <conditionalFormatting sqref="R83">
    <cfRule type="cellIs" dxfId="2502" priority="2501" operator="greaterThan">
      <formula>1</formula>
    </cfRule>
    <cfRule type="cellIs" dxfId="2501" priority="2502" operator="lessThan">
      <formula>0.8</formula>
    </cfRule>
  </conditionalFormatting>
  <conditionalFormatting sqref="P83">
    <cfRule type="cellIs" dxfId="2500" priority="2500" operator="greaterThan">
      <formula>0</formula>
    </cfRule>
  </conditionalFormatting>
  <conditionalFormatting sqref="Q83">
    <cfRule type="cellIs" dxfId="2499" priority="2505" operator="lessThan">
      <formula>0</formula>
    </cfRule>
  </conditionalFormatting>
  <conditionalFormatting sqref="R83">
    <cfRule type="cellIs" dxfId="2498" priority="2497" operator="lessThan">
      <formula>0.8</formula>
    </cfRule>
    <cfRule type="cellIs" dxfId="2497" priority="2498" operator="greaterThan">
      <formula>1</formula>
    </cfRule>
  </conditionalFormatting>
  <conditionalFormatting sqref="R83">
    <cfRule type="cellIs" dxfId="2496" priority="2495" operator="greaterThan">
      <formula>1</formula>
    </cfRule>
    <cfRule type="cellIs" dxfId="2495" priority="2496" operator="lessThan">
      <formula>0.8</formula>
    </cfRule>
  </conditionalFormatting>
  <conditionalFormatting sqref="P83">
    <cfRule type="cellIs" dxfId="2494" priority="2494" operator="greaterThan">
      <formula>0</formula>
    </cfRule>
  </conditionalFormatting>
  <conditionalFormatting sqref="Q83">
    <cfRule type="cellIs" dxfId="2493" priority="2499" operator="lessThan">
      <formula>0</formula>
    </cfRule>
  </conditionalFormatting>
  <conditionalFormatting sqref="Q83">
    <cfRule type="cellIs" dxfId="2492" priority="2493" operator="lessThan">
      <formula>0</formula>
    </cfRule>
  </conditionalFormatting>
  <conditionalFormatting sqref="R83">
    <cfRule type="cellIs" dxfId="2491" priority="2491" operator="lessThan">
      <formula>0.8</formula>
    </cfRule>
    <cfRule type="cellIs" dxfId="2490" priority="2492" operator="greaterThan">
      <formula>1</formula>
    </cfRule>
  </conditionalFormatting>
  <conditionalFormatting sqref="R83">
    <cfRule type="cellIs" dxfId="2489" priority="2489" operator="greaterThan">
      <formula>1</formula>
    </cfRule>
    <cfRule type="cellIs" dxfId="2488" priority="2490" operator="lessThan">
      <formula>0.8</formula>
    </cfRule>
  </conditionalFormatting>
  <conditionalFormatting sqref="P83">
    <cfRule type="cellIs" dxfId="2487" priority="2488" operator="greaterThan">
      <formula>0</formula>
    </cfRule>
  </conditionalFormatting>
  <conditionalFormatting sqref="Q83">
    <cfRule type="cellIs" dxfId="2486" priority="2482" operator="lessThan">
      <formula>0</formula>
    </cfRule>
  </conditionalFormatting>
  <conditionalFormatting sqref="R83">
    <cfRule type="cellIs" dxfId="2485" priority="2486" operator="lessThan">
      <formula>0.8</formula>
    </cfRule>
    <cfRule type="cellIs" dxfId="2484" priority="2487" operator="greaterThan">
      <formula>1</formula>
    </cfRule>
  </conditionalFormatting>
  <conditionalFormatting sqref="R83">
    <cfRule type="cellIs" dxfId="2483" priority="2484" operator="greaterThan">
      <formula>1</formula>
    </cfRule>
    <cfRule type="cellIs" dxfId="2482" priority="2485" operator="lessThan">
      <formula>0.8</formula>
    </cfRule>
  </conditionalFormatting>
  <conditionalFormatting sqref="P83">
    <cfRule type="cellIs" dxfId="2481" priority="2483" operator="greaterThan">
      <formula>0</formula>
    </cfRule>
  </conditionalFormatting>
  <conditionalFormatting sqref="Q83">
    <cfRule type="cellIs" dxfId="2480" priority="2481" operator="lessThan">
      <formula>0</formula>
    </cfRule>
  </conditionalFormatting>
  <conditionalFormatting sqref="R83">
    <cfRule type="cellIs" dxfId="2479" priority="2479" operator="lessThan">
      <formula>0.8</formula>
    </cfRule>
    <cfRule type="cellIs" dxfId="2478" priority="2480" operator="greaterThan">
      <formula>1</formula>
    </cfRule>
  </conditionalFormatting>
  <conditionalFormatting sqref="R83">
    <cfRule type="cellIs" dxfId="2477" priority="2477" operator="greaterThan">
      <formula>1</formula>
    </cfRule>
    <cfRule type="cellIs" dxfId="2476" priority="2478" operator="lessThan">
      <formula>0.8</formula>
    </cfRule>
  </conditionalFormatting>
  <conditionalFormatting sqref="P83">
    <cfRule type="cellIs" dxfId="2475" priority="2476" operator="greaterThan">
      <formula>0</formula>
    </cfRule>
  </conditionalFormatting>
  <conditionalFormatting sqref="Q83">
    <cfRule type="cellIs" dxfId="2474" priority="2475" operator="lessThan">
      <formula>0</formula>
    </cfRule>
  </conditionalFormatting>
  <conditionalFormatting sqref="R83">
    <cfRule type="cellIs" dxfId="2473" priority="2473" operator="lessThan">
      <formula>0.8</formula>
    </cfRule>
    <cfRule type="cellIs" dxfId="2472" priority="2474" operator="greaterThan">
      <formula>1</formula>
    </cfRule>
  </conditionalFormatting>
  <conditionalFormatting sqref="R83">
    <cfRule type="cellIs" dxfId="2471" priority="2471" operator="greaterThan">
      <formula>1</formula>
    </cfRule>
    <cfRule type="cellIs" dxfId="2470" priority="2472" operator="lessThan">
      <formula>0.8</formula>
    </cfRule>
  </conditionalFormatting>
  <conditionalFormatting sqref="P83">
    <cfRule type="cellIs" dxfId="2469" priority="2470" operator="greaterThan">
      <formula>0</formula>
    </cfRule>
  </conditionalFormatting>
  <conditionalFormatting sqref="Q83">
    <cfRule type="cellIs" dxfId="2468" priority="2469" operator="lessThan">
      <formula>0</formula>
    </cfRule>
  </conditionalFormatting>
  <conditionalFormatting sqref="R83">
    <cfRule type="cellIs" dxfId="2467" priority="2467" operator="lessThan">
      <formula>0.8</formula>
    </cfRule>
    <cfRule type="cellIs" dxfId="2466" priority="2468" operator="greaterThan">
      <formula>1</formula>
    </cfRule>
  </conditionalFormatting>
  <conditionalFormatting sqref="R83">
    <cfRule type="cellIs" dxfId="2465" priority="2465" operator="greaterThan">
      <formula>1</formula>
    </cfRule>
    <cfRule type="cellIs" dxfId="2464" priority="2466" operator="lessThan">
      <formula>0.8</formula>
    </cfRule>
  </conditionalFormatting>
  <conditionalFormatting sqref="P83">
    <cfRule type="cellIs" dxfId="2463" priority="2464" operator="greaterThan">
      <formula>0</formula>
    </cfRule>
  </conditionalFormatting>
  <conditionalFormatting sqref="Q83">
    <cfRule type="cellIs" dxfId="2462" priority="2463" operator="lessThan">
      <formula>0</formula>
    </cfRule>
  </conditionalFormatting>
  <conditionalFormatting sqref="R83">
    <cfRule type="cellIs" dxfId="2461" priority="2461" operator="lessThan">
      <formula>0.8</formula>
    </cfRule>
    <cfRule type="cellIs" dxfId="2460" priority="2462" operator="greaterThan">
      <formula>1</formula>
    </cfRule>
  </conditionalFormatting>
  <conditionalFormatting sqref="R83">
    <cfRule type="cellIs" dxfId="2459" priority="2459" operator="greaterThan">
      <formula>1</formula>
    </cfRule>
    <cfRule type="cellIs" dxfId="2458" priority="2460" operator="lessThan">
      <formula>0.8</formula>
    </cfRule>
  </conditionalFormatting>
  <conditionalFormatting sqref="P83">
    <cfRule type="cellIs" dxfId="2457" priority="2458" operator="greaterThan">
      <formula>0</formula>
    </cfRule>
  </conditionalFormatting>
  <conditionalFormatting sqref="Q83">
    <cfRule type="cellIs" dxfId="2456" priority="2457" operator="lessThan">
      <formula>0</formula>
    </cfRule>
  </conditionalFormatting>
  <conditionalFormatting sqref="R83">
    <cfRule type="cellIs" dxfId="2455" priority="2455" operator="lessThan">
      <formula>0.8</formula>
    </cfRule>
    <cfRule type="cellIs" dxfId="2454" priority="2456" operator="greaterThan">
      <formula>1</formula>
    </cfRule>
  </conditionalFormatting>
  <conditionalFormatting sqref="R83">
    <cfRule type="cellIs" dxfId="2453" priority="2453" operator="greaterThan">
      <formula>1</formula>
    </cfRule>
    <cfRule type="cellIs" dxfId="2452" priority="2454" operator="lessThan">
      <formula>0.8</formula>
    </cfRule>
  </conditionalFormatting>
  <conditionalFormatting sqref="P83">
    <cfRule type="cellIs" dxfId="2451" priority="2452" operator="greaterThan">
      <formula>0</formula>
    </cfRule>
  </conditionalFormatting>
  <conditionalFormatting sqref="P83">
    <cfRule type="cellIs" dxfId="2450" priority="2446" operator="greaterThan">
      <formula>0</formula>
    </cfRule>
  </conditionalFormatting>
  <conditionalFormatting sqref="Q83">
    <cfRule type="cellIs" dxfId="2449" priority="2451" operator="lessThan">
      <formula>0</formula>
    </cfRule>
  </conditionalFormatting>
  <conditionalFormatting sqref="R83">
    <cfRule type="cellIs" dxfId="2448" priority="2449" operator="lessThan">
      <formula>0.8</formula>
    </cfRule>
    <cfRule type="cellIs" dxfId="2447" priority="2450" operator="greaterThan">
      <formula>1</formula>
    </cfRule>
  </conditionalFormatting>
  <conditionalFormatting sqref="R83">
    <cfRule type="cellIs" dxfId="2446" priority="2447" operator="greaterThan">
      <formula>1</formula>
    </cfRule>
    <cfRule type="cellIs" dxfId="2445" priority="2448" operator="lessThan">
      <formula>0.8</formula>
    </cfRule>
  </conditionalFormatting>
  <conditionalFormatting sqref="P83">
    <cfRule type="cellIs" dxfId="2444" priority="2440" operator="greaterThan">
      <formula>0</formula>
    </cfRule>
  </conditionalFormatting>
  <conditionalFormatting sqref="Q83">
    <cfRule type="cellIs" dxfId="2443" priority="2445" operator="lessThan">
      <formula>0</formula>
    </cfRule>
  </conditionalFormatting>
  <conditionalFormatting sqref="R83">
    <cfRule type="cellIs" dxfId="2442" priority="2443" operator="lessThan">
      <formula>0.8</formula>
    </cfRule>
    <cfRule type="cellIs" dxfId="2441" priority="2444" operator="greaterThan">
      <formula>1</formula>
    </cfRule>
  </conditionalFormatting>
  <conditionalFormatting sqref="R83">
    <cfRule type="cellIs" dxfId="2440" priority="2441" operator="greaterThan">
      <formula>1</formula>
    </cfRule>
    <cfRule type="cellIs" dxfId="2439" priority="2442" operator="lessThan">
      <formula>0.8</formula>
    </cfRule>
  </conditionalFormatting>
  <conditionalFormatting sqref="R83">
    <cfRule type="cellIs" dxfId="2438" priority="2437" operator="lessThan">
      <formula>0.8</formula>
    </cfRule>
    <cfRule type="cellIs" dxfId="2437" priority="2438" operator="greaterThan">
      <formula>1</formula>
    </cfRule>
  </conditionalFormatting>
  <conditionalFormatting sqref="R83">
    <cfRule type="cellIs" dxfId="2436" priority="2435" operator="greaterThan">
      <formula>1</formula>
    </cfRule>
    <cfRule type="cellIs" dxfId="2435" priority="2436" operator="lessThan">
      <formula>0.8</formula>
    </cfRule>
  </conditionalFormatting>
  <conditionalFormatting sqref="P83">
    <cfRule type="cellIs" dxfId="2434" priority="2434" operator="greaterThan">
      <formula>0</formula>
    </cfRule>
  </conditionalFormatting>
  <conditionalFormatting sqref="Q83">
    <cfRule type="cellIs" dxfId="2433" priority="2439" operator="lessThan">
      <formula>0</formula>
    </cfRule>
  </conditionalFormatting>
  <conditionalFormatting sqref="P123 P126:P131">
    <cfRule type="cellIs" dxfId="2432" priority="2428" operator="greaterThan">
      <formula>0</formula>
    </cfRule>
  </conditionalFormatting>
  <conditionalFormatting sqref="Q123 Q126:Q131">
    <cfRule type="cellIs" dxfId="2431" priority="2433" operator="lessThan">
      <formula>0</formula>
    </cfRule>
  </conditionalFormatting>
  <conditionalFormatting sqref="R123 R126:R131">
    <cfRule type="cellIs" dxfId="2430" priority="2431" operator="lessThan">
      <formula>0.8</formula>
    </cfRule>
    <cfRule type="cellIs" dxfId="2429" priority="2432" operator="greaterThan">
      <formula>1</formula>
    </cfRule>
  </conditionalFormatting>
  <conditionalFormatting sqref="R123 R126:R131">
    <cfRule type="cellIs" dxfId="2428" priority="2429" operator="greaterThan">
      <formula>1</formula>
    </cfRule>
    <cfRule type="cellIs" dxfId="2427" priority="2430" operator="lessThan">
      <formula>0.8</formula>
    </cfRule>
  </conditionalFormatting>
  <conditionalFormatting sqref="Q123 Q126:Q131">
    <cfRule type="cellIs" dxfId="2426" priority="2427" operator="lessThan">
      <formula>0</formula>
    </cfRule>
  </conditionalFormatting>
  <conditionalFormatting sqref="R123 R126:R131">
    <cfRule type="cellIs" dxfId="2425" priority="2425" operator="lessThan">
      <formula>0.8</formula>
    </cfRule>
    <cfRule type="cellIs" dxfId="2424" priority="2426" operator="greaterThan">
      <formula>1</formula>
    </cfRule>
  </conditionalFormatting>
  <conditionalFormatting sqref="R123 R126:R131">
    <cfRule type="cellIs" dxfId="2423" priority="2423" operator="greaterThan">
      <formula>1</formula>
    </cfRule>
    <cfRule type="cellIs" dxfId="2422" priority="2424" operator="lessThan">
      <formula>0.8</formula>
    </cfRule>
  </conditionalFormatting>
  <conditionalFormatting sqref="P123 P126:P131">
    <cfRule type="cellIs" dxfId="2421" priority="2422" operator="greaterThan">
      <formula>0</formula>
    </cfRule>
  </conditionalFormatting>
  <conditionalFormatting sqref="Q31">
    <cfRule type="cellIs" dxfId="2420" priority="2421" operator="lessThan">
      <formula>0</formula>
    </cfRule>
  </conditionalFormatting>
  <conditionalFormatting sqref="R31">
    <cfRule type="cellIs" dxfId="2419" priority="2419" operator="lessThan">
      <formula>0.8</formula>
    </cfRule>
    <cfRule type="cellIs" dxfId="2418" priority="2420" operator="greaterThan">
      <formula>1</formula>
    </cfRule>
  </conditionalFormatting>
  <conditionalFormatting sqref="R31">
    <cfRule type="cellIs" dxfId="2417" priority="2417" operator="greaterThan">
      <formula>1</formula>
    </cfRule>
    <cfRule type="cellIs" dxfId="2416" priority="2418" operator="lessThan">
      <formula>0.8</formula>
    </cfRule>
  </conditionalFormatting>
  <conditionalFormatting sqref="P31:P40">
    <cfRule type="cellIs" dxfId="2415" priority="2416" operator="greaterThan">
      <formula>0</formula>
    </cfRule>
  </conditionalFormatting>
  <conditionalFormatting sqref="Q31">
    <cfRule type="cellIs" dxfId="2414" priority="2415" operator="lessThan">
      <formula>0</formula>
    </cfRule>
  </conditionalFormatting>
  <conditionalFormatting sqref="R31">
    <cfRule type="cellIs" dxfId="2413" priority="2413" operator="lessThan">
      <formula>0.8</formula>
    </cfRule>
    <cfRule type="cellIs" dxfId="2412" priority="2414" operator="greaterThan">
      <formula>1</formula>
    </cfRule>
  </conditionalFormatting>
  <conditionalFormatting sqref="R31">
    <cfRule type="cellIs" dxfId="2411" priority="2411" operator="greaterThan">
      <formula>1</formula>
    </cfRule>
    <cfRule type="cellIs" dxfId="2410" priority="2412" operator="lessThan">
      <formula>0.8</formula>
    </cfRule>
  </conditionalFormatting>
  <conditionalFormatting sqref="P31:P40">
    <cfRule type="cellIs" dxfId="2409" priority="2410" operator="greaterThan">
      <formula>0</formula>
    </cfRule>
  </conditionalFormatting>
  <conditionalFormatting sqref="Q31">
    <cfRule type="cellIs" dxfId="2408" priority="2409" operator="lessThan">
      <formula>0</formula>
    </cfRule>
  </conditionalFormatting>
  <conditionalFormatting sqref="R31">
    <cfRule type="cellIs" dxfId="2407" priority="2407" operator="lessThan">
      <formula>0.8</formula>
    </cfRule>
    <cfRule type="cellIs" dxfId="2406" priority="2408" operator="greaterThan">
      <formula>1</formula>
    </cfRule>
  </conditionalFormatting>
  <conditionalFormatting sqref="R31">
    <cfRule type="cellIs" dxfId="2405" priority="2405" operator="greaterThan">
      <formula>1</formula>
    </cfRule>
    <cfRule type="cellIs" dxfId="2404" priority="2406" operator="lessThan">
      <formula>0.8</formula>
    </cfRule>
  </conditionalFormatting>
  <conditionalFormatting sqref="P31:P40">
    <cfRule type="cellIs" dxfId="2403" priority="2404" operator="greaterThan">
      <formula>0</formula>
    </cfRule>
  </conditionalFormatting>
  <conditionalFormatting sqref="Q31">
    <cfRule type="cellIs" dxfId="2402" priority="2403" operator="lessThan">
      <formula>0</formula>
    </cfRule>
  </conditionalFormatting>
  <conditionalFormatting sqref="R31">
    <cfRule type="cellIs" dxfId="2401" priority="2401" operator="lessThan">
      <formula>0.8</formula>
    </cfRule>
    <cfRule type="cellIs" dxfId="2400" priority="2402" operator="greaterThan">
      <formula>1</formula>
    </cfRule>
  </conditionalFormatting>
  <conditionalFormatting sqref="R31">
    <cfRule type="cellIs" dxfId="2399" priority="2399" operator="greaterThan">
      <formula>1</formula>
    </cfRule>
    <cfRule type="cellIs" dxfId="2398" priority="2400" operator="lessThan">
      <formula>0.8</formula>
    </cfRule>
  </conditionalFormatting>
  <conditionalFormatting sqref="P31:P40">
    <cfRule type="cellIs" dxfId="2397" priority="2398" operator="greaterThan">
      <formula>0</formula>
    </cfRule>
  </conditionalFormatting>
  <conditionalFormatting sqref="P31:P40">
    <cfRule type="cellIs" dxfId="2396" priority="2392" operator="greaterThan">
      <formula>0</formula>
    </cfRule>
  </conditionalFormatting>
  <conditionalFormatting sqref="Q31">
    <cfRule type="cellIs" dxfId="2395" priority="2397" operator="lessThan">
      <formula>0</formula>
    </cfRule>
  </conditionalFormatting>
  <conditionalFormatting sqref="R31">
    <cfRule type="cellIs" dxfId="2394" priority="2395" operator="lessThan">
      <formula>0.8</formula>
    </cfRule>
    <cfRule type="cellIs" dxfId="2393" priority="2396" operator="greaterThan">
      <formula>1</formula>
    </cfRule>
  </conditionalFormatting>
  <conditionalFormatting sqref="R31">
    <cfRule type="cellIs" dxfId="2392" priority="2393" operator="greaterThan">
      <formula>1</formula>
    </cfRule>
    <cfRule type="cellIs" dxfId="2391" priority="2394" operator="lessThan">
      <formula>0.8</formula>
    </cfRule>
  </conditionalFormatting>
  <conditionalFormatting sqref="P31:P40">
    <cfRule type="cellIs" dxfId="2390" priority="2386" operator="greaterThan">
      <formula>0</formula>
    </cfRule>
  </conditionalFormatting>
  <conditionalFormatting sqref="Q31">
    <cfRule type="cellIs" dxfId="2389" priority="2391" operator="lessThan">
      <formula>0</formula>
    </cfRule>
  </conditionalFormatting>
  <conditionalFormatting sqref="R31">
    <cfRule type="cellIs" dxfId="2388" priority="2389" operator="lessThan">
      <formula>0.8</formula>
    </cfRule>
    <cfRule type="cellIs" dxfId="2387" priority="2390" operator="greaterThan">
      <formula>1</formula>
    </cfRule>
  </conditionalFormatting>
  <conditionalFormatting sqref="R31">
    <cfRule type="cellIs" dxfId="2386" priority="2387" operator="greaterThan">
      <formula>1</formula>
    </cfRule>
    <cfRule type="cellIs" dxfId="2385" priority="2388" operator="lessThan">
      <formula>0.8</formula>
    </cfRule>
  </conditionalFormatting>
  <conditionalFormatting sqref="R31">
    <cfRule type="cellIs" dxfId="2384" priority="2383" operator="lessThan">
      <formula>0.8</formula>
    </cfRule>
    <cfRule type="cellIs" dxfId="2383" priority="2384" operator="greaterThan">
      <formula>1</formula>
    </cfRule>
  </conditionalFormatting>
  <conditionalFormatting sqref="R31">
    <cfRule type="cellIs" dxfId="2382" priority="2381" operator="greaterThan">
      <formula>1</formula>
    </cfRule>
    <cfRule type="cellIs" dxfId="2381" priority="2382" operator="lessThan">
      <formula>0.8</formula>
    </cfRule>
  </conditionalFormatting>
  <conditionalFormatting sqref="P31:P40">
    <cfRule type="cellIs" dxfId="2380" priority="2380" operator="greaterThan">
      <formula>0</formula>
    </cfRule>
  </conditionalFormatting>
  <conditionalFormatting sqref="Q31">
    <cfRule type="cellIs" dxfId="2379" priority="2385" operator="lessThan">
      <formula>0</formula>
    </cfRule>
  </conditionalFormatting>
  <conditionalFormatting sqref="Q31">
    <cfRule type="cellIs" dxfId="2378" priority="2379" operator="lessThan">
      <formula>0</formula>
    </cfRule>
  </conditionalFormatting>
  <conditionalFormatting sqref="R31">
    <cfRule type="cellIs" dxfId="2377" priority="2377" operator="lessThan">
      <formula>0.8</formula>
    </cfRule>
    <cfRule type="cellIs" dxfId="2376" priority="2378" operator="greaterThan">
      <formula>1</formula>
    </cfRule>
  </conditionalFormatting>
  <conditionalFormatting sqref="R31">
    <cfRule type="cellIs" dxfId="2375" priority="2375" operator="greaterThan">
      <formula>1</formula>
    </cfRule>
    <cfRule type="cellIs" dxfId="2374" priority="2376" operator="lessThan">
      <formula>0.8</formula>
    </cfRule>
  </conditionalFormatting>
  <conditionalFormatting sqref="P31:P40">
    <cfRule type="cellIs" dxfId="2373" priority="2374" operator="greaterThan">
      <formula>0</formula>
    </cfRule>
  </conditionalFormatting>
  <conditionalFormatting sqref="P31:P40">
    <cfRule type="cellIs" dxfId="2372" priority="2368" operator="greaterThan">
      <formula>0</formula>
    </cfRule>
  </conditionalFormatting>
  <conditionalFormatting sqref="Q31">
    <cfRule type="cellIs" dxfId="2371" priority="2373" operator="lessThan">
      <formula>0</formula>
    </cfRule>
  </conditionalFormatting>
  <conditionalFormatting sqref="R31">
    <cfRule type="cellIs" dxfId="2370" priority="2371" operator="lessThan">
      <formula>0.8</formula>
    </cfRule>
    <cfRule type="cellIs" dxfId="2369" priority="2372" operator="greaterThan">
      <formula>1</formula>
    </cfRule>
  </conditionalFormatting>
  <conditionalFormatting sqref="R31">
    <cfRule type="cellIs" dxfId="2368" priority="2369" operator="greaterThan">
      <formula>1</formula>
    </cfRule>
    <cfRule type="cellIs" dxfId="2367" priority="2370" operator="lessThan">
      <formula>0.8</formula>
    </cfRule>
  </conditionalFormatting>
  <conditionalFormatting sqref="P31:P40">
    <cfRule type="cellIs" dxfId="2366" priority="2362" operator="greaterThan">
      <formula>0</formula>
    </cfRule>
  </conditionalFormatting>
  <conditionalFormatting sqref="Q31">
    <cfRule type="cellIs" dxfId="2365" priority="2367" operator="lessThan">
      <formula>0</formula>
    </cfRule>
  </conditionalFormatting>
  <conditionalFormatting sqref="R31">
    <cfRule type="cellIs" dxfId="2364" priority="2365" operator="lessThan">
      <formula>0.8</formula>
    </cfRule>
    <cfRule type="cellIs" dxfId="2363" priority="2366" operator="greaterThan">
      <formula>1</formula>
    </cfRule>
  </conditionalFormatting>
  <conditionalFormatting sqref="R31">
    <cfRule type="cellIs" dxfId="2362" priority="2363" operator="greaterThan">
      <formula>1</formula>
    </cfRule>
    <cfRule type="cellIs" dxfId="2361" priority="2364" operator="lessThan">
      <formula>0.8</formula>
    </cfRule>
  </conditionalFormatting>
  <conditionalFormatting sqref="R31">
    <cfRule type="cellIs" dxfId="2360" priority="2359" operator="lessThan">
      <formula>0.8</formula>
    </cfRule>
    <cfRule type="cellIs" dxfId="2359" priority="2360" operator="greaterThan">
      <formula>1</formula>
    </cfRule>
  </conditionalFormatting>
  <conditionalFormatting sqref="R31">
    <cfRule type="cellIs" dxfId="2358" priority="2357" operator="greaterThan">
      <formula>1</formula>
    </cfRule>
    <cfRule type="cellIs" dxfId="2357" priority="2358" operator="lessThan">
      <formula>0.8</formula>
    </cfRule>
  </conditionalFormatting>
  <conditionalFormatting sqref="P31:P40">
    <cfRule type="cellIs" dxfId="2356" priority="2356" operator="greaterThan">
      <formula>0</formula>
    </cfRule>
  </conditionalFormatting>
  <conditionalFormatting sqref="Q31">
    <cfRule type="cellIs" dxfId="2355" priority="2361" operator="lessThan">
      <formula>0</formula>
    </cfRule>
  </conditionalFormatting>
  <conditionalFormatting sqref="P31:P40">
    <cfRule type="cellIs" dxfId="2354" priority="2350" operator="greaterThan">
      <formula>0</formula>
    </cfRule>
  </conditionalFormatting>
  <conditionalFormatting sqref="Q31">
    <cfRule type="cellIs" dxfId="2353" priority="2355" operator="lessThan">
      <formula>0</formula>
    </cfRule>
  </conditionalFormatting>
  <conditionalFormatting sqref="R31">
    <cfRule type="cellIs" dxfId="2352" priority="2353" operator="lessThan">
      <formula>0.8</formula>
    </cfRule>
    <cfRule type="cellIs" dxfId="2351" priority="2354" operator="greaterThan">
      <formula>1</formula>
    </cfRule>
  </conditionalFormatting>
  <conditionalFormatting sqref="R31">
    <cfRule type="cellIs" dxfId="2350" priority="2351" operator="greaterThan">
      <formula>1</formula>
    </cfRule>
    <cfRule type="cellIs" dxfId="2349" priority="2352" operator="lessThan">
      <formula>0.8</formula>
    </cfRule>
  </conditionalFormatting>
  <conditionalFormatting sqref="R31">
    <cfRule type="cellIs" dxfId="2348" priority="2347" operator="lessThan">
      <formula>0.8</formula>
    </cfRule>
    <cfRule type="cellIs" dxfId="2347" priority="2348" operator="greaterThan">
      <formula>1</formula>
    </cfRule>
  </conditionalFormatting>
  <conditionalFormatting sqref="R31">
    <cfRule type="cellIs" dxfId="2346" priority="2345" operator="greaterThan">
      <formula>1</formula>
    </cfRule>
    <cfRule type="cellIs" dxfId="2345" priority="2346" operator="lessThan">
      <formula>0.8</formula>
    </cfRule>
  </conditionalFormatting>
  <conditionalFormatting sqref="P31:P40">
    <cfRule type="cellIs" dxfId="2344" priority="2344" operator="greaterThan">
      <formula>0</formula>
    </cfRule>
  </conditionalFormatting>
  <conditionalFormatting sqref="Q31">
    <cfRule type="cellIs" dxfId="2343" priority="2349" operator="lessThan">
      <formula>0</formula>
    </cfRule>
  </conditionalFormatting>
  <conditionalFormatting sqref="R31">
    <cfRule type="cellIs" dxfId="2342" priority="2341" operator="lessThan">
      <formula>0.8</formula>
    </cfRule>
    <cfRule type="cellIs" dxfId="2341" priority="2342" operator="greaterThan">
      <formula>1</formula>
    </cfRule>
  </conditionalFormatting>
  <conditionalFormatting sqref="R31">
    <cfRule type="cellIs" dxfId="2340" priority="2339" operator="greaterThan">
      <formula>1</formula>
    </cfRule>
    <cfRule type="cellIs" dxfId="2339" priority="2340" operator="lessThan">
      <formula>0.8</formula>
    </cfRule>
  </conditionalFormatting>
  <conditionalFormatting sqref="P31:P40">
    <cfRule type="cellIs" dxfId="2338" priority="2338" operator="greaterThan">
      <formula>0</formula>
    </cfRule>
  </conditionalFormatting>
  <conditionalFormatting sqref="Q31">
    <cfRule type="cellIs" dxfId="2337" priority="2343" operator="lessThan">
      <formula>0</formula>
    </cfRule>
  </conditionalFormatting>
  <conditionalFormatting sqref="Q31">
    <cfRule type="cellIs" dxfId="2336" priority="2337" operator="lessThan">
      <formula>0</formula>
    </cfRule>
  </conditionalFormatting>
  <conditionalFormatting sqref="R31">
    <cfRule type="cellIs" dxfId="2335" priority="2335" operator="lessThan">
      <formula>0.8</formula>
    </cfRule>
    <cfRule type="cellIs" dxfId="2334" priority="2336" operator="greaterThan">
      <formula>1</formula>
    </cfRule>
  </conditionalFormatting>
  <conditionalFormatting sqref="R31">
    <cfRule type="cellIs" dxfId="2333" priority="2333" operator="greaterThan">
      <formula>1</formula>
    </cfRule>
    <cfRule type="cellIs" dxfId="2332" priority="2334" operator="lessThan">
      <formula>0.8</formula>
    </cfRule>
  </conditionalFormatting>
  <conditionalFormatting sqref="P31:P40">
    <cfRule type="cellIs" dxfId="2331" priority="2332" operator="greaterThan">
      <formula>0</formula>
    </cfRule>
  </conditionalFormatting>
  <conditionalFormatting sqref="Q31">
    <cfRule type="cellIs" dxfId="2330" priority="2326" operator="lessThan">
      <formula>0</formula>
    </cfRule>
  </conditionalFormatting>
  <conditionalFormatting sqref="R31">
    <cfRule type="cellIs" dxfId="2329" priority="2330" operator="lessThan">
      <formula>0.8</formula>
    </cfRule>
    <cfRule type="cellIs" dxfId="2328" priority="2331" operator="greaterThan">
      <formula>1</formula>
    </cfRule>
  </conditionalFormatting>
  <conditionalFormatting sqref="R31">
    <cfRule type="cellIs" dxfId="2327" priority="2328" operator="greaterThan">
      <formula>1</formula>
    </cfRule>
    <cfRule type="cellIs" dxfId="2326" priority="2329" operator="lessThan">
      <formula>0.8</formula>
    </cfRule>
  </conditionalFormatting>
  <conditionalFormatting sqref="P31:P40">
    <cfRule type="cellIs" dxfId="2325" priority="2327" operator="greaterThan">
      <formula>0</formula>
    </cfRule>
  </conditionalFormatting>
  <conditionalFormatting sqref="Q31">
    <cfRule type="cellIs" dxfId="2324" priority="2325" operator="lessThan">
      <formula>0</formula>
    </cfRule>
  </conditionalFormatting>
  <conditionalFormatting sqref="R31">
    <cfRule type="cellIs" dxfId="2323" priority="2323" operator="lessThan">
      <formula>0.8</formula>
    </cfRule>
    <cfRule type="cellIs" dxfId="2322" priority="2324" operator="greaterThan">
      <formula>1</formula>
    </cfRule>
  </conditionalFormatting>
  <conditionalFormatting sqref="R31">
    <cfRule type="cellIs" dxfId="2321" priority="2321" operator="greaterThan">
      <formula>1</formula>
    </cfRule>
    <cfRule type="cellIs" dxfId="2320" priority="2322" operator="lessThan">
      <formula>0.8</formula>
    </cfRule>
  </conditionalFormatting>
  <conditionalFormatting sqref="P31:P40">
    <cfRule type="cellIs" dxfId="2319" priority="2320" operator="greaterThan">
      <formula>0</formula>
    </cfRule>
  </conditionalFormatting>
  <conditionalFormatting sqref="Q31">
    <cfRule type="cellIs" dxfId="2318" priority="2319" operator="lessThan">
      <formula>0</formula>
    </cfRule>
  </conditionalFormatting>
  <conditionalFormatting sqref="R31">
    <cfRule type="cellIs" dxfId="2317" priority="2317" operator="lessThan">
      <formula>0.8</formula>
    </cfRule>
    <cfRule type="cellIs" dxfId="2316" priority="2318" operator="greaterThan">
      <formula>1</formula>
    </cfRule>
  </conditionalFormatting>
  <conditionalFormatting sqref="R31">
    <cfRule type="cellIs" dxfId="2315" priority="2315" operator="greaterThan">
      <formula>1</formula>
    </cfRule>
    <cfRule type="cellIs" dxfId="2314" priority="2316" operator="lessThan">
      <formula>0.8</formula>
    </cfRule>
  </conditionalFormatting>
  <conditionalFormatting sqref="P31:P40">
    <cfRule type="cellIs" dxfId="2313" priority="2314" operator="greaterThan">
      <formula>0</formula>
    </cfRule>
  </conditionalFormatting>
  <conditionalFormatting sqref="Q31">
    <cfRule type="cellIs" dxfId="2312" priority="2313" operator="lessThan">
      <formula>0</formula>
    </cfRule>
  </conditionalFormatting>
  <conditionalFormatting sqref="R31">
    <cfRule type="cellIs" dxfId="2311" priority="2311" operator="lessThan">
      <formula>0.8</formula>
    </cfRule>
    <cfRule type="cellIs" dxfId="2310" priority="2312" operator="greaterThan">
      <formula>1</formula>
    </cfRule>
  </conditionalFormatting>
  <conditionalFormatting sqref="R31">
    <cfRule type="cellIs" dxfId="2309" priority="2309" operator="greaterThan">
      <formula>1</formula>
    </cfRule>
    <cfRule type="cellIs" dxfId="2308" priority="2310" operator="lessThan">
      <formula>0.8</formula>
    </cfRule>
  </conditionalFormatting>
  <conditionalFormatting sqref="P31:P40">
    <cfRule type="cellIs" dxfId="2307" priority="2308" operator="greaterThan">
      <formula>0</formula>
    </cfRule>
  </conditionalFormatting>
  <conditionalFormatting sqref="Q31">
    <cfRule type="cellIs" dxfId="2306" priority="2307" operator="lessThan">
      <formula>0</formula>
    </cfRule>
  </conditionalFormatting>
  <conditionalFormatting sqref="R31">
    <cfRule type="cellIs" dxfId="2305" priority="2305" operator="lessThan">
      <formula>0.8</formula>
    </cfRule>
    <cfRule type="cellIs" dxfId="2304" priority="2306" operator="greaterThan">
      <formula>1</formula>
    </cfRule>
  </conditionalFormatting>
  <conditionalFormatting sqref="R31">
    <cfRule type="cellIs" dxfId="2303" priority="2303" operator="greaterThan">
      <formula>1</formula>
    </cfRule>
    <cfRule type="cellIs" dxfId="2302" priority="2304" operator="lessThan">
      <formula>0.8</formula>
    </cfRule>
  </conditionalFormatting>
  <conditionalFormatting sqref="P31:P40">
    <cfRule type="cellIs" dxfId="2301" priority="2302" operator="greaterThan">
      <formula>0</formula>
    </cfRule>
  </conditionalFormatting>
  <conditionalFormatting sqref="Q31">
    <cfRule type="cellIs" dxfId="2300" priority="2301" operator="lessThan">
      <formula>0</formula>
    </cfRule>
  </conditionalFormatting>
  <conditionalFormatting sqref="R31">
    <cfRule type="cellIs" dxfId="2299" priority="2299" operator="lessThan">
      <formula>0.8</formula>
    </cfRule>
    <cfRule type="cellIs" dxfId="2298" priority="2300" operator="greaterThan">
      <formula>1</formula>
    </cfRule>
  </conditionalFormatting>
  <conditionalFormatting sqref="R31">
    <cfRule type="cellIs" dxfId="2297" priority="2297" operator="greaterThan">
      <formula>1</formula>
    </cfRule>
    <cfRule type="cellIs" dxfId="2296" priority="2298" operator="lessThan">
      <formula>0.8</formula>
    </cfRule>
  </conditionalFormatting>
  <conditionalFormatting sqref="P31:P40">
    <cfRule type="cellIs" dxfId="2295" priority="2296" operator="greaterThan">
      <formula>0</formula>
    </cfRule>
  </conditionalFormatting>
  <conditionalFormatting sqref="P31:P40">
    <cfRule type="cellIs" dxfId="2294" priority="2290" operator="greaterThan">
      <formula>0</formula>
    </cfRule>
  </conditionalFormatting>
  <conditionalFormatting sqref="Q31">
    <cfRule type="cellIs" dxfId="2293" priority="2295" operator="lessThan">
      <formula>0</formula>
    </cfRule>
  </conditionalFormatting>
  <conditionalFormatting sqref="R31">
    <cfRule type="cellIs" dxfId="2292" priority="2293" operator="lessThan">
      <formula>0.8</formula>
    </cfRule>
    <cfRule type="cellIs" dxfId="2291" priority="2294" operator="greaterThan">
      <formula>1</formula>
    </cfRule>
  </conditionalFormatting>
  <conditionalFormatting sqref="R31">
    <cfRule type="cellIs" dxfId="2290" priority="2291" operator="greaterThan">
      <formula>1</formula>
    </cfRule>
    <cfRule type="cellIs" dxfId="2289" priority="2292" operator="lessThan">
      <formula>0.8</formula>
    </cfRule>
  </conditionalFormatting>
  <conditionalFormatting sqref="P31:P40">
    <cfRule type="cellIs" dxfId="2288" priority="2284" operator="greaterThan">
      <formula>0</formula>
    </cfRule>
  </conditionalFormatting>
  <conditionalFormatting sqref="Q31">
    <cfRule type="cellIs" dxfId="2287" priority="2289" operator="lessThan">
      <formula>0</formula>
    </cfRule>
  </conditionalFormatting>
  <conditionalFormatting sqref="R31">
    <cfRule type="cellIs" dxfId="2286" priority="2287" operator="lessThan">
      <formula>0.8</formula>
    </cfRule>
    <cfRule type="cellIs" dxfId="2285" priority="2288" operator="greaterThan">
      <formula>1</formula>
    </cfRule>
  </conditionalFormatting>
  <conditionalFormatting sqref="R31">
    <cfRule type="cellIs" dxfId="2284" priority="2285" operator="greaterThan">
      <formula>1</formula>
    </cfRule>
    <cfRule type="cellIs" dxfId="2283" priority="2286" operator="lessThan">
      <formula>0.8</formula>
    </cfRule>
  </conditionalFormatting>
  <conditionalFormatting sqref="R31">
    <cfRule type="cellIs" dxfId="2282" priority="2281" operator="lessThan">
      <formula>0.8</formula>
    </cfRule>
    <cfRule type="cellIs" dxfId="2281" priority="2282" operator="greaterThan">
      <formula>1</formula>
    </cfRule>
  </conditionalFormatting>
  <conditionalFormatting sqref="R31">
    <cfRule type="cellIs" dxfId="2280" priority="2279" operator="greaterThan">
      <formula>1</formula>
    </cfRule>
    <cfRule type="cellIs" dxfId="2279" priority="2280" operator="lessThan">
      <formula>0.8</formula>
    </cfRule>
  </conditionalFormatting>
  <conditionalFormatting sqref="P31:P40">
    <cfRule type="cellIs" dxfId="2278" priority="2278" operator="greaterThan">
      <formula>0</formula>
    </cfRule>
  </conditionalFormatting>
  <conditionalFormatting sqref="Q31">
    <cfRule type="cellIs" dxfId="2277" priority="2283" operator="lessThan">
      <formula>0</formula>
    </cfRule>
  </conditionalFormatting>
  <conditionalFormatting sqref="Q31">
    <cfRule type="cellIs" dxfId="2276" priority="2277" operator="lessThan">
      <formula>0</formula>
    </cfRule>
  </conditionalFormatting>
  <conditionalFormatting sqref="R31">
    <cfRule type="cellIs" dxfId="2275" priority="2275" operator="lessThan">
      <formula>0.8</formula>
    </cfRule>
    <cfRule type="cellIs" dxfId="2274" priority="2276" operator="greaterThan">
      <formula>1</formula>
    </cfRule>
  </conditionalFormatting>
  <conditionalFormatting sqref="R31">
    <cfRule type="cellIs" dxfId="2273" priority="2273" operator="greaterThan">
      <formula>1</formula>
    </cfRule>
    <cfRule type="cellIs" dxfId="2272" priority="2274" operator="lessThan">
      <formula>0.8</formula>
    </cfRule>
  </conditionalFormatting>
  <conditionalFormatting sqref="P31:P40">
    <cfRule type="cellIs" dxfId="2271" priority="2272" operator="greaterThan">
      <formula>0</formula>
    </cfRule>
  </conditionalFormatting>
  <conditionalFormatting sqref="Q31">
    <cfRule type="cellIs" dxfId="2270" priority="2271" operator="lessThan">
      <formula>0</formula>
    </cfRule>
  </conditionalFormatting>
  <conditionalFormatting sqref="R31">
    <cfRule type="cellIs" dxfId="2269" priority="2269" operator="lessThan">
      <formula>0.8</formula>
    </cfRule>
    <cfRule type="cellIs" dxfId="2268" priority="2270" operator="greaterThan">
      <formula>1</formula>
    </cfRule>
  </conditionalFormatting>
  <conditionalFormatting sqref="R31">
    <cfRule type="cellIs" dxfId="2267" priority="2267" operator="greaterThan">
      <formula>1</formula>
    </cfRule>
    <cfRule type="cellIs" dxfId="2266" priority="2268" operator="lessThan">
      <formula>0.8</formula>
    </cfRule>
  </conditionalFormatting>
  <conditionalFormatting sqref="P31:P40">
    <cfRule type="cellIs" dxfId="2265" priority="2266" operator="greaterThan">
      <formula>0</formula>
    </cfRule>
  </conditionalFormatting>
  <conditionalFormatting sqref="Q31">
    <cfRule type="cellIs" dxfId="2264" priority="2265" operator="lessThan">
      <formula>0</formula>
    </cfRule>
  </conditionalFormatting>
  <conditionalFormatting sqref="R31">
    <cfRule type="cellIs" dxfId="2263" priority="2263" operator="lessThan">
      <formula>0.8</formula>
    </cfRule>
    <cfRule type="cellIs" dxfId="2262" priority="2264" operator="greaterThan">
      <formula>1</formula>
    </cfRule>
  </conditionalFormatting>
  <conditionalFormatting sqref="R31">
    <cfRule type="cellIs" dxfId="2261" priority="2261" operator="greaterThan">
      <formula>1</formula>
    </cfRule>
    <cfRule type="cellIs" dxfId="2260" priority="2262" operator="lessThan">
      <formula>0.8</formula>
    </cfRule>
  </conditionalFormatting>
  <conditionalFormatting sqref="P31:P40">
    <cfRule type="cellIs" dxfId="2259" priority="2260" operator="greaterThan">
      <formula>0</formula>
    </cfRule>
  </conditionalFormatting>
  <conditionalFormatting sqref="Q31">
    <cfRule type="cellIs" dxfId="2258" priority="2259" operator="lessThan">
      <formula>0</formula>
    </cfRule>
  </conditionalFormatting>
  <conditionalFormatting sqref="R31">
    <cfRule type="cellIs" dxfId="2257" priority="2257" operator="lessThan">
      <formula>0.8</formula>
    </cfRule>
    <cfRule type="cellIs" dxfId="2256" priority="2258" operator="greaterThan">
      <formula>1</formula>
    </cfRule>
  </conditionalFormatting>
  <conditionalFormatting sqref="R31">
    <cfRule type="cellIs" dxfId="2255" priority="2255" operator="greaterThan">
      <formula>1</formula>
    </cfRule>
    <cfRule type="cellIs" dxfId="2254" priority="2256" operator="lessThan">
      <formula>0.8</formula>
    </cfRule>
  </conditionalFormatting>
  <conditionalFormatting sqref="P31:P40">
    <cfRule type="cellIs" dxfId="2253" priority="2254" operator="greaterThan">
      <formula>0</formula>
    </cfRule>
  </conditionalFormatting>
  <conditionalFormatting sqref="P31:P40">
    <cfRule type="cellIs" dxfId="2252" priority="2248" operator="greaterThan">
      <formula>0</formula>
    </cfRule>
  </conditionalFormatting>
  <conditionalFormatting sqref="Q31">
    <cfRule type="cellIs" dxfId="2251" priority="2253" operator="lessThan">
      <formula>0</formula>
    </cfRule>
  </conditionalFormatting>
  <conditionalFormatting sqref="R31">
    <cfRule type="cellIs" dxfId="2250" priority="2251" operator="lessThan">
      <formula>0.8</formula>
    </cfRule>
    <cfRule type="cellIs" dxfId="2249" priority="2252" operator="greaterThan">
      <formula>1</formula>
    </cfRule>
  </conditionalFormatting>
  <conditionalFormatting sqref="R31">
    <cfRule type="cellIs" dxfId="2248" priority="2249" operator="greaterThan">
      <formula>1</formula>
    </cfRule>
    <cfRule type="cellIs" dxfId="2247" priority="2250" operator="lessThan">
      <formula>0.8</formula>
    </cfRule>
  </conditionalFormatting>
  <conditionalFormatting sqref="P31:P40">
    <cfRule type="cellIs" dxfId="2246" priority="2242" operator="greaterThan">
      <formula>0</formula>
    </cfRule>
  </conditionalFormatting>
  <conditionalFormatting sqref="Q31">
    <cfRule type="cellIs" dxfId="2245" priority="2247" operator="lessThan">
      <formula>0</formula>
    </cfRule>
  </conditionalFormatting>
  <conditionalFormatting sqref="R31">
    <cfRule type="cellIs" dxfId="2244" priority="2245" operator="lessThan">
      <formula>0.8</formula>
    </cfRule>
    <cfRule type="cellIs" dxfId="2243" priority="2246" operator="greaterThan">
      <formula>1</formula>
    </cfRule>
  </conditionalFormatting>
  <conditionalFormatting sqref="R31">
    <cfRule type="cellIs" dxfId="2242" priority="2243" operator="greaterThan">
      <formula>1</formula>
    </cfRule>
    <cfRule type="cellIs" dxfId="2241" priority="2244" operator="lessThan">
      <formula>0.8</formula>
    </cfRule>
  </conditionalFormatting>
  <conditionalFormatting sqref="R31">
    <cfRule type="cellIs" dxfId="2240" priority="2239" operator="lessThan">
      <formula>0.8</formula>
    </cfRule>
    <cfRule type="cellIs" dxfId="2239" priority="2240" operator="greaterThan">
      <formula>1</formula>
    </cfRule>
  </conditionalFormatting>
  <conditionalFormatting sqref="R31">
    <cfRule type="cellIs" dxfId="2238" priority="2237" operator="greaterThan">
      <formula>1</formula>
    </cfRule>
    <cfRule type="cellIs" dxfId="2237" priority="2238" operator="lessThan">
      <formula>0.8</formula>
    </cfRule>
  </conditionalFormatting>
  <conditionalFormatting sqref="P31:P40">
    <cfRule type="cellIs" dxfId="2236" priority="2236" operator="greaterThan">
      <formula>0</formula>
    </cfRule>
  </conditionalFormatting>
  <conditionalFormatting sqref="Q31">
    <cfRule type="cellIs" dxfId="2235" priority="2241" operator="lessThan">
      <formula>0</formula>
    </cfRule>
  </conditionalFormatting>
  <conditionalFormatting sqref="Q31">
    <cfRule type="cellIs" dxfId="2234" priority="2235" operator="lessThan">
      <formula>0</formula>
    </cfRule>
  </conditionalFormatting>
  <conditionalFormatting sqref="R31">
    <cfRule type="cellIs" dxfId="2233" priority="2233" operator="lessThan">
      <formula>0.8</formula>
    </cfRule>
    <cfRule type="cellIs" dxfId="2232" priority="2234" operator="greaterThan">
      <formula>1</formula>
    </cfRule>
  </conditionalFormatting>
  <conditionalFormatting sqref="R31">
    <cfRule type="cellIs" dxfId="2231" priority="2231" operator="greaterThan">
      <formula>1</formula>
    </cfRule>
    <cfRule type="cellIs" dxfId="2230" priority="2232" operator="lessThan">
      <formula>0.8</formula>
    </cfRule>
  </conditionalFormatting>
  <conditionalFormatting sqref="P31:P40">
    <cfRule type="cellIs" dxfId="2229" priority="2230" operator="greaterThan">
      <formula>0</formula>
    </cfRule>
  </conditionalFormatting>
  <conditionalFormatting sqref="P31:P40">
    <cfRule type="cellIs" dxfId="2228" priority="2224" operator="greaterThan">
      <formula>0</formula>
    </cfRule>
  </conditionalFormatting>
  <conditionalFormatting sqref="Q31">
    <cfRule type="cellIs" dxfId="2227" priority="2229" operator="lessThan">
      <formula>0</formula>
    </cfRule>
  </conditionalFormatting>
  <conditionalFormatting sqref="R31">
    <cfRule type="cellIs" dxfId="2226" priority="2227" operator="lessThan">
      <formula>0.8</formula>
    </cfRule>
    <cfRule type="cellIs" dxfId="2225" priority="2228" operator="greaterThan">
      <formula>1</formula>
    </cfRule>
  </conditionalFormatting>
  <conditionalFormatting sqref="R31">
    <cfRule type="cellIs" dxfId="2224" priority="2225" operator="greaterThan">
      <formula>1</formula>
    </cfRule>
    <cfRule type="cellIs" dxfId="2223" priority="2226" operator="lessThan">
      <formula>0.8</formula>
    </cfRule>
  </conditionalFormatting>
  <conditionalFormatting sqref="P31:P40">
    <cfRule type="cellIs" dxfId="2222" priority="2218" operator="greaterThan">
      <formula>0</formula>
    </cfRule>
  </conditionalFormatting>
  <conditionalFormatting sqref="Q31">
    <cfRule type="cellIs" dxfId="2221" priority="2223" operator="lessThan">
      <formula>0</formula>
    </cfRule>
  </conditionalFormatting>
  <conditionalFormatting sqref="R31">
    <cfRule type="cellIs" dxfId="2220" priority="2221" operator="lessThan">
      <formula>0.8</formula>
    </cfRule>
    <cfRule type="cellIs" dxfId="2219" priority="2222" operator="greaterThan">
      <formula>1</formula>
    </cfRule>
  </conditionalFormatting>
  <conditionalFormatting sqref="R31">
    <cfRule type="cellIs" dxfId="2218" priority="2219" operator="greaterThan">
      <formula>1</formula>
    </cfRule>
    <cfRule type="cellIs" dxfId="2217" priority="2220" operator="lessThan">
      <formula>0.8</formula>
    </cfRule>
  </conditionalFormatting>
  <conditionalFormatting sqref="R31">
    <cfRule type="cellIs" dxfId="2216" priority="2215" operator="lessThan">
      <formula>0.8</formula>
    </cfRule>
    <cfRule type="cellIs" dxfId="2215" priority="2216" operator="greaterThan">
      <formula>1</formula>
    </cfRule>
  </conditionalFormatting>
  <conditionalFormatting sqref="R31">
    <cfRule type="cellIs" dxfId="2214" priority="2213" operator="greaterThan">
      <formula>1</formula>
    </cfRule>
    <cfRule type="cellIs" dxfId="2213" priority="2214" operator="lessThan">
      <formula>0.8</formula>
    </cfRule>
  </conditionalFormatting>
  <conditionalFormatting sqref="P31:P40">
    <cfRule type="cellIs" dxfId="2212" priority="2212" operator="greaterThan">
      <formula>0</formula>
    </cfRule>
  </conditionalFormatting>
  <conditionalFormatting sqref="Q31">
    <cfRule type="cellIs" dxfId="2211" priority="2217" operator="lessThan">
      <formula>0</formula>
    </cfRule>
  </conditionalFormatting>
  <conditionalFormatting sqref="P31:P40">
    <cfRule type="cellIs" dxfId="2210" priority="2206" operator="greaterThan">
      <formula>0</formula>
    </cfRule>
  </conditionalFormatting>
  <conditionalFormatting sqref="Q31">
    <cfRule type="cellIs" dxfId="2209" priority="2211" operator="lessThan">
      <formula>0</formula>
    </cfRule>
  </conditionalFormatting>
  <conditionalFormatting sqref="R31">
    <cfRule type="cellIs" dxfId="2208" priority="2209" operator="lessThan">
      <formula>0.8</formula>
    </cfRule>
    <cfRule type="cellIs" dxfId="2207" priority="2210" operator="greaterThan">
      <formula>1</formula>
    </cfRule>
  </conditionalFormatting>
  <conditionalFormatting sqref="R31">
    <cfRule type="cellIs" dxfId="2206" priority="2207" operator="greaterThan">
      <formula>1</formula>
    </cfRule>
    <cfRule type="cellIs" dxfId="2205" priority="2208" operator="lessThan">
      <formula>0.8</formula>
    </cfRule>
  </conditionalFormatting>
  <conditionalFormatting sqref="R31">
    <cfRule type="cellIs" dxfId="2204" priority="2203" operator="lessThan">
      <formula>0.8</formula>
    </cfRule>
    <cfRule type="cellIs" dxfId="2203" priority="2204" operator="greaterThan">
      <formula>1</formula>
    </cfRule>
  </conditionalFormatting>
  <conditionalFormatting sqref="R31">
    <cfRule type="cellIs" dxfId="2202" priority="2201" operator="greaterThan">
      <formula>1</formula>
    </cfRule>
    <cfRule type="cellIs" dxfId="2201" priority="2202" operator="lessThan">
      <formula>0.8</formula>
    </cfRule>
  </conditionalFormatting>
  <conditionalFormatting sqref="P31:P40">
    <cfRule type="cellIs" dxfId="2200" priority="2200" operator="greaterThan">
      <formula>0</formula>
    </cfRule>
  </conditionalFormatting>
  <conditionalFormatting sqref="Q31">
    <cfRule type="cellIs" dxfId="2199" priority="2205" operator="lessThan">
      <formula>0</formula>
    </cfRule>
  </conditionalFormatting>
  <conditionalFormatting sqref="R31">
    <cfRule type="cellIs" dxfId="2198" priority="2197" operator="lessThan">
      <formula>0.8</formula>
    </cfRule>
    <cfRule type="cellIs" dxfId="2197" priority="2198" operator="greaterThan">
      <formula>1</formula>
    </cfRule>
  </conditionalFormatting>
  <conditionalFormatting sqref="R31">
    <cfRule type="cellIs" dxfId="2196" priority="2195" operator="greaterThan">
      <formula>1</formula>
    </cfRule>
    <cfRule type="cellIs" dxfId="2195" priority="2196" operator="lessThan">
      <formula>0.8</formula>
    </cfRule>
  </conditionalFormatting>
  <conditionalFormatting sqref="P31:P40">
    <cfRule type="cellIs" dxfId="2194" priority="2194" operator="greaterThan">
      <formula>0</formula>
    </cfRule>
  </conditionalFormatting>
  <conditionalFormatting sqref="Q31">
    <cfRule type="cellIs" dxfId="2193" priority="2199" operator="lessThan">
      <formula>0</formula>
    </cfRule>
  </conditionalFormatting>
  <conditionalFormatting sqref="Q31">
    <cfRule type="cellIs" dxfId="2192" priority="2193" operator="lessThan">
      <formula>0</formula>
    </cfRule>
  </conditionalFormatting>
  <conditionalFormatting sqref="R31">
    <cfRule type="cellIs" dxfId="2191" priority="2191" operator="lessThan">
      <formula>0.8</formula>
    </cfRule>
    <cfRule type="cellIs" dxfId="2190" priority="2192" operator="greaterThan">
      <formula>1</formula>
    </cfRule>
  </conditionalFormatting>
  <conditionalFormatting sqref="R31">
    <cfRule type="cellIs" dxfId="2189" priority="2189" operator="greaterThan">
      <formula>1</formula>
    </cfRule>
    <cfRule type="cellIs" dxfId="2188" priority="2190" operator="lessThan">
      <formula>0.8</formula>
    </cfRule>
  </conditionalFormatting>
  <conditionalFormatting sqref="P31:P40">
    <cfRule type="cellIs" dxfId="2187" priority="2188" operator="greaterThan">
      <formula>0</formula>
    </cfRule>
  </conditionalFormatting>
  <conditionalFormatting sqref="Q31">
    <cfRule type="cellIs" dxfId="2186" priority="2182" operator="lessThan">
      <formula>0</formula>
    </cfRule>
  </conditionalFormatting>
  <conditionalFormatting sqref="R31">
    <cfRule type="cellIs" dxfId="2185" priority="2186" operator="lessThan">
      <formula>0.8</formula>
    </cfRule>
    <cfRule type="cellIs" dxfId="2184" priority="2187" operator="greaterThan">
      <formula>1</formula>
    </cfRule>
  </conditionalFormatting>
  <conditionalFormatting sqref="R31">
    <cfRule type="cellIs" dxfId="2183" priority="2184" operator="greaterThan">
      <formula>1</formula>
    </cfRule>
    <cfRule type="cellIs" dxfId="2182" priority="2185" operator="lessThan">
      <formula>0.8</formula>
    </cfRule>
  </conditionalFormatting>
  <conditionalFormatting sqref="P31:P40">
    <cfRule type="cellIs" dxfId="2181" priority="2183" operator="greaterThan">
      <formula>0</formula>
    </cfRule>
  </conditionalFormatting>
  <conditionalFormatting sqref="Q31">
    <cfRule type="cellIs" dxfId="2180" priority="2181" operator="lessThan">
      <formula>0</formula>
    </cfRule>
  </conditionalFormatting>
  <conditionalFormatting sqref="R31">
    <cfRule type="cellIs" dxfId="2179" priority="2179" operator="lessThan">
      <formula>0.8</formula>
    </cfRule>
    <cfRule type="cellIs" dxfId="2178" priority="2180" operator="greaterThan">
      <formula>1</formula>
    </cfRule>
  </conditionalFormatting>
  <conditionalFormatting sqref="R31">
    <cfRule type="cellIs" dxfId="2177" priority="2177" operator="greaterThan">
      <formula>1</formula>
    </cfRule>
    <cfRule type="cellIs" dxfId="2176" priority="2178" operator="lessThan">
      <formula>0.8</formula>
    </cfRule>
  </conditionalFormatting>
  <conditionalFormatting sqref="P31:P40">
    <cfRule type="cellIs" dxfId="2175" priority="2176" operator="greaterThan">
      <formula>0</formula>
    </cfRule>
  </conditionalFormatting>
  <conditionalFormatting sqref="Q31">
    <cfRule type="cellIs" dxfId="2174" priority="2175" operator="lessThan">
      <formula>0</formula>
    </cfRule>
  </conditionalFormatting>
  <conditionalFormatting sqref="R31">
    <cfRule type="cellIs" dxfId="2173" priority="2173" operator="lessThan">
      <formula>0.8</formula>
    </cfRule>
    <cfRule type="cellIs" dxfId="2172" priority="2174" operator="greaterThan">
      <formula>1</formula>
    </cfRule>
  </conditionalFormatting>
  <conditionalFormatting sqref="R31">
    <cfRule type="cellIs" dxfId="2171" priority="2171" operator="greaterThan">
      <formula>1</formula>
    </cfRule>
    <cfRule type="cellIs" dxfId="2170" priority="2172" operator="lessThan">
      <formula>0.8</formula>
    </cfRule>
  </conditionalFormatting>
  <conditionalFormatting sqref="P31:P40">
    <cfRule type="cellIs" dxfId="2169" priority="2170" operator="greaterThan">
      <formula>0</formula>
    </cfRule>
  </conditionalFormatting>
  <conditionalFormatting sqref="Q31">
    <cfRule type="cellIs" dxfId="2168" priority="2169" operator="lessThan">
      <formula>0</formula>
    </cfRule>
  </conditionalFormatting>
  <conditionalFormatting sqref="R31">
    <cfRule type="cellIs" dxfId="2167" priority="2167" operator="lessThan">
      <formula>0.8</formula>
    </cfRule>
    <cfRule type="cellIs" dxfId="2166" priority="2168" operator="greaterThan">
      <formula>1</formula>
    </cfRule>
  </conditionalFormatting>
  <conditionalFormatting sqref="R31">
    <cfRule type="cellIs" dxfId="2165" priority="2165" operator="greaterThan">
      <formula>1</formula>
    </cfRule>
    <cfRule type="cellIs" dxfId="2164" priority="2166" operator="lessThan">
      <formula>0.8</formula>
    </cfRule>
  </conditionalFormatting>
  <conditionalFormatting sqref="P31:P40">
    <cfRule type="cellIs" dxfId="2163" priority="2164" operator="greaterThan">
      <formula>0</formula>
    </cfRule>
  </conditionalFormatting>
  <conditionalFormatting sqref="Q31">
    <cfRule type="cellIs" dxfId="2162" priority="2163" operator="lessThan">
      <formula>0</formula>
    </cfRule>
  </conditionalFormatting>
  <conditionalFormatting sqref="R31">
    <cfRule type="cellIs" dxfId="2161" priority="2161" operator="lessThan">
      <formula>0.8</formula>
    </cfRule>
    <cfRule type="cellIs" dxfId="2160" priority="2162" operator="greaterThan">
      <formula>1</formula>
    </cfRule>
  </conditionalFormatting>
  <conditionalFormatting sqref="R31">
    <cfRule type="cellIs" dxfId="2159" priority="2159" operator="greaterThan">
      <formula>1</formula>
    </cfRule>
    <cfRule type="cellIs" dxfId="2158" priority="2160" operator="lessThan">
      <formula>0.8</formula>
    </cfRule>
  </conditionalFormatting>
  <conditionalFormatting sqref="P31:P40">
    <cfRule type="cellIs" dxfId="2157" priority="2158" operator="greaterThan">
      <formula>0</formula>
    </cfRule>
  </conditionalFormatting>
  <conditionalFormatting sqref="Q31">
    <cfRule type="cellIs" dxfId="2156" priority="2157" operator="lessThan">
      <formula>0</formula>
    </cfRule>
  </conditionalFormatting>
  <conditionalFormatting sqref="R31">
    <cfRule type="cellIs" dxfId="2155" priority="2155" operator="lessThan">
      <formula>0.8</formula>
    </cfRule>
    <cfRule type="cellIs" dxfId="2154" priority="2156" operator="greaterThan">
      <formula>1</formula>
    </cfRule>
  </conditionalFormatting>
  <conditionalFormatting sqref="R31">
    <cfRule type="cellIs" dxfId="2153" priority="2153" operator="greaterThan">
      <formula>1</formula>
    </cfRule>
    <cfRule type="cellIs" dxfId="2152" priority="2154" operator="lessThan">
      <formula>0.8</formula>
    </cfRule>
  </conditionalFormatting>
  <conditionalFormatting sqref="P31:P40">
    <cfRule type="cellIs" dxfId="2151" priority="2152" operator="greaterThan">
      <formula>0</formula>
    </cfRule>
  </conditionalFormatting>
  <conditionalFormatting sqref="P31:P40">
    <cfRule type="cellIs" dxfId="2150" priority="2146" operator="greaterThan">
      <formula>0</formula>
    </cfRule>
  </conditionalFormatting>
  <conditionalFormatting sqref="Q31">
    <cfRule type="cellIs" dxfId="2149" priority="2151" operator="lessThan">
      <formula>0</formula>
    </cfRule>
  </conditionalFormatting>
  <conditionalFormatting sqref="R31">
    <cfRule type="cellIs" dxfId="2148" priority="2149" operator="lessThan">
      <formula>0.8</formula>
    </cfRule>
    <cfRule type="cellIs" dxfId="2147" priority="2150" operator="greaterThan">
      <formula>1</formula>
    </cfRule>
  </conditionalFormatting>
  <conditionalFormatting sqref="R31">
    <cfRule type="cellIs" dxfId="2146" priority="2147" operator="greaterThan">
      <formula>1</formula>
    </cfRule>
    <cfRule type="cellIs" dxfId="2145" priority="2148" operator="lessThan">
      <formula>0.8</formula>
    </cfRule>
  </conditionalFormatting>
  <conditionalFormatting sqref="P31:P40">
    <cfRule type="cellIs" dxfId="2144" priority="2140" operator="greaterThan">
      <formula>0</formula>
    </cfRule>
  </conditionalFormatting>
  <conditionalFormatting sqref="Q31">
    <cfRule type="cellIs" dxfId="2143" priority="2145" operator="lessThan">
      <formula>0</formula>
    </cfRule>
  </conditionalFormatting>
  <conditionalFormatting sqref="R31">
    <cfRule type="cellIs" dxfId="2142" priority="2143" operator="lessThan">
      <formula>0.8</formula>
    </cfRule>
    <cfRule type="cellIs" dxfId="2141" priority="2144" operator="greaterThan">
      <formula>1</formula>
    </cfRule>
  </conditionalFormatting>
  <conditionalFormatting sqref="R31">
    <cfRule type="cellIs" dxfId="2140" priority="2141" operator="greaterThan">
      <formula>1</formula>
    </cfRule>
    <cfRule type="cellIs" dxfId="2139" priority="2142" operator="lessThan">
      <formula>0.8</formula>
    </cfRule>
  </conditionalFormatting>
  <conditionalFormatting sqref="R31">
    <cfRule type="cellIs" dxfId="2138" priority="2137" operator="lessThan">
      <formula>0.8</formula>
    </cfRule>
    <cfRule type="cellIs" dxfId="2137" priority="2138" operator="greaterThan">
      <formula>1</formula>
    </cfRule>
  </conditionalFormatting>
  <conditionalFormatting sqref="R31">
    <cfRule type="cellIs" dxfId="2136" priority="2135" operator="greaterThan">
      <formula>1</formula>
    </cfRule>
    <cfRule type="cellIs" dxfId="2135" priority="2136" operator="lessThan">
      <formula>0.8</formula>
    </cfRule>
  </conditionalFormatting>
  <conditionalFormatting sqref="P31:P40">
    <cfRule type="cellIs" dxfId="2134" priority="2134" operator="greaterThan">
      <formula>0</formula>
    </cfRule>
  </conditionalFormatting>
  <conditionalFormatting sqref="Q31">
    <cfRule type="cellIs" dxfId="2133" priority="2139" operator="lessThan">
      <formula>0</formula>
    </cfRule>
  </conditionalFormatting>
  <conditionalFormatting sqref="P79">
    <cfRule type="cellIs" dxfId="2132" priority="2128" operator="greaterThan">
      <formula>0</formula>
    </cfRule>
  </conditionalFormatting>
  <conditionalFormatting sqref="Q79">
    <cfRule type="cellIs" dxfId="2131" priority="2133" operator="lessThan">
      <formula>0</formula>
    </cfRule>
  </conditionalFormatting>
  <conditionalFormatting sqref="R79">
    <cfRule type="cellIs" dxfId="2130" priority="2131" operator="lessThan">
      <formula>0.8</formula>
    </cfRule>
    <cfRule type="cellIs" dxfId="2129" priority="2132" operator="greaterThan">
      <formula>1</formula>
    </cfRule>
  </conditionalFormatting>
  <conditionalFormatting sqref="R79">
    <cfRule type="cellIs" dxfId="2128" priority="2129" operator="greaterThan">
      <formula>1</formula>
    </cfRule>
    <cfRule type="cellIs" dxfId="2127" priority="2130" operator="lessThan">
      <formula>0.8</formula>
    </cfRule>
  </conditionalFormatting>
  <conditionalFormatting sqref="Q79">
    <cfRule type="cellIs" dxfId="2126" priority="2127" operator="lessThan">
      <formula>0</formula>
    </cfRule>
  </conditionalFormatting>
  <conditionalFormatting sqref="R79">
    <cfRule type="cellIs" dxfId="2125" priority="2125" operator="lessThan">
      <formula>0.8</formula>
    </cfRule>
    <cfRule type="cellIs" dxfId="2124" priority="2126" operator="greaterThan">
      <formula>1</formula>
    </cfRule>
  </conditionalFormatting>
  <conditionalFormatting sqref="R79">
    <cfRule type="cellIs" dxfId="2123" priority="2123" operator="greaterThan">
      <formula>1</formula>
    </cfRule>
    <cfRule type="cellIs" dxfId="2122" priority="2124" operator="lessThan">
      <formula>0.8</formula>
    </cfRule>
  </conditionalFormatting>
  <conditionalFormatting sqref="P79">
    <cfRule type="cellIs" dxfId="2121" priority="2122" operator="greaterThan">
      <formula>0</formula>
    </cfRule>
  </conditionalFormatting>
  <conditionalFormatting sqref="P79">
    <cfRule type="cellIs" dxfId="2120" priority="2116" operator="greaterThan">
      <formula>0</formula>
    </cfRule>
  </conditionalFormatting>
  <conditionalFormatting sqref="Q79">
    <cfRule type="cellIs" dxfId="2119" priority="2121" operator="lessThan">
      <formula>0</formula>
    </cfRule>
  </conditionalFormatting>
  <conditionalFormatting sqref="R79">
    <cfRule type="cellIs" dxfId="2118" priority="2119" operator="lessThan">
      <formula>0.8</formula>
    </cfRule>
    <cfRule type="cellIs" dxfId="2117" priority="2120" operator="greaterThan">
      <formula>1</formula>
    </cfRule>
  </conditionalFormatting>
  <conditionalFormatting sqref="R79">
    <cfRule type="cellIs" dxfId="2116" priority="2117" operator="greaterThan">
      <formula>1</formula>
    </cfRule>
    <cfRule type="cellIs" dxfId="2115" priority="2118" operator="lessThan">
      <formula>0.8</formula>
    </cfRule>
  </conditionalFormatting>
  <conditionalFormatting sqref="Q79">
    <cfRule type="cellIs" dxfId="2114" priority="2110" operator="lessThan">
      <formula>0</formula>
    </cfRule>
  </conditionalFormatting>
  <conditionalFormatting sqref="P79">
    <cfRule type="cellIs" dxfId="2113" priority="2111" operator="greaterThan">
      <formula>0</formula>
    </cfRule>
  </conditionalFormatting>
  <conditionalFormatting sqref="R79">
    <cfRule type="cellIs" dxfId="2112" priority="2114" operator="lessThan">
      <formula>0.8</formula>
    </cfRule>
    <cfRule type="cellIs" dxfId="2111" priority="2115" operator="greaterThan">
      <formula>1</formula>
    </cfRule>
  </conditionalFormatting>
  <conditionalFormatting sqref="R79">
    <cfRule type="cellIs" dxfId="2110" priority="2112" operator="greaterThan">
      <formula>1</formula>
    </cfRule>
    <cfRule type="cellIs" dxfId="2109" priority="2113" operator="lessThan">
      <formula>0.8</formula>
    </cfRule>
  </conditionalFormatting>
  <conditionalFormatting sqref="Q79">
    <cfRule type="cellIs" dxfId="2108" priority="2104" operator="lessThan">
      <formula>0</formula>
    </cfRule>
  </conditionalFormatting>
  <conditionalFormatting sqref="R79">
    <cfRule type="cellIs" dxfId="2107" priority="2108" operator="lessThan">
      <formula>0.8</formula>
    </cfRule>
    <cfRule type="cellIs" dxfId="2106" priority="2109" operator="greaterThan">
      <formula>1</formula>
    </cfRule>
  </conditionalFormatting>
  <conditionalFormatting sqref="R79">
    <cfRule type="cellIs" dxfId="2105" priority="2106" operator="greaterThan">
      <formula>1</formula>
    </cfRule>
    <cfRule type="cellIs" dxfId="2104" priority="2107" operator="lessThan">
      <formula>0.8</formula>
    </cfRule>
  </conditionalFormatting>
  <conditionalFormatting sqref="P79">
    <cfRule type="cellIs" dxfId="2103" priority="2105" operator="greaterThan">
      <formula>0</formula>
    </cfRule>
  </conditionalFormatting>
  <conditionalFormatting sqref="Q79">
    <cfRule type="cellIs" dxfId="2102" priority="2103" operator="lessThan">
      <formula>0</formula>
    </cfRule>
  </conditionalFormatting>
  <conditionalFormatting sqref="R79">
    <cfRule type="cellIs" dxfId="2101" priority="2101" operator="lessThan">
      <formula>0.8</formula>
    </cfRule>
    <cfRule type="cellIs" dxfId="2100" priority="2102" operator="greaterThan">
      <formula>1</formula>
    </cfRule>
  </conditionalFormatting>
  <conditionalFormatting sqref="R79">
    <cfRule type="cellIs" dxfId="2099" priority="2099" operator="greaterThan">
      <formula>1</formula>
    </cfRule>
    <cfRule type="cellIs" dxfId="2098" priority="2100" operator="lessThan">
      <formula>0.8</formula>
    </cfRule>
  </conditionalFormatting>
  <conditionalFormatting sqref="P79">
    <cfRule type="cellIs" dxfId="2097" priority="2098" operator="greaterThan">
      <formula>0</formula>
    </cfRule>
  </conditionalFormatting>
  <conditionalFormatting sqref="Q79">
    <cfRule type="cellIs" dxfId="2096" priority="2097" operator="lessThan">
      <formula>0</formula>
    </cfRule>
  </conditionalFormatting>
  <conditionalFormatting sqref="R79">
    <cfRule type="cellIs" dxfId="2095" priority="2095" operator="lessThan">
      <formula>0.8</formula>
    </cfRule>
    <cfRule type="cellIs" dxfId="2094" priority="2096" operator="greaterThan">
      <formula>1</formula>
    </cfRule>
  </conditionalFormatting>
  <conditionalFormatting sqref="R79">
    <cfRule type="cellIs" dxfId="2093" priority="2093" operator="greaterThan">
      <formula>1</formula>
    </cfRule>
    <cfRule type="cellIs" dxfId="2092" priority="2094" operator="lessThan">
      <formula>0.8</formula>
    </cfRule>
  </conditionalFormatting>
  <conditionalFormatting sqref="P79">
    <cfRule type="cellIs" dxfId="2091" priority="2092" operator="greaterThan">
      <formula>0</formula>
    </cfRule>
  </conditionalFormatting>
  <conditionalFormatting sqref="P79">
    <cfRule type="cellIs" dxfId="2090" priority="2086" operator="greaterThan">
      <formula>0</formula>
    </cfRule>
  </conditionalFormatting>
  <conditionalFormatting sqref="Q79">
    <cfRule type="cellIs" dxfId="2089" priority="2091" operator="lessThan">
      <formula>0</formula>
    </cfRule>
  </conditionalFormatting>
  <conditionalFormatting sqref="R79">
    <cfRule type="cellIs" dxfId="2088" priority="2089" operator="lessThan">
      <formula>0.8</formula>
    </cfRule>
    <cfRule type="cellIs" dxfId="2087" priority="2090" operator="greaterThan">
      <formula>1</formula>
    </cfRule>
  </conditionalFormatting>
  <conditionalFormatting sqref="R79">
    <cfRule type="cellIs" dxfId="2086" priority="2087" operator="greaterThan">
      <formula>1</formula>
    </cfRule>
    <cfRule type="cellIs" dxfId="2085" priority="2088" operator="lessThan">
      <formula>0.8</formula>
    </cfRule>
  </conditionalFormatting>
  <conditionalFormatting sqref="P71:P78">
    <cfRule type="cellIs" dxfId="2084" priority="2080" operator="greaterThan">
      <formula>0</formula>
    </cfRule>
  </conditionalFormatting>
  <conditionalFormatting sqref="Q71:Q78">
    <cfRule type="cellIs" dxfId="2083" priority="2085" operator="lessThan">
      <formula>0</formula>
    </cfRule>
  </conditionalFormatting>
  <conditionalFormatting sqref="R71:R78">
    <cfRule type="cellIs" dxfId="2082" priority="2083" operator="lessThan">
      <formula>0.8</formula>
    </cfRule>
    <cfRule type="cellIs" dxfId="2081" priority="2084" operator="greaterThan">
      <formula>1</formula>
    </cfRule>
  </conditionalFormatting>
  <conditionalFormatting sqref="R71:R78">
    <cfRule type="cellIs" dxfId="2080" priority="2081" operator="greaterThan">
      <formula>1</formula>
    </cfRule>
    <cfRule type="cellIs" dxfId="2079" priority="2082" operator="lessThan">
      <formula>0.8</formula>
    </cfRule>
  </conditionalFormatting>
  <conditionalFormatting sqref="Q148:Q156">
    <cfRule type="cellIs" dxfId="2078" priority="2079" operator="lessThan">
      <formula>0</formula>
    </cfRule>
  </conditionalFormatting>
  <conditionalFormatting sqref="R148:R156">
    <cfRule type="cellIs" dxfId="2077" priority="2077" operator="lessThan">
      <formula>0.8</formula>
    </cfRule>
    <cfRule type="cellIs" dxfId="2076" priority="2078" operator="greaterThan">
      <formula>1</formula>
    </cfRule>
  </conditionalFormatting>
  <conditionalFormatting sqref="R148:R156">
    <cfRule type="cellIs" dxfId="2075" priority="2075" operator="greaterThan">
      <formula>1</formula>
    </cfRule>
    <cfRule type="cellIs" dxfId="2074" priority="2076" operator="lessThan">
      <formula>0.8</formula>
    </cfRule>
  </conditionalFormatting>
  <conditionalFormatting sqref="P148:P156">
    <cfRule type="cellIs" dxfId="2073" priority="2074" operator="greaterThan">
      <formula>0</formula>
    </cfRule>
  </conditionalFormatting>
  <conditionalFormatting sqref="Q148:Q156">
    <cfRule type="cellIs" dxfId="2072" priority="2073" operator="lessThan">
      <formula>0</formula>
    </cfRule>
  </conditionalFormatting>
  <conditionalFormatting sqref="R148:R156">
    <cfRule type="cellIs" dxfId="2071" priority="2071" operator="lessThan">
      <formula>0.8</formula>
    </cfRule>
    <cfRule type="cellIs" dxfId="2070" priority="2072" operator="greaterThan">
      <formula>1</formula>
    </cfRule>
  </conditionalFormatting>
  <conditionalFormatting sqref="R148:R156">
    <cfRule type="cellIs" dxfId="2069" priority="2069" operator="greaterThan">
      <formula>1</formula>
    </cfRule>
    <cfRule type="cellIs" dxfId="2068" priority="2070" operator="lessThan">
      <formula>0.8</formula>
    </cfRule>
  </conditionalFormatting>
  <conditionalFormatting sqref="P148:P156">
    <cfRule type="cellIs" dxfId="2067" priority="2068" operator="greaterThan">
      <formula>0</formula>
    </cfRule>
  </conditionalFormatting>
  <conditionalFormatting sqref="Q148:Q156">
    <cfRule type="cellIs" dxfId="2066" priority="2067" operator="lessThan">
      <formula>0</formula>
    </cfRule>
  </conditionalFormatting>
  <conditionalFormatting sqref="R148:R156">
    <cfRule type="cellIs" dxfId="2065" priority="2065" operator="lessThan">
      <formula>0.8</formula>
    </cfRule>
    <cfRule type="cellIs" dxfId="2064" priority="2066" operator="greaterThan">
      <formula>1</formula>
    </cfRule>
  </conditionalFormatting>
  <conditionalFormatting sqref="R148:R156">
    <cfRule type="cellIs" dxfId="2063" priority="2063" operator="greaterThan">
      <formula>1</formula>
    </cfRule>
    <cfRule type="cellIs" dxfId="2062" priority="2064" operator="lessThan">
      <formula>0.8</formula>
    </cfRule>
  </conditionalFormatting>
  <conditionalFormatting sqref="P148:P156">
    <cfRule type="cellIs" dxfId="2061" priority="2062" operator="greaterThan">
      <formula>0</formula>
    </cfRule>
  </conditionalFormatting>
  <conditionalFormatting sqref="Q148:Q156">
    <cfRule type="cellIs" dxfId="2060" priority="2061" operator="lessThan">
      <formula>0</formula>
    </cfRule>
  </conditionalFormatting>
  <conditionalFormatting sqref="R148:R156">
    <cfRule type="cellIs" dxfId="2059" priority="2059" operator="lessThan">
      <formula>0.8</formula>
    </cfRule>
    <cfRule type="cellIs" dxfId="2058" priority="2060" operator="greaterThan">
      <formula>1</formula>
    </cfRule>
  </conditionalFormatting>
  <conditionalFormatting sqref="R148:R156">
    <cfRule type="cellIs" dxfId="2057" priority="2057" operator="greaterThan">
      <formula>1</formula>
    </cfRule>
    <cfRule type="cellIs" dxfId="2056" priority="2058" operator="lessThan">
      <formula>0.8</formula>
    </cfRule>
  </conditionalFormatting>
  <conditionalFormatting sqref="P148:P156">
    <cfRule type="cellIs" dxfId="2055" priority="2056" operator="greaterThan">
      <formula>0</formula>
    </cfRule>
  </conditionalFormatting>
  <conditionalFormatting sqref="P148:P156">
    <cfRule type="cellIs" dxfId="2054" priority="2050" operator="greaterThan">
      <formula>0</formula>
    </cfRule>
  </conditionalFormatting>
  <conditionalFormatting sqref="Q148:Q156">
    <cfRule type="cellIs" dxfId="2053" priority="2055" operator="lessThan">
      <formula>0</formula>
    </cfRule>
  </conditionalFormatting>
  <conditionalFormatting sqref="R148:R156">
    <cfRule type="cellIs" dxfId="2052" priority="2053" operator="lessThan">
      <formula>0.8</formula>
    </cfRule>
    <cfRule type="cellIs" dxfId="2051" priority="2054" operator="greaterThan">
      <formula>1</formula>
    </cfRule>
  </conditionalFormatting>
  <conditionalFormatting sqref="R148:R156">
    <cfRule type="cellIs" dxfId="2050" priority="2051" operator="greaterThan">
      <formula>1</formula>
    </cfRule>
    <cfRule type="cellIs" dxfId="2049" priority="2052" operator="lessThan">
      <formula>0.8</formula>
    </cfRule>
  </conditionalFormatting>
  <conditionalFormatting sqref="P148:P156">
    <cfRule type="cellIs" dxfId="2048" priority="2044" operator="greaterThan">
      <formula>0</formula>
    </cfRule>
  </conditionalFormatting>
  <conditionalFormatting sqref="Q148:Q156">
    <cfRule type="cellIs" dxfId="2047" priority="2049" operator="lessThan">
      <formula>0</formula>
    </cfRule>
  </conditionalFormatting>
  <conditionalFormatting sqref="R148:R156">
    <cfRule type="cellIs" dxfId="2046" priority="2047" operator="lessThan">
      <formula>0.8</formula>
    </cfRule>
    <cfRule type="cellIs" dxfId="2045" priority="2048" operator="greaterThan">
      <formula>1</formula>
    </cfRule>
  </conditionalFormatting>
  <conditionalFormatting sqref="R148:R156">
    <cfRule type="cellIs" dxfId="2044" priority="2045" operator="greaterThan">
      <formula>1</formula>
    </cfRule>
    <cfRule type="cellIs" dxfId="2043" priority="2046" operator="lessThan">
      <formula>0.8</formula>
    </cfRule>
  </conditionalFormatting>
  <conditionalFormatting sqref="R148:R156">
    <cfRule type="cellIs" dxfId="2042" priority="2041" operator="lessThan">
      <formula>0.8</formula>
    </cfRule>
    <cfRule type="cellIs" dxfId="2041" priority="2042" operator="greaterThan">
      <formula>1</formula>
    </cfRule>
  </conditionalFormatting>
  <conditionalFormatting sqref="R148:R156">
    <cfRule type="cellIs" dxfId="2040" priority="2039" operator="greaterThan">
      <formula>1</formula>
    </cfRule>
    <cfRule type="cellIs" dxfId="2039" priority="2040" operator="lessThan">
      <formula>0.8</formula>
    </cfRule>
  </conditionalFormatting>
  <conditionalFormatting sqref="P148:P156">
    <cfRule type="cellIs" dxfId="2038" priority="2038" operator="greaterThan">
      <formula>0</formula>
    </cfRule>
  </conditionalFormatting>
  <conditionalFormatting sqref="Q148:Q156">
    <cfRule type="cellIs" dxfId="2037" priority="2043" operator="lessThan">
      <formula>0</formula>
    </cfRule>
  </conditionalFormatting>
  <conditionalFormatting sqref="Q148:Q156">
    <cfRule type="cellIs" dxfId="2036" priority="2037" operator="lessThan">
      <formula>0</formula>
    </cfRule>
  </conditionalFormatting>
  <conditionalFormatting sqref="R148:R156">
    <cfRule type="cellIs" dxfId="2035" priority="2035" operator="lessThan">
      <formula>0.8</formula>
    </cfRule>
    <cfRule type="cellIs" dxfId="2034" priority="2036" operator="greaterThan">
      <formula>1</formula>
    </cfRule>
  </conditionalFormatting>
  <conditionalFormatting sqref="R148:R156">
    <cfRule type="cellIs" dxfId="2033" priority="2033" operator="greaterThan">
      <formula>1</formula>
    </cfRule>
    <cfRule type="cellIs" dxfId="2032" priority="2034" operator="lessThan">
      <formula>0.8</formula>
    </cfRule>
  </conditionalFormatting>
  <conditionalFormatting sqref="P148:P156">
    <cfRule type="cellIs" dxfId="2031" priority="2032" operator="greaterThan">
      <formula>0</formula>
    </cfRule>
  </conditionalFormatting>
  <conditionalFormatting sqref="P148:P156">
    <cfRule type="cellIs" dxfId="2030" priority="2026" operator="greaterThan">
      <formula>0</formula>
    </cfRule>
  </conditionalFormatting>
  <conditionalFormatting sqref="Q148:Q156">
    <cfRule type="cellIs" dxfId="2029" priority="2031" operator="lessThan">
      <formula>0</formula>
    </cfRule>
  </conditionalFormatting>
  <conditionalFormatting sqref="R148:R156">
    <cfRule type="cellIs" dxfId="2028" priority="2029" operator="lessThan">
      <formula>0.8</formula>
    </cfRule>
    <cfRule type="cellIs" dxfId="2027" priority="2030" operator="greaterThan">
      <formula>1</formula>
    </cfRule>
  </conditionalFormatting>
  <conditionalFormatting sqref="R148:R156">
    <cfRule type="cellIs" dxfId="2026" priority="2027" operator="greaterThan">
      <formula>1</formula>
    </cfRule>
    <cfRule type="cellIs" dxfId="2025" priority="2028" operator="lessThan">
      <formula>0.8</formula>
    </cfRule>
  </conditionalFormatting>
  <conditionalFormatting sqref="P148:P156">
    <cfRule type="cellIs" dxfId="2024" priority="2020" operator="greaterThan">
      <formula>0</formula>
    </cfRule>
  </conditionalFormatting>
  <conditionalFormatting sqref="Q148:Q156">
    <cfRule type="cellIs" dxfId="2023" priority="2025" operator="lessThan">
      <formula>0</formula>
    </cfRule>
  </conditionalFormatting>
  <conditionalFormatting sqref="R148:R156">
    <cfRule type="cellIs" dxfId="2022" priority="2023" operator="lessThan">
      <formula>0.8</formula>
    </cfRule>
    <cfRule type="cellIs" dxfId="2021" priority="2024" operator="greaterThan">
      <formula>1</formula>
    </cfRule>
  </conditionalFormatting>
  <conditionalFormatting sqref="R148:R156">
    <cfRule type="cellIs" dxfId="2020" priority="2021" operator="greaterThan">
      <formula>1</formula>
    </cfRule>
    <cfRule type="cellIs" dxfId="2019" priority="2022" operator="lessThan">
      <formula>0.8</formula>
    </cfRule>
  </conditionalFormatting>
  <conditionalFormatting sqref="R148:R156">
    <cfRule type="cellIs" dxfId="2018" priority="2017" operator="lessThan">
      <formula>0.8</formula>
    </cfRule>
    <cfRule type="cellIs" dxfId="2017" priority="2018" operator="greaterThan">
      <formula>1</formula>
    </cfRule>
  </conditionalFormatting>
  <conditionalFormatting sqref="R148:R156">
    <cfRule type="cellIs" dxfId="2016" priority="2015" operator="greaterThan">
      <formula>1</formula>
    </cfRule>
    <cfRule type="cellIs" dxfId="2015" priority="2016" operator="lessThan">
      <formula>0.8</formula>
    </cfRule>
  </conditionalFormatting>
  <conditionalFormatting sqref="P148:P156">
    <cfRule type="cellIs" dxfId="2014" priority="2014" operator="greaterThan">
      <formula>0</formula>
    </cfRule>
  </conditionalFormatting>
  <conditionalFormatting sqref="Q148:Q156">
    <cfRule type="cellIs" dxfId="2013" priority="2019" operator="lessThan">
      <formula>0</formula>
    </cfRule>
  </conditionalFormatting>
  <conditionalFormatting sqref="P148:P156">
    <cfRule type="cellIs" dxfId="2012" priority="2008" operator="greaterThan">
      <formula>0</formula>
    </cfRule>
  </conditionalFormatting>
  <conditionalFormatting sqref="Q148:Q156">
    <cfRule type="cellIs" dxfId="2011" priority="2013" operator="lessThan">
      <formula>0</formula>
    </cfRule>
  </conditionalFormatting>
  <conditionalFormatting sqref="R148:R156">
    <cfRule type="cellIs" dxfId="2010" priority="2011" operator="lessThan">
      <formula>0.8</formula>
    </cfRule>
    <cfRule type="cellIs" dxfId="2009" priority="2012" operator="greaterThan">
      <formula>1</formula>
    </cfRule>
  </conditionalFormatting>
  <conditionalFormatting sqref="R148:R156">
    <cfRule type="cellIs" dxfId="2008" priority="2009" operator="greaterThan">
      <formula>1</formula>
    </cfRule>
    <cfRule type="cellIs" dxfId="2007" priority="2010" operator="lessThan">
      <formula>0.8</formula>
    </cfRule>
  </conditionalFormatting>
  <conditionalFormatting sqref="R148:R156">
    <cfRule type="cellIs" dxfId="2006" priority="2005" operator="lessThan">
      <formula>0.8</formula>
    </cfRule>
    <cfRule type="cellIs" dxfId="2005" priority="2006" operator="greaterThan">
      <formula>1</formula>
    </cfRule>
  </conditionalFormatting>
  <conditionalFormatting sqref="R148:R156">
    <cfRule type="cellIs" dxfId="2004" priority="2003" operator="greaterThan">
      <formula>1</formula>
    </cfRule>
    <cfRule type="cellIs" dxfId="2003" priority="2004" operator="lessThan">
      <formula>0.8</formula>
    </cfRule>
  </conditionalFormatting>
  <conditionalFormatting sqref="P148:P156">
    <cfRule type="cellIs" dxfId="2002" priority="2002" operator="greaterThan">
      <formula>0</formula>
    </cfRule>
  </conditionalFormatting>
  <conditionalFormatting sqref="Q148:Q156">
    <cfRule type="cellIs" dxfId="2001" priority="2007" operator="lessThan">
      <formula>0</formula>
    </cfRule>
  </conditionalFormatting>
  <conditionalFormatting sqref="R148:R156">
    <cfRule type="cellIs" dxfId="2000" priority="1999" operator="lessThan">
      <formula>0.8</formula>
    </cfRule>
    <cfRule type="cellIs" dxfId="1999" priority="2000" operator="greaterThan">
      <formula>1</formula>
    </cfRule>
  </conditionalFormatting>
  <conditionalFormatting sqref="R148:R156">
    <cfRule type="cellIs" dxfId="1998" priority="1997" operator="greaterThan">
      <formula>1</formula>
    </cfRule>
    <cfRule type="cellIs" dxfId="1997" priority="1998" operator="lessThan">
      <formula>0.8</formula>
    </cfRule>
  </conditionalFormatting>
  <conditionalFormatting sqref="P148:P156">
    <cfRule type="cellIs" dxfId="1996" priority="1996" operator="greaterThan">
      <formula>0</formula>
    </cfRule>
  </conditionalFormatting>
  <conditionalFormatting sqref="Q148:Q156">
    <cfRule type="cellIs" dxfId="1995" priority="2001" operator="lessThan">
      <formula>0</formula>
    </cfRule>
  </conditionalFormatting>
  <conditionalFormatting sqref="Q148:Q156">
    <cfRule type="cellIs" dxfId="1994" priority="1995" operator="lessThan">
      <formula>0</formula>
    </cfRule>
  </conditionalFormatting>
  <conditionalFormatting sqref="R148:R156">
    <cfRule type="cellIs" dxfId="1993" priority="1993" operator="lessThan">
      <formula>0.8</formula>
    </cfRule>
    <cfRule type="cellIs" dxfId="1992" priority="1994" operator="greaterThan">
      <formula>1</formula>
    </cfRule>
  </conditionalFormatting>
  <conditionalFormatting sqref="R148:R156">
    <cfRule type="cellIs" dxfId="1991" priority="1991" operator="greaterThan">
      <formula>1</formula>
    </cfRule>
    <cfRule type="cellIs" dxfId="1990" priority="1992" operator="lessThan">
      <formula>0.8</formula>
    </cfRule>
  </conditionalFormatting>
  <conditionalFormatting sqref="P148:P156">
    <cfRule type="cellIs" dxfId="1989" priority="1990" operator="greaterThan">
      <formula>0</formula>
    </cfRule>
  </conditionalFormatting>
  <conditionalFormatting sqref="Q148:Q156">
    <cfRule type="cellIs" dxfId="1988" priority="1984" operator="lessThan">
      <formula>0</formula>
    </cfRule>
  </conditionalFormatting>
  <conditionalFormatting sqref="R148:R156">
    <cfRule type="cellIs" dxfId="1987" priority="1988" operator="lessThan">
      <formula>0.8</formula>
    </cfRule>
    <cfRule type="cellIs" dxfId="1986" priority="1989" operator="greaterThan">
      <formula>1</formula>
    </cfRule>
  </conditionalFormatting>
  <conditionalFormatting sqref="R148:R156">
    <cfRule type="cellIs" dxfId="1985" priority="1986" operator="greaterThan">
      <formula>1</formula>
    </cfRule>
    <cfRule type="cellIs" dxfId="1984" priority="1987" operator="lessThan">
      <formula>0.8</formula>
    </cfRule>
  </conditionalFormatting>
  <conditionalFormatting sqref="P148:P156">
    <cfRule type="cellIs" dxfId="1983" priority="1985" operator="greaterThan">
      <formula>0</formula>
    </cfRule>
  </conditionalFormatting>
  <conditionalFormatting sqref="Q148:Q156">
    <cfRule type="cellIs" dxfId="1982" priority="1983" operator="lessThan">
      <formula>0</formula>
    </cfRule>
  </conditionalFormatting>
  <conditionalFormatting sqref="R148:R156">
    <cfRule type="cellIs" dxfId="1981" priority="1981" operator="lessThan">
      <formula>0.8</formula>
    </cfRule>
    <cfRule type="cellIs" dxfId="1980" priority="1982" operator="greaterThan">
      <formula>1</formula>
    </cfRule>
  </conditionalFormatting>
  <conditionalFormatting sqref="R148:R156">
    <cfRule type="cellIs" dxfId="1979" priority="1979" operator="greaterThan">
      <formula>1</formula>
    </cfRule>
    <cfRule type="cellIs" dxfId="1978" priority="1980" operator="lessThan">
      <formula>0.8</formula>
    </cfRule>
  </conditionalFormatting>
  <conditionalFormatting sqref="P148:P156">
    <cfRule type="cellIs" dxfId="1977" priority="1978" operator="greaterThan">
      <formula>0</formula>
    </cfRule>
  </conditionalFormatting>
  <conditionalFormatting sqref="Q148:Q156">
    <cfRule type="cellIs" dxfId="1976" priority="1977" operator="lessThan">
      <formula>0</formula>
    </cfRule>
  </conditionalFormatting>
  <conditionalFormatting sqref="R148:R156">
    <cfRule type="cellIs" dxfId="1975" priority="1975" operator="lessThan">
      <formula>0.8</formula>
    </cfRule>
    <cfRule type="cellIs" dxfId="1974" priority="1976" operator="greaterThan">
      <formula>1</formula>
    </cfRule>
  </conditionalFormatting>
  <conditionalFormatting sqref="R148:R156">
    <cfRule type="cellIs" dxfId="1973" priority="1973" operator="greaterThan">
      <formula>1</formula>
    </cfRule>
    <cfRule type="cellIs" dxfId="1972" priority="1974" operator="lessThan">
      <formula>0.8</formula>
    </cfRule>
  </conditionalFormatting>
  <conditionalFormatting sqref="P148:P156">
    <cfRule type="cellIs" dxfId="1971" priority="1972" operator="greaterThan">
      <formula>0</formula>
    </cfRule>
  </conditionalFormatting>
  <conditionalFormatting sqref="Q148:Q156">
    <cfRule type="cellIs" dxfId="1970" priority="1971" operator="lessThan">
      <formula>0</formula>
    </cfRule>
  </conditionalFormatting>
  <conditionalFormatting sqref="R148:R156">
    <cfRule type="cellIs" dxfId="1969" priority="1969" operator="lessThan">
      <formula>0.8</formula>
    </cfRule>
    <cfRule type="cellIs" dxfId="1968" priority="1970" operator="greaterThan">
      <formula>1</formula>
    </cfRule>
  </conditionalFormatting>
  <conditionalFormatting sqref="R148:R156">
    <cfRule type="cellIs" dxfId="1967" priority="1967" operator="greaterThan">
      <formula>1</formula>
    </cfRule>
    <cfRule type="cellIs" dxfId="1966" priority="1968" operator="lessThan">
      <formula>0.8</formula>
    </cfRule>
  </conditionalFormatting>
  <conditionalFormatting sqref="P148:P156">
    <cfRule type="cellIs" dxfId="1965" priority="1966" operator="greaterThan">
      <formula>0</formula>
    </cfRule>
  </conditionalFormatting>
  <conditionalFormatting sqref="Q148:Q156">
    <cfRule type="cellIs" dxfId="1964" priority="1965" operator="lessThan">
      <formula>0</formula>
    </cfRule>
  </conditionalFormatting>
  <conditionalFormatting sqref="R148:R156">
    <cfRule type="cellIs" dxfId="1963" priority="1963" operator="lessThan">
      <formula>0.8</formula>
    </cfRule>
    <cfRule type="cellIs" dxfId="1962" priority="1964" operator="greaterThan">
      <formula>1</formula>
    </cfRule>
  </conditionalFormatting>
  <conditionalFormatting sqref="R148:R156">
    <cfRule type="cellIs" dxfId="1961" priority="1961" operator="greaterThan">
      <formula>1</formula>
    </cfRule>
    <cfRule type="cellIs" dxfId="1960" priority="1962" operator="lessThan">
      <formula>0.8</formula>
    </cfRule>
  </conditionalFormatting>
  <conditionalFormatting sqref="P148:P156">
    <cfRule type="cellIs" dxfId="1959" priority="1960" operator="greaterThan">
      <formula>0</formula>
    </cfRule>
  </conditionalFormatting>
  <conditionalFormatting sqref="Q148:Q156">
    <cfRule type="cellIs" dxfId="1958" priority="1959" operator="lessThan">
      <formula>0</formula>
    </cfRule>
  </conditionalFormatting>
  <conditionalFormatting sqref="R148:R156">
    <cfRule type="cellIs" dxfId="1957" priority="1957" operator="lessThan">
      <formula>0.8</formula>
    </cfRule>
    <cfRule type="cellIs" dxfId="1956" priority="1958" operator="greaterThan">
      <formula>1</formula>
    </cfRule>
  </conditionalFormatting>
  <conditionalFormatting sqref="R148:R156">
    <cfRule type="cellIs" dxfId="1955" priority="1955" operator="greaterThan">
      <formula>1</formula>
    </cfRule>
    <cfRule type="cellIs" dxfId="1954" priority="1956" operator="lessThan">
      <formula>0.8</formula>
    </cfRule>
  </conditionalFormatting>
  <conditionalFormatting sqref="P148:P156">
    <cfRule type="cellIs" dxfId="1953" priority="1954" operator="greaterThan">
      <formula>0</formula>
    </cfRule>
  </conditionalFormatting>
  <conditionalFormatting sqref="P148:P156">
    <cfRule type="cellIs" dxfId="1952" priority="1948" operator="greaterThan">
      <formula>0</formula>
    </cfRule>
  </conditionalFormatting>
  <conditionalFormatting sqref="Q148:Q156">
    <cfRule type="cellIs" dxfId="1951" priority="1953" operator="lessThan">
      <formula>0</formula>
    </cfRule>
  </conditionalFormatting>
  <conditionalFormatting sqref="R148:R156">
    <cfRule type="cellIs" dxfId="1950" priority="1951" operator="lessThan">
      <formula>0.8</formula>
    </cfRule>
    <cfRule type="cellIs" dxfId="1949" priority="1952" operator="greaterThan">
      <formula>1</formula>
    </cfRule>
  </conditionalFormatting>
  <conditionalFormatting sqref="R148:R156">
    <cfRule type="cellIs" dxfId="1948" priority="1949" operator="greaterThan">
      <formula>1</formula>
    </cfRule>
    <cfRule type="cellIs" dxfId="1947" priority="1950" operator="lessThan">
      <formula>0.8</formula>
    </cfRule>
  </conditionalFormatting>
  <conditionalFormatting sqref="P148:P156">
    <cfRule type="cellIs" dxfId="1946" priority="1942" operator="greaterThan">
      <formula>0</formula>
    </cfRule>
  </conditionalFormatting>
  <conditionalFormatting sqref="Q148:Q156">
    <cfRule type="cellIs" dxfId="1945" priority="1947" operator="lessThan">
      <formula>0</formula>
    </cfRule>
  </conditionalFormatting>
  <conditionalFormatting sqref="R148:R156">
    <cfRule type="cellIs" dxfId="1944" priority="1945" operator="lessThan">
      <formula>0.8</formula>
    </cfRule>
    <cfRule type="cellIs" dxfId="1943" priority="1946" operator="greaterThan">
      <formula>1</formula>
    </cfRule>
  </conditionalFormatting>
  <conditionalFormatting sqref="R148:R156">
    <cfRule type="cellIs" dxfId="1942" priority="1943" operator="greaterThan">
      <formula>1</formula>
    </cfRule>
    <cfRule type="cellIs" dxfId="1941" priority="1944" operator="lessThan">
      <formula>0.8</formula>
    </cfRule>
  </conditionalFormatting>
  <conditionalFormatting sqref="R148:R156">
    <cfRule type="cellIs" dxfId="1940" priority="1939" operator="lessThan">
      <formula>0.8</formula>
    </cfRule>
    <cfRule type="cellIs" dxfId="1939" priority="1940" operator="greaterThan">
      <formula>1</formula>
    </cfRule>
  </conditionalFormatting>
  <conditionalFormatting sqref="R148:R156">
    <cfRule type="cellIs" dxfId="1938" priority="1937" operator="greaterThan">
      <formula>1</formula>
    </cfRule>
    <cfRule type="cellIs" dxfId="1937" priority="1938" operator="lessThan">
      <formula>0.8</formula>
    </cfRule>
  </conditionalFormatting>
  <conditionalFormatting sqref="P148:P156">
    <cfRule type="cellIs" dxfId="1936" priority="1936" operator="greaterThan">
      <formula>0</formula>
    </cfRule>
  </conditionalFormatting>
  <conditionalFormatting sqref="Q148:Q156">
    <cfRule type="cellIs" dxfId="1935" priority="1941" operator="lessThan">
      <formula>0</formula>
    </cfRule>
  </conditionalFormatting>
  <conditionalFormatting sqref="Q148:Q156">
    <cfRule type="cellIs" dxfId="1934" priority="1930" operator="lessThan">
      <formula>0</formula>
    </cfRule>
  </conditionalFormatting>
  <conditionalFormatting sqref="P148:P156">
    <cfRule type="cellIs" dxfId="1933" priority="1931" operator="greaterThan">
      <formula>0</formula>
    </cfRule>
  </conditionalFormatting>
  <conditionalFormatting sqref="R148:R156">
    <cfRule type="cellIs" dxfId="1932" priority="1934" operator="lessThan">
      <formula>0.8</formula>
    </cfRule>
    <cfRule type="cellIs" dxfId="1931" priority="1935" operator="greaterThan">
      <formula>1</formula>
    </cfRule>
  </conditionalFormatting>
  <conditionalFormatting sqref="R148:R156">
    <cfRule type="cellIs" dxfId="1930" priority="1932" operator="greaterThan">
      <formula>1</formula>
    </cfRule>
    <cfRule type="cellIs" dxfId="1929" priority="1933" operator="lessThan">
      <formula>0.8</formula>
    </cfRule>
  </conditionalFormatting>
  <conditionalFormatting sqref="Q148:Q156">
    <cfRule type="cellIs" dxfId="1928" priority="1924" operator="lessThan">
      <formula>0</formula>
    </cfRule>
  </conditionalFormatting>
  <conditionalFormatting sqref="R148:R156">
    <cfRule type="cellIs" dxfId="1927" priority="1928" operator="lessThan">
      <formula>0.8</formula>
    </cfRule>
    <cfRule type="cellIs" dxfId="1926" priority="1929" operator="greaterThan">
      <formula>1</formula>
    </cfRule>
  </conditionalFormatting>
  <conditionalFormatting sqref="R148:R156">
    <cfRule type="cellIs" dxfId="1925" priority="1926" operator="greaterThan">
      <formula>1</formula>
    </cfRule>
    <cfRule type="cellIs" dxfId="1924" priority="1927" operator="lessThan">
      <formula>0.8</formula>
    </cfRule>
  </conditionalFormatting>
  <conditionalFormatting sqref="P148:P156">
    <cfRule type="cellIs" dxfId="1923" priority="1925" operator="greaterThan">
      <formula>0</formula>
    </cfRule>
  </conditionalFormatting>
  <conditionalFormatting sqref="Q148:Q156">
    <cfRule type="cellIs" dxfId="1922" priority="1923" operator="lessThan">
      <formula>0</formula>
    </cfRule>
  </conditionalFormatting>
  <conditionalFormatting sqref="R148:R156">
    <cfRule type="cellIs" dxfId="1921" priority="1921" operator="lessThan">
      <formula>0.8</formula>
    </cfRule>
    <cfRule type="cellIs" dxfId="1920" priority="1922" operator="greaterThan">
      <formula>1</formula>
    </cfRule>
  </conditionalFormatting>
  <conditionalFormatting sqref="R148:R156">
    <cfRule type="cellIs" dxfId="1919" priority="1919" operator="greaterThan">
      <formula>1</formula>
    </cfRule>
    <cfRule type="cellIs" dxfId="1918" priority="1920" operator="lessThan">
      <formula>0.8</formula>
    </cfRule>
  </conditionalFormatting>
  <conditionalFormatting sqref="P148:P156">
    <cfRule type="cellIs" dxfId="1917" priority="1918" operator="greaterThan">
      <formula>0</formula>
    </cfRule>
  </conditionalFormatting>
  <conditionalFormatting sqref="Q148:Q156">
    <cfRule type="cellIs" dxfId="1916" priority="1917" operator="lessThan">
      <formula>0</formula>
    </cfRule>
  </conditionalFormatting>
  <conditionalFormatting sqref="R148:R156">
    <cfRule type="cellIs" dxfId="1915" priority="1915" operator="lessThan">
      <formula>0.8</formula>
    </cfRule>
    <cfRule type="cellIs" dxfId="1914" priority="1916" operator="greaterThan">
      <formula>1</formula>
    </cfRule>
  </conditionalFormatting>
  <conditionalFormatting sqref="R148:R156">
    <cfRule type="cellIs" dxfId="1913" priority="1913" operator="greaterThan">
      <formula>1</formula>
    </cfRule>
    <cfRule type="cellIs" dxfId="1912" priority="1914" operator="lessThan">
      <formula>0.8</formula>
    </cfRule>
  </conditionalFormatting>
  <conditionalFormatting sqref="P148:P156">
    <cfRule type="cellIs" dxfId="1911" priority="1912" operator="greaterThan">
      <formula>0</formula>
    </cfRule>
  </conditionalFormatting>
  <conditionalFormatting sqref="Q148:Q156">
    <cfRule type="cellIs" dxfId="1910" priority="1911" operator="lessThan">
      <formula>0</formula>
    </cfRule>
  </conditionalFormatting>
  <conditionalFormatting sqref="R148:R156">
    <cfRule type="cellIs" dxfId="1909" priority="1909" operator="lessThan">
      <formula>0.8</formula>
    </cfRule>
    <cfRule type="cellIs" dxfId="1908" priority="1910" operator="greaterThan">
      <formula>1</formula>
    </cfRule>
  </conditionalFormatting>
  <conditionalFormatting sqref="R148:R156">
    <cfRule type="cellIs" dxfId="1907" priority="1907" operator="greaterThan">
      <formula>1</formula>
    </cfRule>
    <cfRule type="cellIs" dxfId="1906" priority="1908" operator="lessThan">
      <formula>0.8</formula>
    </cfRule>
  </conditionalFormatting>
  <conditionalFormatting sqref="P148:P156">
    <cfRule type="cellIs" dxfId="1905" priority="1906" operator="greaterThan">
      <formula>0</formula>
    </cfRule>
  </conditionalFormatting>
  <conditionalFormatting sqref="Q148:Q156">
    <cfRule type="cellIs" dxfId="1904" priority="1905" operator="lessThan">
      <formula>0</formula>
    </cfRule>
  </conditionalFormatting>
  <conditionalFormatting sqref="R148:R156">
    <cfRule type="cellIs" dxfId="1903" priority="1903" operator="lessThan">
      <formula>0.8</formula>
    </cfRule>
    <cfRule type="cellIs" dxfId="1902" priority="1904" operator="greaterThan">
      <formula>1</formula>
    </cfRule>
  </conditionalFormatting>
  <conditionalFormatting sqref="R148:R156">
    <cfRule type="cellIs" dxfId="1901" priority="1901" operator="greaterThan">
      <formula>1</formula>
    </cfRule>
    <cfRule type="cellIs" dxfId="1900" priority="1902" operator="lessThan">
      <formula>0.8</formula>
    </cfRule>
  </conditionalFormatting>
  <conditionalFormatting sqref="P148:P156">
    <cfRule type="cellIs" dxfId="1899" priority="1900" operator="greaterThan">
      <formula>0</formula>
    </cfRule>
  </conditionalFormatting>
  <conditionalFormatting sqref="Q124">
    <cfRule type="cellIs" dxfId="1898" priority="1894" operator="lessThan">
      <formula>0</formula>
    </cfRule>
  </conditionalFormatting>
  <conditionalFormatting sqref="P124">
    <cfRule type="cellIs" dxfId="1897" priority="1895" operator="greaterThan">
      <formula>0</formula>
    </cfRule>
  </conditionalFormatting>
  <conditionalFormatting sqref="R124">
    <cfRule type="cellIs" dxfId="1896" priority="1898" operator="lessThan">
      <formula>0.8</formula>
    </cfRule>
    <cfRule type="cellIs" dxfId="1895" priority="1899" operator="greaterThan">
      <formula>1</formula>
    </cfRule>
  </conditionalFormatting>
  <conditionalFormatting sqref="R124">
    <cfRule type="cellIs" dxfId="1894" priority="1896" operator="greaterThan">
      <formula>1</formula>
    </cfRule>
    <cfRule type="cellIs" dxfId="1893" priority="1897" operator="lessThan">
      <formula>0.8</formula>
    </cfRule>
  </conditionalFormatting>
  <conditionalFormatting sqref="Q124">
    <cfRule type="cellIs" dxfId="1892" priority="1888" operator="lessThan">
      <formula>0</formula>
    </cfRule>
  </conditionalFormatting>
  <conditionalFormatting sqref="R124">
    <cfRule type="cellIs" dxfId="1891" priority="1892" operator="lessThan">
      <formula>0.8</formula>
    </cfRule>
    <cfRule type="cellIs" dxfId="1890" priority="1893" operator="greaterThan">
      <formula>1</formula>
    </cfRule>
  </conditionalFormatting>
  <conditionalFormatting sqref="R124">
    <cfRule type="cellIs" dxfId="1889" priority="1890" operator="greaterThan">
      <formula>1</formula>
    </cfRule>
    <cfRule type="cellIs" dxfId="1888" priority="1891" operator="lessThan">
      <formula>0.8</formula>
    </cfRule>
  </conditionalFormatting>
  <conditionalFormatting sqref="P124">
    <cfRule type="cellIs" dxfId="1887" priority="1889" operator="greaterThan">
      <formula>0</formula>
    </cfRule>
  </conditionalFormatting>
  <conditionalFormatting sqref="Q124">
    <cfRule type="cellIs" dxfId="1886" priority="1887" operator="lessThan">
      <formula>0</formula>
    </cfRule>
  </conditionalFormatting>
  <conditionalFormatting sqref="R124">
    <cfRule type="cellIs" dxfId="1885" priority="1885" operator="lessThan">
      <formula>0.8</formula>
    </cfRule>
    <cfRule type="cellIs" dxfId="1884" priority="1886" operator="greaterThan">
      <formula>1</formula>
    </cfRule>
  </conditionalFormatting>
  <conditionalFormatting sqref="R124">
    <cfRule type="cellIs" dxfId="1883" priority="1883" operator="greaterThan">
      <formula>1</formula>
    </cfRule>
    <cfRule type="cellIs" dxfId="1882" priority="1884" operator="lessThan">
      <formula>0.8</formula>
    </cfRule>
  </conditionalFormatting>
  <conditionalFormatting sqref="P124">
    <cfRule type="cellIs" dxfId="1881" priority="1882" operator="greaterThan">
      <formula>0</formula>
    </cfRule>
  </conditionalFormatting>
  <conditionalFormatting sqref="Q124">
    <cfRule type="cellIs" dxfId="1880" priority="1881" operator="lessThan">
      <formula>0</formula>
    </cfRule>
  </conditionalFormatting>
  <conditionalFormatting sqref="R124">
    <cfRule type="cellIs" dxfId="1879" priority="1879" operator="lessThan">
      <formula>0.8</formula>
    </cfRule>
    <cfRule type="cellIs" dxfId="1878" priority="1880" operator="greaterThan">
      <formula>1</formula>
    </cfRule>
  </conditionalFormatting>
  <conditionalFormatting sqref="R124">
    <cfRule type="cellIs" dxfId="1877" priority="1877" operator="greaterThan">
      <formula>1</formula>
    </cfRule>
    <cfRule type="cellIs" dxfId="1876" priority="1878" operator="lessThan">
      <formula>0.8</formula>
    </cfRule>
  </conditionalFormatting>
  <conditionalFormatting sqref="P124">
    <cfRule type="cellIs" dxfId="1875" priority="1876" operator="greaterThan">
      <formula>0</formula>
    </cfRule>
  </conditionalFormatting>
  <conditionalFormatting sqref="Q124">
    <cfRule type="cellIs" dxfId="1874" priority="1875" operator="lessThan">
      <formula>0</formula>
    </cfRule>
  </conditionalFormatting>
  <conditionalFormatting sqref="R124">
    <cfRule type="cellIs" dxfId="1873" priority="1873" operator="lessThan">
      <formula>0.8</formula>
    </cfRule>
    <cfRule type="cellIs" dxfId="1872" priority="1874" operator="greaterThan">
      <formula>1</formula>
    </cfRule>
  </conditionalFormatting>
  <conditionalFormatting sqref="R124">
    <cfRule type="cellIs" dxfId="1871" priority="1871" operator="greaterThan">
      <formula>1</formula>
    </cfRule>
    <cfRule type="cellIs" dxfId="1870" priority="1872" operator="lessThan">
      <formula>0.8</formula>
    </cfRule>
  </conditionalFormatting>
  <conditionalFormatting sqref="P124">
    <cfRule type="cellIs" dxfId="1869" priority="1870" operator="greaterThan">
      <formula>0</formula>
    </cfRule>
  </conditionalFormatting>
  <conditionalFormatting sqref="Q124">
    <cfRule type="cellIs" dxfId="1868" priority="1869" operator="lessThan">
      <formula>0</formula>
    </cfRule>
  </conditionalFormatting>
  <conditionalFormatting sqref="R124">
    <cfRule type="cellIs" dxfId="1867" priority="1867" operator="lessThan">
      <formula>0.8</formula>
    </cfRule>
    <cfRule type="cellIs" dxfId="1866" priority="1868" operator="greaterThan">
      <formula>1</formula>
    </cfRule>
  </conditionalFormatting>
  <conditionalFormatting sqref="R124">
    <cfRule type="cellIs" dxfId="1865" priority="1865" operator="greaterThan">
      <formula>1</formula>
    </cfRule>
    <cfRule type="cellIs" dxfId="1864" priority="1866" operator="lessThan">
      <formula>0.8</formula>
    </cfRule>
  </conditionalFormatting>
  <conditionalFormatting sqref="P124">
    <cfRule type="cellIs" dxfId="1863" priority="1864" operator="greaterThan">
      <formula>0</formula>
    </cfRule>
  </conditionalFormatting>
  <conditionalFormatting sqref="Q124">
    <cfRule type="cellIs" dxfId="1862" priority="1863" operator="lessThan">
      <formula>0</formula>
    </cfRule>
  </conditionalFormatting>
  <conditionalFormatting sqref="R124">
    <cfRule type="cellIs" dxfId="1861" priority="1861" operator="lessThan">
      <formula>0.8</formula>
    </cfRule>
    <cfRule type="cellIs" dxfId="1860" priority="1862" operator="greaterThan">
      <formula>1</formula>
    </cfRule>
  </conditionalFormatting>
  <conditionalFormatting sqref="R124">
    <cfRule type="cellIs" dxfId="1859" priority="1859" operator="greaterThan">
      <formula>1</formula>
    </cfRule>
    <cfRule type="cellIs" dxfId="1858" priority="1860" operator="lessThan">
      <formula>0.8</formula>
    </cfRule>
  </conditionalFormatting>
  <conditionalFormatting sqref="P124">
    <cfRule type="cellIs" dxfId="1857" priority="1858" operator="greaterThan">
      <formula>0</formula>
    </cfRule>
  </conditionalFormatting>
  <conditionalFormatting sqref="Q124">
    <cfRule type="cellIs" dxfId="1856" priority="1857" operator="lessThan">
      <formula>0</formula>
    </cfRule>
  </conditionalFormatting>
  <conditionalFormatting sqref="R124">
    <cfRule type="cellIs" dxfId="1855" priority="1855" operator="lessThan">
      <formula>0.8</formula>
    </cfRule>
    <cfRule type="cellIs" dxfId="1854" priority="1856" operator="greaterThan">
      <formula>1</formula>
    </cfRule>
  </conditionalFormatting>
  <conditionalFormatting sqref="R124">
    <cfRule type="cellIs" dxfId="1853" priority="1853" operator="greaterThan">
      <formula>1</formula>
    </cfRule>
    <cfRule type="cellIs" dxfId="1852" priority="1854" operator="lessThan">
      <formula>0.8</formula>
    </cfRule>
  </conditionalFormatting>
  <conditionalFormatting sqref="P124">
    <cfRule type="cellIs" dxfId="1851" priority="1852" operator="greaterThan">
      <formula>0</formula>
    </cfRule>
  </conditionalFormatting>
  <conditionalFormatting sqref="Q124">
    <cfRule type="cellIs" dxfId="1850" priority="1851" operator="lessThan">
      <formula>0</formula>
    </cfRule>
  </conditionalFormatting>
  <conditionalFormatting sqref="R124">
    <cfRule type="cellIs" dxfId="1849" priority="1849" operator="lessThan">
      <formula>0.8</formula>
    </cfRule>
    <cfRule type="cellIs" dxfId="1848" priority="1850" operator="greaterThan">
      <formula>1</formula>
    </cfRule>
  </conditionalFormatting>
  <conditionalFormatting sqref="R124">
    <cfRule type="cellIs" dxfId="1847" priority="1847" operator="greaterThan">
      <formula>1</formula>
    </cfRule>
    <cfRule type="cellIs" dxfId="1846" priority="1848" operator="lessThan">
      <formula>0.8</formula>
    </cfRule>
  </conditionalFormatting>
  <conditionalFormatting sqref="P124">
    <cfRule type="cellIs" dxfId="1845" priority="1846" operator="greaterThan">
      <formula>0</formula>
    </cfRule>
  </conditionalFormatting>
  <conditionalFormatting sqref="P124">
    <cfRule type="cellIs" dxfId="1844" priority="1840" operator="greaterThan">
      <formula>0</formula>
    </cfRule>
  </conditionalFormatting>
  <conditionalFormatting sqref="Q124">
    <cfRule type="cellIs" dxfId="1843" priority="1845" operator="lessThan">
      <formula>0</formula>
    </cfRule>
  </conditionalFormatting>
  <conditionalFormatting sqref="R124">
    <cfRule type="cellIs" dxfId="1842" priority="1843" operator="lessThan">
      <formula>0.8</formula>
    </cfRule>
    <cfRule type="cellIs" dxfId="1841" priority="1844" operator="greaterThan">
      <formula>1</formula>
    </cfRule>
  </conditionalFormatting>
  <conditionalFormatting sqref="R124">
    <cfRule type="cellIs" dxfId="1840" priority="1841" operator="greaterThan">
      <formula>1</formula>
    </cfRule>
    <cfRule type="cellIs" dxfId="1839" priority="1842" operator="lessThan">
      <formula>0.8</formula>
    </cfRule>
  </conditionalFormatting>
  <conditionalFormatting sqref="P124">
    <cfRule type="cellIs" dxfId="1838" priority="1834" operator="greaterThan">
      <formula>0</formula>
    </cfRule>
  </conditionalFormatting>
  <conditionalFormatting sqref="Q124">
    <cfRule type="cellIs" dxfId="1837" priority="1839" operator="lessThan">
      <formula>0</formula>
    </cfRule>
  </conditionalFormatting>
  <conditionalFormatting sqref="R124">
    <cfRule type="cellIs" dxfId="1836" priority="1837" operator="lessThan">
      <formula>0.8</formula>
    </cfRule>
    <cfRule type="cellIs" dxfId="1835" priority="1838" operator="greaterThan">
      <formula>1</formula>
    </cfRule>
  </conditionalFormatting>
  <conditionalFormatting sqref="R124">
    <cfRule type="cellIs" dxfId="1834" priority="1835" operator="greaterThan">
      <formula>1</formula>
    </cfRule>
    <cfRule type="cellIs" dxfId="1833" priority="1836" operator="lessThan">
      <formula>0.8</formula>
    </cfRule>
  </conditionalFormatting>
  <conditionalFormatting sqref="R124">
    <cfRule type="cellIs" dxfId="1832" priority="1831" operator="lessThan">
      <formula>0.8</formula>
    </cfRule>
    <cfRule type="cellIs" dxfId="1831" priority="1832" operator="greaterThan">
      <formula>1</formula>
    </cfRule>
  </conditionalFormatting>
  <conditionalFormatting sqref="R124">
    <cfRule type="cellIs" dxfId="1830" priority="1829" operator="greaterThan">
      <formula>1</formula>
    </cfRule>
    <cfRule type="cellIs" dxfId="1829" priority="1830" operator="lessThan">
      <formula>0.8</formula>
    </cfRule>
  </conditionalFormatting>
  <conditionalFormatting sqref="P124">
    <cfRule type="cellIs" dxfId="1828" priority="1828" operator="greaterThan">
      <formula>0</formula>
    </cfRule>
  </conditionalFormatting>
  <conditionalFormatting sqref="Q124">
    <cfRule type="cellIs" dxfId="1827" priority="1833" operator="lessThan">
      <formula>0</formula>
    </cfRule>
  </conditionalFormatting>
  <conditionalFormatting sqref="Q124">
    <cfRule type="cellIs" dxfId="1826" priority="1827" operator="lessThan">
      <formula>0</formula>
    </cfRule>
  </conditionalFormatting>
  <conditionalFormatting sqref="R124">
    <cfRule type="cellIs" dxfId="1825" priority="1825" operator="lessThan">
      <formula>0.8</formula>
    </cfRule>
    <cfRule type="cellIs" dxfId="1824" priority="1826" operator="greaterThan">
      <formula>1</formula>
    </cfRule>
  </conditionalFormatting>
  <conditionalFormatting sqref="R124">
    <cfRule type="cellIs" dxfId="1823" priority="1823" operator="greaterThan">
      <formula>1</formula>
    </cfRule>
    <cfRule type="cellIs" dxfId="1822" priority="1824" operator="lessThan">
      <formula>0.8</formula>
    </cfRule>
  </conditionalFormatting>
  <conditionalFormatting sqref="P124">
    <cfRule type="cellIs" dxfId="1821" priority="1822" operator="greaterThan">
      <formula>0</formula>
    </cfRule>
  </conditionalFormatting>
  <conditionalFormatting sqref="P124">
    <cfRule type="cellIs" dxfId="1820" priority="1816" operator="greaterThan">
      <formula>0</formula>
    </cfRule>
  </conditionalFormatting>
  <conditionalFormatting sqref="Q124">
    <cfRule type="cellIs" dxfId="1819" priority="1821" operator="lessThan">
      <formula>0</formula>
    </cfRule>
  </conditionalFormatting>
  <conditionalFormatting sqref="R124">
    <cfRule type="cellIs" dxfId="1818" priority="1819" operator="lessThan">
      <formula>0.8</formula>
    </cfRule>
    <cfRule type="cellIs" dxfId="1817" priority="1820" operator="greaterThan">
      <formula>1</formula>
    </cfRule>
  </conditionalFormatting>
  <conditionalFormatting sqref="R124">
    <cfRule type="cellIs" dxfId="1816" priority="1817" operator="greaterThan">
      <formula>1</formula>
    </cfRule>
    <cfRule type="cellIs" dxfId="1815" priority="1818" operator="lessThan">
      <formula>0.8</formula>
    </cfRule>
  </conditionalFormatting>
  <conditionalFormatting sqref="P124">
    <cfRule type="cellIs" dxfId="1814" priority="1810" operator="greaterThan">
      <formula>0</formula>
    </cfRule>
  </conditionalFormatting>
  <conditionalFormatting sqref="Q124">
    <cfRule type="cellIs" dxfId="1813" priority="1815" operator="lessThan">
      <formula>0</formula>
    </cfRule>
  </conditionalFormatting>
  <conditionalFormatting sqref="R124">
    <cfRule type="cellIs" dxfId="1812" priority="1813" operator="lessThan">
      <formula>0.8</formula>
    </cfRule>
    <cfRule type="cellIs" dxfId="1811" priority="1814" operator="greaterThan">
      <formula>1</formula>
    </cfRule>
  </conditionalFormatting>
  <conditionalFormatting sqref="R124">
    <cfRule type="cellIs" dxfId="1810" priority="1811" operator="greaterThan">
      <formula>1</formula>
    </cfRule>
    <cfRule type="cellIs" dxfId="1809" priority="1812" operator="lessThan">
      <formula>0.8</formula>
    </cfRule>
  </conditionalFormatting>
  <conditionalFormatting sqref="R124">
    <cfRule type="cellIs" dxfId="1808" priority="1807" operator="lessThan">
      <formula>0.8</formula>
    </cfRule>
    <cfRule type="cellIs" dxfId="1807" priority="1808" operator="greaterThan">
      <formula>1</formula>
    </cfRule>
  </conditionalFormatting>
  <conditionalFormatting sqref="R124">
    <cfRule type="cellIs" dxfId="1806" priority="1805" operator="greaterThan">
      <formula>1</formula>
    </cfRule>
    <cfRule type="cellIs" dxfId="1805" priority="1806" operator="lessThan">
      <formula>0.8</formula>
    </cfRule>
  </conditionalFormatting>
  <conditionalFormatting sqref="P124">
    <cfRule type="cellIs" dxfId="1804" priority="1804" operator="greaterThan">
      <formula>0</formula>
    </cfRule>
  </conditionalFormatting>
  <conditionalFormatting sqref="Q124">
    <cfRule type="cellIs" dxfId="1803" priority="1809" operator="lessThan">
      <formula>0</formula>
    </cfRule>
  </conditionalFormatting>
  <conditionalFormatting sqref="P124">
    <cfRule type="cellIs" dxfId="1802" priority="1798" operator="greaterThan">
      <formula>0</formula>
    </cfRule>
  </conditionalFormatting>
  <conditionalFormatting sqref="Q124">
    <cfRule type="cellIs" dxfId="1801" priority="1803" operator="lessThan">
      <formula>0</formula>
    </cfRule>
  </conditionalFormatting>
  <conditionalFormatting sqref="R124">
    <cfRule type="cellIs" dxfId="1800" priority="1801" operator="lessThan">
      <formula>0.8</formula>
    </cfRule>
    <cfRule type="cellIs" dxfId="1799" priority="1802" operator="greaterThan">
      <formula>1</formula>
    </cfRule>
  </conditionalFormatting>
  <conditionalFormatting sqref="R124">
    <cfRule type="cellIs" dxfId="1798" priority="1799" operator="greaterThan">
      <formula>1</formula>
    </cfRule>
    <cfRule type="cellIs" dxfId="1797" priority="1800" operator="lessThan">
      <formula>0.8</formula>
    </cfRule>
  </conditionalFormatting>
  <conditionalFormatting sqref="R124">
    <cfRule type="cellIs" dxfId="1796" priority="1795" operator="lessThan">
      <formula>0.8</formula>
    </cfRule>
    <cfRule type="cellIs" dxfId="1795" priority="1796" operator="greaterThan">
      <formula>1</formula>
    </cfRule>
  </conditionalFormatting>
  <conditionalFormatting sqref="R124">
    <cfRule type="cellIs" dxfId="1794" priority="1793" operator="greaterThan">
      <formula>1</formula>
    </cfRule>
    <cfRule type="cellIs" dxfId="1793" priority="1794" operator="lessThan">
      <formula>0.8</formula>
    </cfRule>
  </conditionalFormatting>
  <conditionalFormatting sqref="P124">
    <cfRule type="cellIs" dxfId="1792" priority="1792" operator="greaterThan">
      <formula>0</formula>
    </cfRule>
  </conditionalFormatting>
  <conditionalFormatting sqref="Q124">
    <cfRule type="cellIs" dxfId="1791" priority="1797" operator="lessThan">
      <formula>0</formula>
    </cfRule>
  </conditionalFormatting>
  <conditionalFormatting sqref="R124">
    <cfRule type="cellIs" dxfId="1790" priority="1789" operator="lessThan">
      <formula>0.8</formula>
    </cfRule>
    <cfRule type="cellIs" dxfId="1789" priority="1790" operator="greaterThan">
      <formula>1</formula>
    </cfRule>
  </conditionalFormatting>
  <conditionalFormatting sqref="R124">
    <cfRule type="cellIs" dxfId="1788" priority="1787" operator="greaterThan">
      <formula>1</formula>
    </cfRule>
    <cfRule type="cellIs" dxfId="1787" priority="1788" operator="lessThan">
      <formula>0.8</formula>
    </cfRule>
  </conditionalFormatting>
  <conditionalFormatting sqref="P124">
    <cfRule type="cellIs" dxfId="1786" priority="1786" operator="greaterThan">
      <formula>0</formula>
    </cfRule>
  </conditionalFormatting>
  <conditionalFormatting sqref="Q124">
    <cfRule type="cellIs" dxfId="1785" priority="1791" operator="lessThan">
      <formula>0</formula>
    </cfRule>
  </conditionalFormatting>
  <conditionalFormatting sqref="Q124">
    <cfRule type="cellIs" dxfId="1784" priority="1785" operator="lessThan">
      <formula>0</formula>
    </cfRule>
  </conditionalFormatting>
  <conditionalFormatting sqref="R124">
    <cfRule type="cellIs" dxfId="1783" priority="1783" operator="lessThan">
      <formula>0.8</formula>
    </cfRule>
    <cfRule type="cellIs" dxfId="1782" priority="1784" operator="greaterThan">
      <formula>1</formula>
    </cfRule>
  </conditionalFormatting>
  <conditionalFormatting sqref="R124">
    <cfRule type="cellIs" dxfId="1781" priority="1781" operator="greaterThan">
      <formula>1</formula>
    </cfRule>
    <cfRule type="cellIs" dxfId="1780" priority="1782" operator="lessThan">
      <formula>0.8</formula>
    </cfRule>
  </conditionalFormatting>
  <conditionalFormatting sqref="P124">
    <cfRule type="cellIs" dxfId="1779" priority="1780" operator="greaterThan">
      <formula>0</formula>
    </cfRule>
  </conditionalFormatting>
  <conditionalFormatting sqref="Q124">
    <cfRule type="cellIs" dxfId="1778" priority="1774" operator="lessThan">
      <formula>0</formula>
    </cfRule>
  </conditionalFormatting>
  <conditionalFormatting sqref="R124">
    <cfRule type="cellIs" dxfId="1777" priority="1778" operator="lessThan">
      <formula>0.8</formula>
    </cfRule>
    <cfRule type="cellIs" dxfId="1776" priority="1779" operator="greaterThan">
      <formula>1</formula>
    </cfRule>
  </conditionalFormatting>
  <conditionalFormatting sqref="R124">
    <cfRule type="cellIs" dxfId="1775" priority="1776" operator="greaterThan">
      <formula>1</formula>
    </cfRule>
    <cfRule type="cellIs" dxfId="1774" priority="1777" operator="lessThan">
      <formula>0.8</formula>
    </cfRule>
  </conditionalFormatting>
  <conditionalFormatting sqref="P124">
    <cfRule type="cellIs" dxfId="1773" priority="1775" operator="greaterThan">
      <formula>0</formula>
    </cfRule>
  </conditionalFormatting>
  <conditionalFormatting sqref="Q124">
    <cfRule type="cellIs" dxfId="1772" priority="1773" operator="lessThan">
      <formula>0</formula>
    </cfRule>
  </conditionalFormatting>
  <conditionalFormatting sqref="R124">
    <cfRule type="cellIs" dxfId="1771" priority="1771" operator="lessThan">
      <formula>0.8</formula>
    </cfRule>
    <cfRule type="cellIs" dxfId="1770" priority="1772" operator="greaterThan">
      <formula>1</formula>
    </cfRule>
  </conditionalFormatting>
  <conditionalFormatting sqref="R124">
    <cfRule type="cellIs" dxfId="1769" priority="1769" operator="greaterThan">
      <formula>1</formula>
    </cfRule>
    <cfRule type="cellIs" dxfId="1768" priority="1770" operator="lessThan">
      <formula>0.8</formula>
    </cfRule>
  </conditionalFormatting>
  <conditionalFormatting sqref="P124">
    <cfRule type="cellIs" dxfId="1767" priority="1768" operator="greaterThan">
      <formula>0</formula>
    </cfRule>
  </conditionalFormatting>
  <conditionalFormatting sqref="Q124">
    <cfRule type="cellIs" dxfId="1766" priority="1767" operator="lessThan">
      <formula>0</formula>
    </cfRule>
  </conditionalFormatting>
  <conditionalFormatting sqref="R124">
    <cfRule type="cellIs" dxfId="1765" priority="1765" operator="lessThan">
      <formula>0.8</formula>
    </cfRule>
    <cfRule type="cellIs" dxfId="1764" priority="1766" operator="greaterThan">
      <formula>1</formula>
    </cfRule>
  </conditionalFormatting>
  <conditionalFormatting sqref="R124">
    <cfRule type="cellIs" dxfId="1763" priority="1763" operator="greaterThan">
      <formula>1</formula>
    </cfRule>
    <cfRule type="cellIs" dxfId="1762" priority="1764" operator="lessThan">
      <formula>0.8</formula>
    </cfRule>
  </conditionalFormatting>
  <conditionalFormatting sqref="P124">
    <cfRule type="cellIs" dxfId="1761" priority="1762" operator="greaterThan">
      <formula>0</formula>
    </cfRule>
  </conditionalFormatting>
  <conditionalFormatting sqref="Q124">
    <cfRule type="cellIs" dxfId="1760" priority="1761" operator="lessThan">
      <formula>0</formula>
    </cfRule>
  </conditionalFormatting>
  <conditionalFormatting sqref="R124">
    <cfRule type="cellIs" dxfId="1759" priority="1759" operator="lessThan">
      <formula>0.8</formula>
    </cfRule>
    <cfRule type="cellIs" dxfId="1758" priority="1760" operator="greaterThan">
      <formula>1</formula>
    </cfRule>
  </conditionalFormatting>
  <conditionalFormatting sqref="R124">
    <cfRule type="cellIs" dxfId="1757" priority="1757" operator="greaterThan">
      <formula>1</formula>
    </cfRule>
    <cfRule type="cellIs" dxfId="1756" priority="1758" operator="lessThan">
      <formula>0.8</formula>
    </cfRule>
  </conditionalFormatting>
  <conditionalFormatting sqref="P124">
    <cfRule type="cellIs" dxfId="1755" priority="1756" operator="greaterThan">
      <formula>0</formula>
    </cfRule>
  </conditionalFormatting>
  <conditionalFormatting sqref="Q124">
    <cfRule type="cellIs" dxfId="1754" priority="1755" operator="lessThan">
      <formula>0</formula>
    </cfRule>
  </conditionalFormatting>
  <conditionalFormatting sqref="R124">
    <cfRule type="cellIs" dxfId="1753" priority="1753" operator="lessThan">
      <formula>0.8</formula>
    </cfRule>
    <cfRule type="cellIs" dxfId="1752" priority="1754" operator="greaterThan">
      <formula>1</formula>
    </cfRule>
  </conditionalFormatting>
  <conditionalFormatting sqref="R124">
    <cfRule type="cellIs" dxfId="1751" priority="1751" operator="greaterThan">
      <formula>1</formula>
    </cfRule>
    <cfRule type="cellIs" dxfId="1750" priority="1752" operator="lessThan">
      <formula>0.8</formula>
    </cfRule>
  </conditionalFormatting>
  <conditionalFormatting sqref="P124">
    <cfRule type="cellIs" dxfId="1749" priority="1750" operator="greaterThan">
      <formula>0</formula>
    </cfRule>
  </conditionalFormatting>
  <conditionalFormatting sqref="Q124">
    <cfRule type="cellIs" dxfId="1748" priority="1749" operator="lessThan">
      <formula>0</formula>
    </cfRule>
  </conditionalFormatting>
  <conditionalFormatting sqref="R124">
    <cfRule type="cellIs" dxfId="1747" priority="1747" operator="lessThan">
      <formula>0.8</formula>
    </cfRule>
    <cfRule type="cellIs" dxfId="1746" priority="1748" operator="greaterThan">
      <formula>1</formula>
    </cfRule>
  </conditionalFormatting>
  <conditionalFormatting sqref="R124">
    <cfRule type="cellIs" dxfId="1745" priority="1745" operator="greaterThan">
      <formula>1</formula>
    </cfRule>
    <cfRule type="cellIs" dxfId="1744" priority="1746" operator="lessThan">
      <formula>0.8</formula>
    </cfRule>
  </conditionalFormatting>
  <conditionalFormatting sqref="P124">
    <cfRule type="cellIs" dxfId="1743" priority="1744" operator="greaterThan">
      <formula>0</formula>
    </cfRule>
  </conditionalFormatting>
  <conditionalFormatting sqref="P124">
    <cfRule type="cellIs" dxfId="1742" priority="1738" operator="greaterThan">
      <formula>0</formula>
    </cfRule>
  </conditionalFormatting>
  <conditionalFormatting sqref="Q124">
    <cfRule type="cellIs" dxfId="1741" priority="1743" operator="lessThan">
      <formula>0</formula>
    </cfRule>
  </conditionalFormatting>
  <conditionalFormatting sqref="R124">
    <cfRule type="cellIs" dxfId="1740" priority="1741" operator="lessThan">
      <formula>0.8</formula>
    </cfRule>
    <cfRule type="cellIs" dxfId="1739" priority="1742" operator="greaterThan">
      <formula>1</formula>
    </cfRule>
  </conditionalFormatting>
  <conditionalFormatting sqref="R124">
    <cfRule type="cellIs" dxfId="1738" priority="1739" operator="greaterThan">
      <formula>1</formula>
    </cfRule>
    <cfRule type="cellIs" dxfId="1737" priority="1740" operator="lessThan">
      <formula>0.8</formula>
    </cfRule>
  </conditionalFormatting>
  <conditionalFormatting sqref="P124">
    <cfRule type="cellIs" dxfId="1736" priority="1732" operator="greaterThan">
      <formula>0</formula>
    </cfRule>
  </conditionalFormatting>
  <conditionalFormatting sqref="Q124">
    <cfRule type="cellIs" dxfId="1735" priority="1737" operator="lessThan">
      <formula>0</formula>
    </cfRule>
  </conditionalFormatting>
  <conditionalFormatting sqref="R124">
    <cfRule type="cellIs" dxfId="1734" priority="1735" operator="lessThan">
      <formula>0.8</formula>
    </cfRule>
    <cfRule type="cellIs" dxfId="1733" priority="1736" operator="greaterThan">
      <formula>1</formula>
    </cfRule>
  </conditionalFormatting>
  <conditionalFormatting sqref="R124">
    <cfRule type="cellIs" dxfId="1732" priority="1733" operator="greaterThan">
      <formula>1</formula>
    </cfRule>
    <cfRule type="cellIs" dxfId="1731" priority="1734" operator="lessThan">
      <formula>0.8</formula>
    </cfRule>
  </conditionalFormatting>
  <conditionalFormatting sqref="R124">
    <cfRule type="cellIs" dxfId="1730" priority="1729" operator="lessThan">
      <formula>0.8</formula>
    </cfRule>
    <cfRule type="cellIs" dxfId="1729" priority="1730" operator="greaterThan">
      <formula>1</formula>
    </cfRule>
  </conditionalFormatting>
  <conditionalFormatting sqref="R124">
    <cfRule type="cellIs" dxfId="1728" priority="1727" operator="greaterThan">
      <formula>1</formula>
    </cfRule>
    <cfRule type="cellIs" dxfId="1727" priority="1728" operator="lessThan">
      <formula>0.8</formula>
    </cfRule>
  </conditionalFormatting>
  <conditionalFormatting sqref="P124">
    <cfRule type="cellIs" dxfId="1726" priority="1726" operator="greaterThan">
      <formula>0</formula>
    </cfRule>
  </conditionalFormatting>
  <conditionalFormatting sqref="Q124">
    <cfRule type="cellIs" dxfId="1725" priority="1731" operator="lessThan">
      <formula>0</formula>
    </cfRule>
  </conditionalFormatting>
  <conditionalFormatting sqref="Q5:Q14">
    <cfRule type="cellIs" dxfId="1724" priority="1725" operator="lessThan">
      <formula>0</formula>
    </cfRule>
  </conditionalFormatting>
  <conditionalFormatting sqref="R5:R14">
    <cfRule type="cellIs" dxfId="1723" priority="1723" operator="lessThan">
      <formula>0.8</formula>
    </cfRule>
    <cfRule type="cellIs" dxfId="1722" priority="1724" operator="greaterThan">
      <formula>1</formula>
    </cfRule>
  </conditionalFormatting>
  <conditionalFormatting sqref="R5:R14">
    <cfRule type="cellIs" dxfId="1721" priority="1721" operator="greaterThan">
      <formula>1</formula>
    </cfRule>
    <cfRule type="cellIs" dxfId="1720" priority="1722" operator="lessThan">
      <formula>0.8</formula>
    </cfRule>
  </conditionalFormatting>
  <conditionalFormatting sqref="P5:P14">
    <cfRule type="cellIs" dxfId="1719" priority="1720" operator="greaterThan">
      <formula>0</formula>
    </cfRule>
  </conditionalFormatting>
  <conditionalFormatting sqref="Q83">
    <cfRule type="cellIs" dxfId="1718" priority="1719" operator="lessThan">
      <formula>0</formula>
    </cfRule>
  </conditionalFormatting>
  <conditionalFormatting sqref="R83">
    <cfRule type="cellIs" dxfId="1717" priority="1717" operator="lessThan">
      <formula>0.8</formula>
    </cfRule>
    <cfRule type="cellIs" dxfId="1716" priority="1718" operator="greaterThan">
      <formula>1</formula>
    </cfRule>
  </conditionalFormatting>
  <conditionalFormatting sqref="R83">
    <cfRule type="cellIs" dxfId="1715" priority="1715" operator="greaterThan">
      <formula>1</formula>
    </cfRule>
    <cfRule type="cellIs" dxfId="1714" priority="1716" operator="lessThan">
      <formula>0.8</formula>
    </cfRule>
  </conditionalFormatting>
  <conditionalFormatting sqref="P83">
    <cfRule type="cellIs" dxfId="1713" priority="1714" operator="greaterThan">
      <formula>0</formula>
    </cfRule>
  </conditionalFormatting>
  <conditionalFormatting sqref="Q83">
    <cfRule type="cellIs" dxfId="1712" priority="1713" operator="lessThan">
      <formula>0</formula>
    </cfRule>
  </conditionalFormatting>
  <conditionalFormatting sqref="R83">
    <cfRule type="cellIs" dxfId="1711" priority="1711" operator="lessThan">
      <formula>0.8</formula>
    </cfRule>
    <cfRule type="cellIs" dxfId="1710" priority="1712" operator="greaterThan">
      <formula>1</formula>
    </cfRule>
  </conditionalFormatting>
  <conditionalFormatting sqref="R83">
    <cfRule type="cellIs" dxfId="1709" priority="1709" operator="greaterThan">
      <formula>1</formula>
    </cfRule>
    <cfRule type="cellIs" dxfId="1708" priority="1710" operator="lessThan">
      <formula>0.8</formula>
    </cfRule>
  </conditionalFormatting>
  <conditionalFormatting sqref="P83">
    <cfRule type="cellIs" dxfId="1707" priority="1708" operator="greaterThan">
      <formula>0</formula>
    </cfRule>
  </conditionalFormatting>
  <conditionalFormatting sqref="Q83">
    <cfRule type="cellIs" dxfId="1706" priority="1707" operator="lessThan">
      <formula>0</formula>
    </cfRule>
  </conditionalFormatting>
  <conditionalFormatting sqref="R83">
    <cfRule type="cellIs" dxfId="1705" priority="1705" operator="lessThan">
      <formula>0.8</formula>
    </cfRule>
    <cfRule type="cellIs" dxfId="1704" priority="1706" operator="greaterThan">
      <formula>1</formula>
    </cfRule>
  </conditionalFormatting>
  <conditionalFormatting sqref="R83">
    <cfRule type="cellIs" dxfId="1703" priority="1703" operator="greaterThan">
      <formula>1</formula>
    </cfRule>
    <cfRule type="cellIs" dxfId="1702" priority="1704" operator="lessThan">
      <formula>0.8</formula>
    </cfRule>
  </conditionalFormatting>
  <conditionalFormatting sqref="P83">
    <cfRule type="cellIs" dxfId="1701" priority="1702" operator="greaterThan">
      <formula>0</formula>
    </cfRule>
  </conditionalFormatting>
  <conditionalFormatting sqref="Q83">
    <cfRule type="cellIs" dxfId="1700" priority="1701" operator="lessThan">
      <formula>0</formula>
    </cfRule>
  </conditionalFormatting>
  <conditionalFormatting sqref="R83">
    <cfRule type="cellIs" dxfId="1699" priority="1699" operator="lessThan">
      <formula>0.8</formula>
    </cfRule>
    <cfRule type="cellIs" dxfId="1698" priority="1700" operator="greaterThan">
      <formula>1</formula>
    </cfRule>
  </conditionalFormatting>
  <conditionalFormatting sqref="R83">
    <cfRule type="cellIs" dxfId="1697" priority="1697" operator="greaterThan">
      <formula>1</formula>
    </cfRule>
    <cfRule type="cellIs" dxfId="1696" priority="1698" operator="lessThan">
      <formula>0.8</formula>
    </cfRule>
  </conditionalFormatting>
  <conditionalFormatting sqref="P83">
    <cfRule type="cellIs" dxfId="1695" priority="1696" operator="greaterThan">
      <formula>0</formula>
    </cfRule>
  </conditionalFormatting>
  <conditionalFormatting sqref="P83">
    <cfRule type="cellIs" dxfId="1694" priority="1690" operator="greaterThan">
      <formula>0</formula>
    </cfRule>
  </conditionalFormatting>
  <conditionalFormatting sqref="Q83">
    <cfRule type="cellIs" dxfId="1693" priority="1695" operator="lessThan">
      <formula>0</formula>
    </cfRule>
  </conditionalFormatting>
  <conditionalFormatting sqref="R83">
    <cfRule type="cellIs" dxfId="1692" priority="1693" operator="lessThan">
      <formula>0.8</formula>
    </cfRule>
    <cfRule type="cellIs" dxfId="1691" priority="1694" operator="greaterThan">
      <formula>1</formula>
    </cfRule>
  </conditionalFormatting>
  <conditionalFormatting sqref="R83">
    <cfRule type="cellIs" dxfId="1690" priority="1691" operator="greaterThan">
      <formula>1</formula>
    </cfRule>
    <cfRule type="cellIs" dxfId="1689" priority="1692" operator="lessThan">
      <formula>0.8</formula>
    </cfRule>
  </conditionalFormatting>
  <conditionalFormatting sqref="P83">
    <cfRule type="cellIs" dxfId="1688" priority="1684" operator="greaterThan">
      <formula>0</formula>
    </cfRule>
  </conditionalFormatting>
  <conditionalFormatting sqref="Q83">
    <cfRule type="cellIs" dxfId="1687" priority="1689" operator="lessThan">
      <formula>0</formula>
    </cfRule>
  </conditionalFormatting>
  <conditionalFormatting sqref="R83">
    <cfRule type="cellIs" dxfId="1686" priority="1687" operator="lessThan">
      <formula>0.8</formula>
    </cfRule>
    <cfRule type="cellIs" dxfId="1685" priority="1688" operator="greaterThan">
      <formula>1</formula>
    </cfRule>
  </conditionalFormatting>
  <conditionalFormatting sqref="R83">
    <cfRule type="cellIs" dxfId="1684" priority="1685" operator="greaterThan">
      <formula>1</formula>
    </cfRule>
    <cfRule type="cellIs" dxfId="1683" priority="1686" operator="lessThan">
      <formula>0.8</formula>
    </cfRule>
  </conditionalFormatting>
  <conditionalFormatting sqref="R83">
    <cfRule type="cellIs" dxfId="1682" priority="1681" operator="lessThan">
      <formula>0.8</formula>
    </cfRule>
    <cfRule type="cellIs" dxfId="1681" priority="1682" operator="greaterThan">
      <formula>1</formula>
    </cfRule>
  </conditionalFormatting>
  <conditionalFormatting sqref="R83">
    <cfRule type="cellIs" dxfId="1680" priority="1679" operator="greaterThan">
      <formula>1</formula>
    </cfRule>
    <cfRule type="cellIs" dxfId="1679" priority="1680" operator="lessThan">
      <formula>0.8</formula>
    </cfRule>
  </conditionalFormatting>
  <conditionalFormatting sqref="P83">
    <cfRule type="cellIs" dxfId="1678" priority="1678" operator="greaterThan">
      <formula>0</formula>
    </cfRule>
  </conditionalFormatting>
  <conditionalFormatting sqref="Q83">
    <cfRule type="cellIs" dxfId="1677" priority="1683" operator="lessThan">
      <formula>0</formula>
    </cfRule>
  </conditionalFormatting>
  <conditionalFormatting sqref="Q83">
    <cfRule type="cellIs" dxfId="1676" priority="1677" operator="lessThan">
      <formula>0</formula>
    </cfRule>
  </conditionalFormatting>
  <conditionalFormatting sqref="R83">
    <cfRule type="cellIs" dxfId="1675" priority="1675" operator="lessThan">
      <formula>0.8</formula>
    </cfRule>
    <cfRule type="cellIs" dxfId="1674" priority="1676" operator="greaterThan">
      <formula>1</formula>
    </cfRule>
  </conditionalFormatting>
  <conditionalFormatting sqref="R83">
    <cfRule type="cellIs" dxfId="1673" priority="1673" operator="greaterThan">
      <formula>1</formula>
    </cfRule>
    <cfRule type="cellIs" dxfId="1672" priority="1674" operator="lessThan">
      <formula>0.8</formula>
    </cfRule>
  </conditionalFormatting>
  <conditionalFormatting sqref="P83">
    <cfRule type="cellIs" dxfId="1671" priority="1672" operator="greaterThan">
      <formula>0</formula>
    </cfRule>
  </conditionalFormatting>
  <conditionalFormatting sqref="P83">
    <cfRule type="cellIs" dxfId="1670" priority="1666" operator="greaterThan">
      <formula>0</formula>
    </cfRule>
  </conditionalFormatting>
  <conditionalFormatting sqref="Q83">
    <cfRule type="cellIs" dxfId="1669" priority="1671" operator="lessThan">
      <formula>0</formula>
    </cfRule>
  </conditionalFormatting>
  <conditionalFormatting sqref="R83">
    <cfRule type="cellIs" dxfId="1668" priority="1669" operator="lessThan">
      <formula>0.8</formula>
    </cfRule>
    <cfRule type="cellIs" dxfId="1667" priority="1670" operator="greaterThan">
      <formula>1</formula>
    </cfRule>
  </conditionalFormatting>
  <conditionalFormatting sqref="R83">
    <cfRule type="cellIs" dxfId="1666" priority="1667" operator="greaterThan">
      <formula>1</formula>
    </cfRule>
    <cfRule type="cellIs" dxfId="1665" priority="1668" operator="lessThan">
      <formula>0.8</formula>
    </cfRule>
  </conditionalFormatting>
  <conditionalFormatting sqref="P83">
    <cfRule type="cellIs" dxfId="1664" priority="1660" operator="greaterThan">
      <formula>0</formula>
    </cfRule>
  </conditionalFormatting>
  <conditionalFormatting sqref="Q83">
    <cfRule type="cellIs" dxfId="1663" priority="1665" operator="lessThan">
      <formula>0</formula>
    </cfRule>
  </conditionalFormatting>
  <conditionalFormatting sqref="R83">
    <cfRule type="cellIs" dxfId="1662" priority="1663" operator="lessThan">
      <formula>0.8</formula>
    </cfRule>
    <cfRule type="cellIs" dxfId="1661" priority="1664" operator="greaterThan">
      <formula>1</formula>
    </cfRule>
  </conditionalFormatting>
  <conditionalFormatting sqref="R83">
    <cfRule type="cellIs" dxfId="1660" priority="1661" operator="greaterThan">
      <formula>1</formula>
    </cfRule>
    <cfRule type="cellIs" dxfId="1659" priority="1662" operator="lessThan">
      <formula>0.8</formula>
    </cfRule>
  </conditionalFormatting>
  <conditionalFormatting sqref="R83">
    <cfRule type="cellIs" dxfId="1658" priority="1657" operator="lessThan">
      <formula>0.8</formula>
    </cfRule>
    <cfRule type="cellIs" dxfId="1657" priority="1658" operator="greaterThan">
      <formula>1</formula>
    </cfRule>
  </conditionalFormatting>
  <conditionalFormatting sqref="R83">
    <cfRule type="cellIs" dxfId="1656" priority="1655" operator="greaterThan">
      <formula>1</formula>
    </cfRule>
    <cfRule type="cellIs" dxfId="1655" priority="1656" operator="lessThan">
      <formula>0.8</formula>
    </cfRule>
  </conditionalFormatting>
  <conditionalFormatting sqref="P83">
    <cfRule type="cellIs" dxfId="1654" priority="1654" operator="greaterThan">
      <formula>0</formula>
    </cfRule>
  </conditionalFormatting>
  <conditionalFormatting sqref="Q83">
    <cfRule type="cellIs" dxfId="1653" priority="1659" operator="lessThan">
      <formula>0</formula>
    </cfRule>
  </conditionalFormatting>
  <conditionalFormatting sqref="P83">
    <cfRule type="cellIs" dxfId="1652" priority="1648" operator="greaterThan">
      <formula>0</formula>
    </cfRule>
  </conditionalFormatting>
  <conditionalFormatting sqref="Q83">
    <cfRule type="cellIs" dxfId="1651" priority="1653" operator="lessThan">
      <formula>0</formula>
    </cfRule>
  </conditionalFormatting>
  <conditionalFormatting sqref="R83">
    <cfRule type="cellIs" dxfId="1650" priority="1651" operator="lessThan">
      <formula>0.8</formula>
    </cfRule>
    <cfRule type="cellIs" dxfId="1649" priority="1652" operator="greaterThan">
      <formula>1</formula>
    </cfRule>
  </conditionalFormatting>
  <conditionalFormatting sqref="R83">
    <cfRule type="cellIs" dxfId="1648" priority="1649" operator="greaterThan">
      <formula>1</formula>
    </cfRule>
    <cfRule type="cellIs" dxfId="1647" priority="1650" operator="lessThan">
      <formula>0.8</formula>
    </cfRule>
  </conditionalFormatting>
  <conditionalFormatting sqref="R83">
    <cfRule type="cellIs" dxfId="1646" priority="1645" operator="lessThan">
      <formula>0.8</formula>
    </cfRule>
    <cfRule type="cellIs" dxfId="1645" priority="1646" operator="greaterThan">
      <formula>1</formula>
    </cfRule>
  </conditionalFormatting>
  <conditionalFormatting sqref="R83">
    <cfRule type="cellIs" dxfId="1644" priority="1643" operator="greaterThan">
      <formula>1</formula>
    </cfRule>
    <cfRule type="cellIs" dxfId="1643" priority="1644" operator="lessThan">
      <formula>0.8</formula>
    </cfRule>
  </conditionalFormatting>
  <conditionalFormatting sqref="P83">
    <cfRule type="cellIs" dxfId="1642" priority="1642" operator="greaterThan">
      <formula>0</formula>
    </cfRule>
  </conditionalFormatting>
  <conditionalFormatting sqref="Q83">
    <cfRule type="cellIs" dxfId="1641" priority="1647" operator="lessThan">
      <formula>0</formula>
    </cfRule>
  </conditionalFormatting>
  <conditionalFormatting sqref="R83">
    <cfRule type="cellIs" dxfId="1640" priority="1639" operator="lessThan">
      <formula>0.8</formula>
    </cfRule>
    <cfRule type="cellIs" dxfId="1639" priority="1640" operator="greaterThan">
      <formula>1</formula>
    </cfRule>
  </conditionalFormatting>
  <conditionalFormatting sqref="R83">
    <cfRule type="cellIs" dxfId="1638" priority="1637" operator="greaterThan">
      <formula>1</formula>
    </cfRule>
    <cfRule type="cellIs" dxfId="1637" priority="1638" operator="lessThan">
      <formula>0.8</formula>
    </cfRule>
  </conditionalFormatting>
  <conditionalFormatting sqref="P83">
    <cfRule type="cellIs" dxfId="1636" priority="1636" operator="greaterThan">
      <formula>0</formula>
    </cfRule>
  </conditionalFormatting>
  <conditionalFormatting sqref="Q83">
    <cfRule type="cellIs" dxfId="1635" priority="1641" operator="lessThan">
      <formula>0</formula>
    </cfRule>
  </conditionalFormatting>
  <conditionalFormatting sqref="Q83">
    <cfRule type="cellIs" dxfId="1634" priority="1635" operator="lessThan">
      <formula>0</formula>
    </cfRule>
  </conditionalFormatting>
  <conditionalFormatting sqref="R83">
    <cfRule type="cellIs" dxfId="1633" priority="1633" operator="lessThan">
      <formula>0.8</formula>
    </cfRule>
    <cfRule type="cellIs" dxfId="1632" priority="1634" operator="greaterThan">
      <formula>1</formula>
    </cfRule>
  </conditionalFormatting>
  <conditionalFormatting sqref="R83">
    <cfRule type="cellIs" dxfId="1631" priority="1631" operator="greaterThan">
      <formula>1</formula>
    </cfRule>
    <cfRule type="cellIs" dxfId="1630" priority="1632" operator="lessThan">
      <formula>0.8</formula>
    </cfRule>
  </conditionalFormatting>
  <conditionalFormatting sqref="P83">
    <cfRule type="cellIs" dxfId="1629" priority="1630" operator="greaterThan">
      <formula>0</formula>
    </cfRule>
  </conditionalFormatting>
  <conditionalFormatting sqref="Q83">
    <cfRule type="cellIs" dxfId="1628" priority="1624" operator="lessThan">
      <formula>0</formula>
    </cfRule>
  </conditionalFormatting>
  <conditionalFormatting sqref="R83">
    <cfRule type="cellIs" dxfId="1627" priority="1628" operator="lessThan">
      <formula>0.8</formula>
    </cfRule>
    <cfRule type="cellIs" dxfId="1626" priority="1629" operator="greaterThan">
      <formula>1</formula>
    </cfRule>
  </conditionalFormatting>
  <conditionalFormatting sqref="R83">
    <cfRule type="cellIs" dxfId="1625" priority="1626" operator="greaterThan">
      <formula>1</formula>
    </cfRule>
    <cfRule type="cellIs" dxfId="1624" priority="1627" operator="lessThan">
      <formula>0.8</formula>
    </cfRule>
  </conditionalFormatting>
  <conditionalFormatting sqref="P83">
    <cfRule type="cellIs" dxfId="1623" priority="1625" operator="greaterThan">
      <formula>0</formula>
    </cfRule>
  </conditionalFormatting>
  <conditionalFormatting sqref="Q83">
    <cfRule type="cellIs" dxfId="1622" priority="1623" operator="lessThan">
      <formula>0</formula>
    </cfRule>
  </conditionalFormatting>
  <conditionalFormatting sqref="R83">
    <cfRule type="cellIs" dxfId="1621" priority="1621" operator="lessThan">
      <formula>0.8</formula>
    </cfRule>
    <cfRule type="cellIs" dxfId="1620" priority="1622" operator="greaterThan">
      <formula>1</formula>
    </cfRule>
  </conditionalFormatting>
  <conditionalFormatting sqref="R83">
    <cfRule type="cellIs" dxfId="1619" priority="1619" operator="greaterThan">
      <formula>1</formula>
    </cfRule>
    <cfRule type="cellIs" dxfId="1618" priority="1620" operator="lessThan">
      <formula>0.8</formula>
    </cfRule>
  </conditionalFormatting>
  <conditionalFormatting sqref="P83">
    <cfRule type="cellIs" dxfId="1617" priority="1618" operator="greaterThan">
      <formula>0</formula>
    </cfRule>
  </conditionalFormatting>
  <conditionalFormatting sqref="Q83">
    <cfRule type="cellIs" dxfId="1616" priority="1617" operator="lessThan">
      <formula>0</formula>
    </cfRule>
  </conditionalFormatting>
  <conditionalFormatting sqref="R83">
    <cfRule type="cellIs" dxfId="1615" priority="1615" operator="lessThan">
      <formula>0.8</formula>
    </cfRule>
    <cfRule type="cellIs" dxfId="1614" priority="1616" operator="greaterThan">
      <formula>1</formula>
    </cfRule>
  </conditionalFormatting>
  <conditionalFormatting sqref="R83">
    <cfRule type="cellIs" dxfId="1613" priority="1613" operator="greaterThan">
      <formula>1</formula>
    </cfRule>
    <cfRule type="cellIs" dxfId="1612" priority="1614" operator="lessThan">
      <formula>0.8</formula>
    </cfRule>
  </conditionalFormatting>
  <conditionalFormatting sqref="P83">
    <cfRule type="cellIs" dxfId="1611" priority="1612" operator="greaterThan">
      <formula>0</formula>
    </cfRule>
  </conditionalFormatting>
  <conditionalFormatting sqref="Q83">
    <cfRule type="cellIs" dxfId="1610" priority="1611" operator="lessThan">
      <formula>0</formula>
    </cfRule>
  </conditionalFormatting>
  <conditionalFormatting sqref="R83">
    <cfRule type="cellIs" dxfId="1609" priority="1609" operator="lessThan">
      <formula>0.8</formula>
    </cfRule>
    <cfRule type="cellIs" dxfId="1608" priority="1610" operator="greaterThan">
      <formula>1</formula>
    </cfRule>
  </conditionalFormatting>
  <conditionalFormatting sqref="R83">
    <cfRule type="cellIs" dxfId="1607" priority="1607" operator="greaterThan">
      <formula>1</formula>
    </cfRule>
    <cfRule type="cellIs" dxfId="1606" priority="1608" operator="lessThan">
      <formula>0.8</formula>
    </cfRule>
  </conditionalFormatting>
  <conditionalFormatting sqref="P83">
    <cfRule type="cellIs" dxfId="1605" priority="1606" operator="greaterThan">
      <formula>0</formula>
    </cfRule>
  </conditionalFormatting>
  <conditionalFormatting sqref="Q83">
    <cfRule type="cellIs" dxfId="1604" priority="1605" operator="lessThan">
      <formula>0</formula>
    </cfRule>
  </conditionalFormatting>
  <conditionalFormatting sqref="R83">
    <cfRule type="cellIs" dxfId="1603" priority="1603" operator="lessThan">
      <formula>0.8</formula>
    </cfRule>
    <cfRule type="cellIs" dxfId="1602" priority="1604" operator="greaterThan">
      <formula>1</formula>
    </cfRule>
  </conditionalFormatting>
  <conditionalFormatting sqref="R83">
    <cfRule type="cellIs" dxfId="1601" priority="1601" operator="greaterThan">
      <formula>1</formula>
    </cfRule>
    <cfRule type="cellIs" dxfId="1600" priority="1602" operator="lessThan">
      <formula>0.8</formula>
    </cfRule>
  </conditionalFormatting>
  <conditionalFormatting sqref="P83">
    <cfRule type="cellIs" dxfId="1599" priority="1600" operator="greaterThan">
      <formula>0</formula>
    </cfRule>
  </conditionalFormatting>
  <conditionalFormatting sqref="Q83">
    <cfRule type="cellIs" dxfId="1598" priority="1599" operator="lessThan">
      <formula>0</formula>
    </cfRule>
  </conditionalFormatting>
  <conditionalFormatting sqref="R83">
    <cfRule type="cellIs" dxfId="1597" priority="1597" operator="lessThan">
      <formula>0.8</formula>
    </cfRule>
    <cfRule type="cellIs" dxfId="1596" priority="1598" operator="greaterThan">
      <formula>1</formula>
    </cfRule>
  </conditionalFormatting>
  <conditionalFormatting sqref="R83">
    <cfRule type="cellIs" dxfId="1595" priority="1595" operator="greaterThan">
      <formula>1</formula>
    </cfRule>
    <cfRule type="cellIs" dxfId="1594" priority="1596" operator="lessThan">
      <formula>0.8</formula>
    </cfRule>
  </conditionalFormatting>
  <conditionalFormatting sqref="P83">
    <cfRule type="cellIs" dxfId="1593" priority="1594" operator="greaterThan">
      <formula>0</formula>
    </cfRule>
  </conditionalFormatting>
  <conditionalFormatting sqref="P83">
    <cfRule type="cellIs" dxfId="1592" priority="1588" operator="greaterThan">
      <formula>0</formula>
    </cfRule>
  </conditionalFormatting>
  <conditionalFormatting sqref="Q83">
    <cfRule type="cellIs" dxfId="1591" priority="1593" operator="lessThan">
      <formula>0</formula>
    </cfRule>
  </conditionalFormatting>
  <conditionalFormatting sqref="R83">
    <cfRule type="cellIs" dxfId="1590" priority="1591" operator="lessThan">
      <formula>0.8</formula>
    </cfRule>
    <cfRule type="cellIs" dxfId="1589" priority="1592" operator="greaterThan">
      <formula>1</formula>
    </cfRule>
  </conditionalFormatting>
  <conditionalFormatting sqref="R83">
    <cfRule type="cellIs" dxfId="1588" priority="1589" operator="greaterThan">
      <formula>1</formula>
    </cfRule>
    <cfRule type="cellIs" dxfId="1587" priority="1590" operator="lessThan">
      <formula>0.8</formula>
    </cfRule>
  </conditionalFormatting>
  <conditionalFormatting sqref="P83">
    <cfRule type="cellIs" dxfId="1586" priority="1582" operator="greaterThan">
      <formula>0</formula>
    </cfRule>
  </conditionalFormatting>
  <conditionalFormatting sqref="Q83">
    <cfRule type="cellIs" dxfId="1585" priority="1587" operator="lessThan">
      <formula>0</formula>
    </cfRule>
  </conditionalFormatting>
  <conditionalFormatting sqref="R83">
    <cfRule type="cellIs" dxfId="1584" priority="1585" operator="lessThan">
      <formula>0.8</formula>
    </cfRule>
    <cfRule type="cellIs" dxfId="1583" priority="1586" operator="greaterThan">
      <formula>1</formula>
    </cfRule>
  </conditionalFormatting>
  <conditionalFormatting sqref="R83">
    <cfRule type="cellIs" dxfId="1582" priority="1583" operator="greaterThan">
      <formula>1</formula>
    </cfRule>
    <cfRule type="cellIs" dxfId="1581" priority="1584" operator="lessThan">
      <formula>0.8</formula>
    </cfRule>
  </conditionalFormatting>
  <conditionalFormatting sqref="R83">
    <cfRule type="cellIs" dxfId="1580" priority="1579" operator="lessThan">
      <formula>0.8</formula>
    </cfRule>
    <cfRule type="cellIs" dxfId="1579" priority="1580" operator="greaterThan">
      <formula>1</formula>
    </cfRule>
  </conditionalFormatting>
  <conditionalFormatting sqref="R83">
    <cfRule type="cellIs" dxfId="1578" priority="1577" operator="greaterThan">
      <formula>1</formula>
    </cfRule>
    <cfRule type="cellIs" dxfId="1577" priority="1578" operator="lessThan">
      <formula>0.8</formula>
    </cfRule>
  </conditionalFormatting>
  <conditionalFormatting sqref="P83">
    <cfRule type="cellIs" dxfId="1576" priority="1576" operator="greaterThan">
      <formula>0</formula>
    </cfRule>
  </conditionalFormatting>
  <conditionalFormatting sqref="Q83">
    <cfRule type="cellIs" dxfId="1575" priority="1581" operator="lessThan">
      <formula>0</formula>
    </cfRule>
  </conditionalFormatting>
  <conditionalFormatting sqref="Q83">
    <cfRule type="cellIs" dxfId="1574" priority="1570" operator="lessThan">
      <formula>0</formula>
    </cfRule>
  </conditionalFormatting>
  <conditionalFormatting sqref="P83">
    <cfRule type="cellIs" dxfId="1573" priority="1571" operator="greaterThan">
      <formula>0</formula>
    </cfRule>
  </conditionalFormatting>
  <conditionalFormatting sqref="R83">
    <cfRule type="cellIs" dxfId="1572" priority="1574" operator="lessThan">
      <formula>0.8</formula>
    </cfRule>
    <cfRule type="cellIs" dxfId="1571" priority="1575" operator="greaterThan">
      <formula>1</formula>
    </cfRule>
  </conditionalFormatting>
  <conditionalFormatting sqref="R83">
    <cfRule type="cellIs" dxfId="1570" priority="1572" operator="greaterThan">
      <formula>1</formula>
    </cfRule>
    <cfRule type="cellIs" dxfId="1569" priority="1573" operator="lessThan">
      <formula>0.8</formula>
    </cfRule>
  </conditionalFormatting>
  <conditionalFormatting sqref="Q83">
    <cfRule type="cellIs" dxfId="1568" priority="1564" operator="lessThan">
      <formula>0</formula>
    </cfRule>
  </conditionalFormatting>
  <conditionalFormatting sqref="R83">
    <cfRule type="cellIs" dxfId="1567" priority="1568" operator="lessThan">
      <formula>0.8</formula>
    </cfRule>
    <cfRule type="cellIs" dxfId="1566" priority="1569" operator="greaterThan">
      <formula>1</formula>
    </cfRule>
  </conditionalFormatting>
  <conditionalFormatting sqref="R83">
    <cfRule type="cellIs" dxfId="1565" priority="1566" operator="greaterThan">
      <formula>1</formula>
    </cfRule>
    <cfRule type="cellIs" dxfId="1564" priority="1567" operator="lessThan">
      <formula>0.8</formula>
    </cfRule>
  </conditionalFormatting>
  <conditionalFormatting sqref="P83">
    <cfRule type="cellIs" dxfId="1563" priority="1565" operator="greaterThan">
      <formula>0</formula>
    </cfRule>
  </conditionalFormatting>
  <conditionalFormatting sqref="Q83">
    <cfRule type="cellIs" dxfId="1562" priority="1563" operator="lessThan">
      <formula>0</formula>
    </cfRule>
  </conditionalFormatting>
  <conditionalFormatting sqref="R83">
    <cfRule type="cellIs" dxfId="1561" priority="1561" operator="lessThan">
      <formula>0.8</formula>
    </cfRule>
    <cfRule type="cellIs" dxfId="1560" priority="1562" operator="greaterThan">
      <formula>1</formula>
    </cfRule>
  </conditionalFormatting>
  <conditionalFormatting sqref="R83">
    <cfRule type="cellIs" dxfId="1559" priority="1559" operator="greaterThan">
      <formula>1</formula>
    </cfRule>
    <cfRule type="cellIs" dxfId="1558" priority="1560" operator="lessThan">
      <formula>0.8</formula>
    </cfRule>
  </conditionalFormatting>
  <conditionalFormatting sqref="P83">
    <cfRule type="cellIs" dxfId="1557" priority="1558" operator="greaterThan">
      <formula>0</formula>
    </cfRule>
  </conditionalFormatting>
  <conditionalFormatting sqref="Q83">
    <cfRule type="cellIs" dxfId="1556" priority="1557" operator="lessThan">
      <formula>0</formula>
    </cfRule>
  </conditionalFormatting>
  <conditionalFormatting sqref="R83">
    <cfRule type="cellIs" dxfId="1555" priority="1555" operator="lessThan">
      <formula>0.8</formula>
    </cfRule>
    <cfRule type="cellIs" dxfId="1554" priority="1556" operator="greaterThan">
      <formula>1</formula>
    </cfRule>
  </conditionalFormatting>
  <conditionalFormatting sqref="R83">
    <cfRule type="cellIs" dxfId="1553" priority="1553" operator="greaterThan">
      <formula>1</formula>
    </cfRule>
    <cfRule type="cellIs" dxfId="1552" priority="1554" operator="lessThan">
      <formula>0.8</formula>
    </cfRule>
  </conditionalFormatting>
  <conditionalFormatting sqref="P83">
    <cfRule type="cellIs" dxfId="1551" priority="1552" operator="greaterThan">
      <formula>0</formula>
    </cfRule>
  </conditionalFormatting>
  <conditionalFormatting sqref="Q83">
    <cfRule type="cellIs" dxfId="1550" priority="1551" operator="lessThan">
      <formula>0</formula>
    </cfRule>
  </conditionalFormatting>
  <conditionalFormatting sqref="R83">
    <cfRule type="cellIs" dxfId="1549" priority="1549" operator="lessThan">
      <formula>0.8</formula>
    </cfRule>
    <cfRule type="cellIs" dxfId="1548" priority="1550" operator="greaterThan">
      <formula>1</formula>
    </cfRule>
  </conditionalFormatting>
  <conditionalFormatting sqref="R83">
    <cfRule type="cellIs" dxfId="1547" priority="1547" operator="greaterThan">
      <formula>1</formula>
    </cfRule>
    <cfRule type="cellIs" dxfId="1546" priority="1548" operator="lessThan">
      <formula>0.8</formula>
    </cfRule>
  </conditionalFormatting>
  <conditionalFormatting sqref="P83">
    <cfRule type="cellIs" dxfId="1545" priority="1546" operator="greaterThan">
      <formula>0</formula>
    </cfRule>
  </conditionalFormatting>
  <conditionalFormatting sqref="Q32:Q40">
    <cfRule type="cellIs" dxfId="1544" priority="1541" operator="lessThan">
      <formula>0</formula>
    </cfRule>
  </conditionalFormatting>
  <conditionalFormatting sqref="R32:R40">
    <cfRule type="cellIs" dxfId="1543" priority="1544" operator="lessThan">
      <formula>0.8</formula>
    </cfRule>
    <cfRule type="cellIs" dxfId="1542" priority="1545" operator="greaterThan">
      <formula>1</formula>
    </cfRule>
  </conditionalFormatting>
  <conditionalFormatting sqref="R32:R40">
    <cfRule type="cellIs" dxfId="1541" priority="1542" operator="greaterThan">
      <formula>1</formula>
    </cfRule>
    <cfRule type="cellIs" dxfId="1540" priority="1543" operator="lessThan">
      <formula>0.8</formula>
    </cfRule>
  </conditionalFormatting>
  <conditionalFormatting sqref="Q32:Q40">
    <cfRule type="cellIs" dxfId="1539" priority="1536" operator="lessThan">
      <formula>0</formula>
    </cfRule>
  </conditionalFormatting>
  <conditionalFormatting sqref="R32:R40">
    <cfRule type="cellIs" dxfId="1538" priority="1539" operator="lessThan">
      <formula>0.8</formula>
    </cfRule>
    <cfRule type="cellIs" dxfId="1537" priority="1540" operator="greaterThan">
      <formula>1</formula>
    </cfRule>
  </conditionalFormatting>
  <conditionalFormatting sqref="R32:R40">
    <cfRule type="cellIs" dxfId="1536" priority="1537" operator="greaterThan">
      <formula>1</formula>
    </cfRule>
    <cfRule type="cellIs" dxfId="1535" priority="1538" operator="lessThan">
      <formula>0.8</formula>
    </cfRule>
  </conditionalFormatting>
  <conditionalFormatting sqref="Q32:Q40">
    <cfRule type="cellIs" dxfId="1534" priority="1535" operator="lessThan">
      <formula>0</formula>
    </cfRule>
  </conditionalFormatting>
  <conditionalFormatting sqref="R32:R40">
    <cfRule type="cellIs" dxfId="1533" priority="1533" operator="lessThan">
      <formula>0.8</formula>
    </cfRule>
    <cfRule type="cellIs" dxfId="1532" priority="1534" operator="greaterThan">
      <formula>1</formula>
    </cfRule>
  </conditionalFormatting>
  <conditionalFormatting sqref="R32:R40">
    <cfRule type="cellIs" dxfId="1531" priority="1531" operator="greaterThan">
      <formula>1</formula>
    </cfRule>
    <cfRule type="cellIs" dxfId="1530" priority="1532" operator="lessThan">
      <formula>0.8</formula>
    </cfRule>
  </conditionalFormatting>
  <conditionalFormatting sqref="Q32:Q40">
    <cfRule type="cellIs" dxfId="1529" priority="1530" operator="lessThan">
      <formula>0</formula>
    </cfRule>
  </conditionalFormatting>
  <conditionalFormatting sqref="R32:R40">
    <cfRule type="cellIs" dxfId="1528" priority="1528" operator="lessThan">
      <formula>0.8</formula>
    </cfRule>
    <cfRule type="cellIs" dxfId="1527" priority="1529" operator="greaterThan">
      <formula>1</formula>
    </cfRule>
  </conditionalFormatting>
  <conditionalFormatting sqref="R32:R40">
    <cfRule type="cellIs" dxfId="1526" priority="1526" operator="greaterThan">
      <formula>1</formula>
    </cfRule>
    <cfRule type="cellIs" dxfId="1525" priority="1527" operator="lessThan">
      <formula>0.8</formula>
    </cfRule>
  </conditionalFormatting>
  <conditionalFormatting sqref="Q32:Q40">
    <cfRule type="cellIs" dxfId="1524" priority="1521" operator="lessThan">
      <formula>0</formula>
    </cfRule>
  </conditionalFormatting>
  <conditionalFormatting sqref="R32:R40">
    <cfRule type="cellIs" dxfId="1523" priority="1524" operator="lessThan">
      <formula>0.8</formula>
    </cfRule>
    <cfRule type="cellIs" dxfId="1522" priority="1525" operator="greaterThan">
      <formula>1</formula>
    </cfRule>
  </conditionalFormatting>
  <conditionalFormatting sqref="R32:R40">
    <cfRule type="cellIs" dxfId="1521" priority="1522" operator="greaterThan">
      <formula>1</formula>
    </cfRule>
    <cfRule type="cellIs" dxfId="1520" priority="1523" operator="lessThan">
      <formula>0.8</formula>
    </cfRule>
  </conditionalFormatting>
  <conditionalFormatting sqref="Q32:Q40">
    <cfRule type="cellIs" dxfId="1519" priority="1520" operator="lessThan">
      <formula>0</formula>
    </cfRule>
  </conditionalFormatting>
  <conditionalFormatting sqref="R32:R40">
    <cfRule type="cellIs" dxfId="1518" priority="1518" operator="lessThan">
      <formula>0.8</formula>
    </cfRule>
    <cfRule type="cellIs" dxfId="1517" priority="1519" operator="greaterThan">
      <formula>1</formula>
    </cfRule>
  </conditionalFormatting>
  <conditionalFormatting sqref="R32:R40">
    <cfRule type="cellIs" dxfId="1516" priority="1516" operator="greaterThan">
      <formula>1</formula>
    </cfRule>
    <cfRule type="cellIs" dxfId="1515" priority="1517" operator="lessThan">
      <formula>0.8</formula>
    </cfRule>
  </conditionalFormatting>
  <conditionalFormatting sqref="Q32:Q40">
    <cfRule type="cellIs" dxfId="1514" priority="1515" operator="lessThan">
      <formula>0</formula>
    </cfRule>
  </conditionalFormatting>
  <conditionalFormatting sqref="R32:R40">
    <cfRule type="cellIs" dxfId="1513" priority="1513" operator="lessThan">
      <formula>0.8</formula>
    </cfRule>
    <cfRule type="cellIs" dxfId="1512" priority="1514" operator="greaterThan">
      <formula>1</formula>
    </cfRule>
  </conditionalFormatting>
  <conditionalFormatting sqref="R32:R40">
    <cfRule type="cellIs" dxfId="1511" priority="1511" operator="greaterThan">
      <formula>1</formula>
    </cfRule>
    <cfRule type="cellIs" dxfId="1510" priority="1512" operator="lessThan">
      <formula>0.8</formula>
    </cfRule>
  </conditionalFormatting>
  <conditionalFormatting sqref="Q32:Q40">
    <cfRule type="cellIs" dxfId="1509" priority="1510" operator="lessThan">
      <formula>0</formula>
    </cfRule>
  </conditionalFormatting>
  <conditionalFormatting sqref="R32:R40">
    <cfRule type="cellIs" dxfId="1508" priority="1508" operator="lessThan">
      <formula>0.8</formula>
    </cfRule>
    <cfRule type="cellIs" dxfId="1507" priority="1509" operator="greaterThan">
      <formula>1</formula>
    </cfRule>
  </conditionalFormatting>
  <conditionalFormatting sqref="R32:R40">
    <cfRule type="cellIs" dxfId="1506" priority="1506" operator="greaterThan">
      <formula>1</formula>
    </cfRule>
    <cfRule type="cellIs" dxfId="1505" priority="1507" operator="lessThan">
      <formula>0.8</formula>
    </cfRule>
  </conditionalFormatting>
  <conditionalFormatting sqref="Q32:Q40">
    <cfRule type="cellIs" dxfId="1504" priority="1505" operator="lessThan">
      <formula>0</formula>
    </cfRule>
  </conditionalFormatting>
  <conditionalFormatting sqref="R32:R40">
    <cfRule type="cellIs" dxfId="1503" priority="1503" operator="lessThan">
      <formula>0.8</formula>
    </cfRule>
    <cfRule type="cellIs" dxfId="1502" priority="1504" operator="greaterThan">
      <formula>1</formula>
    </cfRule>
  </conditionalFormatting>
  <conditionalFormatting sqref="R32:R40">
    <cfRule type="cellIs" dxfId="1501" priority="1501" operator="greaterThan">
      <formula>1</formula>
    </cfRule>
    <cfRule type="cellIs" dxfId="1500" priority="1502" operator="lessThan">
      <formula>0.8</formula>
    </cfRule>
  </conditionalFormatting>
  <conditionalFormatting sqref="Q32:Q40">
    <cfRule type="cellIs" dxfId="1499" priority="1500" operator="lessThan">
      <formula>0</formula>
    </cfRule>
  </conditionalFormatting>
  <conditionalFormatting sqref="R32:R40">
    <cfRule type="cellIs" dxfId="1498" priority="1498" operator="lessThan">
      <formula>0.8</formula>
    </cfRule>
    <cfRule type="cellIs" dxfId="1497" priority="1499" operator="greaterThan">
      <formula>1</formula>
    </cfRule>
  </conditionalFormatting>
  <conditionalFormatting sqref="R32:R40">
    <cfRule type="cellIs" dxfId="1496" priority="1496" operator="greaterThan">
      <formula>1</formula>
    </cfRule>
    <cfRule type="cellIs" dxfId="1495" priority="1497" operator="lessThan">
      <formula>0.8</formula>
    </cfRule>
  </conditionalFormatting>
  <conditionalFormatting sqref="Q32:Q40">
    <cfRule type="cellIs" dxfId="1494" priority="1495" operator="lessThan">
      <formula>0</formula>
    </cfRule>
  </conditionalFormatting>
  <conditionalFormatting sqref="R32:R40">
    <cfRule type="cellIs" dxfId="1493" priority="1493" operator="lessThan">
      <formula>0.8</formula>
    </cfRule>
    <cfRule type="cellIs" dxfId="1492" priority="1494" operator="greaterThan">
      <formula>1</formula>
    </cfRule>
  </conditionalFormatting>
  <conditionalFormatting sqref="R32:R40">
    <cfRule type="cellIs" dxfId="1491" priority="1491" operator="greaterThan">
      <formula>1</formula>
    </cfRule>
    <cfRule type="cellIs" dxfId="1490" priority="1492" operator="lessThan">
      <formula>0.8</formula>
    </cfRule>
  </conditionalFormatting>
  <conditionalFormatting sqref="Q32:Q40">
    <cfRule type="cellIs" dxfId="1489" priority="1490" operator="lessThan">
      <formula>0</formula>
    </cfRule>
  </conditionalFormatting>
  <conditionalFormatting sqref="R32:R40">
    <cfRule type="cellIs" dxfId="1488" priority="1488" operator="lessThan">
      <formula>0.8</formula>
    </cfRule>
    <cfRule type="cellIs" dxfId="1487" priority="1489" operator="greaterThan">
      <formula>1</formula>
    </cfRule>
  </conditionalFormatting>
  <conditionalFormatting sqref="R32:R40">
    <cfRule type="cellIs" dxfId="1486" priority="1486" operator="greaterThan">
      <formula>1</formula>
    </cfRule>
    <cfRule type="cellIs" dxfId="1485" priority="1487" operator="lessThan">
      <formula>0.8</formula>
    </cfRule>
  </conditionalFormatting>
  <conditionalFormatting sqref="R32:R40">
    <cfRule type="cellIs" dxfId="1484" priority="1483" operator="lessThan">
      <formula>0.8</formula>
    </cfRule>
    <cfRule type="cellIs" dxfId="1483" priority="1484" operator="greaterThan">
      <formula>1</formula>
    </cfRule>
  </conditionalFormatting>
  <conditionalFormatting sqref="R32:R40">
    <cfRule type="cellIs" dxfId="1482" priority="1481" operator="greaterThan">
      <formula>1</formula>
    </cfRule>
    <cfRule type="cellIs" dxfId="1481" priority="1482" operator="lessThan">
      <formula>0.8</formula>
    </cfRule>
  </conditionalFormatting>
  <conditionalFormatting sqref="Q32:Q40">
    <cfRule type="cellIs" dxfId="1480" priority="1485" operator="lessThan">
      <formula>0</formula>
    </cfRule>
  </conditionalFormatting>
  <conditionalFormatting sqref="Q32:Q40">
    <cfRule type="cellIs" dxfId="1479" priority="1476" operator="lessThan">
      <formula>0</formula>
    </cfRule>
  </conditionalFormatting>
  <conditionalFormatting sqref="R32:R40">
    <cfRule type="cellIs" dxfId="1478" priority="1479" operator="lessThan">
      <formula>0.8</formula>
    </cfRule>
    <cfRule type="cellIs" dxfId="1477" priority="1480" operator="greaterThan">
      <formula>1</formula>
    </cfRule>
  </conditionalFormatting>
  <conditionalFormatting sqref="R32:R40">
    <cfRule type="cellIs" dxfId="1476" priority="1477" operator="greaterThan">
      <formula>1</formula>
    </cfRule>
    <cfRule type="cellIs" dxfId="1475" priority="1478" operator="lessThan">
      <formula>0.8</formula>
    </cfRule>
  </conditionalFormatting>
  <conditionalFormatting sqref="Q32:Q40">
    <cfRule type="cellIs" dxfId="1474" priority="1471" operator="lessThan">
      <formula>0</formula>
    </cfRule>
  </conditionalFormatting>
  <conditionalFormatting sqref="R32:R40">
    <cfRule type="cellIs" dxfId="1473" priority="1474" operator="lessThan">
      <formula>0.8</formula>
    </cfRule>
    <cfRule type="cellIs" dxfId="1472" priority="1475" operator="greaterThan">
      <formula>1</formula>
    </cfRule>
  </conditionalFormatting>
  <conditionalFormatting sqref="R32:R40">
    <cfRule type="cellIs" dxfId="1471" priority="1472" operator="greaterThan">
      <formula>1</formula>
    </cfRule>
    <cfRule type="cellIs" dxfId="1470" priority="1473" operator="lessThan">
      <formula>0.8</formula>
    </cfRule>
  </conditionalFormatting>
  <conditionalFormatting sqref="Q32:Q40">
    <cfRule type="cellIs" dxfId="1469" priority="1470" operator="lessThan">
      <formula>0</formula>
    </cfRule>
  </conditionalFormatting>
  <conditionalFormatting sqref="R32:R40">
    <cfRule type="cellIs" dxfId="1468" priority="1468" operator="lessThan">
      <formula>0.8</formula>
    </cfRule>
    <cfRule type="cellIs" dxfId="1467" priority="1469" operator="greaterThan">
      <formula>1</formula>
    </cfRule>
  </conditionalFormatting>
  <conditionalFormatting sqref="R32:R40">
    <cfRule type="cellIs" dxfId="1466" priority="1466" operator="greaterThan">
      <formula>1</formula>
    </cfRule>
    <cfRule type="cellIs" dxfId="1465" priority="1467" operator="lessThan">
      <formula>0.8</formula>
    </cfRule>
  </conditionalFormatting>
  <conditionalFormatting sqref="Q32:Q40">
    <cfRule type="cellIs" dxfId="1464" priority="1465" operator="lessThan">
      <formula>0</formula>
    </cfRule>
  </conditionalFormatting>
  <conditionalFormatting sqref="R32:R40">
    <cfRule type="cellIs" dxfId="1463" priority="1463" operator="lessThan">
      <formula>0.8</formula>
    </cfRule>
    <cfRule type="cellIs" dxfId="1462" priority="1464" operator="greaterThan">
      <formula>1</formula>
    </cfRule>
  </conditionalFormatting>
  <conditionalFormatting sqref="R32:R40">
    <cfRule type="cellIs" dxfId="1461" priority="1461" operator="greaterThan">
      <formula>1</formula>
    </cfRule>
    <cfRule type="cellIs" dxfId="1460" priority="1462" operator="lessThan">
      <formula>0.8</formula>
    </cfRule>
  </conditionalFormatting>
  <conditionalFormatting sqref="Q32:Q40">
    <cfRule type="cellIs" dxfId="1459" priority="1456" operator="lessThan">
      <formula>0</formula>
    </cfRule>
  </conditionalFormatting>
  <conditionalFormatting sqref="R32:R40">
    <cfRule type="cellIs" dxfId="1458" priority="1459" operator="lessThan">
      <formula>0.8</formula>
    </cfRule>
    <cfRule type="cellIs" dxfId="1457" priority="1460" operator="greaterThan">
      <formula>1</formula>
    </cfRule>
  </conditionalFormatting>
  <conditionalFormatting sqref="R32:R40">
    <cfRule type="cellIs" dxfId="1456" priority="1457" operator="greaterThan">
      <formula>1</formula>
    </cfRule>
    <cfRule type="cellIs" dxfId="1455" priority="1458" operator="lessThan">
      <formula>0.8</formula>
    </cfRule>
  </conditionalFormatting>
  <conditionalFormatting sqref="Q32:Q40">
    <cfRule type="cellIs" dxfId="1454" priority="1451" operator="lessThan">
      <formula>0</formula>
    </cfRule>
  </conditionalFormatting>
  <conditionalFormatting sqref="R32:R40">
    <cfRule type="cellIs" dxfId="1453" priority="1454" operator="lessThan">
      <formula>0.8</formula>
    </cfRule>
    <cfRule type="cellIs" dxfId="1452" priority="1455" operator="greaterThan">
      <formula>1</formula>
    </cfRule>
  </conditionalFormatting>
  <conditionalFormatting sqref="R32:R40">
    <cfRule type="cellIs" dxfId="1451" priority="1452" operator="greaterThan">
      <formula>1</formula>
    </cfRule>
    <cfRule type="cellIs" dxfId="1450" priority="1453" operator="lessThan">
      <formula>0.8</formula>
    </cfRule>
  </conditionalFormatting>
  <conditionalFormatting sqref="Q32:Q40">
    <cfRule type="cellIs" dxfId="1449" priority="1450" operator="lessThan">
      <formula>0</formula>
    </cfRule>
  </conditionalFormatting>
  <conditionalFormatting sqref="R32:R40">
    <cfRule type="cellIs" dxfId="1448" priority="1448" operator="lessThan">
      <formula>0.8</formula>
    </cfRule>
    <cfRule type="cellIs" dxfId="1447" priority="1449" operator="greaterThan">
      <formula>1</formula>
    </cfRule>
  </conditionalFormatting>
  <conditionalFormatting sqref="R32:R40">
    <cfRule type="cellIs" dxfId="1446" priority="1446" operator="greaterThan">
      <formula>1</formula>
    </cfRule>
    <cfRule type="cellIs" dxfId="1445" priority="1447" operator="lessThan">
      <formula>0.8</formula>
    </cfRule>
  </conditionalFormatting>
  <conditionalFormatting sqref="Q32:Q40">
    <cfRule type="cellIs" dxfId="1444" priority="1445" operator="lessThan">
      <formula>0</formula>
    </cfRule>
  </conditionalFormatting>
  <conditionalFormatting sqref="R32:R40">
    <cfRule type="cellIs" dxfId="1443" priority="1443" operator="lessThan">
      <formula>0.8</formula>
    </cfRule>
    <cfRule type="cellIs" dxfId="1442" priority="1444" operator="greaterThan">
      <formula>1</formula>
    </cfRule>
  </conditionalFormatting>
  <conditionalFormatting sqref="R32:R40">
    <cfRule type="cellIs" dxfId="1441" priority="1441" operator="greaterThan">
      <formula>1</formula>
    </cfRule>
    <cfRule type="cellIs" dxfId="1440" priority="1442" operator="lessThan">
      <formula>0.8</formula>
    </cfRule>
  </conditionalFormatting>
  <conditionalFormatting sqref="Q19:Q25">
    <cfRule type="cellIs" dxfId="1439" priority="1440" operator="lessThan">
      <formula>0</formula>
    </cfRule>
  </conditionalFormatting>
  <conditionalFormatting sqref="R19:R25">
    <cfRule type="cellIs" dxfId="1438" priority="1438" operator="lessThan">
      <formula>0.8</formula>
    </cfRule>
    <cfRule type="cellIs" dxfId="1437" priority="1439" operator="greaterThan">
      <formula>1</formula>
    </cfRule>
  </conditionalFormatting>
  <conditionalFormatting sqref="R19:R25">
    <cfRule type="cellIs" dxfId="1436" priority="1436" operator="greaterThan">
      <formula>1</formula>
    </cfRule>
    <cfRule type="cellIs" dxfId="1435" priority="1437" operator="lessThan">
      <formula>0.8</formula>
    </cfRule>
  </conditionalFormatting>
  <conditionalFormatting sqref="R19:R25">
    <cfRule type="cellIs" dxfId="1434" priority="1433" operator="lessThan">
      <formula>0.8</formula>
    </cfRule>
    <cfRule type="cellIs" dxfId="1433" priority="1434" operator="greaterThan">
      <formula>1</formula>
    </cfRule>
  </conditionalFormatting>
  <conditionalFormatting sqref="R19:R25">
    <cfRule type="cellIs" dxfId="1432" priority="1431" operator="greaterThan">
      <formula>1</formula>
    </cfRule>
    <cfRule type="cellIs" dxfId="1431" priority="1432" operator="lessThan">
      <formula>0.8</formula>
    </cfRule>
  </conditionalFormatting>
  <conditionalFormatting sqref="Q19:Q25">
    <cfRule type="cellIs" dxfId="1430" priority="1435" operator="lessThan">
      <formula>0</formula>
    </cfRule>
  </conditionalFormatting>
  <conditionalFormatting sqref="R19:R25">
    <cfRule type="cellIs" dxfId="1429" priority="1428" operator="lessThan">
      <formula>0.8</formula>
    </cfRule>
    <cfRule type="cellIs" dxfId="1428" priority="1429" operator="greaterThan">
      <formula>1</formula>
    </cfRule>
  </conditionalFormatting>
  <conditionalFormatting sqref="R19:R25">
    <cfRule type="cellIs" dxfId="1427" priority="1426" operator="greaterThan">
      <formula>1</formula>
    </cfRule>
    <cfRule type="cellIs" dxfId="1426" priority="1427" operator="lessThan">
      <formula>0.8</formula>
    </cfRule>
  </conditionalFormatting>
  <conditionalFormatting sqref="Q19:Q25">
    <cfRule type="cellIs" dxfId="1425" priority="1430" operator="lessThan">
      <formula>0</formula>
    </cfRule>
  </conditionalFormatting>
  <conditionalFormatting sqref="Q19:Q25">
    <cfRule type="cellIs" dxfId="1424" priority="1425" operator="lessThan">
      <formula>0</formula>
    </cfRule>
  </conditionalFormatting>
  <conditionalFormatting sqref="R19:R25">
    <cfRule type="cellIs" dxfId="1423" priority="1423" operator="lessThan">
      <formula>0.8</formula>
    </cfRule>
    <cfRule type="cellIs" dxfId="1422" priority="1424" operator="greaterThan">
      <formula>1</formula>
    </cfRule>
  </conditionalFormatting>
  <conditionalFormatting sqref="R19:R25">
    <cfRule type="cellIs" dxfId="1421" priority="1421" operator="greaterThan">
      <formula>1</formula>
    </cfRule>
    <cfRule type="cellIs" dxfId="1420" priority="1422" operator="lessThan">
      <formula>0.8</formula>
    </cfRule>
  </conditionalFormatting>
  <conditionalFormatting sqref="Q135:Q136">
    <cfRule type="cellIs" dxfId="1419" priority="1420" operator="lessThan">
      <formula>0</formula>
    </cfRule>
  </conditionalFormatting>
  <conditionalFormatting sqref="R135:R136 R139:R145">
    <cfRule type="cellIs" dxfId="1418" priority="1418" operator="lessThan">
      <formula>0.8</formula>
    </cfRule>
    <cfRule type="cellIs" dxfId="1417" priority="1419" operator="greaterThan">
      <formula>1</formula>
    </cfRule>
  </conditionalFormatting>
  <conditionalFormatting sqref="R135:R136 R139:R145">
    <cfRule type="cellIs" dxfId="1416" priority="1416" operator="greaterThan">
      <formula>1</formula>
    </cfRule>
    <cfRule type="cellIs" dxfId="1415" priority="1417" operator="lessThan">
      <formula>0.8</formula>
    </cfRule>
  </conditionalFormatting>
  <conditionalFormatting sqref="P135:P136 P139 P141 P143 P145">
    <cfRule type="cellIs" dxfId="1414" priority="1415" operator="greaterThan">
      <formula>0</formula>
    </cfRule>
  </conditionalFormatting>
  <conditionalFormatting sqref="P135:P136 P139 P141 P143 P145">
    <cfRule type="cellIs" dxfId="1413" priority="1409" operator="greaterThan">
      <formula>0</formula>
    </cfRule>
  </conditionalFormatting>
  <conditionalFormatting sqref="Q135:Q136">
    <cfRule type="cellIs" dxfId="1412" priority="1414" operator="lessThan">
      <formula>0</formula>
    </cfRule>
  </conditionalFormatting>
  <conditionalFormatting sqref="R135:R136 R139:R145">
    <cfRule type="cellIs" dxfId="1411" priority="1412" operator="lessThan">
      <formula>0.8</formula>
    </cfRule>
    <cfRule type="cellIs" dxfId="1410" priority="1413" operator="greaterThan">
      <formula>1</formula>
    </cfRule>
  </conditionalFormatting>
  <conditionalFormatting sqref="R135:R136 R139:R145">
    <cfRule type="cellIs" dxfId="1409" priority="1410" operator="greaterThan">
      <formula>1</formula>
    </cfRule>
    <cfRule type="cellIs" dxfId="1408" priority="1411" operator="lessThan">
      <formula>0.8</formula>
    </cfRule>
  </conditionalFormatting>
  <conditionalFormatting sqref="Q19:Q25">
    <cfRule type="cellIs" dxfId="1407" priority="1408" operator="lessThan">
      <formula>0</formula>
    </cfRule>
  </conditionalFormatting>
  <conditionalFormatting sqref="R19:R25">
    <cfRule type="cellIs" dxfId="1406" priority="1406" operator="lessThan">
      <formula>0.8</formula>
    </cfRule>
    <cfRule type="cellIs" dxfId="1405" priority="1407" operator="greaterThan">
      <formula>1</formula>
    </cfRule>
  </conditionalFormatting>
  <conditionalFormatting sqref="R19:R25">
    <cfRule type="cellIs" dxfId="1404" priority="1404" operator="greaterThan">
      <formula>1</formula>
    </cfRule>
    <cfRule type="cellIs" dxfId="1403" priority="1405" operator="lessThan">
      <formula>0.8</formula>
    </cfRule>
  </conditionalFormatting>
  <conditionalFormatting sqref="Q19:Q25">
    <cfRule type="cellIs" dxfId="1402" priority="1403" operator="lessThan">
      <formula>0</formula>
    </cfRule>
  </conditionalFormatting>
  <conditionalFormatting sqref="R19:R25">
    <cfRule type="cellIs" dxfId="1401" priority="1401" operator="lessThan">
      <formula>0.8</formula>
    </cfRule>
    <cfRule type="cellIs" dxfId="1400" priority="1402" operator="greaterThan">
      <formula>1</formula>
    </cfRule>
  </conditionalFormatting>
  <conditionalFormatting sqref="R19:R25">
    <cfRule type="cellIs" dxfId="1399" priority="1399" operator="greaterThan">
      <formula>1</formula>
    </cfRule>
    <cfRule type="cellIs" dxfId="1398" priority="1400" operator="lessThan">
      <formula>0.8</formula>
    </cfRule>
  </conditionalFormatting>
  <conditionalFormatting sqref="Q19:Q25">
    <cfRule type="cellIs" dxfId="1397" priority="1398" operator="lessThan">
      <formula>0</formula>
    </cfRule>
  </conditionalFormatting>
  <conditionalFormatting sqref="R19:R25">
    <cfRule type="cellIs" dxfId="1396" priority="1396" operator="lessThan">
      <formula>0.8</formula>
    </cfRule>
    <cfRule type="cellIs" dxfId="1395" priority="1397" operator="greaterThan">
      <formula>1</formula>
    </cfRule>
  </conditionalFormatting>
  <conditionalFormatting sqref="R19:R25">
    <cfRule type="cellIs" dxfId="1394" priority="1394" operator="greaterThan">
      <formula>1</formula>
    </cfRule>
    <cfRule type="cellIs" dxfId="1393" priority="1395" operator="lessThan">
      <formula>0.8</formula>
    </cfRule>
  </conditionalFormatting>
  <conditionalFormatting sqref="Q19:Q25">
    <cfRule type="cellIs" dxfId="1392" priority="1393" operator="lessThan">
      <formula>0</formula>
    </cfRule>
  </conditionalFormatting>
  <conditionalFormatting sqref="R19:R25">
    <cfRule type="cellIs" dxfId="1391" priority="1391" operator="lessThan">
      <formula>0.8</formula>
    </cfRule>
    <cfRule type="cellIs" dxfId="1390" priority="1392" operator="greaterThan">
      <formula>1</formula>
    </cfRule>
  </conditionalFormatting>
  <conditionalFormatting sqref="R19:R25">
    <cfRule type="cellIs" dxfId="1389" priority="1389" operator="greaterThan">
      <formula>1</formula>
    </cfRule>
    <cfRule type="cellIs" dxfId="1388" priority="1390" operator="lessThan">
      <formula>0.8</formula>
    </cfRule>
  </conditionalFormatting>
  <conditionalFormatting sqref="R19:R25">
    <cfRule type="cellIs" dxfId="1387" priority="1386" operator="lessThan">
      <formula>0.8</formula>
    </cfRule>
    <cfRule type="cellIs" dxfId="1386" priority="1387" operator="greaterThan">
      <formula>1</formula>
    </cfRule>
  </conditionalFormatting>
  <conditionalFormatting sqref="R19:R25">
    <cfRule type="cellIs" dxfId="1385" priority="1384" operator="greaterThan">
      <formula>1</formula>
    </cfRule>
    <cfRule type="cellIs" dxfId="1384" priority="1385" operator="lessThan">
      <formula>0.8</formula>
    </cfRule>
  </conditionalFormatting>
  <conditionalFormatting sqref="Q19:Q25">
    <cfRule type="cellIs" dxfId="1383" priority="1388" operator="lessThan">
      <formula>0</formula>
    </cfRule>
  </conditionalFormatting>
  <conditionalFormatting sqref="Q19:Q25">
    <cfRule type="cellIs" dxfId="1382" priority="1383" operator="lessThan">
      <formula>0</formula>
    </cfRule>
  </conditionalFormatting>
  <conditionalFormatting sqref="R19:R25">
    <cfRule type="cellIs" dxfId="1381" priority="1381" operator="lessThan">
      <formula>0.8</formula>
    </cfRule>
    <cfRule type="cellIs" dxfId="1380" priority="1382" operator="greaterThan">
      <formula>1</formula>
    </cfRule>
  </conditionalFormatting>
  <conditionalFormatting sqref="R19:R25">
    <cfRule type="cellIs" dxfId="1379" priority="1379" operator="greaterThan">
      <formula>1</formula>
    </cfRule>
    <cfRule type="cellIs" dxfId="1378" priority="1380" operator="lessThan">
      <formula>0.8</formula>
    </cfRule>
  </conditionalFormatting>
  <conditionalFormatting sqref="Q19:Q25">
    <cfRule type="cellIs" dxfId="1377" priority="1378" operator="lessThan">
      <formula>0</formula>
    </cfRule>
  </conditionalFormatting>
  <conditionalFormatting sqref="R19:R25">
    <cfRule type="cellIs" dxfId="1376" priority="1376" operator="lessThan">
      <formula>0.8</formula>
    </cfRule>
    <cfRule type="cellIs" dxfId="1375" priority="1377" operator="greaterThan">
      <formula>1</formula>
    </cfRule>
  </conditionalFormatting>
  <conditionalFormatting sqref="R19:R25">
    <cfRule type="cellIs" dxfId="1374" priority="1374" operator="greaterThan">
      <formula>1</formula>
    </cfRule>
    <cfRule type="cellIs" dxfId="1373" priority="1375" operator="lessThan">
      <formula>0.8</formula>
    </cfRule>
  </conditionalFormatting>
  <conditionalFormatting sqref="Q19:Q25">
    <cfRule type="cellIs" dxfId="1372" priority="1373" operator="lessThan">
      <formula>0</formula>
    </cfRule>
  </conditionalFormatting>
  <conditionalFormatting sqref="R19:R25">
    <cfRule type="cellIs" dxfId="1371" priority="1371" operator="lessThan">
      <formula>0.8</formula>
    </cfRule>
    <cfRule type="cellIs" dxfId="1370" priority="1372" operator="greaterThan">
      <formula>1</formula>
    </cfRule>
  </conditionalFormatting>
  <conditionalFormatting sqref="R19:R25">
    <cfRule type="cellIs" dxfId="1369" priority="1369" operator="greaterThan">
      <formula>1</formula>
    </cfRule>
    <cfRule type="cellIs" dxfId="1368" priority="1370" operator="lessThan">
      <formula>0.8</formula>
    </cfRule>
  </conditionalFormatting>
  <conditionalFormatting sqref="Q19:Q25">
    <cfRule type="cellIs" dxfId="1367" priority="1368" operator="lessThan">
      <formula>0</formula>
    </cfRule>
  </conditionalFormatting>
  <conditionalFormatting sqref="R19:R25">
    <cfRule type="cellIs" dxfId="1366" priority="1366" operator="lessThan">
      <formula>0.8</formula>
    </cfRule>
    <cfRule type="cellIs" dxfId="1365" priority="1367" operator="greaterThan">
      <formula>1</formula>
    </cfRule>
  </conditionalFormatting>
  <conditionalFormatting sqref="R19:R25">
    <cfRule type="cellIs" dxfId="1364" priority="1364" operator="greaterThan">
      <formula>1</formula>
    </cfRule>
    <cfRule type="cellIs" dxfId="1363" priority="1365" operator="lessThan">
      <formula>0.8</formula>
    </cfRule>
  </conditionalFormatting>
  <conditionalFormatting sqref="Q19:Q25">
    <cfRule type="cellIs" dxfId="1362" priority="1363" operator="lessThan">
      <formula>0</formula>
    </cfRule>
  </conditionalFormatting>
  <conditionalFormatting sqref="R19:R25">
    <cfRule type="cellIs" dxfId="1361" priority="1361" operator="lessThan">
      <formula>0.8</formula>
    </cfRule>
    <cfRule type="cellIs" dxfId="1360" priority="1362" operator="greaterThan">
      <formula>1</formula>
    </cfRule>
  </conditionalFormatting>
  <conditionalFormatting sqref="R19:R25">
    <cfRule type="cellIs" dxfId="1359" priority="1359" operator="greaterThan">
      <formula>1</formula>
    </cfRule>
    <cfRule type="cellIs" dxfId="1358" priority="1360" operator="lessThan">
      <formula>0.8</formula>
    </cfRule>
  </conditionalFormatting>
  <conditionalFormatting sqref="Q19:Q25">
    <cfRule type="cellIs" dxfId="1357" priority="1358" operator="lessThan">
      <formula>0</formula>
    </cfRule>
  </conditionalFormatting>
  <conditionalFormatting sqref="R19:R25">
    <cfRule type="cellIs" dxfId="1356" priority="1356" operator="lessThan">
      <formula>0.8</formula>
    </cfRule>
    <cfRule type="cellIs" dxfId="1355" priority="1357" operator="greaterThan">
      <formula>1</formula>
    </cfRule>
  </conditionalFormatting>
  <conditionalFormatting sqref="R19:R25">
    <cfRule type="cellIs" dxfId="1354" priority="1354" operator="greaterThan">
      <formula>1</formula>
    </cfRule>
    <cfRule type="cellIs" dxfId="1353" priority="1355" operator="lessThan">
      <formula>0.8</formula>
    </cfRule>
  </conditionalFormatting>
  <conditionalFormatting sqref="Q19:Q25">
    <cfRule type="cellIs" dxfId="1352" priority="1353" operator="lessThan">
      <formula>0</formula>
    </cfRule>
  </conditionalFormatting>
  <conditionalFormatting sqref="R19:R25">
    <cfRule type="cellIs" dxfId="1351" priority="1351" operator="lessThan">
      <formula>0.8</formula>
    </cfRule>
    <cfRule type="cellIs" dxfId="1350" priority="1352" operator="greaterThan">
      <formula>1</formula>
    </cfRule>
  </conditionalFormatting>
  <conditionalFormatting sqref="R19:R25">
    <cfRule type="cellIs" dxfId="1349" priority="1349" operator="greaterThan">
      <formula>1</formula>
    </cfRule>
    <cfRule type="cellIs" dxfId="1348" priority="1350" operator="lessThan">
      <formula>0.8</formula>
    </cfRule>
  </conditionalFormatting>
  <conditionalFormatting sqref="Q19:Q25">
    <cfRule type="cellIs" dxfId="1347" priority="1348" operator="lessThan">
      <formula>0</formula>
    </cfRule>
  </conditionalFormatting>
  <conditionalFormatting sqref="R19:R25">
    <cfRule type="cellIs" dxfId="1346" priority="1346" operator="lessThan">
      <formula>0.8</formula>
    </cfRule>
    <cfRule type="cellIs" dxfId="1345" priority="1347" operator="greaterThan">
      <formula>1</formula>
    </cfRule>
  </conditionalFormatting>
  <conditionalFormatting sqref="R19:R25">
    <cfRule type="cellIs" dxfId="1344" priority="1344" operator="greaterThan">
      <formula>1</formula>
    </cfRule>
    <cfRule type="cellIs" dxfId="1343" priority="1345" operator="lessThan">
      <formula>0.8</formula>
    </cfRule>
  </conditionalFormatting>
  <conditionalFormatting sqref="Q19:Q25">
    <cfRule type="cellIs" dxfId="1342" priority="1343" operator="lessThan">
      <formula>0</formula>
    </cfRule>
  </conditionalFormatting>
  <conditionalFormatting sqref="R19:R25">
    <cfRule type="cellIs" dxfId="1341" priority="1341" operator="lessThan">
      <formula>0.8</formula>
    </cfRule>
    <cfRule type="cellIs" dxfId="1340" priority="1342" operator="greaterThan">
      <formula>1</formula>
    </cfRule>
  </conditionalFormatting>
  <conditionalFormatting sqref="R19:R25">
    <cfRule type="cellIs" dxfId="1339" priority="1339" operator="greaterThan">
      <formula>1</formula>
    </cfRule>
    <cfRule type="cellIs" dxfId="1338" priority="1340" operator="lessThan">
      <formula>0.8</formula>
    </cfRule>
  </conditionalFormatting>
  <conditionalFormatting sqref="R19:R25">
    <cfRule type="cellIs" dxfId="1337" priority="1336" operator="lessThan">
      <formula>0.8</formula>
    </cfRule>
    <cfRule type="cellIs" dxfId="1336" priority="1337" operator="greaterThan">
      <formula>1</formula>
    </cfRule>
  </conditionalFormatting>
  <conditionalFormatting sqref="R19:R25">
    <cfRule type="cellIs" dxfId="1335" priority="1334" operator="greaterThan">
      <formula>1</formula>
    </cfRule>
    <cfRule type="cellIs" dxfId="1334" priority="1335" operator="lessThan">
      <formula>0.8</formula>
    </cfRule>
  </conditionalFormatting>
  <conditionalFormatting sqref="Q19:Q25">
    <cfRule type="cellIs" dxfId="1333" priority="1338" operator="lessThan">
      <formula>0</formula>
    </cfRule>
  </conditionalFormatting>
  <conditionalFormatting sqref="Q32:Q40">
    <cfRule type="cellIs" dxfId="1332" priority="1333" operator="lessThan">
      <formula>0</formula>
    </cfRule>
  </conditionalFormatting>
  <conditionalFormatting sqref="R32:R40">
    <cfRule type="cellIs" dxfId="1331" priority="1331" operator="lessThan">
      <formula>0.8</formula>
    </cfRule>
    <cfRule type="cellIs" dxfId="1330" priority="1332" operator="greaterThan">
      <formula>1</formula>
    </cfRule>
  </conditionalFormatting>
  <conditionalFormatting sqref="R32:R40">
    <cfRule type="cellIs" dxfId="1329" priority="1329" operator="greaterThan">
      <formula>1</formula>
    </cfRule>
    <cfRule type="cellIs" dxfId="1328" priority="1330" operator="lessThan">
      <formula>0.8</formula>
    </cfRule>
  </conditionalFormatting>
  <conditionalFormatting sqref="Q32:Q40">
    <cfRule type="cellIs" dxfId="1327" priority="1328" operator="lessThan">
      <formula>0</formula>
    </cfRule>
  </conditionalFormatting>
  <conditionalFormatting sqref="R32:R40">
    <cfRule type="cellIs" dxfId="1326" priority="1326" operator="lessThan">
      <formula>0.8</formula>
    </cfRule>
    <cfRule type="cellIs" dxfId="1325" priority="1327" operator="greaterThan">
      <formula>1</formula>
    </cfRule>
  </conditionalFormatting>
  <conditionalFormatting sqref="R32:R40">
    <cfRule type="cellIs" dxfId="1324" priority="1324" operator="greaterThan">
      <formula>1</formula>
    </cfRule>
    <cfRule type="cellIs" dxfId="1323" priority="1325" operator="lessThan">
      <formula>0.8</formula>
    </cfRule>
  </conditionalFormatting>
  <conditionalFormatting sqref="Q32:Q40">
    <cfRule type="cellIs" dxfId="1322" priority="1323" operator="lessThan">
      <formula>0</formula>
    </cfRule>
  </conditionalFormatting>
  <conditionalFormatting sqref="R32:R40">
    <cfRule type="cellIs" dxfId="1321" priority="1321" operator="lessThan">
      <formula>0.8</formula>
    </cfRule>
    <cfRule type="cellIs" dxfId="1320" priority="1322" operator="greaterThan">
      <formula>1</formula>
    </cfRule>
  </conditionalFormatting>
  <conditionalFormatting sqref="R32:R40">
    <cfRule type="cellIs" dxfId="1319" priority="1319" operator="greaterThan">
      <formula>1</formula>
    </cfRule>
    <cfRule type="cellIs" dxfId="1318" priority="1320" operator="lessThan">
      <formula>0.8</formula>
    </cfRule>
  </conditionalFormatting>
  <conditionalFormatting sqref="Q32:Q40">
    <cfRule type="cellIs" dxfId="1317" priority="1318" operator="lessThan">
      <formula>0</formula>
    </cfRule>
  </conditionalFormatting>
  <conditionalFormatting sqref="R32:R40">
    <cfRule type="cellIs" dxfId="1316" priority="1316" operator="lessThan">
      <formula>0.8</formula>
    </cfRule>
    <cfRule type="cellIs" dxfId="1315" priority="1317" operator="greaterThan">
      <formula>1</formula>
    </cfRule>
  </conditionalFormatting>
  <conditionalFormatting sqref="R32:R40">
    <cfRule type="cellIs" dxfId="1314" priority="1314" operator="greaterThan">
      <formula>1</formula>
    </cfRule>
    <cfRule type="cellIs" dxfId="1313" priority="1315" operator="lessThan">
      <formula>0.8</formula>
    </cfRule>
  </conditionalFormatting>
  <conditionalFormatting sqref="Q32:Q40">
    <cfRule type="cellIs" dxfId="1312" priority="1313" operator="lessThan">
      <formula>0</formula>
    </cfRule>
  </conditionalFormatting>
  <conditionalFormatting sqref="R32:R40">
    <cfRule type="cellIs" dxfId="1311" priority="1311" operator="lessThan">
      <formula>0.8</formula>
    </cfRule>
    <cfRule type="cellIs" dxfId="1310" priority="1312" operator="greaterThan">
      <formula>1</formula>
    </cfRule>
  </conditionalFormatting>
  <conditionalFormatting sqref="R32:R40">
    <cfRule type="cellIs" dxfId="1309" priority="1309" operator="greaterThan">
      <formula>1</formula>
    </cfRule>
    <cfRule type="cellIs" dxfId="1308" priority="1310" operator="lessThan">
      <formula>0.8</formula>
    </cfRule>
  </conditionalFormatting>
  <conditionalFormatting sqref="Q32:Q40">
    <cfRule type="cellIs" dxfId="1307" priority="1308" operator="lessThan">
      <formula>0</formula>
    </cfRule>
  </conditionalFormatting>
  <conditionalFormatting sqref="R32:R40">
    <cfRule type="cellIs" dxfId="1306" priority="1306" operator="lessThan">
      <formula>0.8</formula>
    </cfRule>
    <cfRule type="cellIs" dxfId="1305" priority="1307" operator="greaterThan">
      <formula>1</formula>
    </cfRule>
  </conditionalFormatting>
  <conditionalFormatting sqref="R32:R40">
    <cfRule type="cellIs" dxfId="1304" priority="1304" operator="greaterThan">
      <formula>1</formula>
    </cfRule>
    <cfRule type="cellIs" dxfId="1303" priority="1305" operator="lessThan">
      <formula>0.8</formula>
    </cfRule>
  </conditionalFormatting>
  <conditionalFormatting sqref="R32:R40">
    <cfRule type="cellIs" dxfId="1302" priority="1301" operator="lessThan">
      <formula>0.8</formula>
    </cfRule>
    <cfRule type="cellIs" dxfId="1301" priority="1302" operator="greaterThan">
      <formula>1</formula>
    </cfRule>
  </conditionalFormatting>
  <conditionalFormatting sqref="R32:R40">
    <cfRule type="cellIs" dxfId="1300" priority="1299" operator="greaterThan">
      <formula>1</formula>
    </cfRule>
    <cfRule type="cellIs" dxfId="1299" priority="1300" operator="lessThan">
      <formula>0.8</formula>
    </cfRule>
  </conditionalFormatting>
  <conditionalFormatting sqref="Q32:Q40">
    <cfRule type="cellIs" dxfId="1298" priority="1303" operator="lessThan">
      <formula>0</formula>
    </cfRule>
  </conditionalFormatting>
  <conditionalFormatting sqref="Q32:Q40">
    <cfRule type="cellIs" dxfId="1297" priority="1298" operator="lessThan">
      <formula>0</formula>
    </cfRule>
  </conditionalFormatting>
  <conditionalFormatting sqref="R32:R40">
    <cfRule type="cellIs" dxfId="1296" priority="1296" operator="lessThan">
      <formula>0.8</formula>
    </cfRule>
    <cfRule type="cellIs" dxfId="1295" priority="1297" operator="greaterThan">
      <formula>1</formula>
    </cfRule>
  </conditionalFormatting>
  <conditionalFormatting sqref="R32:R40">
    <cfRule type="cellIs" dxfId="1294" priority="1294" operator="greaterThan">
      <formula>1</formula>
    </cfRule>
    <cfRule type="cellIs" dxfId="1293" priority="1295" operator="lessThan">
      <formula>0.8</formula>
    </cfRule>
  </conditionalFormatting>
  <conditionalFormatting sqref="Q32:Q40">
    <cfRule type="cellIs" dxfId="1292" priority="1293" operator="lessThan">
      <formula>0</formula>
    </cfRule>
  </conditionalFormatting>
  <conditionalFormatting sqref="R32:R40">
    <cfRule type="cellIs" dxfId="1291" priority="1291" operator="lessThan">
      <formula>0.8</formula>
    </cfRule>
    <cfRule type="cellIs" dxfId="1290" priority="1292" operator="greaterThan">
      <formula>1</formula>
    </cfRule>
  </conditionalFormatting>
  <conditionalFormatting sqref="R32:R40">
    <cfRule type="cellIs" dxfId="1289" priority="1289" operator="greaterThan">
      <formula>1</formula>
    </cfRule>
    <cfRule type="cellIs" dxfId="1288" priority="1290" operator="lessThan">
      <formula>0.8</formula>
    </cfRule>
  </conditionalFormatting>
  <conditionalFormatting sqref="Q32:Q40">
    <cfRule type="cellIs" dxfId="1287" priority="1288" operator="lessThan">
      <formula>0</formula>
    </cfRule>
  </conditionalFormatting>
  <conditionalFormatting sqref="R32:R40">
    <cfRule type="cellIs" dxfId="1286" priority="1286" operator="lessThan">
      <formula>0.8</formula>
    </cfRule>
    <cfRule type="cellIs" dxfId="1285" priority="1287" operator="greaterThan">
      <formula>1</formula>
    </cfRule>
  </conditionalFormatting>
  <conditionalFormatting sqref="R32:R40">
    <cfRule type="cellIs" dxfId="1284" priority="1284" operator="greaterThan">
      <formula>1</formula>
    </cfRule>
    <cfRule type="cellIs" dxfId="1283" priority="1285" operator="lessThan">
      <formula>0.8</formula>
    </cfRule>
  </conditionalFormatting>
  <conditionalFormatting sqref="R32:R40">
    <cfRule type="cellIs" dxfId="1282" priority="1281" operator="lessThan">
      <formula>0.8</formula>
    </cfRule>
    <cfRule type="cellIs" dxfId="1281" priority="1282" operator="greaterThan">
      <formula>1</formula>
    </cfRule>
  </conditionalFormatting>
  <conditionalFormatting sqref="R32:R40">
    <cfRule type="cellIs" dxfId="1280" priority="1279" operator="greaterThan">
      <formula>1</formula>
    </cfRule>
    <cfRule type="cellIs" dxfId="1279" priority="1280" operator="lessThan">
      <formula>0.8</formula>
    </cfRule>
  </conditionalFormatting>
  <conditionalFormatting sqref="Q32:Q40">
    <cfRule type="cellIs" dxfId="1278" priority="1283" operator="lessThan">
      <formula>0</formula>
    </cfRule>
  </conditionalFormatting>
  <conditionalFormatting sqref="Q32:Q40">
    <cfRule type="cellIs" dxfId="1277" priority="1278" operator="lessThan">
      <formula>0</formula>
    </cfRule>
  </conditionalFormatting>
  <conditionalFormatting sqref="R32:R40">
    <cfRule type="cellIs" dxfId="1276" priority="1276" operator="lessThan">
      <formula>0.8</formula>
    </cfRule>
    <cfRule type="cellIs" dxfId="1275" priority="1277" operator="greaterThan">
      <formula>1</formula>
    </cfRule>
  </conditionalFormatting>
  <conditionalFormatting sqref="R32:R40">
    <cfRule type="cellIs" dxfId="1274" priority="1274" operator="greaterThan">
      <formula>1</formula>
    </cfRule>
    <cfRule type="cellIs" dxfId="1273" priority="1275" operator="lessThan">
      <formula>0.8</formula>
    </cfRule>
  </conditionalFormatting>
  <conditionalFormatting sqref="R32:R40">
    <cfRule type="cellIs" dxfId="1272" priority="1271" operator="lessThan">
      <formula>0.8</formula>
    </cfRule>
    <cfRule type="cellIs" dxfId="1271" priority="1272" operator="greaterThan">
      <formula>1</formula>
    </cfRule>
  </conditionalFormatting>
  <conditionalFormatting sqref="R32:R40">
    <cfRule type="cellIs" dxfId="1270" priority="1269" operator="greaterThan">
      <formula>1</formula>
    </cfRule>
    <cfRule type="cellIs" dxfId="1269" priority="1270" operator="lessThan">
      <formula>0.8</formula>
    </cfRule>
  </conditionalFormatting>
  <conditionalFormatting sqref="Q32:Q40">
    <cfRule type="cellIs" dxfId="1268" priority="1273" operator="lessThan">
      <formula>0</formula>
    </cfRule>
  </conditionalFormatting>
  <conditionalFormatting sqref="R32:R40">
    <cfRule type="cellIs" dxfId="1267" priority="1266" operator="lessThan">
      <formula>0.8</formula>
    </cfRule>
    <cfRule type="cellIs" dxfId="1266" priority="1267" operator="greaterThan">
      <formula>1</formula>
    </cfRule>
  </conditionalFormatting>
  <conditionalFormatting sqref="R32:R40">
    <cfRule type="cellIs" dxfId="1265" priority="1264" operator="greaterThan">
      <formula>1</formula>
    </cfRule>
    <cfRule type="cellIs" dxfId="1264" priority="1265" operator="lessThan">
      <formula>0.8</formula>
    </cfRule>
  </conditionalFormatting>
  <conditionalFormatting sqref="Q32:Q40">
    <cfRule type="cellIs" dxfId="1263" priority="1268" operator="lessThan">
      <formula>0</formula>
    </cfRule>
  </conditionalFormatting>
  <conditionalFormatting sqref="Q32:Q40">
    <cfRule type="cellIs" dxfId="1262" priority="1263" operator="lessThan">
      <formula>0</formula>
    </cfRule>
  </conditionalFormatting>
  <conditionalFormatting sqref="R32:R40">
    <cfRule type="cellIs" dxfId="1261" priority="1261" operator="lessThan">
      <formula>0.8</formula>
    </cfRule>
    <cfRule type="cellIs" dxfId="1260" priority="1262" operator="greaterThan">
      <formula>1</formula>
    </cfRule>
  </conditionalFormatting>
  <conditionalFormatting sqref="R32:R40">
    <cfRule type="cellIs" dxfId="1259" priority="1259" operator="greaterThan">
      <formula>1</formula>
    </cfRule>
    <cfRule type="cellIs" dxfId="1258" priority="1260" operator="lessThan">
      <formula>0.8</formula>
    </cfRule>
  </conditionalFormatting>
  <conditionalFormatting sqref="Q32:Q40">
    <cfRule type="cellIs" dxfId="1257" priority="1254" operator="lessThan">
      <formula>0</formula>
    </cfRule>
  </conditionalFormatting>
  <conditionalFormatting sqref="R32:R40">
    <cfRule type="cellIs" dxfId="1256" priority="1257" operator="lessThan">
      <formula>0.8</formula>
    </cfRule>
    <cfRule type="cellIs" dxfId="1255" priority="1258" operator="greaterThan">
      <formula>1</formula>
    </cfRule>
  </conditionalFormatting>
  <conditionalFormatting sqref="R32:R40">
    <cfRule type="cellIs" dxfId="1254" priority="1255" operator="greaterThan">
      <formula>1</formula>
    </cfRule>
    <cfRule type="cellIs" dxfId="1253" priority="1256" operator="lessThan">
      <formula>0.8</formula>
    </cfRule>
  </conditionalFormatting>
  <conditionalFormatting sqref="Q32:Q40">
    <cfRule type="cellIs" dxfId="1252" priority="1253" operator="lessThan">
      <formula>0</formula>
    </cfRule>
  </conditionalFormatting>
  <conditionalFormatting sqref="R32:R40">
    <cfRule type="cellIs" dxfId="1251" priority="1251" operator="lessThan">
      <formula>0.8</formula>
    </cfRule>
    <cfRule type="cellIs" dxfId="1250" priority="1252" operator="greaterThan">
      <formula>1</formula>
    </cfRule>
  </conditionalFormatting>
  <conditionalFormatting sqref="R32:R40">
    <cfRule type="cellIs" dxfId="1249" priority="1249" operator="greaterThan">
      <formula>1</formula>
    </cfRule>
    <cfRule type="cellIs" dxfId="1248" priority="1250" operator="lessThan">
      <formula>0.8</formula>
    </cfRule>
  </conditionalFormatting>
  <conditionalFormatting sqref="Q32:Q40">
    <cfRule type="cellIs" dxfId="1247" priority="1248" operator="lessThan">
      <formula>0</formula>
    </cfRule>
  </conditionalFormatting>
  <conditionalFormatting sqref="R32:R40">
    <cfRule type="cellIs" dxfId="1246" priority="1246" operator="lessThan">
      <formula>0.8</formula>
    </cfRule>
    <cfRule type="cellIs" dxfId="1245" priority="1247" operator="greaterThan">
      <formula>1</formula>
    </cfRule>
  </conditionalFormatting>
  <conditionalFormatting sqref="R32:R40">
    <cfRule type="cellIs" dxfId="1244" priority="1244" operator="greaterThan">
      <formula>1</formula>
    </cfRule>
    <cfRule type="cellIs" dxfId="1243" priority="1245" operator="lessThan">
      <formula>0.8</formula>
    </cfRule>
  </conditionalFormatting>
  <conditionalFormatting sqref="Q32:Q40">
    <cfRule type="cellIs" dxfId="1242" priority="1243" operator="lessThan">
      <formula>0</formula>
    </cfRule>
  </conditionalFormatting>
  <conditionalFormatting sqref="R32:R40">
    <cfRule type="cellIs" dxfId="1241" priority="1241" operator="lessThan">
      <formula>0.8</formula>
    </cfRule>
    <cfRule type="cellIs" dxfId="1240" priority="1242" operator="greaterThan">
      <formula>1</formula>
    </cfRule>
  </conditionalFormatting>
  <conditionalFormatting sqref="R32:R40">
    <cfRule type="cellIs" dxfId="1239" priority="1239" operator="greaterThan">
      <formula>1</formula>
    </cfRule>
    <cfRule type="cellIs" dxfId="1238" priority="1240" operator="lessThan">
      <formula>0.8</formula>
    </cfRule>
  </conditionalFormatting>
  <conditionalFormatting sqref="Q32:Q40">
    <cfRule type="cellIs" dxfId="1237" priority="1238" operator="lessThan">
      <formula>0</formula>
    </cfRule>
  </conditionalFormatting>
  <conditionalFormatting sqref="R32:R40">
    <cfRule type="cellIs" dxfId="1236" priority="1236" operator="lessThan">
      <formula>0.8</formula>
    </cfRule>
    <cfRule type="cellIs" dxfId="1235" priority="1237" operator="greaterThan">
      <formula>1</formula>
    </cfRule>
  </conditionalFormatting>
  <conditionalFormatting sqref="R32:R40">
    <cfRule type="cellIs" dxfId="1234" priority="1234" operator="greaterThan">
      <formula>1</formula>
    </cfRule>
    <cfRule type="cellIs" dxfId="1233" priority="1235" operator="lessThan">
      <formula>0.8</formula>
    </cfRule>
  </conditionalFormatting>
  <conditionalFormatting sqref="Q32:Q40">
    <cfRule type="cellIs" dxfId="1232" priority="1233" operator="lessThan">
      <formula>0</formula>
    </cfRule>
  </conditionalFormatting>
  <conditionalFormatting sqref="R32:R40">
    <cfRule type="cellIs" dxfId="1231" priority="1231" operator="lessThan">
      <formula>0.8</formula>
    </cfRule>
    <cfRule type="cellIs" dxfId="1230" priority="1232" operator="greaterThan">
      <formula>1</formula>
    </cfRule>
  </conditionalFormatting>
  <conditionalFormatting sqref="R32:R40">
    <cfRule type="cellIs" dxfId="1229" priority="1229" operator="greaterThan">
      <formula>1</formula>
    </cfRule>
    <cfRule type="cellIs" dxfId="1228" priority="1230" operator="lessThan">
      <formula>0.8</formula>
    </cfRule>
  </conditionalFormatting>
  <conditionalFormatting sqref="Q32:Q40">
    <cfRule type="cellIs" dxfId="1227" priority="1228" operator="lessThan">
      <formula>0</formula>
    </cfRule>
  </conditionalFormatting>
  <conditionalFormatting sqref="R32:R40">
    <cfRule type="cellIs" dxfId="1226" priority="1226" operator="lessThan">
      <formula>0.8</formula>
    </cfRule>
    <cfRule type="cellIs" dxfId="1225" priority="1227" operator="greaterThan">
      <formula>1</formula>
    </cfRule>
  </conditionalFormatting>
  <conditionalFormatting sqref="R32:R40">
    <cfRule type="cellIs" dxfId="1224" priority="1224" operator="greaterThan">
      <formula>1</formula>
    </cfRule>
    <cfRule type="cellIs" dxfId="1223" priority="1225" operator="lessThan">
      <formula>0.8</formula>
    </cfRule>
  </conditionalFormatting>
  <conditionalFormatting sqref="Q32:Q40">
    <cfRule type="cellIs" dxfId="1222" priority="1223" operator="lessThan">
      <formula>0</formula>
    </cfRule>
  </conditionalFormatting>
  <conditionalFormatting sqref="R32:R40">
    <cfRule type="cellIs" dxfId="1221" priority="1221" operator="lessThan">
      <formula>0.8</formula>
    </cfRule>
    <cfRule type="cellIs" dxfId="1220" priority="1222" operator="greaterThan">
      <formula>1</formula>
    </cfRule>
  </conditionalFormatting>
  <conditionalFormatting sqref="R32:R40">
    <cfRule type="cellIs" dxfId="1219" priority="1219" operator="greaterThan">
      <formula>1</formula>
    </cfRule>
    <cfRule type="cellIs" dxfId="1218" priority="1220" operator="lessThan">
      <formula>0.8</formula>
    </cfRule>
  </conditionalFormatting>
  <conditionalFormatting sqref="R32:R40">
    <cfRule type="cellIs" dxfId="1217" priority="1216" operator="lessThan">
      <formula>0.8</formula>
    </cfRule>
    <cfRule type="cellIs" dxfId="1216" priority="1217" operator="greaterThan">
      <formula>1</formula>
    </cfRule>
  </conditionalFormatting>
  <conditionalFormatting sqref="R32:R40">
    <cfRule type="cellIs" dxfId="1215" priority="1214" operator="greaterThan">
      <formula>1</formula>
    </cfRule>
    <cfRule type="cellIs" dxfId="1214" priority="1215" operator="lessThan">
      <formula>0.8</formula>
    </cfRule>
  </conditionalFormatting>
  <conditionalFormatting sqref="Q32:Q40">
    <cfRule type="cellIs" dxfId="1213" priority="1218" operator="lessThan">
      <formula>0</formula>
    </cfRule>
  </conditionalFormatting>
  <conditionalFormatting sqref="Q32:Q40">
    <cfRule type="cellIs" dxfId="1212" priority="1209" operator="lessThan">
      <formula>0</formula>
    </cfRule>
  </conditionalFormatting>
  <conditionalFormatting sqref="R32:R40">
    <cfRule type="cellIs" dxfId="1211" priority="1212" operator="lessThan">
      <formula>0.8</formula>
    </cfRule>
    <cfRule type="cellIs" dxfId="1210" priority="1213" operator="greaterThan">
      <formula>1</formula>
    </cfRule>
  </conditionalFormatting>
  <conditionalFormatting sqref="R32:R40">
    <cfRule type="cellIs" dxfId="1209" priority="1210" operator="greaterThan">
      <formula>1</formula>
    </cfRule>
    <cfRule type="cellIs" dxfId="1208" priority="1211" operator="lessThan">
      <formula>0.8</formula>
    </cfRule>
  </conditionalFormatting>
  <conditionalFormatting sqref="Q32:Q40">
    <cfRule type="cellIs" dxfId="1207" priority="1204" operator="lessThan">
      <formula>0</formula>
    </cfRule>
  </conditionalFormatting>
  <conditionalFormatting sqref="R32:R40">
    <cfRule type="cellIs" dxfId="1206" priority="1207" operator="lessThan">
      <formula>0.8</formula>
    </cfRule>
    <cfRule type="cellIs" dxfId="1205" priority="1208" operator="greaterThan">
      <formula>1</formula>
    </cfRule>
  </conditionalFormatting>
  <conditionalFormatting sqref="R32:R40">
    <cfRule type="cellIs" dxfId="1204" priority="1205" operator="greaterThan">
      <formula>1</formula>
    </cfRule>
    <cfRule type="cellIs" dxfId="1203" priority="1206" operator="lessThan">
      <formula>0.8</formula>
    </cfRule>
  </conditionalFormatting>
  <conditionalFormatting sqref="Q32:Q40">
    <cfRule type="cellIs" dxfId="1202" priority="1203" operator="lessThan">
      <formula>0</formula>
    </cfRule>
  </conditionalFormatting>
  <conditionalFormatting sqref="R32:R40">
    <cfRule type="cellIs" dxfId="1201" priority="1201" operator="lessThan">
      <formula>0.8</formula>
    </cfRule>
    <cfRule type="cellIs" dxfId="1200" priority="1202" operator="greaterThan">
      <formula>1</formula>
    </cfRule>
  </conditionalFormatting>
  <conditionalFormatting sqref="R32:R40">
    <cfRule type="cellIs" dxfId="1199" priority="1199" operator="greaterThan">
      <formula>1</formula>
    </cfRule>
    <cfRule type="cellIs" dxfId="1198" priority="1200" operator="lessThan">
      <formula>0.8</formula>
    </cfRule>
  </conditionalFormatting>
  <conditionalFormatting sqref="Q32:Q40">
    <cfRule type="cellIs" dxfId="1197" priority="1198" operator="lessThan">
      <formula>0</formula>
    </cfRule>
  </conditionalFormatting>
  <conditionalFormatting sqref="R32:R40">
    <cfRule type="cellIs" dxfId="1196" priority="1196" operator="lessThan">
      <formula>0.8</formula>
    </cfRule>
    <cfRule type="cellIs" dxfId="1195" priority="1197" operator="greaterThan">
      <formula>1</formula>
    </cfRule>
  </conditionalFormatting>
  <conditionalFormatting sqref="R32:R40">
    <cfRule type="cellIs" dxfId="1194" priority="1194" operator="greaterThan">
      <formula>1</formula>
    </cfRule>
    <cfRule type="cellIs" dxfId="1193" priority="1195" operator="lessThan">
      <formula>0.8</formula>
    </cfRule>
  </conditionalFormatting>
  <conditionalFormatting sqref="Q32:Q40">
    <cfRule type="cellIs" dxfId="1192" priority="1193" operator="lessThan">
      <formula>0</formula>
    </cfRule>
  </conditionalFormatting>
  <conditionalFormatting sqref="R32:R40">
    <cfRule type="cellIs" dxfId="1191" priority="1191" operator="lessThan">
      <formula>0.8</formula>
    </cfRule>
    <cfRule type="cellIs" dxfId="1190" priority="1192" operator="greaterThan">
      <formula>1</formula>
    </cfRule>
  </conditionalFormatting>
  <conditionalFormatting sqref="R32:R40">
    <cfRule type="cellIs" dxfId="1189" priority="1189" operator="greaterThan">
      <formula>1</formula>
    </cfRule>
    <cfRule type="cellIs" dxfId="1188" priority="1190" operator="lessThan">
      <formula>0.8</formula>
    </cfRule>
  </conditionalFormatting>
  <conditionalFormatting sqref="Q32:Q40">
    <cfRule type="cellIs" dxfId="1187" priority="1188" operator="lessThan">
      <formula>0</formula>
    </cfRule>
  </conditionalFormatting>
  <conditionalFormatting sqref="R32:R40">
    <cfRule type="cellIs" dxfId="1186" priority="1186" operator="lessThan">
      <formula>0.8</formula>
    </cfRule>
    <cfRule type="cellIs" dxfId="1185" priority="1187" operator="greaterThan">
      <formula>1</formula>
    </cfRule>
  </conditionalFormatting>
  <conditionalFormatting sqref="R32:R40">
    <cfRule type="cellIs" dxfId="1184" priority="1184" operator="greaterThan">
      <formula>1</formula>
    </cfRule>
    <cfRule type="cellIs" dxfId="1183" priority="1185" operator="lessThan">
      <formula>0.8</formula>
    </cfRule>
  </conditionalFormatting>
  <conditionalFormatting sqref="Q96:Q105">
    <cfRule type="cellIs" dxfId="1182" priority="1178" operator="lessThan">
      <formula>0</formula>
    </cfRule>
  </conditionalFormatting>
  <conditionalFormatting sqref="P96:P105">
    <cfRule type="cellIs" dxfId="1181" priority="1179" operator="greaterThan">
      <formula>0</formula>
    </cfRule>
  </conditionalFormatting>
  <conditionalFormatting sqref="R96:R105">
    <cfRule type="cellIs" dxfId="1180" priority="1182" operator="lessThan">
      <formula>0.8</formula>
    </cfRule>
    <cfRule type="cellIs" dxfId="1179" priority="1183" operator="greaterThan">
      <formula>1</formula>
    </cfRule>
  </conditionalFormatting>
  <conditionalFormatting sqref="R96:R105">
    <cfRule type="cellIs" dxfId="1178" priority="1180" operator="greaterThan">
      <formula>1</formula>
    </cfRule>
    <cfRule type="cellIs" dxfId="1177" priority="1181" operator="lessThan">
      <formula>0.8</formula>
    </cfRule>
  </conditionalFormatting>
  <conditionalFormatting sqref="Q96:Q105">
    <cfRule type="cellIs" dxfId="1176" priority="1172" operator="lessThan">
      <formula>0</formula>
    </cfRule>
  </conditionalFormatting>
  <conditionalFormatting sqref="R96:R105">
    <cfRule type="cellIs" dxfId="1175" priority="1176" operator="lessThan">
      <formula>0.8</formula>
    </cfRule>
    <cfRule type="cellIs" dxfId="1174" priority="1177" operator="greaterThan">
      <formula>1</formula>
    </cfRule>
  </conditionalFormatting>
  <conditionalFormatting sqref="R96:R105">
    <cfRule type="cellIs" dxfId="1173" priority="1174" operator="greaterThan">
      <formula>1</formula>
    </cfRule>
    <cfRule type="cellIs" dxfId="1172" priority="1175" operator="lessThan">
      <formula>0.8</formula>
    </cfRule>
  </conditionalFormatting>
  <conditionalFormatting sqref="P96:P105">
    <cfRule type="cellIs" dxfId="1171" priority="1173" operator="greaterThan">
      <formula>0</formula>
    </cfRule>
  </conditionalFormatting>
  <conditionalFormatting sqref="Q96:Q105">
    <cfRule type="cellIs" dxfId="1170" priority="1171" operator="lessThan">
      <formula>0</formula>
    </cfRule>
  </conditionalFormatting>
  <conditionalFormatting sqref="R96:R105">
    <cfRule type="cellIs" dxfId="1169" priority="1169" operator="lessThan">
      <formula>0.8</formula>
    </cfRule>
    <cfRule type="cellIs" dxfId="1168" priority="1170" operator="greaterThan">
      <formula>1</formula>
    </cfRule>
  </conditionalFormatting>
  <conditionalFormatting sqref="R96:R105">
    <cfRule type="cellIs" dxfId="1167" priority="1167" operator="greaterThan">
      <formula>1</formula>
    </cfRule>
    <cfRule type="cellIs" dxfId="1166" priority="1168" operator="lessThan">
      <formula>0.8</formula>
    </cfRule>
  </conditionalFormatting>
  <conditionalFormatting sqref="P96:P105">
    <cfRule type="cellIs" dxfId="1165" priority="1166" operator="greaterThan">
      <formula>0</formula>
    </cfRule>
  </conditionalFormatting>
  <conditionalFormatting sqref="Q96:Q105">
    <cfRule type="cellIs" dxfId="1164" priority="1165" operator="lessThan">
      <formula>0</formula>
    </cfRule>
  </conditionalFormatting>
  <conditionalFormatting sqref="R96:R105">
    <cfRule type="cellIs" dxfId="1163" priority="1163" operator="lessThan">
      <formula>0.8</formula>
    </cfRule>
    <cfRule type="cellIs" dxfId="1162" priority="1164" operator="greaterThan">
      <formula>1</formula>
    </cfRule>
  </conditionalFormatting>
  <conditionalFormatting sqref="R96:R105">
    <cfRule type="cellIs" dxfId="1161" priority="1161" operator="greaterThan">
      <formula>1</formula>
    </cfRule>
    <cfRule type="cellIs" dxfId="1160" priority="1162" operator="lessThan">
      <formula>0.8</formula>
    </cfRule>
  </conditionalFormatting>
  <conditionalFormatting sqref="P96:P105">
    <cfRule type="cellIs" dxfId="1159" priority="1160" operator="greaterThan">
      <formula>0</formula>
    </cfRule>
  </conditionalFormatting>
  <conditionalFormatting sqref="Q96:Q105">
    <cfRule type="cellIs" dxfId="1158" priority="1154" operator="lessThan">
      <formula>0</formula>
    </cfRule>
  </conditionalFormatting>
  <conditionalFormatting sqref="R96:R105">
    <cfRule type="cellIs" dxfId="1157" priority="1158" operator="lessThan">
      <formula>0.8</formula>
    </cfRule>
    <cfRule type="cellIs" dxfId="1156" priority="1159" operator="greaterThan">
      <formula>1</formula>
    </cfRule>
  </conditionalFormatting>
  <conditionalFormatting sqref="R96:R105">
    <cfRule type="cellIs" dxfId="1155" priority="1156" operator="greaterThan">
      <formula>1</formula>
    </cfRule>
    <cfRule type="cellIs" dxfId="1154" priority="1157" operator="lessThan">
      <formula>0.8</formula>
    </cfRule>
  </conditionalFormatting>
  <conditionalFormatting sqref="P96:P105">
    <cfRule type="cellIs" dxfId="1153" priority="1155" operator="greaterThan">
      <formula>0</formula>
    </cfRule>
  </conditionalFormatting>
  <conditionalFormatting sqref="Q96:Q105">
    <cfRule type="cellIs" dxfId="1152" priority="1153" operator="lessThan">
      <formula>0</formula>
    </cfRule>
  </conditionalFormatting>
  <conditionalFormatting sqref="R96:R105">
    <cfRule type="cellIs" dxfId="1151" priority="1151" operator="lessThan">
      <formula>0.8</formula>
    </cfRule>
    <cfRule type="cellIs" dxfId="1150" priority="1152" operator="greaterThan">
      <formula>1</formula>
    </cfRule>
  </conditionalFormatting>
  <conditionalFormatting sqref="R96:R105">
    <cfRule type="cellIs" dxfId="1149" priority="1149" operator="greaterThan">
      <formula>1</formula>
    </cfRule>
    <cfRule type="cellIs" dxfId="1148" priority="1150" operator="lessThan">
      <formula>0.8</formula>
    </cfRule>
  </conditionalFormatting>
  <conditionalFormatting sqref="P96:P105">
    <cfRule type="cellIs" dxfId="1147" priority="1148" operator="greaterThan">
      <formula>0</formula>
    </cfRule>
  </conditionalFormatting>
  <conditionalFormatting sqref="Q96:Q105">
    <cfRule type="cellIs" dxfId="1146" priority="1147" operator="lessThan">
      <formula>0</formula>
    </cfRule>
  </conditionalFormatting>
  <conditionalFormatting sqref="R96:R105">
    <cfRule type="cellIs" dxfId="1145" priority="1145" operator="lessThan">
      <formula>0.8</formula>
    </cfRule>
    <cfRule type="cellIs" dxfId="1144" priority="1146" operator="greaterThan">
      <formula>1</formula>
    </cfRule>
  </conditionalFormatting>
  <conditionalFormatting sqref="R96:R105">
    <cfRule type="cellIs" dxfId="1143" priority="1143" operator="greaterThan">
      <formula>1</formula>
    </cfRule>
    <cfRule type="cellIs" dxfId="1142" priority="1144" operator="lessThan">
      <formula>0.8</formula>
    </cfRule>
  </conditionalFormatting>
  <conditionalFormatting sqref="P96:P105">
    <cfRule type="cellIs" dxfId="1141" priority="1142" operator="greaterThan">
      <formula>0</formula>
    </cfRule>
  </conditionalFormatting>
  <conditionalFormatting sqref="Q96:Q105">
    <cfRule type="cellIs" dxfId="1140" priority="1141" operator="lessThan">
      <formula>0</formula>
    </cfRule>
  </conditionalFormatting>
  <conditionalFormatting sqref="R96:R105">
    <cfRule type="cellIs" dxfId="1139" priority="1139" operator="lessThan">
      <formula>0.8</formula>
    </cfRule>
    <cfRule type="cellIs" dxfId="1138" priority="1140" operator="greaterThan">
      <formula>1</formula>
    </cfRule>
  </conditionalFormatting>
  <conditionalFormatting sqref="R96:R105">
    <cfRule type="cellIs" dxfId="1137" priority="1137" operator="greaterThan">
      <formula>1</formula>
    </cfRule>
    <cfRule type="cellIs" dxfId="1136" priority="1138" operator="lessThan">
      <formula>0.8</formula>
    </cfRule>
  </conditionalFormatting>
  <conditionalFormatting sqref="P96:P105">
    <cfRule type="cellIs" dxfId="1135" priority="1136" operator="greaterThan">
      <formula>0</formula>
    </cfRule>
  </conditionalFormatting>
  <conditionalFormatting sqref="Q96:Q105">
    <cfRule type="cellIs" dxfId="1134" priority="1135" operator="lessThan">
      <formula>0</formula>
    </cfRule>
  </conditionalFormatting>
  <conditionalFormatting sqref="R96:R105">
    <cfRule type="cellIs" dxfId="1133" priority="1133" operator="lessThan">
      <formula>0.8</formula>
    </cfRule>
    <cfRule type="cellIs" dxfId="1132" priority="1134" operator="greaterThan">
      <formula>1</formula>
    </cfRule>
  </conditionalFormatting>
  <conditionalFormatting sqref="R96:R105">
    <cfRule type="cellIs" dxfId="1131" priority="1131" operator="greaterThan">
      <formula>1</formula>
    </cfRule>
    <cfRule type="cellIs" dxfId="1130" priority="1132" operator="lessThan">
      <formula>0.8</formula>
    </cfRule>
  </conditionalFormatting>
  <conditionalFormatting sqref="P96:P105">
    <cfRule type="cellIs" dxfId="1129" priority="1130" operator="greaterThan">
      <formula>0</formula>
    </cfRule>
  </conditionalFormatting>
  <conditionalFormatting sqref="Q96:Q105">
    <cfRule type="cellIs" dxfId="1128" priority="1129" operator="lessThan">
      <formula>0</formula>
    </cfRule>
  </conditionalFormatting>
  <conditionalFormatting sqref="R96:R105">
    <cfRule type="cellIs" dxfId="1127" priority="1127" operator="lessThan">
      <formula>0.8</formula>
    </cfRule>
    <cfRule type="cellIs" dxfId="1126" priority="1128" operator="greaterThan">
      <formula>1</formula>
    </cfRule>
  </conditionalFormatting>
  <conditionalFormatting sqref="R96:R105">
    <cfRule type="cellIs" dxfId="1125" priority="1125" operator="greaterThan">
      <formula>1</formula>
    </cfRule>
    <cfRule type="cellIs" dxfId="1124" priority="1126" operator="lessThan">
      <formula>0.8</formula>
    </cfRule>
  </conditionalFormatting>
  <conditionalFormatting sqref="P96:P105">
    <cfRule type="cellIs" dxfId="1123" priority="1124" operator="greaterThan">
      <formula>0</formula>
    </cfRule>
  </conditionalFormatting>
  <conditionalFormatting sqref="P96:P105">
    <cfRule type="cellIs" dxfId="1122" priority="1118" operator="greaterThan">
      <formula>0</formula>
    </cfRule>
  </conditionalFormatting>
  <conditionalFormatting sqref="Q96:Q105">
    <cfRule type="cellIs" dxfId="1121" priority="1123" operator="lessThan">
      <formula>0</formula>
    </cfRule>
  </conditionalFormatting>
  <conditionalFormatting sqref="R96:R105">
    <cfRule type="cellIs" dxfId="1120" priority="1121" operator="lessThan">
      <formula>0.8</formula>
    </cfRule>
    <cfRule type="cellIs" dxfId="1119" priority="1122" operator="greaterThan">
      <formula>1</formula>
    </cfRule>
  </conditionalFormatting>
  <conditionalFormatting sqref="R96:R105">
    <cfRule type="cellIs" dxfId="1118" priority="1119" operator="greaterThan">
      <formula>1</formula>
    </cfRule>
    <cfRule type="cellIs" dxfId="1117" priority="1120" operator="lessThan">
      <formula>0.8</formula>
    </cfRule>
  </conditionalFormatting>
  <conditionalFormatting sqref="P96:P105">
    <cfRule type="cellIs" dxfId="1116" priority="1112" operator="greaterThan">
      <formula>0</formula>
    </cfRule>
  </conditionalFormatting>
  <conditionalFormatting sqref="Q96:Q105">
    <cfRule type="cellIs" dxfId="1115" priority="1117" operator="lessThan">
      <formula>0</formula>
    </cfRule>
  </conditionalFormatting>
  <conditionalFormatting sqref="R96:R105">
    <cfRule type="cellIs" dxfId="1114" priority="1115" operator="lessThan">
      <formula>0.8</formula>
    </cfRule>
    <cfRule type="cellIs" dxfId="1113" priority="1116" operator="greaterThan">
      <formula>1</formula>
    </cfRule>
  </conditionalFormatting>
  <conditionalFormatting sqref="R96:R105">
    <cfRule type="cellIs" dxfId="1112" priority="1113" operator="greaterThan">
      <formula>1</formula>
    </cfRule>
    <cfRule type="cellIs" dxfId="1111" priority="1114" operator="lessThan">
      <formula>0.8</formula>
    </cfRule>
  </conditionalFormatting>
  <conditionalFormatting sqref="R96:R105">
    <cfRule type="cellIs" dxfId="1110" priority="1109" operator="lessThan">
      <formula>0.8</formula>
    </cfRule>
    <cfRule type="cellIs" dxfId="1109" priority="1110" operator="greaterThan">
      <formula>1</formula>
    </cfRule>
  </conditionalFormatting>
  <conditionalFormatting sqref="R96:R105">
    <cfRule type="cellIs" dxfId="1108" priority="1107" operator="greaterThan">
      <formula>1</formula>
    </cfRule>
    <cfRule type="cellIs" dxfId="1107" priority="1108" operator="lessThan">
      <formula>0.8</formula>
    </cfRule>
  </conditionalFormatting>
  <conditionalFormatting sqref="P96:P105">
    <cfRule type="cellIs" dxfId="1106" priority="1106" operator="greaterThan">
      <formula>0</formula>
    </cfRule>
  </conditionalFormatting>
  <conditionalFormatting sqref="Q96:Q105">
    <cfRule type="cellIs" dxfId="1105" priority="1111" operator="lessThan">
      <formula>0</formula>
    </cfRule>
  </conditionalFormatting>
  <conditionalFormatting sqref="Q96:Q105">
    <cfRule type="cellIs" dxfId="1104" priority="1100" operator="lessThan">
      <formula>0</formula>
    </cfRule>
  </conditionalFormatting>
  <conditionalFormatting sqref="P96:P105">
    <cfRule type="cellIs" dxfId="1103" priority="1101" operator="greaterThan">
      <formula>0</formula>
    </cfRule>
  </conditionalFormatting>
  <conditionalFormatting sqref="R96:R105">
    <cfRule type="cellIs" dxfId="1102" priority="1104" operator="lessThan">
      <formula>0.8</formula>
    </cfRule>
    <cfRule type="cellIs" dxfId="1101" priority="1105" operator="greaterThan">
      <formula>1</formula>
    </cfRule>
  </conditionalFormatting>
  <conditionalFormatting sqref="R96:R105">
    <cfRule type="cellIs" dxfId="1100" priority="1102" operator="greaterThan">
      <formula>1</formula>
    </cfRule>
    <cfRule type="cellIs" dxfId="1099" priority="1103" operator="lessThan">
      <formula>0.8</formula>
    </cfRule>
  </conditionalFormatting>
  <conditionalFormatting sqref="Q96:Q105">
    <cfRule type="cellIs" dxfId="1098" priority="1094" operator="lessThan">
      <formula>0</formula>
    </cfRule>
  </conditionalFormatting>
  <conditionalFormatting sqref="R96:R105">
    <cfRule type="cellIs" dxfId="1097" priority="1098" operator="lessThan">
      <formula>0.8</formula>
    </cfRule>
    <cfRule type="cellIs" dxfId="1096" priority="1099" operator="greaterThan">
      <formula>1</formula>
    </cfRule>
  </conditionalFormatting>
  <conditionalFormatting sqref="R96:R105">
    <cfRule type="cellIs" dxfId="1095" priority="1096" operator="greaterThan">
      <formula>1</formula>
    </cfRule>
    <cfRule type="cellIs" dxfId="1094" priority="1097" operator="lessThan">
      <formula>0.8</formula>
    </cfRule>
  </conditionalFormatting>
  <conditionalFormatting sqref="P96:P105">
    <cfRule type="cellIs" dxfId="1093" priority="1095" operator="greaterThan">
      <formula>0</formula>
    </cfRule>
  </conditionalFormatting>
  <conditionalFormatting sqref="Q96:Q105">
    <cfRule type="cellIs" dxfId="1092" priority="1093" operator="lessThan">
      <formula>0</formula>
    </cfRule>
  </conditionalFormatting>
  <conditionalFormatting sqref="R96:R105">
    <cfRule type="cellIs" dxfId="1091" priority="1091" operator="lessThan">
      <formula>0.8</formula>
    </cfRule>
    <cfRule type="cellIs" dxfId="1090" priority="1092" operator="greaterThan">
      <formula>1</formula>
    </cfRule>
  </conditionalFormatting>
  <conditionalFormatting sqref="R96:R105">
    <cfRule type="cellIs" dxfId="1089" priority="1089" operator="greaterThan">
      <formula>1</formula>
    </cfRule>
    <cfRule type="cellIs" dxfId="1088" priority="1090" operator="lessThan">
      <formula>0.8</formula>
    </cfRule>
  </conditionalFormatting>
  <conditionalFormatting sqref="P96:P105">
    <cfRule type="cellIs" dxfId="1087" priority="1088" operator="greaterThan">
      <formula>0</formula>
    </cfRule>
  </conditionalFormatting>
  <conditionalFormatting sqref="Q96:Q105">
    <cfRule type="cellIs" dxfId="1086" priority="1087" operator="lessThan">
      <formula>0</formula>
    </cfRule>
  </conditionalFormatting>
  <conditionalFormatting sqref="R96:R105">
    <cfRule type="cellIs" dxfId="1085" priority="1085" operator="lessThan">
      <formula>0.8</formula>
    </cfRule>
    <cfRule type="cellIs" dxfId="1084" priority="1086" operator="greaterThan">
      <formula>1</formula>
    </cfRule>
  </conditionalFormatting>
  <conditionalFormatting sqref="R96:R105">
    <cfRule type="cellIs" dxfId="1083" priority="1083" operator="greaterThan">
      <formula>1</formula>
    </cfRule>
    <cfRule type="cellIs" dxfId="1082" priority="1084" operator="lessThan">
      <formula>0.8</formula>
    </cfRule>
  </conditionalFormatting>
  <conditionalFormatting sqref="P96:P105">
    <cfRule type="cellIs" dxfId="1081" priority="1082" operator="greaterThan">
      <formula>0</formula>
    </cfRule>
  </conditionalFormatting>
  <conditionalFormatting sqref="Q96:Q105">
    <cfRule type="cellIs" dxfId="1080" priority="1076" operator="lessThan">
      <formula>0</formula>
    </cfRule>
  </conditionalFormatting>
  <conditionalFormatting sqref="P96:P105">
    <cfRule type="cellIs" dxfId="1079" priority="1077" operator="greaterThan">
      <formula>0</formula>
    </cfRule>
  </conditionalFormatting>
  <conditionalFormatting sqref="R96:R105">
    <cfRule type="cellIs" dxfId="1078" priority="1080" operator="lessThan">
      <formula>0.8</formula>
    </cfRule>
    <cfRule type="cellIs" dxfId="1077" priority="1081" operator="greaterThan">
      <formula>1</formula>
    </cfRule>
  </conditionalFormatting>
  <conditionalFormatting sqref="R96:R105">
    <cfRule type="cellIs" dxfId="1076" priority="1078" operator="greaterThan">
      <formula>1</formula>
    </cfRule>
    <cfRule type="cellIs" dxfId="1075" priority="1079" operator="lessThan">
      <formula>0.8</formula>
    </cfRule>
  </conditionalFormatting>
  <conditionalFormatting sqref="Q96:Q105">
    <cfRule type="cellIs" dxfId="1074" priority="1070" operator="lessThan">
      <formula>0</formula>
    </cfRule>
  </conditionalFormatting>
  <conditionalFormatting sqref="R96:R105">
    <cfRule type="cellIs" dxfId="1073" priority="1074" operator="lessThan">
      <formula>0.8</formula>
    </cfRule>
    <cfRule type="cellIs" dxfId="1072" priority="1075" operator="greaterThan">
      <formula>1</formula>
    </cfRule>
  </conditionalFormatting>
  <conditionalFormatting sqref="R96:R105">
    <cfRule type="cellIs" dxfId="1071" priority="1072" operator="greaterThan">
      <formula>1</formula>
    </cfRule>
    <cfRule type="cellIs" dxfId="1070" priority="1073" operator="lessThan">
      <formula>0.8</formula>
    </cfRule>
  </conditionalFormatting>
  <conditionalFormatting sqref="P96:P105">
    <cfRule type="cellIs" dxfId="1069" priority="1071" operator="greaterThan">
      <formula>0</formula>
    </cfRule>
  </conditionalFormatting>
  <conditionalFormatting sqref="Q96:Q105">
    <cfRule type="cellIs" dxfId="1068" priority="1069" operator="lessThan">
      <formula>0</formula>
    </cfRule>
  </conditionalFormatting>
  <conditionalFormatting sqref="R96:R105">
    <cfRule type="cellIs" dxfId="1067" priority="1067" operator="lessThan">
      <formula>0.8</formula>
    </cfRule>
    <cfRule type="cellIs" dxfId="1066" priority="1068" operator="greaterThan">
      <formula>1</formula>
    </cfRule>
  </conditionalFormatting>
  <conditionalFormatting sqref="R96:R105">
    <cfRule type="cellIs" dxfId="1065" priority="1065" operator="greaterThan">
      <formula>1</formula>
    </cfRule>
    <cfRule type="cellIs" dxfId="1064" priority="1066" operator="lessThan">
      <formula>0.8</formula>
    </cfRule>
  </conditionalFormatting>
  <conditionalFormatting sqref="P96:P105">
    <cfRule type="cellIs" dxfId="1063" priority="1064" operator="greaterThan">
      <formula>0</formula>
    </cfRule>
  </conditionalFormatting>
  <conditionalFormatting sqref="Q96:Q105">
    <cfRule type="cellIs" dxfId="1062" priority="1063" operator="lessThan">
      <formula>0</formula>
    </cfRule>
  </conditionalFormatting>
  <conditionalFormatting sqref="R96:R105">
    <cfRule type="cellIs" dxfId="1061" priority="1061" operator="lessThan">
      <formula>0.8</formula>
    </cfRule>
    <cfRule type="cellIs" dxfId="1060" priority="1062" operator="greaterThan">
      <formula>1</formula>
    </cfRule>
  </conditionalFormatting>
  <conditionalFormatting sqref="R96:R105">
    <cfRule type="cellIs" dxfId="1059" priority="1059" operator="greaterThan">
      <formula>1</formula>
    </cfRule>
    <cfRule type="cellIs" dxfId="1058" priority="1060" operator="lessThan">
      <formula>0.8</formula>
    </cfRule>
  </conditionalFormatting>
  <conditionalFormatting sqref="P96:P105">
    <cfRule type="cellIs" dxfId="1057" priority="1058" operator="greaterThan">
      <formula>0</formula>
    </cfRule>
  </conditionalFormatting>
  <conditionalFormatting sqref="P124">
    <cfRule type="cellIs" dxfId="1056" priority="1052" operator="greaterThan">
      <formula>0</formula>
    </cfRule>
  </conditionalFormatting>
  <conditionalFormatting sqref="Q124">
    <cfRule type="cellIs" dxfId="1055" priority="1057" operator="lessThan">
      <formula>0</formula>
    </cfRule>
  </conditionalFormatting>
  <conditionalFormatting sqref="R124">
    <cfRule type="cellIs" dxfId="1054" priority="1055" operator="lessThan">
      <formula>0.8</formula>
    </cfRule>
    <cfRule type="cellIs" dxfId="1053" priority="1056" operator="greaterThan">
      <formula>1</formula>
    </cfRule>
  </conditionalFormatting>
  <conditionalFormatting sqref="R124">
    <cfRule type="cellIs" dxfId="1052" priority="1053" operator="greaterThan">
      <formula>1</formula>
    </cfRule>
    <cfRule type="cellIs" dxfId="1051" priority="1054" operator="lessThan">
      <formula>0.8</formula>
    </cfRule>
  </conditionalFormatting>
  <conditionalFormatting sqref="Q124">
    <cfRule type="cellIs" dxfId="1050" priority="1051" operator="lessThan">
      <formula>0</formula>
    </cfRule>
  </conditionalFormatting>
  <conditionalFormatting sqref="R124">
    <cfRule type="cellIs" dxfId="1049" priority="1049" operator="lessThan">
      <formula>0.8</formula>
    </cfRule>
    <cfRule type="cellIs" dxfId="1048" priority="1050" operator="greaterThan">
      <formula>1</formula>
    </cfRule>
  </conditionalFormatting>
  <conditionalFormatting sqref="R124">
    <cfRule type="cellIs" dxfId="1047" priority="1047" operator="greaterThan">
      <formula>1</formula>
    </cfRule>
    <cfRule type="cellIs" dxfId="1046" priority="1048" operator="lessThan">
      <formula>0.8</formula>
    </cfRule>
  </conditionalFormatting>
  <conditionalFormatting sqref="P124">
    <cfRule type="cellIs" dxfId="1045" priority="1046" operator="greaterThan">
      <formula>0</formula>
    </cfRule>
  </conditionalFormatting>
  <conditionalFormatting sqref="Q123 Q126:Q131">
    <cfRule type="cellIs" dxfId="1044" priority="1045" operator="lessThan">
      <formula>0</formula>
    </cfRule>
  </conditionalFormatting>
  <conditionalFormatting sqref="R123 R126:R131">
    <cfRule type="cellIs" dxfId="1043" priority="1043" operator="lessThan">
      <formula>0.8</formula>
    </cfRule>
    <cfRule type="cellIs" dxfId="1042" priority="1044" operator="greaterThan">
      <formula>1</formula>
    </cfRule>
  </conditionalFormatting>
  <conditionalFormatting sqref="R123 R126:R131">
    <cfRule type="cellIs" dxfId="1041" priority="1041" operator="greaterThan">
      <formula>1</formula>
    </cfRule>
    <cfRule type="cellIs" dxfId="1040" priority="1042" operator="lessThan">
      <formula>0.8</formula>
    </cfRule>
  </conditionalFormatting>
  <conditionalFormatting sqref="P123 P126:P131">
    <cfRule type="cellIs" dxfId="1039" priority="1040" operator="greaterThan">
      <formula>0</formula>
    </cfRule>
  </conditionalFormatting>
  <conditionalFormatting sqref="P123 P126:P131">
    <cfRule type="cellIs" dxfId="1038" priority="1034" operator="greaterThan">
      <formula>0</formula>
    </cfRule>
  </conditionalFormatting>
  <conditionalFormatting sqref="Q123 Q126:Q131">
    <cfRule type="cellIs" dxfId="1037" priority="1039" operator="lessThan">
      <formula>0</formula>
    </cfRule>
  </conditionalFormatting>
  <conditionalFormatting sqref="R123 R126:R131">
    <cfRule type="cellIs" dxfId="1036" priority="1037" operator="lessThan">
      <formula>0.8</formula>
    </cfRule>
    <cfRule type="cellIs" dxfId="1035" priority="1038" operator="greaterThan">
      <formula>1</formula>
    </cfRule>
  </conditionalFormatting>
  <conditionalFormatting sqref="R123 R126:R131">
    <cfRule type="cellIs" dxfId="1034" priority="1035" operator="greaterThan">
      <formula>1</formula>
    </cfRule>
    <cfRule type="cellIs" dxfId="1033" priority="1036" operator="lessThan">
      <formula>0.8</formula>
    </cfRule>
  </conditionalFormatting>
  <conditionalFormatting sqref="P122 P125">
    <cfRule type="cellIs" dxfId="1032" priority="1028" operator="greaterThan">
      <formula>0</formula>
    </cfRule>
  </conditionalFormatting>
  <conditionalFormatting sqref="Q122 Q125">
    <cfRule type="cellIs" dxfId="1031" priority="1033" operator="lessThan">
      <formula>0</formula>
    </cfRule>
  </conditionalFormatting>
  <conditionalFormatting sqref="R122 R125">
    <cfRule type="cellIs" dxfId="1030" priority="1031" operator="lessThan">
      <formula>0.8</formula>
    </cfRule>
    <cfRule type="cellIs" dxfId="1029" priority="1032" operator="greaterThan">
      <formula>1</formula>
    </cfRule>
  </conditionalFormatting>
  <conditionalFormatting sqref="R122 R125">
    <cfRule type="cellIs" dxfId="1028" priority="1029" operator="greaterThan">
      <formula>1</formula>
    </cfRule>
    <cfRule type="cellIs" dxfId="1027" priority="1030" operator="lessThan">
      <formula>0.8</formula>
    </cfRule>
  </conditionalFormatting>
  <conditionalFormatting sqref="P137 P140 P142 P144">
    <cfRule type="cellIs" dxfId="1026" priority="1027" operator="greaterThan">
      <formula>0</formula>
    </cfRule>
  </conditionalFormatting>
  <conditionalFormatting sqref="Q137:Q145">
    <cfRule type="cellIs" dxfId="1025" priority="1026" operator="lessThan">
      <formula>0</formula>
    </cfRule>
  </conditionalFormatting>
  <conditionalFormatting sqref="R137">
    <cfRule type="cellIs" dxfId="1024" priority="1024" operator="lessThan">
      <formula>0.8</formula>
    </cfRule>
    <cfRule type="cellIs" dxfId="1023" priority="1025" operator="greaterThan">
      <formula>1</formula>
    </cfRule>
  </conditionalFormatting>
  <conditionalFormatting sqref="R137">
    <cfRule type="cellIs" dxfId="1022" priority="1022" operator="greaterThan">
      <formula>1</formula>
    </cfRule>
    <cfRule type="cellIs" dxfId="1021" priority="1023" operator="lessThan">
      <formula>0.8</formula>
    </cfRule>
  </conditionalFormatting>
  <conditionalFormatting sqref="P137 P140 P142 P144">
    <cfRule type="cellIs" dxfId="1020" priority="1021" operator="greaterThan">
      <formula>0</formula>
    </cfRule>
  </conditionalFormatting>
  <conditionalFormatting sqref="Q137:Q145">
    <cfRule type="cellIs" dxfId="1019" priority="1020" operator="lessThan">
      <formula>0</formula>
    </cfRule>
  </conditionalFormatting>
  <conditionalFormatting sqref="R137">
    <cfRule type="cellIs" dxfId="1018" priority="1018" operator="lessThan">
      <formula>0.8</formula>
    </cfRule>
    <cfRule type="cellIs" dxfId="1017" priority="1019" operator="greaterThan">
      <formula>1</formula>
    </cfRule>
  </conditionalFormatting>
  <conditionalFormatting sqref="R137">
    <cfRule type="cellIs" dxfId="1016" priority="1016" operator="greaterThan">
      <formula>1</formula>
    </cfRule>
    <cfRule type="cellIs" dxfId="1015" priority="1017" operator="lessThan">
      <formula>0.8</formula>
    </cfRule>
  </conditionalFormatting>
  <conditionalFormatting sqref="P137 P140 P142 P144">
    <cfRule type="cellIs" dxfId="1014" priority="1015" operator="greaterThan">
      <formula>0</formula>
    </cfRule>
  </conditionalFormatting>
  <conditionalFormatting sqref="P137 P140 P142 P144">
    <cfRule type="cellIs" dxfId="1013" priority="1009" operator="greaterThan">
      <formula>0</formula>
    </cfRule>
  </conditionalFormatting>
  <conditionalFormatting sqref="Q137:Q145">
    <cfRule type="cellIs" dxfId="1012" priority="1014" operator="lessThan">
      <formula>0</formula>
    </cfRule>
  </conditionalFormatting>
  <conditionalFormatting sqref="R137">
    <cfRule type="cellIs" dxfId="1011" priority="1012" operator="lessThan">
      <formula>0.8</formula>
    </cfRule>
    <cfRule type="cellIs" dxfId="1010" priority="1013" operator="greaterThan">
      <formula>1</formula>
    </cfRule>
  </conditionalFormatting>
  <conditionalFormatting sqref="R137">
    <cfRule type="cellIs" dxfId="1009" priority="1010" operator="greaterThan">
      <formula>1</formula>
    </cfRule>
    <cfRule type="cellIs" dxfId="1008" priority="1011" operator="lessThan">
      <formula>0.8</formula>
    </cfRule>
  </conditionalFormatting>
  <conditionalFormatting sqref="Q137:Q145">
    <cfRule type="cellIs" dxfId="1007" priority="1008" operator="lessThan">
      <formula>0</formula>
    </cfRule>
  </conditionalFormatting>
  <conditionalFormatting sqref="R137">
    <cfRule type="cellIs" dxfId="1006" priority="1006" operator="lessThan">
      <formula>0.8</formula>
    </cfRule>
    <cfRule type="cellIs" dxfId="1005" priority="1007" operator="greaterThan">
      <formula>1</formula>
    </cfRule>
  </conditionalFormatting>
  <conditionalFormatting sqref="R137">
    <cfRule type="cellIs" dxfId="1004" priority="1004" operator="greaterThan">
      <formula>1</formula>
    </cfRule>
    <cfRule type="cellIs" dxfId="1003" priority="1005" operator="lessThan">
      <formula>0.8</formula>
    </cfRule>
  </conditionalFormatting>
  <conditionalFormatting sqref="P137 P140 P142 P144">
    <cfRule type="cellIs" dxfId="1002" priority="1003" operator="greaterThan">
      <formula>0</formula>
    </cfRule>
  </conditionalFormatting>
  <conditionalFormatting sqref="Q137:Q145">
    <cfRule type="cellIs" dxfId="1001" priority="1002" operator="lessThan">
      <formula>0</formula>
    </cfRule>
  </conditionalFormatting>
  <conditionalFormatting sqref="R137">
    <cfRule type="cellIs" dxfId="1000" priority="1000" operator="lessThan">
      <formula>0.8</formula>
    </cfRule>
    <cfRule type="cellIs" dxfId="999" priority="1001" operator="greaterThan">
      <formula>1</formula>
    </cfRule>
  </conditionalFormatting>
  <conditionalFormatting sqref="R137">
    <cfRule type="cellIs" dxfId="998" priority="998" operator="greaterThan">
      <formula>1</formula>
    </cfRule>
    <cfRule type="cellIs" dxfId="997" priority="999" operator="lessThan">
      <formula>0.8</formula>
    </cfRule>
  </conditionalFormatting>
  <conditionalFormatting sqref="P137 P140 P142 P144">
    <cfRule type="cellIs" dxfId="996" priority="997" operator="greaterThan">
      <formula>0</formula>
    </cfRule>
  </conditionalFormatting>
  <conditionalFormatting sqref="P137 P140 P142 P144">
    <cfRule type="cellIs" dxfId="995" priority="991" operator="greaterThan">
      <formula>0</formula>
    </cfRule>
  </conditionalFormatting>
  <conditionalFormatting sqref="Q137:Q145">
    <cfRule type="cellIs" dxfId="994" priority="996" operator="lessThan">
      <formula>0</formula>
    </cfRule>
  </conditionalFormatting>
  <conditionalFormatting sqref="R137">
    <cfRule type="cellIs" dxfId="993" priority="994" operator="lessThan">
      <formula>0.8</formula>
    </cfRule>
    <cfRule type="cellIs" dxfId="992" priority="995" operator="greaterThan">
      <formula>1</formula>
    </cfRule>
  </conditionalFormatting>
  <conditionalFormatting sqref="R137">
    <cfRule type="cellIs" dxfId="991" priority="992" operator="greaterThan">
      <formula>1</formula>
    </cfRule>
    <cfRule type="cellIs" dxfId="990" priority="993" operator="lessThan">
      <formula>0.8</formula>
    </cfRule>
  </conditionalFormatting>
  <conditionalFormatting sqref="Q137:Q145">
    <cfRule type="cellIs" dxfId="989" priority="990" operator="lessThan">
      <formula>0</formula>
    </cfRule>
  </conditionalFormatting>
  <conditionalFormatting sqref="R137">
    <cfRule type="cellIs" dxfId="988" priority="988" operator="lessThan">
      <formula>0.8</formula>
    </cfRule>
    <cfRule type="cellIs" dxfId="987" priority="989" operator="greaterThan">
      <formula>1</formula>
    </cfRule>
  </conditionalFormatting>
  <conditionalFormatting sqref="R137">
    <cfRule type="cellIs" dxfId="986" priority="986" operator="greaterThan">
      <formula>1</formula>
    </cfRule>
    <cfRule type="cellIs" dxfId="985" priority="987" operator="lessThan">
      <formula>0.8</formula>
    </cfRule>
  </conditionalFormatting>
  <conditionalFormatting sqref="P137 P140 P142 P144">
    <cfRule type="cellIs" dxfId="984" priority="985" operator="greaterThan">
      <formula>0</formula>
    </cfRule>
  </conditionalFormatting>
  <conditionalFormatting sqref="Q137:Q145">
    <cfRule type="cellIs" dxfId="983" priority="984" operator="lessThan">
      <formula>0</formula>
    </cfRule>
  </conditionalFormatting>
  <conditionalFormatting sqref="R137">
    <cfRule type="cellIs" dxfId="982" priority="982" operator="lessThan">
      <formula>0.8</formula>
    </cfRule>
    <cfRule type="cellIs" dxfId="981" priority="983" operator="greaterThan">
      <formula>1</formula>
    </cfRule>
  </conditionalFormatting>
  <conditionalFormatting sqref="R137">
    <cfRule type="cellIs" dxfId="980" priority="980" operator="greaterThan">
      <formula>1</formula>
    </cfRule>
    <cfRule type="cellIs" dxfId="979" priority="981" operator="lessThan">
      <formula>0.8</formula>
    </cfRule>
  </conditionalFormatting>
  <conditionalFormatting sqref="P137 P140 P142 P144">
    <cfRule type="cellIs" dxfId="978" priority="979" operator="greaterThan">
      <formula>0</formula>
    </cfRule>
  </conditionalFormatting>
  <conditionalFormatting sqref="P137 P140 P142 P144">
    <cfRule type="cellIs" dxfId="977" priority="973" operator="greaterThan">
      <formula>0</formula>
    </cfRule>
  </conditionalFormatting>
  <conditionalFormatting sqref="Q137:Q145">
    <cfRule type="cellIs" dxfId="976" priority="978" operator="lessThan">
      <formula>0</formula>
    </cfRule>
  </conditionalFormatting>
  <conditionalFormatting sqref="R137">
    <cfRule type="cellIs" dxfId="975" priority="976" operator="lessThan">
      <formula>0.8</formula>
    </cfRule>
    <cfRule type="cellIs" dxfId="974" priority="977" operator="greaterThan">
      <formula>1</formula>
    </cfRule>
  </conditionalFormatting>
  <conditionalFormatting sqref="R137">
    <cfRule type="cellIs" dxfId="973" priority="974" operator="greaterThan">
      <formula>1</formula>
    </cfRule>
    <cfRule type="cellIs" dxfId="972" priority="975" operator="lessThan">
      <formula>0.8</formula>
    </cfRule>
  </conditionalFormatting>
  <conditionalFormatting sqref="Q137:Q145">
    <cfRule type="cellIs" dxfId="971" priority="972" operator="lessThan">
      <formula>0</formula>
    </cfRule>
  </conditionalFormatting>
  <conditionalFormatting sqref="R137">
    <cfRule type="cellIs" dxfId="970" priority="970" operator="lessThan">
      <formula>0.8</formula>
    </cfRule>
    <cfRule type="cellIs" dxfId="969" priority="971" operator="greaterThan">
      <formula>1</formula>
    </cfRule>
  </conditionalFormatting>
  <conditionalFormatting sqref="R137">
    <cfRule type="cellIs" dxfId="968" priority="968" operator="greaterThan">
      <formula>1</formula>
    </cfRule>
    <cfRule type="cellIs" dxfId="967" priority="969" operator="lessThan">
      <formula>0.8</formula>
    </cfRule>
  </conditionalFormatting>
  <conditionalFormatting sqref="P137 P140 P142 P144">
    <cfRule type="cellIs" dxfId="966" priority="967" operator="greaterThan">
      <formula>0</formula>
    </cfRule>
  </conditionalFormatting>
  <conditionalFormatting sqref="P138">
    <cfRule type="cellIs" dxfId="965" priority="962" operator="greaterThan">
      <formula>0</formula>
    </cfRule>
  </conditionalFormatting>
  <conditionalFormatting sqref="R138">
    <cfRule type="cellIs" dxfId="964" priority="965" operator="lessThan">
      <formula>0.8</formula>
    </cfRule>
    <cfRule type="cellIs" dxfId="963" priority="966" operator="greaterThan">
      <formula>1</formula>
    </cfRule>
  </conditionalFormatting>
  <conditionalFormatting sqref="R138">
    <cfRule type="cellIs" dxfId="962" priority="963" operator="greaterThan">
      <formula>1</formula>
    </cfRule>
    <cfRule type="cellIs" dxfId="961" priority="964" operator="lessThan">
      <formula>0.8</formula>
    </cfRule>
  </conditionalFormatting>
  <conditionalFormatting sqref="R138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">
    <cfRule type="cellIs" dxfId="956" priority="957" operator="greaterThan">
      <formula>0</formula>
    </cfRule>
  </conditionalFormatting>
  <conditionalFormatting sqref="R138">
    <cfRule type="cellIs" dxfId="955" priority="955" operator="lessThan">
      <formula>0.8</formula>
    </cfRule>
    <cfRule type="cellIs" dxfId="954" priority="956" operator="greaterThan">
      <formula>1</formula>
    </cfRule>
  </conditionalFormatting>
  <conditionalFormatting sqref="R138">
    <cfRule type="cellIs" dxfId="953" priority="953" operator="greaterThan">
      <formula>1</formula>
    </cfRule>
    <cfRule type="cellIs" dxfId="952" priority="954" operator="lessThan">
      <formula>0.8</formula>
    </cfRule>
  </conditionalFormatting>
  <conditionalFormatting sqref="P138">
    <cfRule type="cellIs" dxfId="951" priority="952" operator="greaterThan">
      <formula>0</formula>
    </cfRule>
  </conditionalFormatting>
  <conditionalFormatting sqref="R138">
    <cfRule type="cellIs" dxfId="950" priority="950" operator="lessThan">
      <formula>0.8</formula>
    </cfRule>
    <cfRule type="cellIs" dxfId="949" priority="951" operator="greaterThan">
      <formula>1</formula>
    </cfRule>
  </conditionalFormatting>
  <conditionalFormatting sqref="R138">
    <cfRule type="cellIs" dxfId="948" priority="948" operator="greaterThan">
      <formula>1</formula>
    </cfRule>
    <cfRule type="cellIs" dxfId="947" priority="949" operator="lessThan">
      <formula>0.8</formula>
    </cfRule>
  </conditionalFormatting>
  <conditionalFormatting sqref="P138">
    <cfRule type="cellIs" dxfId="946" priority="947" operator="greaterThan">
      <formula>0</formula>
    </cfRule>
  </conditionalFormatting>
  <conditionalFormatting sqref="R138">
    <cfRule type="cellIs" dxfId="945" priority="945" operator="lessThan">
      <formula>0.8</formula>
    </cfRule>
    <cfRule type="cellIs" dxfId="944" priority="946" operator="greaterThan">
      <formula>1</formula>
    </cfRule>
  </conditionalFormatting>
  <conditionalFormatting sqref="R138">
    <cfRule type="cellIs" dxfId="943" priority="943" operator="greaterThan">
      <formula>1</formula>
    </cfRule>
    <cfRule type="cellIs" dxfId="942" priority="944" operator="lessThan">
      <formula>0.8</formula>
    </cfRule>
  </conditionalFormatting>
  <conditionalFormatting sqref="R138">
    <cfRule type="cellIs" dxfId="941" priority="941" operator="lessThan">
      <formula>0.8</formula>
    </cfRule>
    <cfRule type="cellIs" dxfId="940" priority="942" operator="greaterThan">
      <formula>1</formula>
    </cfRule>
  </conditionalFormatting>
  <conditionalFormatting sqref="R138">
    <cfRule type="cellIs" dxfId="939" priority="939" operator="greaterThan">
      <formula>1</formula>
    </cfRule>
    <cfRule type="cellIs" dxfId="938" priority="940" operator="lessThan">
      <formula>0.8</formula>
    </cfRule>
  </conditionalFormatting>
  <conditionalFormatting sqref="P138">
    <cfRule type="cellIs" dxfId="937" priority="938" operator="greaterThan">
      <formula>0</formula>
    </cfRule>
  </conditionalFormatting>
  <conditionalFormatting sqref="P138">
    <cfRule type="cellIs" dxfId="936" priority="933" operator="greaterThan">
      <formula>0</formula>
    </cfRule>
  </conditionalFormatting>
  <conditionalFormatting sqref="R138">
    <cfRule type="cellIs" dxfId="935" priority="936" operator="lessThan">
      <formula>0.8</formula>
    </cfRule>
    <cfRule type="cellIs" dxfId="934" priority="937" operator="greaterThan">
      <formula>1</formula>
    </cfRule>
  </conditionalFormatting>
  <conditionalFormatting sqref="R138">
    <cfRule type="cellIs" dxfId="933" priority="934" operator="greaterThan">
      <formula>1</formula>
    </cfRule>
    <cfRule type="cellIs" dxfId="932" priority="935" operator="lessThan">
      <formula>0.8</formula>
    </cfRule>
  </conditionalFormatting>
  <conditionalFormatting sqref="R138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">
    <cfRule type="cellIs" dxfId="927" priority="928" operator="greaterThan">
      <formula>0</formula>
    </cfRule>
  </conditionalFormatting>
  <conditionalFormatting sqref="Q148:Q156">
    <cfRule type="cellIs" dxfId="926" priority="927" operator="lessThan">
      <formula>0</formula>
    </cfRule>
  </conditionalFormatting>
  <conditionalFormatting sqref="R148:R156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6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6">
    <cfRule type="cellIs" dxfId="921" priority="922" operator="greaterThan">
      <formula>0</formula>
    </cfRule>
  </conditionalFormatting>
  <conditionalFormatting sqref="P148:P156">
    <cfRule type="cellIs" dxfId="920" priority="916" operator="greaterThan">
      <formula>0</formula>
    </cfRule>
  </conditionalFormatting>
  <conditionalFormatting sqref="Q148:Q156">
    <cfRule type="cellIs" dxfId="919" priority="921" operator="lessThan">
      <formula>0</formula>
    </cfRule>
  </conditionalFormatting>
  <conditionalFormatting sqref="R148:R156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6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6">
    <cfRule type="cellIs" dxfId="914" priority="915" operator="lessThan">
      <formula>0</formula>
    </cfRule>
  </conditionalFormatting>
  <conditionalFormatting sqref="R148:R156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6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6">
    <cfRule type="cellIs" dxfId="909" priority="910" operator="greaterThan">
      <formula>0</formula>
    </cfRule>
  </conditionalFormatting>
  <conditionalFormatting sqref="Q148:Q156">
    <cfRule type="cellIs" dxfId="908" priority="909" operator="lessThan">
      <formula>0</formula>
    </cfRule>
  </conditionalFormatting>
  <conditionalFormatting sqref="R148:R156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6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6">
    <cfRule type="cellIs" dxfId="903" priority="904" operator="greaterThan">
      <formula>0</formula>
    </cfRule>
  </conditionalFormatting>
  <conditionalFormatting sqref="P148:P156">
    <cfRule type="cellIs" dxfId="902" priority="898" operator="greaterThan">
      <formula>0</formula>
    </cfRule>
  </conditionalFormatting>
  <conditionalFormatting sqref="Q148:Q156">
    <cfRule type="cellIs" dxfId="901" priority="903" operator="lessThan">
      <formula>0</formula>
    </cfRule>
  </conditionalFormatting>
  <conditionalFormatting sqref="R148:R156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6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6">
    <cfRule type="cellIs" dxfId="896" priority="897" operator="lessThan">
      <formula>0</formula>
    </cfRule>
  </conditionalFormatting>
  <conditionalFormatting sqref="R148:R156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6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6">
    <cfRule type="cellIs" dxfId="891" priority="892" operator="greaterThan">
      <formula>0</formula>
    </cfRule>
  </conditionalFormatting>
  <conditionalFormatting sqref="Q148:Q156">
    <cfRule type="cellIs" dxfId="890" priority="886" operator="lessThan">
      <formula>0</formula>
    </cfRule>
  </conditionalFormatting>
  <conditionalFormatting sqref="P148:P156">
    <cfRule type="cellIs" dxfId="889" priority="887" operator="greaterThan">
      <formula>0</formula>
    </cfRule>
  </conditionalFormatting>
  <conditionalFormatting sqref="R148:R156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6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6">
    <cfRule type="cellIs" dxfId="884" priority="880" operator="lessThan">
      <formula>0</formula>
    </cfRule>
  </conditionalFormatting>
  <conditionalFormatting sqref="R148:R156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6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6">
    <cfRule type="cellIs" dxfId="879" priority="881" operator="greaterThan">
      <formula>0</formula>
    </cfRule>
  </conditionalFormatting>
  <conditionalFormatting sqref="Q148:Q156">
    <cfRule type="cellIs" dxfId="878" priority="879" operator="lessThan">
      <formula>0</formula>
    </cfRule>
  </conditionalFormatting>
  <conditionalFormatting sqref="R148:R156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6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6">
    <cfRule type="cellIs" dxfId="873" priority="874" operator="greaterThan">
      <formula>0</formula>
    </cfRule>
  </conditionalFormatting>
  <conditionalFormatting sqref="Q148:Q156">
    <cfRule type="cellIs" dxfId="872" priority="873" operator="lessThan">
      <formula>0</formula>
    </cfRule>
  </conditionalFormatting>
  <conditionalFormatting sqref="R148:R156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6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6">
    <cfRule type="cellIs" dxfId="867" priority="868" operator="greaterThan">
      <formula>0</formula>
    </cfRule>
  </conditionalFormatting>
  <conditionalFormatting sqref="Q148:Q156">
    <cfRule type="cellIs" dxfId="866" priority="867" operator="lessThan">
      <formula>0</formula>
    </cfRule>
  </conditionalFormatting>
  <conditionalFormatting sqref="R148:R156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6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6">
    <cfRule type="cellIs" dxfId="861" priority="862" operator="greaterThan">
      <formula>0</formula>
    </cfRule>
  </conditionalFormatting>
  <conditionalFormatting sqref="Q148:Q156">
    <cfRule type="cellIs" dxfId="860" priority="861" operator="lessThan">
      <formula>0</formula>
    </cfRule>
  </conditionalFormatting>
  <conditionalFormatting sqref="R148:R156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6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6">
    <cfRule type="cellIs" dxfId="855" priority="856" operator="greaterThan">
      <formula>0</formula>
    </cfRule>
  </conditionalFormatting>
  <conditionalFormatting sqref="Q148:Q156">
    <cfRule type="cellIs" dxfId="854" priority="855" operator="lessThan">
      <formula>0</formula>
    </cfRule>
  </conditionalFormatting>
  <conditionalFormatting sqref="R148:R156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6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6">
    <cfRule type="cellIs" dxfId="849" priority="850" operator="greaterThan">
      <formula>0</formula>
    </cfRule>
  </conditionalFormatting>
  <conditionalFormatting sqref="Q148:Q156">
    <cfRule type="cellIs" dxfId="848" priority="849" operator="lessThan">
      <formula>0</formula>
    </cfRule>
  </conditionalFormatting>
  <conditionalFormatting sqref="R148:R156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6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6">
    <cfRule type="cellIs" dxfId="843" priority="844" operator="greaterThan">
      <formula>0</formula>
    </cfRule>
  </conditionalFormatting>
  <conditionalFormatting sqref="Q148:Q156">
    <cfRule type="cellIs" dxfId="842" priority="843" operator="lessThan">
      <formula>0</formula>
    </cfRule>
  </conditionalFormatting>
  <conditionalFormatting sqref="R148:R156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6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6">
    <cfRule type="cellIs" dxfId="837" priority="838" operator="greaterThan">
      <formula>0</formula>
    </cfRule>
  </conditionalFormatting>
  <conditionalFormatting sqref="P148:P156">
    <cfRule type="cellIs" dxfId="836" priority="832" operator="greaterThan">
      <formula>0</formula>
    </cfRule>
  </conditionalFormatting>
  <conditionalFormatting sqref="Q148:Q156">
    <cfRule type="cellIs" dxfId="835" priority="837" operator="lessThan">
      <formula>0</formula>
    </cfRule>
  </conditionalFormatting>
  <conditionalFormatting sqref="R148:R156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6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6">
    <cfRule type="cellIs" dxfId="830" priority="826" operator="greaterThan">
      <formula>0</formula>
    </cfRule>
  </conditionalFormatting>
  <conditionalFormatting sqref="Q148:Q156">
    <cfRule type="cellIs" dxfId="829" priority="831" operator="lessThan">
      <formula>0</formula>
    </cfRule>
  </conditionalFormatting>
  <conditionalFormatting sqref="R148:R156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6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6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6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6">
    <cfRule type="cellIs" dxfId="820" priority="820" operator="greaterThan">
      <formula>0</formula>
    </cfRule>
  </conditionalFormatting>
  <conditionalFormatting sqref="Q148:Q156">
    <cfRule type="cellIs" dxfId="819" priority="825" operator="lessThan">
      <formula>0</formula>
    </cfRule>
  </conditionalFormatting>
  <conditionalFormatting sqref="Q148:Q156">
    <cfRule type="cellIs" dxfId="818" priority="819" operator="lessThan">
      <formula>0</formula>
    </cfRule>
  </conditionalFormatting>
  <conditionalFormatting sqref="R148:R156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6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6">
    <cfRule type="cellIs" dxfId="813" priority="814" operator="greaterThan">
      <formula>0</formula>
    </cfRule>
  </conditionalFormatting>
  <conditionalFormatting sqref="P148:P156">
    <cfRule type="cellIs" dxfId="812" priority="808" operator="greaterThan">
      <formula>0</formula>
    </cfRule>
  </conditionalFormatting>
  <conditionalFormatting sqref="Q148:Q156">
    <cfRule type="cellIs" dxfId="811" priority="813" operator="lessThan">
      <formula>0</formula>
    </cfRule>
  </conditionalFormatting>
  <conditionalFormatting sqref="R148:R156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6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6">
    <cfRule type="cellIs" dxfId="806" priority="802" operator="greaterThan">
      <formula>0</formula>
    </cfRule>
  </conditionalFormatting>
  <conditionalFormatting sqref="Q148:Q156">
    <cfRule type="cellIs" dxfId="805" priority="807" operator="lessThan">
      <formula>0</formula>
    </cfRule>
  </conditionalFormatting>
  <conditionalFormatting sqref="R148:R156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6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6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6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6">
    <cfRule type="cellIs" dxfId="796" priority="796" operator="greaterThan">
      <formula>0</formula>
    </cfRule>
  </conditionalFormatting>
  <conditionalFormatting sqref="Q148:Q156">
    <cfRule type="cellIs" dxfId="795" priority="801" operator="lessThan">
      <formula>0</formula>
    </cfRule>
  </conditionalFormatting>
  <conditionalFormatting sqref="P148:P156">
    <cfRule type="cellIs" dxfId="794" priority="790" operator="greaterThan">
      <formula>0</formula>
    </cfRule>
  </conditionalFormatting>
  <conditionalFormatting sqref="Q148:Q156">
    <cfRule type="cellIs" dxfId="793" priority="795" operator="lessThan">
      <formula>0</formula>
    </cfRule>
  </conditionalFormatting>
  <conditionalFormatting sqref="R148:R156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6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6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6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6">
    <cfRule type="cellIs" dxfId="784" priority="784" operator="greaterThan">
      <formula>0</formula>
    </cfRule>
  </conditionalFormatting>
  <conditionalFormatting sqref="Q148:Q156">
    <cfRule type="cellIs" dxfId="783" priority="789" operator="lessThan">
      <formula>0</formula>
    </cfRule>
  </conditionalFormatting>
  <conditionalFormatting sqref="R148:R156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6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6">
    <cfRule type="cellIs" dxfId="778" priority="778" operator="greaterThan">
      <formula>0</formula>
    </cfRule>
  </conditionalFormatting>
  <conditionalFormatting sqref="Q148:Q156">
    <cfRule type="cellIs" dxfId="777" priority="783" operator="lessThan">
      <formula>0</formula>
    </cfRule>
  </conditionalFormatting>
  <conditionalFormatting sqref="Q148:Q156">
    <cfRule type="cellIs" dxfId="776" priority="777" operator="lessThan">
      <formula>0</formula>
    </cfRule>
  </conditionalFormatting>
  <conditionalFormatting sqref="R148:R156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6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6">
    <cfRule type="cellIs" dxfId="771" priority="772" operator="greaterThan">
      <formula>0</formula>
    </cfRule>
  </conditionalFormatting>
  <conditionalFormatting sqref="Q148:Q156">
    <cfRule type="cellIs" dxfId="770" priority="766" operator="lessThan">
      <formula>0</formula>
    </cfRule>
  </conditionalFormatting>
  <conditionalFormatting sqref="R148:R156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6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6">
    <cfRule type="cellIs" dxfId="765" priority="767" operator="greaterThan">
      <formula>0</formula>
    </cfRule>
  </conditionalFormatting>
  <conditionalFormatting sqref="Q148:Q156">
    <cfRule type="cellIs" dxfId="764" priority="765" operator="lessThan">
      <formula>0</formula>
    </cfRule>
  </conditionalFormatting>
  <conditionalFormatting sqref="R148:R156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6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6">
    <cfRule type="cellIs" dxfId="759" priority="760" operator="greaterThan">
      <formula>0</formula>
    </cfRule>
  </conditionalFormatting>
  <conditionalFormatting sqref="Q148:Q156">
    <cfRule type="cellIs" dxfId="758" priority="759" operator="lessThan">
      <formula>0</formula>
    </cfRule>
  </conditionalFormatting>
  <conditionalFormatting sqref="R148:R156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6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6">
    <cfRule type="cellIs" dxfId="753" priority="754" operator="greaterThan">
      <formula>0</formula>
    </cfRule>
  </conditionalFormatting>
  <conditionalFormatting sqref="Q148:Q156">
    <cfRule type="cellIs" dxfId="752" priority="753" operator="lessThan">
      <formula>0</formula>
    </cfRule>
  </conditionalFormatting>
  <conditionalFormatting sqref="R148:R156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6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6">
    <cfRule type="cellIs" dxfId="747" priority="748" operator="greaterThan">
      <formula>0</formula>
    </cfRule>
  </conditionalFormatting>
  <conditionalFormatting sqref="Q148:Q156">
    <cfRule type="cellIs" dxfId="746" priority="747" operator="lessThan">
      <formula>0</formula>
    </cfRule>
  </conditionalFormatting>
  <conditionalFormatting sqref="R148:R156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6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6">
    <cfRule type="cellIs" dxfId="741" priority="742" operator="greaterThan">
      <formula>0</formula>
    </cfRule>
  </conditionalFormatting>
  <conditionalFormatting sqref="Q148:Q156">
    <cfRule type="cellIs" dxfId="740" priority="741" operator="lessThan">
      <formula>0</formula>
    </cfRule>
  </conditionalFormatting>
  <conditionalFormatting sqref="R148:R156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6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6">
    <cfRule type="cellIs" dxfId="735" priority="736" operator="greaterThan">
      <formula>0</formula>
    </cfRule>
  </conditionalFormatting>
  <conditionalFormatting sqref="P148:P156">
    <cfRule type="cellIs" dxfId="734" priority="730" operator="greaterThan">
      <formula>0</formula>
    </cfRule>
  </conditionalFormatting>
  <conditionalFormatting sqref="Q148:Q156">
    <cfRule type="cellIs" dxfId="733" priority="735" operator="lessThan">
      <formula>0</formula>
    </cfRule>
  </conditionalFormatting>
  <conditionalFormatting sqref="R148:R156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6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6">
    <cfRule type="cellIs" dxfId="728" priority="724" operator="greaterThan">
      <formula>0</formula>
    </cfRule>
  </conditionalFormatting>
  <conditionalFormatting sqref="Q148:Q156">
    <cfRule type="cellIs" dxfId="727" priority="729" operator="lessThan">
      <formula>0</formula>
    </cfRule>
  </conditionalFormatting>
  <conditionalFormatting sqref="R148:R156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6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6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6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6">
    <cfRule type="cellIs" dxfId="718" priority="718" operator="greaterThan">
      <formula>0</formula>
    </cfRule>
  </conditionalFormatting>
  <conditionalFormatting sqref="Q148:Q156">
    <cfRule type="cellIs" dxfId="717" priority="723" operator="lessThan">
      <formula>0</formula>
    </cfRule>
  </conditionalFormatting>
  <conditionalFormatting sqref="P44:P52">
    <cfRule type="cellIs" dxfId="716" priority="712" operator="greaterThan">
      <formula>0</formula>
    </cfRule>
  </conditionalFormatting>
  <conditionalFormatting sqref="Q44:Q52">
    <cfRule type="cellIs" dxfId="715" priority="717" operator="lessThan">
      <formula>0</formula>
    </cfRule>
  </conditionalFormatting>
  <conditionalFormatting sqref="R44:R52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2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7">
    <cfRule type="cellIs" dxfId="74" priority="75" operator="lessThan">
      <formula>0</formula>
    </cfRule>
  </conditionalFormatting>
  <conditionalFormatting sqref="R162:R167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7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7">
    <cfRule type="cellIs" dxfId="69" priority="70" operator="greaterThan">
      <formula>0</formula>
    </cfRule>
  </conditionalFormatting>
  <conditionalFormatting sqref="P168">
    <cfRule type="cellIs" dxfId="68" priority="64" operator="greaterThan">
      <formula>0</formula>
    </cfRule>
  </conditionalFormatting>
  <conditionalFormatting sqref="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7">
    <cfRule type="cellIs" dxfId="56" priority="57" operator="lessThan">
      <formula>0</formula>
    </cfRule>
  </conditionalFormatting>
  <conditionalFormatting sqref="R162:R167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7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7">
    <cfRule type="cellIs" dxfId="51" priority="52" operator="greaterThan">
      <formula>0</formula>
    </cfRule>
  </conditionalFormatting>
  <conditionalFormatting sqref="Q162:Q167">
    <cfRule type="cellIs" dxfId="50" priority="51" operator="lessThan">
      <formula>0</formula>
    </cfRule>
  </conditionalFormatting>
  <conditionalFormatting sqref="R162:R167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7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7">
    <cfRule type="cellIs" dxfId="45" priority="46" operator="greaterThan">
      <formula>0</formula>
    </cfRule>
  </conditionalFormatting>
  <conditionalFormatting sqref="Q168">
    <cfRule type="cellIs" dxfId="44" priority="45" operator="lessThan">
      <formula>0</formula>
    </cfRule>
  </conditionalFormatting>
  <conditionalFormatting sqref="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7">
    <cfRule type="cellIs" dxfId="32" priority="33" operator="lessThan">
      <formula>0</formula>
    </cfRule>
  </conditionalFormatting>
  <conditionalFormatting sqref="R162:R167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7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7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7">
    <cfRule type="cellIs" dxfId="20" priority="21" operator="lessThan">
      <formula>0</formula>
    </cfRule>
  </conditionalFormatting>
  <conditionalFormatting sqref="R162:R167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7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7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8">
    <cfRule type="cellIs" dxfId="8" priority="4" operator="greaterThan">
      <formula>0</formula>
    </cfRule>
  </conditionalFormatting>
  <conditionalFormatting sqref="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CABB2-2EB5-4F44-A4CD-3658AA138CEA}"/>
</file>

<file path=customXml/itemProps2.xml><?xml version="1.0" encoding="utf-8"?>
<ds:datastoreItem xmlns:ds="http://schemas.openxmlformats.org/officeDocument/2006/customXml" ds:itemID="{DC7EF968-7CBE-41CB-9906-803E7A8206DB}"/>
</file>

<file path=customXml/itemProps3.xml><?xml version="1.0" encoding="utf-8"?>
<ds:datastoreItem xmlns:ds="http://schemas.openxmlformats.org/officeDocument/2006/customXml" ds:itemID="{D37EA38C-AA9D-4F04-A8E6-BA82818B4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2026-06-04T06:29:14Z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